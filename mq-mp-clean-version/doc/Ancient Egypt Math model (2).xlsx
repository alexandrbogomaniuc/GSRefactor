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ummary" sheetId="1" state="visible" r:id="rId2"/>
    <sheet name="Special weapon" sheetId="2" state="visible" r:id="rId3"/>
    <sheet name="Base game (Mummy A)" sheetId="3" state="visible" r:id="rId4"/>
    <sheet name="Base game (Mummy B)" sheetId="4" state="visible" r:id="rId5"/>
    <sheet name="Base game (Mummy C)" sheetId="5" state="visible" r:id="rId6"/>
    <sheet name="Base game (Standard Mummy)" sheetId="6" state="visible" r:id="rId7"/>
    <sheet name="Base game (Scarabs)" sheetId="7" state="visible" r:id="rId8"/>
    <sheet name="Base game (Pharaoh A &amp; B)" sheetId="8" state="visible" r:id="rId9"/>
    <sheet name="Special weapon 1 (Mummy A) " sheetId="9" state="visible" r:id="rId10"/>
    <sheet name="Special weapon 1 (Mummy B)" sheetId="10" state="visible" r:id="rId11"/>
    <sheet name="Special weapon 1 (Mummy C)" sheetId="11" state="visible" r:id="rId12"/>
    <sheet name="Special weapon 1 (Std Mummy)" sheetId="12" state="visible" r:id="rId13"/>
    <sheet name="Special weapon 1 (Scarabs)" sheetId="13" state="visible" r:id="rId14"/>
    <sheet name="Special weapon 1 (Pharaoh A&amp;B)" sheetId="14" state="visible" r:id="rId15"/>
    <sheet name="Special weapon 2 (Mummy A)" sheetId="15" state="visible" r:id="rId16"/>
    <sheet name="Special weapon 2 (Mummy B)" sheetId="16" state="visible" r:id="rId17"/>
    <sheet name="Special weapon 2 (Mummy C)" sheetId="17" state="visible" r:id="rId18"/>
    <sheet name="Special weapon 2 (Std Mummy)" sheetId="18" state="visible" r:id="rId19"/>
    <sheet name="Special weapon 2 (Scarabs)" sheetId="19" state="visible" r:id="rId20"/>
    <sheet name="Special weapon 2 (Pharaoh A&amp;B)" sheetId="20" state="visible" r:id="rId21"/>
    <sheet name="Special weapon 3 (Mummy A)" sheetId="21" state="visible" r:id="rId22"/>
    <sheet name="Special weapon 3 (Mummy B)" sheetId="22" state="visible" r:id="rId23"/>
    <sheet name="Special weapon 3 (Mummy C)" sheetId="23" state="visible" r:id="rId24"/>
    <sheet name="Special weapon 3 (Std Mummy)" sheetId="24" state="visible" r:id="rId25"/>
    <sheet name="Special weapon 3 (Scarabs)" sheetId="25" state="visible" r:id="rId26"/>
    <sheet name="Special weapon 3 (Pharaoh A&amp;B)" sheetId="26" state="visible" r:id="rId27"/>
    <sheet name="Boss round" sheetId="27" state="visible" r:id="rId28"/>
    <sheet name="Boss (Hoard)" sheetId="28" state="visible" r:id="rId29"/>
    <sheet name="Hoard (Mummy A)" sheetId="29" state="visible" r:id="rId30"/>
    <sheet name="Hoard (Mummy B)" sheetId="30" state="visible" r:id="rId31"/>
    <sheet name="Hoard (Mummy C)" sheetId="31" state="visible" r:id="rId32"/>
    <sheet name="Hord (Standard Mummy)" sheetId="32" state="visible" r:id="rId33"/>
    <sheet name="Hoard (Scarabs)" sheetId="33" state="visible" r:id="rId3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<sst xmlns="http://schemas.openxmlformats.org/spreadsheetml/2006/main" count="2175" uniqueCount="152">
  <si>
    <t xml:space="preserve">Notes: the number of enemies of each type in each location is irrelevant from the mathematical point of view.</t>
  </si>
  <si>
    <t xml:space="preserve">If locations act as "levels", it may be interesting to have weak enemies in the first location and add other species in the following locations.</t>
  </si>
  <si>
    <t xml:space="preserve">Feature</t>
  </si>
  <si>
    <t xml:space="preserve">RTP</t>
  </si>
  <si>
    <t xml:space="preserve">Freq</t>
  </si>
  <si>
    <t xml:space="preserve">Probability</t>
  </si>
  <si>
    <t xml:space="preserve">Avg pay</t>
  </si>
  <si>
    <t xml:space="preserve">Base game</t>
  </si>
  <si>
    <t xml:space="preserve">Boss round</t>
  </si>
  <si>
    <t xml:space="preserve">Prize: 50x to be distributed between players according to damage done to boss</t>
  </si>
  <si>
    <t xml:space="preserve">Special weapon (*)</t>
  </si>
  <si>
    <t xml:space="preserve">Hoard</t>
  </si>
  <si>
    <t xml:space="preserve">Prize: 30x credits to be distributed between players according to contribution to completion + 50x to be distributed between players according to damage done to boss.</t>
  </si>
  <si>
    <t xml:space="preserve">Leaderboard</t>
  </si>
  <si>
    <t xml:space="preserve">Total</t>
  </si>
  <si>
    <t xml:space="preserve">(*) To use in MAIN only. Shots using special weapons are not paid. Each special weapon has a limited number of shots and could be used any time in base game.</t>
  </si>
  <si>
    <t xml:space="preserve">When a player gets a GUARANTEE KNOCKOUT he/she can use it only in base game and optimal strategy is to kill a Powerful Pharaoh Mummy with no damage. The prize is x15 (see table below)</t>
  </si>
  <si>
    <t xml:space="preserve">If player uses the special weapon in other case (imperfect play) then he/she will get a prize lower than x15. The difference is added to leaderboard prize.</t>
  </si>
  <si>
    <t xml:space="preserve">There are different kind of enemies. Each enemy has its own prizes. Stronger enemies grant bigger prizes but are more difficult to kill.</t>
  </si>
  <si>
    <t xml:space="preserve">Scarab black</t>
  </si>
  <si>
    <t xml:space="preserve">Scarab gold</t>
  </si>
  <si>
    <t xml:space="preserve">Scarab gem covered</t>
  </si>
  <si>
    <t xml:space="preserve">Prize #</t>
  </si>
  <si>
    <t xml:space="preserve">Pays</t>
  </si>
  <si>
    <t xml:space="preserve">Standard Mummy</t>
  </si>
  <si>
    <t xml:space="preserve">Medium Mummy A</t>
  </si>
  <si>
    <t xml:space="preserve">Medium Mummy B</t>
  </si>
  <si>
    <t xml:space="preserve">Medium Mummy C</t>
  </si>
  <si>
    <t xml:space="preserve">Prize</t>
  </si>
  <si>
    <t xml:space="preserve">Powerful Pharaoh Mummy A</t>
  </si>
  <si>
    <t xml:space="preserve">Powerful Pharaoh Mummy B</t>
  </si>
  <si>
    <t xml:space="preserve">For each shot in base game with a regular weapon draw if player gets a special weapon or not.</t>
  </si>
  <si>
    <t xml:space="preserve">Probability of getting a special weapon = 1/60</t>
  </si>
  <si>
    <t xml:space="preserve">If player gets a special weapon then draw which one he gets using the weights in the table below.</t>
  </si>
  <si>
    <t xml:space="preserve">Special weapons:</t>
  </si>
  <si>
    <t xml:space="preserve">Shots</t>
  </si>
  <si>
    <t xml:space="preserve">Avg pay by shot</t>
  </si>
  <si>
    <t xml:space="preserve">Total avg pay</t>
  </si>
  <si>
    <t xml:space="preserve">Weights</t>
  </si>
  <si>
    <t xml:space="preserve">Special weapon 1</t>
  </si>
  <si>
    <t xml:space="preserve">Special weapon 2</t>
  </si>
  <si>
    <t xml:space="preserve">Special weapon 3</t>
  </si>
  <si>
    <t xml:space="preserve">Guarantee knockout (*)</t>
  </si>
  <si>
    <t xml:space="preserve">(*) if there is not any Powerful Pharaoh Mummy in location we can discard this one to make it simpler. </t>
  </si>
  <si>
    <t xml:space="preserve">Otherwise, the best strategy would be to keep this weapon and use it in another location to kill a Powerful Pharaoh Mummy.</t>
  </si>
  <si>
    <t xml:space="preserve">Avg win</t>
  </si>
  <si>
    <t xml:space="preserve">Special weapons can be use anytime in base game only.</t>
  </si>
  <si>
    <t xml:space="preserve">Skill: best strategy is to use it with a Powerful Pharaoh Mummy with no damage</t>
  </si>
  <si>
    <t xml:space="preserve">(*) avg pay using best strategy</t>
  </si>
  <si>
    <t xml:space="preserve">Each special weapon has its own probabilities of damage for each kind of enemy. Prizes must be multiplied by the stake that triggered the feature.</t>
  </si>
  <si>
    <t xml:space="preserve">For instance, if player gets a special weapon betting 100 credits, at the moment he decides to use it the prizes must be multiplied by 100. It doesn’t matter if after getting the special weapon he changed the stake.</t>
  </si>
  <si>
    <t xml:space="preserve">Medium Mummy A (golden wrist bands)</t>
  </si>
  <si>
    <t xml:space="preserve">For each shot with a regular weapon, draw the damage caused using the table according to prizes already granted by enemy that is being shot.</t>
  </si>
  <si>
    <t xml:space="preserve">For example, if player is shooting to an enemy that has granted prize #1 and prize #2, the only possible prize is #3. In that case use probabilities in Table 4.</t>
  </si>
  <si>
    <t xml:space="preserve">But if player is shooting to an enemy with no damage at all, the damage caused by this shot must be drawn using Table 1.</t>
  </si>
  <si>
    <t xml:space="preserve">How to use tables: example using Table 1</t>
  </si>
  <si>
    <t xml:space="preserve">Draw a real number between 0 and 1 (uniform distribution).</t>
  </si>
  <si>
    <t xml:space="preserve">If the number drawn is greater than Total (*) probability (Cell C21) that will be a miss.</t>
  </si>
  <si>
    <t xml:space="preserve">If the number drawn is less than 0.13 (first cumulative probability) then the player receives a prize of 1.5x  (1st row, 4th column)</t>
  </si>
  <si>
    <t xml:space="preserve">If the number drawn is between 0.13 and 0.26 (first and second cumulative probabilities) then  the player receives a prize of 1x (2nd row, 4th column)</t>
  </si>
  <si>
    <t xml:space="preserve">If the number drawn is 0.28, that is between 0.2766666666 and 0.2816666666 (5th and 6th cumulative probabilities) then the player receives a prize of 4.5x (1.5 by prize #2 + 3 by prize #3).</t>
  </si>
  <si>
    <t xml:space="preserve">Boss round:</t>
  </si>
  <si>
    <t xml:space="preserve">The Boss round can be triggered only when an enemy is defeated. </t>
  </si>
  <si>
    <t xml:space="preserve">When an enemy is killed draw at random a number to decide if the Boss round is triggered.</t>
  </si>
  <si>
    <t xml:space="preserve">Use the probability on last column of each table.</t>
  </si>
  <si>
    <t xml:space="preserve">Extra weapon: for each shot make a draw to decide if extra weapon is granted or not. The probability of extra weapon does not depend on any other event.</t>
  </si>
  <si>
    <t xml:space="preserve">You can find the probability of extra weapon in "Summary" (is 1/60)</t>
  </si>
  <si>
    <t xml:space="preserve">There are several special weapons that can be granted (tab "Special weapon")</t>
  </si>
  <si>
    <t xml:space="preserve">Table 1</t>
  </si>
  <si>
    <t xml:space="preserve">Cumulative prob.</t>
  </si>
  <si>
    <t xml:space="preserve">Award</t>
  </si>
  <si>
    <t xml:space="preserve">Prob. Boss round</t>
  </si>
  <si>
    <t xml:space="preserve">(Initial state)</t>
  </si>
  <si>
    <t xml:space="preserve">1 and 2</t>
  </si>
  <si>
    <t xml:space="preserve">1 and 3</t>
  </si>
  <si>
    <t xml:space="preserve">2 and 3</t>
  </si>
  <si>
    <t xml:space="preserve">1, 2 and 3 (*)</t>
  </si>
  <si>
    <t xml:space="preserve">(*) Enemy killed</t>
  </si>
  <si>
    <t xml:space="preserve">Total (*)</t>
  </si>
  <si>
    <r>
      <rPr>
        <sz val="11"/>
        <color rgb="FF000000"/>
        <rFont val="Calibri"/>
        <family val="2"/>
        <charset val="1"/>
      </rPr>
      <t xml:space="preserve">(*) Total probability is </t>
    </r>
    <r>
      <rPr>
        <b val="true"/>
        <sz val="11"/>
        <color rgb="FF000000"/>
        <rFont val="Calibri"/>
        <family val="2"/>
        <charset val="1"/>
      </rPr>
      <t xml:space="preserve">hit rate</t>
    </r>
  </si>
  <si>
    <t xml:space="preserve">Table 2</t>
  </si>
  <si>
    <t xml:space="preserve">Awards granted:</t>
  </si>
  <si>
    <t xml:space="preserve">Prize #1</t>
  </si>
  <si>
    <t xml:space="preserve">Table 3</t>
  </si>
  <si>
    <t xml:space="preserve">Prize #2</t>
  </si>
  <si>
    <t xml:space="preserve">Table 4</t>
  </si>
  <si>
    <t xml:space="preserve">Table 5</t>
  </si>
  <si>
    <t xml:space="preserve">Prize #3</t>
  </si>
  <si>
    <t xml:space="preserve">Table 6</t>
  </si>
  <si>
    <t xml:space="preserve">Table 7</t>
  </si>
  <si>
    <t xml:space="preserve">Medium Mummy B (golden wrist bands and necklace)</t>
  </si>
  <si>
    <t xml:space="preserve">(*) Total probability is hit rate</t>
  </si>
  <si>
    <t xml:space="preserve">Medium Mummy C (golden boots and wrist bands)</t>
  </si>
  <si>
    <t xml:space="preserve">Scarabs</t>
  </si>
  <si>
    <t xml:space="preserve">Powerful Pharaoh Mummy A &amp; B</t>
  </si>
  <si>
    <t xml:space="preserve">SPECIAL WEAPON 1 - Medium Mummy A (golden wrist bands)</t>
  </si>
  <si>
    <t xml:space="preserve">For each shot with a special weapon, draw the damage caused using the table according to prizes already granted by enemy that is being shot.</t>
  </si>
  <si>
    <t xml:space="preserve">SPECIAL WEAPON 1 - Medium Mummy B (golden wrist bands and necklace)</t>
  </si>
  <si>
    <t xml:space="preserve">SPECIAL WEAPON 1 - Medium Mummy C (golden boots and wrist bands)</t>
  </si>
  <si>
    <t xml:space="preserve">SPECIAL WEAPON 1 - Standard Mummy</t>
  </si>
  <si>
    <t xml:space="preserve">SPECIAL WEAPON 1 - Scarabs</t>
  </si>
  <si>
    <t xml:space="preserve">SPECIAL WEAPON 1 - Powerful Pharaoh Mummy A &amp; B</t>
  </si>
  <si>
    <t xml:space="preserve">SPECIAL WEAPON 2 - Medium Mummy A (golden wrist bands)</t>
  </si>
  <si>
    <t xml:space="preserve">SPECIAL WEAPON 2 -Medium Mummy B (golden wrist bands and necklace)</t>
  </si>
  <si>
    <t xml:space="preserve">SPECIAL WEAPON 2 - Medium Mummy C (golden boots and wrist bands)</t>
  </si>
  <si>
    <t xml:space="preserve">SPECIAL WEAPON 2 - Standard Mummy</t>
  </si>
  <si>
    <t xml:space="preserve">SPECIAL WEAPON 2 - Scarabs</t>
  </si>
  <si>
    <t xml:space="preserve">SPECIAL WEAPON 2 - Powerful Pharaoh Mummy A &amp; B</t>
  </si>
  <si>
    <t xml:space="preserve">SPECIAL WEAPON 3 - Medium Mummy A (golden wrist bands)</t>
  </si>
  <si>
    <t xml:space="preserve">SPECIAL WEAPON 3 - Medium Mummy B (golden wrist bands and necklace)</t>
  </si>
  <si>
    <t xml:space="preserve">SPECIAL WEAPON 3 - Medium Mummy C (golden boots and wrist bands)</t>
  </si>
  <si>
    <t xml:space="preserve">SPECIAL WEAPON 3 - Standard Mummy</t>
  </si>
  <si>
    <t xml:space="preserve">SPECIAL WEAPON 3 - Powerful Pharaoh Mummy A &amp; B</t>
  </si>
  <si>
    <t xml:space="preserve">Environmental Boss round</t>
  </si>
  <si>
    <t xml:space="preserve">As each shot to boss is a bet, the RTP for this bet should be the same as base game (95%) to avoid player's strategies. </t>
  </si>
  <si>
    <t xml:space="preserve">But players are also competing by the Boss prize (50x) which will be distributed according to damage done by each player (or bot).</t>
  </si>
  <si>
    <t xml:space="preserve">So, each shot can grant an extra prize (Table 1) and cause a damage. The RTP of these shots will be 95% plus the RTP from Boss prize.</t>
  </si>
  <si>
    <t xml:space="preserve">Extra prizes can be inmediately granted to players or they can be accumulate and granted at the end of the round added to the part of the Boss prize.</t>
  </si>
  <si>
    <t xml:space="preserve">For each shot, draw an extra prize (Table 1) and boss damage (Table 2 and 3 corrected by player's bet). They are independent events.</t>
  </si>
  <si>
    <t xml:space="preserve">NOTE: when Boss round ends draw if the Hoard is triggered. Probaility of triggering Hoard = 1/4.</t>
  </si>
  <si>
    <t xml:space="preserve">Extra prize</t>
  </si>
  <si>
    <t xml:space="preserve">Boss damage</t>
  </si>
  <si>
    <t xml:space="preserve">Boss energy:</t>
  </si>
  <si>
    <t xml:space="preserve">The total Boss prize must return to players. The part of this prize won by bots will be added to Leaderboard prizes.</t>
  </si>
  <si>
    <t xml:space="preserve">Each energy unit represents 1 credit. If player A has caused a damage of 15 energy units then player wins a prize of 15 credits plus the extra prizes.</t>
  </si>
  <si>
    <t xml:space="preserve">Players who have bet the most are likely to win the most. So, probabilities are proportional to player's total bet in the base game previous to Boss round.</t>
  </si>
  <si>
    <t xml:space="preserve">For each player the probabilities in the table below must be multiplied by player's total bet in base game previous to Boss round and divided by total bet in base game previous to Boss round.</t>
  </si>
  <si>
    <t xml:space="preserve">Probability factor correction (PFC): player's bet divided by total bet</t>
  </si>
  <si>
    <t xml:space="preserve">Damage</t>
  </si>
  <si>
    <t xml:space="preserve">Probability Base line</t>
  </si>
  <si>
    <t xml:space="preserve">&lt;- this RTP is distributed between players</t>
  </si>
  <si>
    <t xml:space="preserve">When Boss energy is less than 5 some damage levels are not possible, in that case each player can only cause a damage of 1 unit with this probability:</t>
  </si>
  <si>
    <t xml:space="preserve">Example:</t>
  </si>
  <si>
    <t xml:space="preserve">Player 1 has bet 25 credits in base game.</t>
  </si>
  <si>
    <t xml:space="preserve">Player 2 has bet 50 credits in base game.</t>
  </si>
  <si>
    <t xml:space="preserve">Total bet: 25+50 = 75</t>
  </si>
  <si>
    <t xml:space="preserve">If Boss energy is at least 5 units the probabilities of damages are:</t>
  </si>
  <si>
    <t xml:space="preserve">Player 1</t>
  </si>
  <si>
    <t xml:space="preserve">PFC= 25/75</t>
  </si>
  <si>
    <t xml:space="preserve">PFC</t>
  </si>
  <si>
    <t xml:space="preserve">Player's probabilities</t>
  </si>
  <si>
    <t xml:space="preserve">Player 2</t>
  </si>
  <si>
    <t xml:space="preserve">PFC= 50/75</t>
  </si>
  <si>
    <t xml:space="preserve">With this numbers the RTP for player 1 is 95% due "extra prizes" plus 20.66% due Boss damage.</t>
  </si>
  <si>
    <t xml:space="preserve">RTP for player 2 is 95% due "extra prizes" plus 41.33% due Boss damage.</t>
  </si>
  <si>
    <t xml:space="preserve">RTP for player 2 is greater than RTP for player 1 because player 2 has bet more in base game.</t>
  </si>
  <si>
    <t xml:space="preserve">Special Boss</t>
  </si>
  <si>
    <t xml:space="preserve">HOARD - Medium Mummy A (golden wrist bands)</t>
  </si>
  <si>
    <t xml:space="preserve">HOARD - Medium Mummy B (golden wrist bands and necklace)</t>
  </si>
  <si>
    <t xml:space="preserve">HOARD - Medium Mummy C (golden boots and wrist bands)</t>
  </si>
  <si>
    <t xml:space="preserve">HOARD - Standard Mummy</t>
  </si>
  <si>
    <t xml:space="preserve">HOARD - Scarabs</t>
  </si>
</sst>
</file>

<file path=xl/styles.xml><?xml version="1.0" encoding="utf-8"?>
<styleSheet xmlns="http://schemas.openxmlformats.org/spreadsheetml/2006/main">
  <numFmts count="16">
    <numFmt numFmtId="164" formatCode="General"/>
    <numFmt numFmtId="165" formatCode="0%"/>
    <numFmt numFmtId="166" formatCode="0.0%"/>
    <numFmt numFmtId="167" formatCode="0.0000"/>
    <numFmt numFmtId="168" formatCode="0.00%"/>
    <numFmt numFmtId="169" formatCode="\x0.00"/>
    <numFmt numFmtId="170" formatCode="0.00"/>
    <numFmt numFmtId="171" formatCode="0.0000000"/>
    <numFmt numFmtId="172" formatCode="0.000000"/>
    <numFmt numFmtId="173" formatCode="DD/MMM"/>
    <numFmt numFmtId="174" formatCode="0.000"/>
    <numFmt numFmtId="175" formatCode="0.00000"/>
    <numFmt numFmtId="176" formatCode="0.000000000"/>
    <numFmt numFmtId="177" formatCode="0.0"/>
    <numFmt numFmtId="178" formatCode="0"/>
    <numFmt numFmtId="179" formatCode="\x0"/>
  </numFmts>
  <fonts count="9">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b val="true"/>
      <sz val="14"/>
      <color rgb="FFFFFFFF"/>
      <name val="Calibri"/>
      <family val="2"/>
      <charset val="1"/>
    </font>
    <font>
      <b val="true"/>
      <sz val="11"/>
      <color rgb="FFFF0000"/>
      <name val="Calibri"/>
      <family val="2"/>
      <charset val="1"/>
    </font>
    <font>
      <b val="true"/>
      <sz val="14"/>
      <color rgb="FF000000"/>
      <name val="Calibri"/>
      <family val="2"/>
      <charset val="1"/>
    </font>
  </fonts>
  <fills count="6">
    <fill>
      <patternFill patternType="none"/>
    </fill>
    <fill>
      <patternFill patternType="gray125"/>
    </fill>
    <fill>
      <patternFill patternType="solid">
        <fgColor rgb="FFA6A6A6"/>
        <bgColor rgb="FFC0C0C0"/>
      </patternFill>
    </fill>
    <fill>
      <patternFill patternType="solid">
        <fgColor rgb="FF0070C0"/>
        <bgColor rgb="FF008080"/>
      </patternFill>
    </fill>
    <fill>
      <patternFill patternType="solid">
        <fgColor rgb="FFFFC000"/>
        <bgColor rgb="FFFF9900"/>
      </patternFill>
    </fill>
    <fill>
      <patternFill patternType="solid">
        <fgColor rgb="FF93CDDD"/>
        <bgColor rgb="FFC0C0C0"/>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4" fillId="2" borderId="1" xfId="19"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70" fontId="0" fillId="0" borderId="12"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71" fontId="0" fillId="0" borderId="1" xfId="19"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72" fontId="5" fillId="0" borderId="0" xfId="0" applyFont="true" applyBorder="true" applyAlignment="false" applyProtection="false">
      <alignment horizontal="general" vertical="bottom" textRotation="0" wrapText="false" indent="0" shrinkToFit="false"/>
      <protection locked="true" hidden="false"/>
    </xf>
    <xf numFmtId="172" fontId="5" fillId="0" borderId="0" xfId="0" applyFont="true" applyBorder="tru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74" fontId="0" fillId="0" borderId="1" xfId="19" applyFont="true" applyBorder="true" applyAlignment="true" applyProtection="tru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7" fontId="0" fillId="0" borderId="1" xfId="0" applyFont="false" applyBorder="true" applyAlignment="false" applyProtection="false">
      <alignment horizontal="general" vertical="bottom" textRotation="0" wrapText="false" indent="0" shrinkToFit="false"/>
      <protection locked="true" hidden="false"/>
    </xf>
    <xf numFmtId="178" fontId="0" fillId="0" borderId="1" xfId="0" applyFont="false" applyBorder="true" applyAlignment="false" applyProtection="false">
      <alignment horizontal="general" vertical="bottom" textRotation="0" wrapText="fals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0" fontId="0" fillId="0" borderId="1" xfId="19" applyFont="true" applyBorder="true" applyAlignment="true" applyProtection="true">
      <alignment horizontal="general" vertical="bottom" textRotation="0" wrapText="false" indent="0" shrinkToFit="false"/>
      <protection locked="true" hidden="false"/>
    </xf>
    <xf numFmtId="164" fontId="8" fillId="5" borderId="0" xfId="0" applyFont="true" applyBorder="true" applyAlignment="true" applyProtection="false">
      <alignment horizontal="center" vertical="bottom" textRotation="0" wrapText="false" indent="0" shrinkToFit="false"/>
      <protection locked="true" hidden="false"/>
    </xf>
    <xf numFmtId="179" fontId="0" fillId="0" borderId="1" xfId="0" applyFont="false" applyBorder="true" applyAlignment="false" applyProtection="false">
      <alignment horizontal="general" vertical="bottom"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3CDDD"/>
      <rgbColor rgb="FFFF99CC"/>
      <rgbColor rgb="FFCC99FF"/>
      <rgbColor rgb="FFFFCC99"/>
      <rgbColor rgb="FF3366FF"/>
      <rgbColor rgb="FF33CCCC"/>
      <rgbColor rgb="FF99CC00"/>
      <rgbColor rgb="FFFFC0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tabColor rgb="FFFF0000"/>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7" activeCellId="0" sqref="D17"/>
    </sheetView>
  </sheetViews>
  <sheetFormatPr defaultRowHeight="15" zeroHeight="false" outlineLevelRow="0" outlineLevelCol="0"/>
  <cols>
    <col collapsed="false" customWidth="true" hidden="false" outlineLevel="0" max="1" min="1" style="0" width="18"/>
    <col collapsed="false" customWidth="false" hidden="false" outlineLevel="0" max="3" min="2" style="0" width="11.43"/>
    <col collapsed="false" customWidth="true" hidden="false" outlineLevel="0" max="4" min="4" style="0" width="11.57"/>
    <col collapsed="false" customWidth="true" hidden="false" outlineLevel="0" max="5" min="5" style="0" width="14.85"/>
    <col collapsed="false" customWidth="false" hidden="false" outlineLevel="0" max="6" min="6" style="0" width="11.43"/>
    <col collapsed="false" customWidth="true" hidden="false" outlineLevel="0" max="7" min="7" style="0" width="13.57"/>
    <col collapsed="false" customWidth="true" hidden="false" outlineLevel="0" max="8" min="8" style="0" width="15"/>
    <col collapsed="false" customWidth="false" hidden="false" outlineLevel="0" max="1025" min="9" style="0" width="11.43"/>
  </cols>
  <sheetData>
    <row r="1" customFormat="false" ht="15" hidden="false" customHeight="false" outlineLevel="0" collapsed="false">
      <c r="A1" s="0" t="s">
        <v>0</v>
      </c>
    </row>
    <row r="2" customFormat="false" ht="15" hidden="false" customHeight="false" outlineLevel="0" collapsed="false">
      <c r="A2" s="0" t="s">
        <v>1</v>
      </c>
    </row>
    <row r="5" customFormat="false" ht="15" hidden="false" customHeight="false" outlineLevel="0" collapsed="false">
      <c r="A5" s="1" t="s">
        <v>2</v>
      </c>
      <c r="B5" s="1" t="s">
        <v>3</v>
      </c>
      <c r="C5" s="1" t="s">
        <v>4</v>
      </c>
      <c r="D5" s="1" t="s">
        <v>5</v>
      </c>
      <c r="E5" s="1" t="s">
        <v>6</v>
      </c>
    </row>
    <row r="6" customFormat="false" ht="15" hidden="false" customHeight="false" outlineLevel="0" collapsed="false">
      <c r="A6" s="2" t="s">
        <v>7</v>
      </c>
      <c r="B6" s="3" t="n">
        <v>0.5</v>
      </c>
      <c r="C6" s="2"/>
      <c r="D6" s="2"/>
      <c r="E6" s="2"/>
    </row>
    <row r="7" customFormat="false" ht="15" hidden="false" customHeight="false" outlineLevel="0" collapsed="false">
      <c r="A7" s="2" t="s">
        <v>8</v>
      </c>
      <c r="B7" s="3" t="n">
        <v>0.25</v>
      </c>
      <c r="C7" s="2" t="n">
        <v>200</v>
      </c>
      <c r="D7" s="2" t="n">
        <f aca="false">1/C7</f>
        <v>0.005</v>
      </c>
      <c r="E7" s="2" t="n">
        <f aca="false">+C7*B7</f>
        <v>50</v>
      </c>
      <c r="F7" s="0" t="s">
        <v>9</v>
      </c>
    </row>
    <row r="8" customFormat="false" ht="15" hidden="false" customHeight="false" outlineLevel="0" collapsed="false">
      <c r="A8" s="2" t="s">
        <v>10</v>
      </c>
      <c r="B8" s="3" t="n">
        <v>0.1</v>
      </c>
      <c r="C8" s="2" t="n">
        <v>60</v>
      </c>
      <c r="D8" s="2" t="n">
        <f aca="false">1/C8</f>
        <v>0.0166666666666667</v>
      </c>
      <c r="E8" s="2" t="n">
        <f aca="false">+C8*B8</f>
        <v>6</v>
      </c>
      <c r="G8" s="4"/>
    </row>
    <row r="9" customFormat="false" ht="15" hidden="false" customHeight="false" outlineLevel="0" collapsed="false">
      <c r="A9" s="2" t="s">
        <v>11</v>
      </c>
      <c r="B9" s="3" t="n">
        <v>0.1</v>
      </c>
      <c r="C9" s="2" t="n">
        <v>800</v>
      </c>
      <c r="D9" s="2" t="n">
        <f aca="false">1/C9</f>
        <v>0.00125</v>
      </c>
      <c r="E9" s="2" t="n">
        <f aca="false">+C9*B9</f>
        <v>80</v>
      </c>
      <c r="F9" s="0" t="s">
        <v>12</v>
      </c>
    </row>
    <row r="10" customFormat="false" ht="15" hidden="false" customHeight="false" outlineLevel="0" collapsed="false">
      <c r="A10" s="2" t="s">
        <v>13</v>
      </c>
      <c r="B10" s="3" t="n">
        <v>0</v>
      </c>
      <c r="C10" s="2"/>
      <c r="D10" s="2"/>
      <c r="E10" s="2"/>
    </row>
    <row r="11" customFormat="false" ht="15" hidden="false" customHeight="false" outlineLevel="0" collapsed="false">
      <c r="A11" s="1" t="s">
        <v>14</v>
      </c>
      <c r="B11" s="5" t="n">
        <v>0.95</v>
      </c>
      <c r="C11" s="1"/>
      <c r="D11" s="1"/>
      <c r="E11" s="1"/>
    </row>
    <row r="12" customFormat="false" ht="15" hidden="false" customHeight="false" outlineLevel="0" collapsed="false">
      <c r="A12" s="6" t="s">
        <v>15</v>
      </c>
    </row>
    <row r="13" customFormat="false" ht="15" hidden="false" customHeight="false" outlineLevel="0" collapsed="false">
      <c r="A13" s="6" t="s">
        <v>16</v>
      </c>
    </row>
    <row r="14" customFormat="false" ht="15" hidden="false" customHeight="false" outlineLevel="0" collapsed="false">
      <c r="A14" s="6" t="s">
        <v>17</v>
      </c>
    </row>
    <row r="16" customFormat="false" ht="15" hidden="false" customHeight="false" outlineLevel="0" collapsed="false">
      <c r="A16" s="7" t="s">
        <v>18</v>
      </c>
    </row>
    <row r="17" customFormat="false" ht="15" hidden="false" customHeight="false" outlineLevel="0" collapsed="false">
      <c r="A17" s="7"/>
    </row>
    <row r="18" customFormat="false" ht="15" hidden="false" customHeight="false" outlineLevel="0" collapsed="false">
      <c r="A18" s="7"/>
    </row>
    <row r="19" customFormat="false" ht="15" hidden="false" customHeight="false" outlineLevel="0" collapsed="false">
      <c r="A19" s="8" t="s">
        <v>19</v>
      </c>
      <c r="D19" s="8" t="s">
        <v>20</v>
      </c>
      <c r="G19" s="8" t="s">
        <v>21</v>
      </c>
    </row>
    <row r="20" customFormat="false" ht="15" hidden="false" customHeight="false" outlineLevel="0" collapsed="false">
      <c r="A20" s="1" t="s">
        <v>22</v>
      </c>
      <c r="B20" s="1" t="s">
        <v>23</v>
      </c>
      <c r="D20" s="1" t="s">
        <v>22</v>
      </c>
      <c r="E20" s="1" t="s">
        <v>23</v>
      </c>
      <c r="G20" s="1" t="s">
        <v>22</v>
      </c>
      <c r="H20" s="1" t="s">
        <v>23</v>
      </c>
    </row>
    <row r="21" customFormat="false" ht="15" hidden="false" customHeight="false" outlineLevel="0" collapsed="false">
      <c r="A21" s="2" t="n">
        <v>1</v>
      </c>
      <c r="B21" s="9" t="n">
        <v>2</v>
      </c>
      <c r="D21" s="2" t="n">
        <v>1</v>
      </c>
      <c r="E21" s="9" t="n">
        <v>3</v>
      </c>
      <c r="G21" s="2" t="n">
        <v>1</v>
      </c>
      <c r="H21" s="9" t="n">
        <v>4</v>
      </c>
    </row>
    <row r="22" customFormat="false" ht="15" hidden="false" customHeight="false" outlineLevel="0" collapsed="false">
      <c r="A22" s="7"/>
    </row>
    <row r="23" customFormat="false" ht="15" hidden="false" customHeight="false" outlineLevel="0" collapsed="false">
      <c r="A23" s="7"/>
    </row>
    <row r="24" customFormat="false" ht="15" hidden="false" customHeight="false" outlineLevel="0" collapsed="false">
      <c r="A24" s="7"/>
    </row>
    <row r="25" customFormat="false" ht="15" hidden="false" customHeight="false" outlineLevel="0" collapsed="false">
      <c r="A25" s="8" t="s">
        <v>24</v>
      </c>
      <c r="D25" s="8" t="s">
        <v>25</v>
      </c>
      <c r="G25" s="8" t="s">
        <v>26</v>
      </c>
      <c r="J25" s="8" t="s">
        <v>27</v>
      </c>
    </row>
    <row r="26" customFormat="false" ht="15" hidden="false" customHeight="false" outlineLevel="0" collapsed="false">
      <c r="A26" s="1" t="s">
        <v>28</v>
      </c>
      <c r="B26" s="1" t="s">
        <v>23</v>
      </c>
      <c r="D26" s="1" t="s">
        <v>22</v>
      </c>
      <c r="E26" s="1" t="s">
        <v>23</v>
      </c>
      <c r="G26" s="1" t="s">
        <v>22</v>
      </c>
      <c r="H26" s="1" t="s">
        <v>23</v>
      </c>
      <c r="J26" s="1" t="s">
        <v>22</v>
      </c>
      <c r="K26" s="1" t="s">
        <v>23</v>
      </c>
    </row>
    <row r="27" customFormat="false" ht="15" hidden="false" customHeight="false" outlineLevel="0" collapsed="false">
      <c r="A27" s="2" t="n">
        <v>1</v>
      </c>
      <c r="B27" s="10" t="n">
        <v>2</v>
      </c>
      <c r="D27" s="2" t="n">
        <v>1</v>
      </c>
      <c r="E27" s="10" t="n">
        <v>1.5</v>
      </c>
      <c r="G27" s="2" t="n">
        <v>1</v>
      </c>
      <c r="H27" s="10" t="n">
        <v>2</v>
      </c>
      <c r="J27" s="2" t="n">
        <v>1</v>
      </c>
      <c r="K27" s="10" t="n">
        <v>3</v>
      </c>
    </row>
    <row r="28" customFormat="false" ht="15" hidden="false" customHeight="false" outlineLevel="0" collapsed="false">
      <c r="A28" s="2" t="n">
        <v>2</v>
      </c>
      <c r="B28" s="10" t="n">
        <v>3</v>
      </c>
      <c r="D28" s="2" t="n">
        <v>2</v>
      </c>
      <c r="E28" s="10" t="n">
        <v>1.5</v>
      </c>
      <c r="G28" s="2" t="n">
        <v>2</v>
      </c>
      <c r="H28" s="10" t="n">
        <v>2</v>
      </c>
      <c r="J28" s="2" t="n">
        <v>2</v>
      </c>
      <c r="K28" s="10" t="n">
        <v>3</v>
      </c>
    </row>
    <row r="29" customFormat="false" ht="15" hidden="false" customHeight="false" outlineLevel="0" collapsed="false">
      <c r="A29" s="11" t="s">
        <v>14</v>
      </c>
      <c r="B29" s="9" t="n">
        <f aca="false">+SUM(B27:B28)</f>
        <v>5</v>
      </c>
      <c r="D29" s="12" t="n">
        <v>3</v>
      </c>
      <c r="E29" s="10" t="n">
        <v>3</v>
      </c>
      <c r="G29" s="12" t="n">
        <v>3</v>
      </c>
      <c r="H29" s="10" t="n">
        <v>4</v>
      </c>
      <c r="J29" s="12" t="n">
        <v>3</v>
      </c>
      <c r="K29" s="10" t="n">
        <v>6</v>
      </c>
    </row>
    <row r="30" customFormat="false" ht="15" hidden="false" customHeight="false" outlineLevel="0" collapsed="false">
      <c r="D30" s="11" t="s">
        <v>14</v>
      </c>
      <c r="E30" s="9" t="n">
        <f aca="false">+SUM(E27:E29)</f>
        <v>6</v>
      </c>
      <c r="F30" s="8"/>
      <c r="G30" s="11" t="s">
        <v>14</v>
      </c>
      <c r="H30" s="9" t="n">
        <f aca="false">+SUM(H27:H29)</f>
        <v>8</v>
      </c>
      <c r="I30" s="8"/>
      <c r="J30" s="11" t="s">
        <v>14</v>
      </c>
      <c r="K30" s="9" t="n">
        <f aca="false">+SUM(K27:K29)</f>
        <v>12</v>
      </c>
    </row>
    <row r="34" customFormat="false" ht="15" hidden="false" customHeight="false" outlineLevel="0" collapsed="false">
      <c r="A34" s="8" t="s">
        <v>29</v>
      </c>
      <c r="D34" s="8" t="s">
        <v>30</v>
      </c>
    </row>
    <row r="35" customFormat="false" ht="15" hidden="false" customHeight="false" outlineLevel="0" collapsed="false">
      <c r="A35" s="1" t="s">
        <v>22</v>
      </c>
      <c r="B35" s="1" t="s">
        <v>23</v>
      </c>
      <c r="D35" s="1" t="s">
        <v>22</v>
      </c>
      <c r="E35" s="1" t="s">
        <v>23</v>
      </c>
    </row>
    <row r="36" customFormat="false" ht="15" hidden="false" customHeight="false" outlineLevel="0" collapsed="false">
      <c r="A36" s="2" t="n">
        <v>1</v>
      </c>
      <c r="B36" s="10" t="n">
        <v>2</v>
      </c>
      <c r="D36" s="2" t="n">
        <v>1</v>
      </c>
      <c r="E36" s="10" t="n">
        <v>2</v>
      </c>
      <c r="G36" s="7"/>
    </row>
    <row r="37" customFormat="false" ht="15" hidden="false" customHeight="false" outlineLevel="0" collapsed="false">
      <c r="A37" s="2" t="n">
        <v>2</v>
      </c>
      <c r="B37" s="10" t="n">
        <v>5</v>
      </c>
      <c r="D37" s="2" t="n">
        <v>2</v>
      </c>
      <c r="E37" s="10" t="n">
        <v>5</v>
      </c>
    </row>
    <row r="38" customFormat="false" ht="15" hidden="false" customHeight="false" outlineLevel="0" collapsed="false">
      <c r="A38" s="2" t="n">
        <v>3</v>
      </c>
      <c r="B38" s="10" t="n">
        <v>8</v>
      </c>
      <c r="D38" s="2" t="n">
        <v>3</v>
      </c>
      <c r="E38" s="10" t="n">
        <v>8</v>
      </c>
    </row>
    <row r="39" customFormat="false" ht="15" hidden="false" customHeight="false" outlineLevel="0" collapsed="false">
      <c r="A39" s="11" t="s">
        <v>14</v>
      </c>
      <c r="B39" s="9" t="n">
        <f aca="false">+SUM(B36:B38)</f>
        <v>15</v>
      </c>
      <c r="D39" s="11" t="s">
        <v>14</v>
      </c>
      <c r="E39" s="9" t="n">
        <f aca="false">+SUM(E36:E38)</f>
        <v>15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RowHeight="15" zeroHeight="false" outlineLevelRow="0" outlineLevelCol="0"/>
  <cols>
    <col collapsed="false" customWidth="true" hidden="false" outlineLevel="0" max="1" min="1" style="0" width="19.57"/>
    <col collapsed="false" customWidth="true" hidden="false" outlineLevel="0" max="2" min="2" style="0" width="11.57"/>
    <col collapsed="false" customWidth="true" hidden="false" outlineLevel="0" max="3" min="3" style="0" width="17"/>
    <col collapsed="false" customWidth="true" hidden="false" outlineLevel="0" max="4" min="4" style="0" width="13.57"/>
    <col collapsed="false" customWidth="true" hidden="false" outlineLevel="0" max="1025" min="5" style="0" width="11.57"/>
  </cols>
  <sheetData>
    <row r="1" customFormat="false" ht="15" hidden="false" customHeight="false" outlineLevel="0" collapsed="false">
      <c r="A1" s="0" t="s">
        <v>31</v>
      </c>
    </row>
    <row r="2" customFormat="false" ht="15" hidden="false" customHeight="false" outlineLevel="0" collapsed="false">
      <c r="A2" s="0" t="s">
        <v>32</v>
      </c>
    </row>
    <row r="3" customFormat="false" ht="15" hidden="false" customHeight="false" outlineLevel="0" collapsed="false">
      <c r="A3" s="0" t="s">
        <v>33</v>
      </c>
    </row>
    <row r="5" customFormat="false" ht="15.75" hidden="false" customHeight="false" outlineLevel="0" collapsed="false"/>
    <row r="6" customFormat="false" ht="15" hidden="false" customHeight="false" outlineLevel="0" collapsed="false">
      <c r="A6" s="13" t="s">
        <v>34</v>
      </c>
      <c r="B6" s="14" t="s">
        <v>35</v>
      </c>
      <c r="C6" s="14" t="s">
        <v>36</v>
      </c>
      <c r="D6" s="14" t="s">
        <v>37</v>
      </c>
      <c r="E6" s="15" t="s">
        <v>38</v>
      </c>
    </row>
    <row r="7" customFormat="false" ht="15" hidden="false" customHeight="false" outlineLevel="0" collapsed="false">
      <c r="A7" s="16" t="s">
        <v>39</v>
      </c>
      <c r="B7" s="17" t="n">
        <v>3</v>
      </c>
      <c r="C7" s="17" t="n">
        <v>1.2</v>
      </c>
      <c r="D7" s="17" t="n">
        <f aca="false">+B7*C7</f>
        <v>3.6</v>
      </c>
      <c r="E7" s="18" t="n">
        <v>330</v>
      </c>
    </row>
    <row r="8" customFormat="false" ht="15" hidden="false" customHeight="false" outlineLevel="0" collapsed="false">
      <c r="A8" s="16" t="s">
        <v>40</v>
      </c>
      <c r="B8" s="17" t="n">
        <v>5</v>
      </c>
      <c r="C8" s="17" t="n">
        <v>1.05</v>
      </c>
      <c r="D8" s="17" t="n">
        <f aca="false">+B8*C8</f>
        <v>5.25</v>
      </c>
      <c r="E8" s="18" t="n">
        <v>180</v>
      </c>
    </row>
    <row r="9" customFormat="false" ht="15" hidden="false" customHeight="false" outlineLevel="0" collapsed="false">
      <c r="A9" s="16" t="s">
        <v>41</v>
      </c>
      <c r="B9" s="17" t="n">
        <v>10</v>
      </c>
      <c r="C9" s="17" t="n">
        <v>0.9</v>
      </c>
      <c r="D9" s="17" t="n">
        <f aca="false">+B9*C9</f>
        <v>9</v>
      </c>
      <c r="E9" s="18" t="n">
        <v>309</v>
      </c>
    </row>
    <row r="10" customFormat="false" ht="15.75" hidden="false" customHeight="false" outlineLevel="0" collapsed="false">
      <c r="A10" s="19" t="s">
        <v>42</v>
      </c>
      <c r="B10" s="20" t="n">
        <v>0</v>
      </c>
      <c r="C10" s="20" t="n">
        <v>12</v>
      </c>
      <c r="D10" s="20" t="n">
        <f aca="false">+B10*C10</f>
        <v>0</v>
      </c>
      <c r="E10" s="21" t="n">
        <v>0</v>
      </c>
      <c r="F10" s="0" t="s">
        <v>43</v>
      </c>
    </row>
    <row r="11" customFormat="false" ht="15.75" hidden="false" customHeight="false" outlineLevel="0" collapsed="false">
      <c r="F11" s="0" t="s">
        <v>44</v>
      </c>
    </row>
    <row r="12" customFormat="false" ht="15.75" hidden="false" customHeight="false" outlineLevel="0" collapsed="false">
      <c r="C12" s="22" t="s">
        <v>45</v>
      </c>
      <c r="D12" s="23" t="n">
        <f aca="false">+SUMPRODUCT(D7:D9,E7:E9)/SUM(E7:E9)</f>
        <v>6</v>
      </c>
    </row>
    <row r="15" customFormat="false" ht="15" hidden="false" customHeight="false" outlineLevel="0" collapsed="false">
      <c r="A15" s="0" t="s">
        <v>46</v>
      </c>
    </row>
    <row r="16" customFormat="false" ht="15.75" hidden="false" customHeight="false" outlineLevel="0" collapsed="false"/>
    <row r="17" customFormat="false" ht="15" hidden="false" customHeight="false" outlineLevel="0" collapsed="false">
      <c r="A17" s="13" t="s">
        <v>34</v>
      </c>
      <c r="B17" s="14" t="s">
        <v>35</v>
      </c>
      <c r="C17" s="14" t="s">
        <v>36</v>
      </c>
      <c r="D17" s="14" t="s">
        <v>37</v>
      </c>
      <c r="E17" s="15" t="s">
        <v>38</v>
      </c>
    </row>
    <row r="18" customFormat="false" ht="15" hidden="false" customHeight="false" outlineLevel="0" collapsed="false">
      <c r="A18" s="16" t="s">
        <v>39</v>
      </c>
      <c r="B18" s="17" t="n">
        <v>3</v>
      </c>
      <c r="C18" s="17" t="n">
        <v>1.2</v>
      </c>
      <c r="D18" s="17" t="n">
        <f aca="false">+B18*C18</f>
        <v>3.6</v>
      </c>
      <c r="E18" s="18" t="n">
        <v>10</v>
      </c>
    </row>
    <row r="19" customFormat="false" ht="15" hidden="false" customHeight="false" outlineLevel="0" collapsed="false">
      <c r="A19" s="16" t="s">
        <v>40</v>
      </c>
      <c r="B19" s="17" t="n">
        <v>5</v>
      </c>
      <c r="C19" s="17" t="n">
        <v>1.05</v>
      </c>
      <c r="D19" s="17" t="n">
        <f aca="false">+B19*C19</f>
        <v>5.25</v>
      </c>
      <c r="E19" s="18" t="n">
        <v>8</v>
      </c>
    </row>
    <row r="20" customFormat="false" ht="15" hidden="false" customHeight="false" outlineLevel="0" collapsed="false">
      <c r="A20" s="16" t="s">
        <v>41</v>
      </c>
      <c r="B20" s="17" t="n">
        <v>10</v>
      </c>
      <c r="C20" s="17" t="n">
        <v>0.9</v>
      </c>
      <c r="D20" s="17" t="n">
        <f aca="false">+B20*C20</f>
        <v>9</v>
      </c>
      <c r="E20" s="18" t="n">
        <v>7</v>
      </c>
    </row>
    <row r="21" customFormat="false" ht="15.75" hidden="false" customHeight="false" outlineLevel="0" collapsed="false">
      <c r="A21" s="19" t="s">
        <v>42</v>
      </c>
      <c r="B21" s="20" t="n">
        <v>1</v>
      </c>
      <c r="C21" s="20" t="n">
        <v>15</v>
      </c>
      <c r="D21" s="20" t="n">
        <f aca="false">+B21*C21</f>
        <v>15</v>
      </c>
      <c r="E21" s="21" t="n">
        <v>1</v>
      </c>
      <c r="F21" s="0" t="s">
        <v>47</v>
      </c>
    </row>
    <row r="22" customFormat="false" ht="15.75" hidden="false" customHeight="false" outlineLevel="0" collapsed="false">
      <c r="A22" s="7" t="s">
        <v>48</v>
      </c>
    </row>
    <row r="23" customFormat="false" ht="15.75" hidden="false" customHeight="false" outlineLevel="0" collapsed="false">
      <c r="C23" s="22" t="s">
        <v>45</v>
      </c>
      <c r="D23" s="23" t="n">
        <f aca="false">+SUMPRODUCT(D18:D21,E18:E21)/SUM(E18:E21)</f>
        <v>6</v>
      </c>
    </row>
    <row r="26" customFormat="false" ht="15" hidden="false" customHeight="false" outlineLevel="0" collapsed="false">
      <c r="A26" s="0" t="s">
        <v>49</v>
      </c>
    </row>
    <row r="27" customFormat="false" ht="15" hidden="false" customHeight="false" outlineLevel="0" collapsed="false">
      <c r="A27" s="0" t="s">
        <v>50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J66"/>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D16" activeCellId="0" sqref="D16"/>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false" hidden="false" outlineLevel="0" max="3" min="3" style="0" width="11.43"/>
    <col collapsed="false" customWidth="true" hidden="false" outlineLevel="0" max="4" min="4" style="0" width="15.57"/>
    <col collapsed="false" customWidth="false" hidden="false" outlineLevel="0" max="5" min="5" style="0" width="11.43"/>
    <col collapsed="false" customWidth="true" hidden="false" outlineLevel="0" max="6" min="6" style="0" width="13.28"/>
    <col collapsed="false" customWidth="true" hidden="false" outlineLevel="0" max="7" min="7" style="0" width="15.28"/>
    <col collapsed="false" customWidth="false" hidden="false" outlineLevel="0" max="9" min="8" style="0" width="11.43"/>
    <col collapsed="false" customWidth="true" hidden="false" outlineLevel="0" max="10" min="10" style="0" width="28.72"/>
    <col collapsed="false" customWidth="false" hidden="false" outlineLevel="0" max="1025" min="11" style="0" width="11.43"/>
  </cols>
  <sheetData>
    <row r="1" customFormat="false" ht="18.75" hidden="false" customHeight="false" outlineLevel="0" collapsed="false">
      <c r="A1" s="24" t="s">
        <v>51</v>
      </c>
      <c r="B1" s="24"/>
      <c r="C1" s="24"/>
      <c r="D1" s="24"/>
      <c r="E1" s="24"/>
    </row>
    <row r="2" customFormat="false" ht="15" hidden="false" customHeight="false" outlineLevel="0" collapsed="false">
      <c r="A2" s="25" t="s">
        <v>52</v>
      </c>
    </row>
    <row r="3" customFormat="false" ht="15" hidden="false" customHeight="false" outlineLevel="0" collapsed="false">
      <c r="A3" s="0" t="s">
        <v>53</v>
      </c>
    </row>
    <row r="4" customFormat="false" ht="15" hidden="false" customHeight="false" outlineLevel="0" collapsed="false">
      <c r="A4" s="0" t="s">
        <v>54</v>
      </c>
    </row>
    <row r="5" customFormat="false" ht="15" hidden="false" customHeight="false" outlineLevel="0" collapsed="false">
      <c r="A5" s="8" t="s">
        <v>55</v>
      </c>
    </row>
    <row r="6" customFormat="false" ht="15" hidden="false" customHeight="false" outlineLevel="0" collapsed="false">
      <c r="A6" s="0" t="s">
        <v>56</v>
      </c>
    </row>
    <row r="7" customFormat="false" ht="15" hidden="false" customHeight="false" outlineLevel="0" collapsed="false">
      <c r="A7" s="0" t="s">
        <v>57</v>
      </c>
    </row>
    <row r="8" customFormat="false" ht="15" hidden="false" customHeight="false" outlineLevel="0" collapsed="false">
      <c r="A8" s="0" t="s">
        <v>58</v>
      </c>
    </row>
    <row r="9" customFormat="false" ht="15" hidden="false" customHeight="false" outlineLevel="0" collapsed="false">
      <c r="A9" s="0" t="s">
        <v>59</v>
      </c>
    </row>
    <row r="10" customFormat="false" ht="15" hidden="false" customHeight="false" outlineLevel="0" collapsed="false">
      <c r="A10" s="26" t="s">
        <v>60</v>
      </c>
      <c r="B10" s="26"/>
      <c r="C10" s="26"/>
      <c r="D10" s="26"/>
      <c r="E10" s="26"/>
      <c r="F10" s="26"/>
      <c r="G10" s="26"/>
      <c r="H10" s="26"/>
      <c r="I10" s="26"/>
      <c r="J10" s="26"/>
    </row>
    <row r="11" customFormat="false" ht="15" hidden="false" customHeight="false" outlineLevel="0" collapsed="false">
      <c r="A11" s="27"/>
      <c r="B11" s="27"/>
      <c r="C11" s="27"/>
      <c r="D11" s="27"/>
      <c r="E11" s="27"/>
      <c r="F11" s="27"/>
      <c r="G11" s="27"/>
      <c r="H11" s="27"/>
      <c r="I11" s="27"/>
      <c r="J11" s="27"/>
    </row>
    <row r="12" customFormat="false" ht="15" hidden="false" customHeight="false" outlineLevel="0" collapsed="false">
      <c r="A12" s="28" t="s">
        <v>61</v>
      </c>
      <c r="B12" s="27"/>
      <c r="C12" s="27"/>
      <c r="D12" s="27"/>
      <c r="E12" s="27"/>
      <c r="F12" s="27"/>
      <c r="G12" s="27"/>
      <c r="H12" s="27"/>
      <c r="I12" s="27"/>
      <c r="J12" s="27"/>
    </row>
    <row r="13" customFormat="false" ht="15" hidden="false" customHeight="false" outlineLevel="0" collapsed="false">
      <c r="A13" s="28" t="s">
        <v>62</v>
      </c>
      <c r="B13" s="27"/>
      <c r="C13" s="27"/>
      <c r="D13" s="27"/>
      <c r="E13" s="27"/>
      <c r="F13" s="27"/>
      <c r="G13" s="27"/>
      <c r="H13" s="27"/>
      <c r="I13" s="27"/>
      <c r="J13" s="27"/>
    </row>
    <row r="14" customFormat="false" ht="15" hidden="false" customHeight="false" outlineLevel="0" collapsed="false">
      <c r="A14" s="28" t="s">
        <v>63</v>
      </c>
      <c r="B14" s="27"/>
      <c r="C14" s="27"/>
      <c r="D14" s="27"/>
      <c r="E14" s="27"/>
      <c r="F14" s="27"/>
      <c r="G14" s="27"/>
      <c r="H14" s="27"/>
      <c r="I14" s="27"/>
      <c r="J14" s="27"/>
    </row>
    <row r="15" customFormat="false" ht="15" hidden="false" customHeight="false" outlineLevel="0" collapsed="false">
      <c r="A15" s="27" t="s">
        <v>64</v>
      </c>
      <c r="B15" s="27"/>
      <c r="C15" s="27"/>
      <c r="D15" s="27"/>
      <c r="E15" s="27"/>
      <c r="F15" s="27"/>
      <c r="G15" s="27"/>
      <c r="H15" s="27"/>
      <c r="I15" s="27"/>
      <c r="J15" s="27"/>
    </row>
    <row r="16" customFormat="false" ht="15" hidden="false" customHeight="false" outlineLevel="0" collapsed="false">
      <c r="A16" s="28"/>
      <c r="B16" s="27"/>
      <c r="C16" s="27"/>
      <c r="D16" s="27"/>
      <c r="E16" s="27"/>
      <c r="F16" s="27"/>
      <c r="G16" s="27"/>
      <c r="H16" s="27"/>
      <c r="I16" s="27"/>
      <c r="J16" s="27"/>
    </row>
    <row r="17" customFormat="false" ht="15" hidden="false" customHeight="false" outlineLevel="0" collapsed="false">
      <c r="A17" s="28" t="s">
        <v>65</v>
      </c>
      <c r="B17" s="27"/>
      <c r="C17" s="27"/>
      <c r="D17" s="27"/>
      <c r="E17" s="27"/>
      <c r="F17" s="27"/>
      <c r="G17" s="27"/>
      <c r="H17" s="27"/>
      <c r="I17" s="27"/>
      <c r="J17" s="27"/>
    </row>
    <row r="18" customFormat="false" ht="15" hidden="false" customHeight="false" outlineLevel="0" collapsed="false">
      <c r="A18" s="27" t="s">
        <v>66</v>
      </c>
      <c r="B18" s="27"/>
      <c r="C18" s="27"/>
      <c r="D18" s="27"/>
      <c r="E18" s="27"/>
      <c r="F18" s="27"/>
      <c r="G18" s="27"/>
      <c r="H18" s="27"/>
      <c r="I18" s="27"/>
      <c r="J18" s="27"/>
    </row>
    <row r="19" customFormat="false" ht="15" hidden="false" customHeight="false" outlineLevel="0" collapsed="false">
      <c r="A19" s="27" t="s">
        <v>67</v>
      </c>
      <c r="B19" s="27"/>
      <c r="C19" s="27"/>
      <c r="D19" s="27"/>
      <c r="E19" s="27"/>
      <c r="F19" s="27"/>
      <c r="G19" s="27"/>
      <c r="H19" s="27"/>
      <c r="I19" s="27"/>
      <c r="J19" s="27"/>
    </row>
    <row r="21" customFormat="false" ht="15" hidden="false" customHeight="false" outlineLevel="0" collapsed="false">
      <c r="A21" s="8" t="s">
        <v>68</v>
      </c>
      <c r="B21" s="1" t="s">
        <v>22</v>
      </c>
      <c r="C21" s="1" t="s">
        <v>5</v>
      </c>
      <c r="D21" s="1" t="s">
        <v>69</v>
      </c>
      <c r="E21" s="1" t="s">
        <v>70</v>
      </c>
      <c r="F21" s="1" t="s">
        <v>3</v>
      </c>
      <c r="G21" s="1" t="s">
        <v>71</v>
      </c>
    </row>
    <row r="22" customFormat="false" ht="15" hidden="false" customHeight="false" outlineLevel="0" collapsed="false">
      <c r="A22" s="0" t="s">
        <v>72</v>
      </c>
      <c r="B22" s="29" t="n">
        <v>1</v>
      </c>
      <c r="C22" s="30" t="n">
        <v>0.13</v>
      </c>
      <c r="D22" s="2" t="n">
        <f aca="false">+SUM($C$22:C22)</f>
        <v>0.13</v>
      </c>
      <c r="E22" s="2" t="n">
        <f aca="false">+Summary!E27</f>
        <v>1.5</v>
      </c>
      <c r="F22" s="2" t="n">
        <f aca="false">+C22*E22</f>
        <v>0.195</v>
      </c>
      <c r="G22" s="31"/>
    </row>
    <row r="23" customFormat="false" ht="15" hidden="false" customHeight="false" outlineLevel="0" collapsed="false">
      <c r="B23" s="29" t="n">
        <v>2</v>
      </c>
      <c r="C23" s="30" t="n">
        <v>0.13</v>
      </c>
      <c r="D23" s="2" t="n">
        <f aca="false">+SUM($C$22:C23)</f>
        <v>0.26</v>
      </c>
      <c r="E23" s="2" t="n">
        <f aca="false">+Summary!E28</f>
        <v>1.5</v>
      </c>
      <c r="F23" s="2" t="n">
        <f aca="false">+C23*E23</f>
        <v>0.195</v>
      </c>
      <c r="G23" s="31"/>
    </row>
    <row r="24" customFormat="false" ht="15" hidden="false" customHeight="false" outlineLevel="0" collapsed="false">
      <c r="B24" s="29" t="n">
        <v>3</v>
      </c>
      <c r="C24" s="30" t="n">
        <v>0.001</v>
      </c>
      <c r="D24" s="2" t="n">
        <f aca="false">+SUM($C$22:C24)</f>
        <v>0.261</v>
      </c>
      <c r="E24" s="2" t="n">
        <f aca="false">+Summary!E29</f>
        <v>3</v>
      </c>
      <c r="F24" s="2" t="n">
        <f aca="false">+C24*E24</f>
        <v>0.003</v>
      </c>
      <c r="G24" s="31"/>
    </row>
    <row r="25" customFormat="false" ht="15" hidden="false" customHeight="false" outlineLevel="0" collapsed="false">
      <c r="B25" s="29" t="s">
        <v>73</v>
      </c>
      <c r="C25" s="30" t="n">
        <v>0.0106666666666666</v>
      </c>
      <c r="D25" s="2" t="n">
        <f aca="false">+SUM($C$22:C25)</f>
        <v>0.271666666666667</v>
      </c>
      <c r="E25" s="2" t="n">
        <f aca="false">+E22+E23</f>
        <v>3</v>
      </c>
      <c r="F25" s="2" t="n">
        <f aca="false">+C25*E25</f>
        <v>0.0319999999999998</v>
      </c>
      <c r="G25" s="31"/>
    </row>
    <row r="26" customFormat="false" ht="15" hidden="false" customHeight="false" outlineLevel="0" collapsed="false">
      <c r="B26" s="29" t="s">
        <v>74</v>
      </c>
      <c r="C26" s="30" t="n">
        <v>0.005</v>
      </c>
      <c r="D26" s="32" t="n">
        <f aca="false">+SUM($C$22:C26)</f>
        <v>0.276666666666667</v>
      </c>
      <c r="E26" s="2" t="n">
        <f aca="false">+E22+E24</f>
        <v>4.5</v>
      </c>
      <c r="F26" s="2" t="n">
        <f aca="false">+C26*E26</f>
        <v>0.0225</v>
      </c>
      <c r="G26" s="31"/>
    </row>
    <row r="27" customFormat="false" ht="15" hidden="false" customHeight="false" outlineLevel="0" collapsed="false">
      <c r="B27" s="33" t="s">
        <v>75</v>
      </c>
      <c r="C27" s="30" t="n">
        <v>0.005</v>
      </c>
      <c r="D27" s="32" t="n">
        <f aca="false">+SUM($C$22:C27)</f>
        <v>0.281666666666667</v>
      </c>
      <c r="E27" s="32" t="n">
        <f aca="false">+E23+E24</f>
        <v>4.5</v>
      </c>
      <c r="F27" s="2" t="n">
        <f aca="false">+C27*E27</f>
        <v>0.0225</v>
      </c>
      <c r="G27" s="31"/>
    </row>
    <row r="28" customFormat="false" ht="15" hidden="false" customHeight="false" outlineLevel="0" collapsed="false">
      <c r="B28" s="29" t="s">
        <v>76</v>
      </c>
      <c r="C28" s="30" t="n">
        <v>0.005</v>
      </c>
      <c r="D28" s="2" t="n">
        <f aca="false">+SUM($C$22:C28)</f>
        <v>0.286666666666667</v>
      </c>
      <c r="E28" s="2" t="n">
        <f aca="false">+E22+E23+E24</f>
        <v>6</v>
      </c>
      <c r="F28" s="2" t="n">
        <f aca="false">+C28*E28</f>
        <v>0.03</v>
      </c>
      <c r="G28" s="31" t="n">
        <v>1</v>
      </c>
      <c r="H28" s="0" t="s">
        <v>77</v>
      </c>
    </row>
    <row r="29" customFormat="false" ht="15" hidden="false" customHeight="false" outlineLevel="0" collapsed="false">
      <c r="B29" s="34" t="s">
        <v>78</v>
      </c>
      <c r="C29" s="34" t="n">
        <f aca="false">+SUM(C22:C28)</f>
        <v>0.286666666666667</v>
      </c>
      <c r="D29" s="34"/>
      <c r="E29" s="34"/>
      <c r="F29" s="35" t="n">
        <f aca="false">+SUM(F22:F28)</f>
        <v>0.5</v>
      </c>
      <c r="G29" s="36"/>
    </row>
    <row r="30" customFormat="false" ht="15" hidden="false" customHeight="false" outlineLevel="0" collapsed="false">
      <c r="B30" s="6" t="s">
        <v>79</v>
      </c>
      <c r="G30" s="37"/>
    </row>
    <row r="31" customFormat="false" ht="15" hidden="false" customHeight="false" outlineLevel="0" collapsed="false">
      <c r="G31" s="37"/>
    </row>
    <row r="32" customFormat="false" ht="15" hidden="false" customHeight="false" outlineLevel="0" collapsed="false">
      <c r="A32" s="8" t="s">
        <v>80</v>
      </c>
      <c r="B32" s="1" t="s">
        <v>22</v>
      </c>
      <c r="C32" s="1" t="s">
        <v>5</v>
      </c>
      <c r="D32" s="1" t="s">
        <v>69</v>
      </c>
      <c r="E32" s="1" t="s">
        <v>70</v>
      </c>
      <c r="F32" s="1" t="s">
        <v>3</v>
      </c>
      <c r="G32" s="38"/>
    </row>
    <row r="33" customFormat="false" ht="15" hidden="false" customHeight="false" outlineLevel="0" collapsed="false">
      <c r="A33" s="0" t="s">
        <v>81</v>
      </c>
      <c r="B33" s="2" t="n">
        <v>2</v>
      </c>
      <c r="C33" s="2" t="n">
        <v>0.193333333</v>
      </c>
      <c r="D33" s="2" t="n">
        <f aca="false">+SUM(C33:$C$33)</f>
        <v>0.193333333</v>
      </c>
      <c r="E33" s="2" t="n">
        <f aca="false">+E23</f>
        <v>1.5</v>
      </c>
      <c r="F33" s="2" t="n">
        <f aca="false">+C33*E33</f>
        <v>0.2899999995</v>
      </c>
      <c r="G33" s="31"/>
    </row>
    <row r="34" customFormat="false" ht="15" hidden="false" customHeight="false" outlineLevel="0" collapsed="false">
      <c r="A34" s="0" t="s">
        <v>82</v>
      </c>
      <c r="B34" s="2" t="n">
        <v>3</v>
      </c>
      <c r="C34" s="2" t="n">
        <v>0.04</v>
      </c>
      <c r="D34" s="2" t="n">
        <f aca="false">+SUM(C$33:$C34)</f>
        <v>0.233333333</v>
      </c>
      <c r="E34" s="2" t="n">
        <f aca="false">+E24</f>
        <v>3</v>
      </c>
      <c r="F34" s="2" t="n">
        <f aca="false">+C34*E34</f>
        <v>0.12</v>
      </c>
      <c r="G34" s="31"/>
    </row>
    <row r="35" customFormat="false" ht="15" hidden="false" customHeight="false" outlineLevel="0" collapsed="false">
      <c r="B35" s="29" t="s">
        <v>75</v>
      </c>
      <c r="C35" s="2" t="n">
        <v>0.02</v>
      </c>
      <c r="D35" s="2" t="n">
        <f aca="false">+SUM(C$33:$C35)</f>
        <v>0.253333333</v>
      </c>
      <c r="E35" s="2" t="n">
        <f aca="false">+E33+E34</f>
        <v>4.5</v>
      </c>
      <c r="F35" s="2" t="n">
        <f aca="false">+C35*E35</f>
        <v>0.09</v>
      </c>
      <c r="G35" s="31" t="n">
        <v>0.25</v>
      </c>
      <c r="H35" s="0" t="s">
        <v>77</v>
      </c>
    </row>
    <row r="36" customFormat="false" ht="15" hidden="false" customHeight="false" outlineLevel="0" collapsed="false">
      <c r="B36" s="34" t="s">
        <v>14</v>
      </c>
      <c r="C36" s="34" t="n">
        <f aca="false">+SUM(C33:C35)</f>
        <v>0.253333333</v>
      </c>
      <c r="D36" s="34"/>
      <c r="E36" s="34"/>
      <c r="F36" s="39" t="n">
        <f aca="false">+SUM(F33:F35)</f>
        <v>0.4999999995</v>
      </c>
      <c r="G36" s="40"/>
    </row>
    <row r="37" customFormat="false" ht="15" hidden="false" customHeight="false" outlineLevel="0" collapsed="false">
      <c r="B37" s="41"/>
      <c r="C37" s="41"/>
      <c r="D37" s="41"/>
      <c r="E37" s="41"/>
      <c r="F37" s="42"/>
      <c r="G37" s="43"/>
    </row>
    <row r="38" customFormat="false" ht="15" hidden="false" customHeight="false" outlineLevel="0" collapsed="false">
      <c r="B38" s="41"/>
      <c r="C38" s="41"/>
      <c r="D38" s="41"/>
      <c r="E38" s="41"/>
      <c r="F38" s="42"/>
      <c r="G38" s="43"/>
    </row>
    <row r="39" customFormat="false" ht="15" hidden="false" customHeight="false" outlineLevel="0" collapsed="false">
      <c r="A39" s="8" t="s">
        <v>83</v>
      </c>
      <c r="B39" s="1" t="s">
        <v>22</v>
      </c>
      <c r="C39" s="1" t="s">
        <v>5</v>
      </c>
      <c r="D39" s="1" t="s">
        <v>69</v>
      </c>
      <c r="E39" s="1" t="s">
        <v>70</v>
      </c>
      <c r="F39" s="1" t="s">
        <v>3</v>
      </c>
      <c r="G39" s="38"/>
    </row>
    <row r="40" customFormat="false" ht="15" hidden="false" customHeight="false" outlineLevel="0" collapsed="false">
      <c r="A40" s="0" t="s">
        <v>81</v>
      </c>
      <c r="B40" s="29" t="n">
        <v>1</v>
      </c>
      <c r="C40" s="2" t="n">
        <v>0.193333333</v>
      </c>
      <c r="D40" s="2" t="n">
        <f aca="false">+SUM(C40:$C$40)</f>
        <v>0.193333333</v>
      </c>
      <c r="E40" s="2" t="n">
        <f aca="false">+E22</f>
        <v>1.5</v>
      </c>
      <c r="F40" s="2" t="n">
        <f aca="false">+C40*E40</f>
        <v>0.2899999995</v>
      </c>
      <c r="G40" s="31"/>
    </row>
    <row r="41" customFormat="false" ht="15" hidden="false" customHeight="false" outlineLevel="0" collapsed="false">
      <c r="A41" s="0" t="s">
        <v>84</v>
      </c>
      <c r="B41" s="29" t="n">
        <v>3</v>
      </c>
      <c r="C41" s="2" t="n">
        <v>0.04</v>
      </c>
      <c r="D41" s="2" t="n">
        <f aca="false">+SUM(C$40:$C41)</f>
        <v>0.233333333</v>
      </c>
      <c r="E41" s="2" t="n">
        <f aca="false">+E24</f>
        <v>3</v>
      </c>
      <c r="F41" s="2" t="n">
        <f aca="false">+C41*E41</f>
        <v>0.12</v>
      </c>
      <c r="G41" s="31"/>
    </row>
    <row r="42" customFormat="false" ht="15" hidden="false" customHeight="false" outlineLevel="0" collapsed="false">
      <c r="B42" s="29" t="s">
        <v>74</v>
      </c>
      <c r="C42" s="2" t="n">
        <v>0.02</v>
      </c>
      <c r="D42" s="2" t="n">
        <f aca="false">+SUM(C$40:$C42)</f>
        <v>0.253333333</v>
      </c>
      <c r="E42" s="2" t="n">
        <f aca="false">+E40+E41</f>
        <v>4.5</v>
      </c>
      <c r="F42" s="2" t="n">
        <f aca="false">+C42*E42</f>
        <v>0.09</v>
      </c>
      <c r="G42" s="31" t="n">
        <v>0.25</v>
      </c>
      <c r="H42" s="0" t="s">
        <v>77</v>
      </c>
    </row>
    <row r="43" customFormat="false" ht="15" hidden="false" customHeight="false" outlineLevel="0" collapsed="false">
      <c r="B43" s="34" t="s">
        <v>14</v>
      </c>
      <c r="C43" s="34" t="n">
        <f aca="false">+SUM(C40:C42)</f>
        <v>0.253333333</v>
      </c>
      <c r="D43" s="34"/>
      <c r="E43" s="34"/>
      <c r="F43" s="39" t="n">
        <f aca="false">+SUM(F40:F42)</f>
        <v>0.4999999995</v>
      </c>
      <c r="G43" s="40"/>
    </row>
    <row r="44" customFormat="false" ht="15" hidden="false" customHeight="false" outlineLevel="0" collapsed="false">
      <c r="B44" s="41"/>
      <c r="C44" s="41"/>
      <c r="D44" s="41"/>
      <c r="E44" s="41"/>
      <c r="F44" s="42"/>
      <c r="G44" s="43"/>
    </row>
    <row r="45" customFormat="false" ht="15" hidden="false" customHeight="false" outlineLevel="0" collapsed="false">
      <c r="G45" s="37"/>
    </row>
    <row r="46" customFormat="false" ht="15" hidden="false" customHeight="false" outlineLevel="0" collapsed="false">
      <c r="A46" s="8" t="s">
        <v>85</v>
      </c>
      <c r="B46" s="1" t="s">
        <v>22</v>
      </c>
      <c r="C46" s="1" t="s">
        <v>5</v>
      </c>
      <c r="D46" s="1" t="s">
        <v>69</v>
      </c>
      <c r="E46" s="1" t="s">
        <v>70</v>
      </c>
      <c r="F46" s="1" t="s">
        <v>3</v>
      </c>
      <c r="G46" s="38"/>
    </row>
    <row r="47" customFormat="false" ht="15" hidden="false" customHeight="false" outlineLevel="0" collapsed="false">
      <c r="A47" s="0" t="s">
        <v>81</v>
      </c>
      <c r="B47" s="29" t="n">
        <v>3</v>
      </c>
      <c r="C47" s="2" t="n">
        <v>0.166666666666667</v>
      </c>
      <c r="D47" s="2" t="n">
        <f aca="false">+SUM(C47:$C$47)</f>
        <v>0.166666666666667</v>
      </c>
      <c r="E47" s="2" t="n">
        <f aca="false">+E24</f>
        <v>3</v>
      </c>
      <c r="F47" s="2" t="n">
        <f aca="false">+C47*E47</f>
        <v>0.5</v>
      </c>
      <c r="G47" s="31" t="n">
        <v>0.03</v>
      </c>
      <c r="H47" s="0" t="s">
        <v>77</v>
      </c>
    </row>
    <row r="48" customFormat="false" ht="15" hidden="false" customHeight="false" outlineLevel="0" collapsed="false">
      <c r="A48" s="0" t="s">
        <v>82</v>
      </c>
      <c r="B48" s="34" t="s">
        <v>14</v>
      </c>
      <c r="C48" s="34" t="n">
        <f aca="false">+SUM(C47:C47)</f>
        <v>0.166666666666667</v>
      </c>
      <c r="D48" s="34"/>
      <c r="E48" s="34"/>
      <c r="F48" s="39" t="n">
        <f aca="false">+SUM(F47:F47)</f>
        <v>0.5</v>
      </c>
      <c r="G48" s="40"/>
    </row>
    <row r="49" customFormat="false" ht="15" hidden="false" customHeight="false" outlineLevel="0" collapsed="false">
      <c r="A49" s="0" t="s">
        <v>84</v>
      </c>
      <c r="G49" s="37"/>
    </row>
    <row r="50" customFormat="false" ht="15" hidden="false" customHeight="false" outlineLevel="0" collapsed="false">
      <c r="G50" s="37"/>
    </row>
    <row r="51" customFormat="false" ht="15" hidden="false" customHeight="false" outlineLevel="0" collapsed="false">
      <c r="A51" s="8" t="s">
        <v>86</v>
      </c>
      <c r="B51" s="1" t="s">
        <v>22</v>
      </c>
      <c r="C51" s="1" t="s">
        <v>5</v>
      </c>
      <c r="D51" s="1" t="s">
        <v>69</v>
      </c>
      <c r="E51" s="1" t="s">
        <v>70</v>
      </c>
      <c r="F51" s="1" t="s">
        <v>3</v>
      </c>
      <c r="G51" s="38"/>
    </row>
    <row r="52" customFormat="false" ht="15" hidden="false" customHeight="false" outlineLevel="0" collapsed="false">
      <c r="A52" s="0" t="s">
        <v>81</v>
      </c>
      <c r="B52" s="29" t="n">
        <v>1</v>
      </c>
      <c r="C52" s="2" t="n">
        <v>0.14</v>
      </c>
      <c r="D52" s="2" t="n">
        <f aca="false">+SUM(C52:$C$52)</f>
        <v>0.14</v>
      </c>
      <c r="E52" s="2" t="n">
        <f aca="false">+E22</f>
        <v>1.5</v>
      </c>
      <c r="F52" s="2" t="n">
        <f aca="false">+C52*E52</f>
        <v>0.21</v>
      </c>
      <c r="G52" s="31"/>
    </row>
    <row r="53" customFormat="false" ht="15" hidden="false" customHeight="false" outlineLevel="0" collapsed="false">
      <c r="A53" s="0" t="s">
        <v>87</v>
      </c>
      <c r="B53" s="29" t="n">
        <v>2</v>
      </c>
      <c r="C53" s="2" t="n">
        <v>0.14</v>
      </c>
      <c r="D53" s="2" t="n">
        <f aca="false">+SUM(C$52:$C53)</f>
        <v>0.28</v>
      </c>
      <c r="E53" s="2" t="n">
        <f aca="false">+E23</f>
        <v>1.5</v>
      </c>
      <c r="F53" s="2" t="n">
        <f aca="false">+C53*E53</f>
        <v>0.21</v>
      </c>
      <c r="G53" s="31"/>
    </row>
    <row r="54" customFormat="false" ht="15" hidden="false" customHeight="false" outlineLevel="0" collapsed="false">
      <c r="B54" s="29" t="s">
        <v>73</v>
      </c>
      <c r="C54" s="2" t="n">
        <v>0.0266666666666667</v>
      </c>
      <c r="D54" s="2" t="n">
        <f aca="false">+SUM(C$52:$C54)</f>
        <v>0.306666666666667</v>
      </c>
      <c r="E54" s="2" t="n">
        <f aca="false">+E52+E53</f>
        <v>3</v>
      </c>
      <c r="F54" s="2" t="n">
        <f aca="false">+C54*E54</f>
        <v>0.08</v>
      </c>
      <c r="G54" s="31" t="n">
        <v>0.1875</v>
      </c>
      <c r="H54" s="0" t="s">
        <v>77</v>
      </c>
    </row>
    <row r="55" customFormat="false" ht="15" hidden="false" customHeight="false" outlineLevel="0" collapsed="false">
      <c r="A55" s="44"/>
      <c r="B55" s="34" t="s">
        <v>14</v>
      </c>
      <c r="C55" s="34" t="n">
        <f aca="false">+SUM(C52:C54)</f>
        <v>0.306666666666667</v>
      </c>
      <c r="D55" s="34"/>
      <c r="E55" s="34"/>
      <c r="F55" s="39" t="n">
        <f aca="false">+SUM(F52:F54)</f>
        <v>0.5</v>
      </c>
      <c r="G55" s="40"/>
    </row>
    <row r="56" customFormat="false" ht="15" hidden="false" customHeight="false" outlineLevel="0" collapsed="false">
      <c r="A56" s="44"/>
      <c r="G56" s="37"/>
    </row>
    <row r="57" customFormat="false" ht="15" hidden="false" customHeight="false" outlineLevel="0" collapsed="false">
      <c r="G57" s="37"/>
    </row>
    <row r="58" customFormat="false" ht="15" hidden="false" customHeight="false" outlineLevel="0" collapsed="false">
      <c r="A58" s="8" t="s">
        <v>88</v>
      </c>
      <c r="B58" s="1" t="s">
        <v>22</v>
      </c>
      <c r="C58" s="1" t="s">
        <v>5</v>
      </c>
      <c r="D58" s="1" t="s">
        <v>69</v>
      </c>
      <c r="E58" s="1" t="s">
        <v>70</v>
      </c>
      <c r="F58" s="1" t="s">
        <v>3</v>
      </c>
      <c r="G58" s="38"/>
    </row>
    <row r="59" customFormat="false" ht="15" hidden="false" customHeight="false" outlineLevel="0" collapsed="false">
      <c r="A59" s="0" t="s">
        <v>81</v>
      </c>
      <c r="B59" s="29" t="n">
        <v>1</v>
      </c>
      <c r="C59" s="2" t="n">
        <v>0.333333333333333</v>
      </c>
      <c r="D59" s="2" t="n">
        <f aca="false">+SUM(C59:$C$59)</f>
        <v>0.333333333333333</v>
      </c>
      <c r="E59" s="2" t="n">
        <f aca="false">+E22</f>
        <v>1.5</v>
      </c>
      <c r="F59" s="2" t="n">
        <f aca="false">+E59*C59</f>
        <v>0.5</v>
      </c>
      <c r="G59" s="31" t="n">
        <v>0.015</v>
      </c>
      <c r="H59" s="0" t="s">
        <v>77</v>
      </c>
    </row>
    <row r="60" customFormat="false" ht="15" hidden="false" customHeight="false" outlineLevel="0" collapsed="false">
      <c r="A60" s="0" t="s">
        <v>84</v>
      </c>
      <c r="B60" s="34" t="s">
        <v>14</v>
      </c>
      <c r="C60" s="34" t="n">
        <f aca="false">+SUM(C59:C59)</f>
        <v>0.333333333333333</v>
      </c>
      <c r="D60" s="34"/>
      <c r="E60" s="34"/>
      <c r="F60" s="39" t="n">
        <f aca="false">+SUM(F59:F59)</f>
        <v>0.5</v>
      </c>
      <c r="G60" s="40"/>
    </row>
    <row r="61" customFormat="false" ht="15" hidden="false" customHeight="false" outlineLevel="0" collapsed="false">
      <c r="A61" s="0" t="s">
        <v>87</v>
      </c>
      <c r="G61" s="37"/>
    </row>
    <row r="62" customFormat="false" ht="15" hidden="false" customHeight="false" outlineLevel="0" collapsed="false">
      <c r="G62" s="37"/>
    </row>
    <row r="63" customFormat="false" ht="15" hidden="false" customHeight="false" outlineLevel="0" collapsed="false">
      <c r="A63" s="8" t="s">
        <v>89</v>
      </c>
      <c r="B63" s="1" t="s">
        <v>22</v>
      </c>
      <c r="C63" s="1" t="s">
        <v>5</v>
      </c>
      <c r="D63" s="1" t="s">
        <v>69</v>
      </c>
      <c r="E63" s="1" t="s">
        <v>70</v>
      </c>
      <c r="F63" s="1" t="s">
        <v>3</v>
      </c>
      <c r="G63" s="38"/>
    </row>
    <row r="64" customFormat="false" ht="15" hidden="false" customHeight="false" outlineLevel="0" collapsed="false">
      <c r="A64" s="0" t="s">
        <v>81</v>
      </c>
      <c r="B64" s="29" t="n">
        <v>2</v>
      </c>
      <c r="C64" s="2" t="n">
        <v>0.333333333333333</v>
      </c>
      <c r="D64" s="2" t="n">
        <f aca="false">+SUM(C$64:$C64)</f>
        <v>0.333333333333333</v>
      </c>
      <c r="E64" s="2" t="n">
        <f aca="false">+E23</f>
        <v>1.5</v>
      </c>
      <c r="F64" s="2" t="n">
        <f aca="false">+E64*C64</f>
        <v>0.5</v>
      </c>
      <c r="G64" s="31" t="n">
        <v>0.015</v>
      </c>
      <c r="H64" s="0" t="s">
        <v>77</v>
      </c>
    </row>
    <row r="65" customFormat="false" ht="15" hidden="false" customHeight="false" outlineLevel="0" collapsed="false">
      <c r="A65" s="0" t="s">
        <v>82</v>
      </c>
      <c r="B65" s="34" t="s">
        <v>14</v>
      </c>
      <c r="C65" s="34" t="n">
        <f aca="false">+SUM(C64:C64)</f>
        <v>0.333333333333333</v>
      </c>
      <c r="D65" s="34"/>
      <c r="E65" s="34"/>
      <c r="F65" s="39" t="n">
        <f aca="false">+SUM(F64:F64)</f>
        <v>0.5</v>
      </c>
      <c r="G65" s="40"/>
    </row>
    <row r="66" customFormat="false" ht="15" hidden="false" customHeight="false" outlineLevel="0" collapsed="false">
      <c r="A66" s="0" t="s">
        <v>87</v>
      </c>
      <c r="G66" s="45"/>
    </row>
  </sheetData>
  <mergeCells count="2">
    <mergeCell ref="A1:E1"/>
    <mergeCell ref="A10:J10"/>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true" showOutlineSymbols="true" defaultGridColor="true" view="normal" topLeftCell="A13" colorId="64" zoomScale="100" zoomScaleNormal="100" zoomScalePageLayoutView="100" workbookViewId="0">
      <selection pane="topLeft" activeCell="J30" activeCellId="0" sqref="J30"/>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90</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0.09</v>
      </c>
      <c r="D5" s="12" t="n">
        <f aca="false">+SUM($C$5:C5)</f>
        <v>0.09</v>
      </c>
      <c r="E5" s="12" t="n">
        <f aca="false">+Summary!H27</f>
        <v>2</v>
      </c>
      <c r="F5" s="12" t="n">
        <f aca="false">+C5*E5</f>
        <v>0.18</v>
      </c>
      <c r="G5" s="31"/>
    </row>
    <row r="6" customFormat="false" ht="15" hidden="false" customHeight="false" outlineLevel="0" collapsed="false">
      <c r="B6" s="46" t="n">
        <v>2</v>
      </c>
      <c r="C6" s="12" t="n">
        <v>0.09</v>
      </c>
      <c r="D6" s="12" t="n">
        <f aca="false">+SUM($C$5:C6)</f>
        <v>0.18</v>
      </c>
      <c r="E6" s="12" t="n">
        <f aca="false">+Summary!H28</f>
        <v>2</v>
      </c>
      <c r="F6" s="12" t="n">
        <f aca="false">+C6*E6</f>
        <v>0.18</v>
      </c>
      <c r="G6" s="31"/>
    </row>
    <row r="7" customFormat="false" ht="15" hidden="false" customHeight="false" outlineLevel="0" collapsed="false">
      <c r="B7" s="46" t="n">
        <v>3</v>
      </c>
      <c r="C7" s="12" t="n">
        <v>0.005</v>
      </c>
      <c r="D7" s="12" t="n">
        <f aca="false">+SUM($C$5:C7)</f>
        <v>0.185</v>
      </c>
      <c r="E7" s="12" t="n">
        <f aca="false">+Summary!H29</f>
        <v>4</v>
      </c>
      <c r="F7" s="12" t="n">
        <f aca="false">+C7*E7</f>
        <v>0.02</v>
      </c>
      <c r="G7" s="31"/>
    </row>
    <row r="8" customFormat="false" ht="15" hidden="false" customHeight="false" outlineLevel="0" collapsed="false">
      <c r="B8" s="46" t="s">
        <v>73</v>
      </c>
      <c r="C8" s="12" t="n">
        <v>0.008</v>
      </c>
      <c r="D8" s="12" t="n">
        <f aca="false">+SUM($C$5:C8)</f>
        <v>0.193</v>
      </c>
      <c r="E8" s="12" t="n">
        <f aca="false">+E5+E6</f>
        <v>4</v>
      </c>
      <c r="F8" s="12" t="n">
        <f aca="false">+C8*E8</f>
        <v>0.032</v>
      </c>
      <c r="G8" s="31"/>
    </row>
    <row r="9" customFormat="false" ht="15" hidden="false" customHeight="false" outlineLevel="0" collapsed="false">
      <c r="B9" s="46" t="s">
        <v>74</v>
      </c>
      <c r="C9" s="12" t="n">
        <v>0.004</v>
      </c>
      <c r="D9" s="12" t="n">
        <f aca="false">+SUM($C$5:C9)</f>
        <v>0.197</v>
      </c>
      <c r="E9" s="12" t="n">
        <f aca="false">+E5+E7</f>
        <v>6</v>
      </c>
      <c r="F9" s="12" t="n">
        <f aca="false">+C9*E9</f>
        <v>0.024</v>
      </c>
      <c r="G9" s="31"/>
    </row>
    <row r="10" customFormat="false" ht="15" hidden="false" customHeight="false" outlineLevel="0" collapsed="false">
      <c r="B10" s="46" t="s">
        <v>75</v>
      </c>
      <c r="C10" s="12" t="n">
        <v>0.004</v>
      </c>
      <c r="D10" s="12" t="n">
        <f aca="false">+SUM($C$5:C10)</f>
        <v>0.201</v>
      </c>
      <c r="E10" s="12" t="n">
        <f aca="false">+E6+E7</f>
        <v>6</v>
      </c>
      <c r="F10" s="12" t="n">
        <f aca="false">+C10*E10</f>
        <v>0.024</v>
      </c>
      <c r="G10" s="31"/>
    </row>
    <row r="11" customFormat="false" ht="15" hidden="false" customHeight="false" outlineLevel="0" collapsed="false">
      <c r="B11" s="46" t="s">
        <v>76</v>
      </c>
      <c r="C11" s="47" t="n">
        <v>0.005</v>
      </c>
      <c r="D11" s="12" t="n">
        <f aca="false">+SUM($C$5:C11)</f>
        <v>0.206</v>
      </c>
      <c r="E11" s="12" t="n">
        <f aca="false">+E5+E6+E7</f>
        <v>8</v>
      </c>
      <c r="F11" s="12" t="n">
        <f aca="false">+C11*E11</f>
        <v>0.04</v>
      </c>
      <c r="G11" s="31" t="n">
        <v>1</v>
      </c>
      <c r="H11" s="0" t="s">
        <v>77</v>
      </c>
    </row>
    <row r="12" customFormat="false" ht="15" hidden="false" customHeight="false" outlineLevel="0" collapsed="false">
      <c r="B12" s="34" t="s">
        <v>78</v>
      </c>
      <c r="C12" s="34" t="n">
        <f aca="false">+SUM(C5:C11)</f>
        <v>0.206</v>
      </c>
      <c r="D12" s="34"/>
      <c r="E12" s="34"/>
      <c r="F12" s="35" t="n">
        <f aca="false">+SUM(F5:F11)</f>
        <v>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0.2</v>
      </c>
      <c r="D16" s="2" t="n">
        <f aca="false">+SUM(C16:$C$16)</f>
        <v>0.2</v>
      </c>
      <c r="E16" s="2" t="n">
        <f aca="false">+E6</f>
        <v>2</v>
      </c>
      <c r="F16" s="2" t="n">
        <f aca="false">+C16*E16</f>
        <v>0.4</v>
      </c>
      <c r="G16" s="31"/>
    </row>
    <row r="17" customFormat="false" ht="15" hidden="false" customHeight="false" outlineLevel="0" collapsed="false">
      <c r="A17" s="0" t="s">
        <v>82</v>
      </c>
      <c r="B17" s="29" t="n">
        <v>3</v>
      </c>
      <c r="C17" s="2" t="n">
        <v>0.013</v>
      </c>
      <c r="D17" s="2" t="n">
        <f aca="false">+SUM(C$16:$C17)</f>
        <v>0.213</v>
      </c>
      <c r="E17" s="2" t="n">
        <f aca="false">+E7</f>
        <v>4</v>
      </c>
      <c r="F17" s="2" t="n">
        <f aca="false">+C17*E17</f>
        <v>0.052</v>
      </c>
      <c r="G17" s="31"/>
    </row>
    <row r="18" customFormat="false" ht="15" hidden="false" customHeight="false" outlineLevel="0" collapsed="false">
      <c r="B18" s="29" t="s">
        <v>75</v>
      </c>
      <c r="C18" s="2" t="n">
        <v>0.008</v>
      </c>
      <c r="D18" s="2" t="n">
        <f aca="false">+SUM(C$16:$C18)</f>
        <v>0.221</v>
      </c>
      <c r="E18" s="2" t="n">
        <f aca="false">+E16+E17</f>
        <v>6</v>
      </c>
      <c r="F18" s="2" t="n">
        <f aca="false">+C18*E18</f>
        <v>0.048</v>
      </c>
      <c r="G18" s="31" t="n">
        <v>0.625</v>
      </c>
      <c r="H18" s="0" t="s">
        <v>77</v>
      </c>
    </row>
    <row r="19" customFormat="false" ht="15" hidden="false" customHeight="false" outlineLevel="0" collapsed="false">
      <c r="B19" s="34" t="s">
        <v>14</v>
      </c>
      <c r="C19" s="34" t="n">
        <f aca="false">+SUM(C16:C18)</f>
        <v>0.221</v>
      </c>
      <c r="D19" s="34"/>
      <c r="E19" s="34"/>
      <c r="F19" s="39" t="n">
        <f aca="false">+SUM(F16:F18)</f>
        <v>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0.2</v>
      </c>
      <c r="D23" s="2" t="n">
        <f aca="false">+SUM(C23:$C$23)</f>
        <v>0.2</v>
      </c>
      <c r="E23" s="2" t="n">
        <f aca="false">+E5</f>
        <v>2</v>
      </c>
      <c r="F23" s="2" t="n">
        <f aca="false">+C23*E23</f>
        <v>0.4</v>
      </c>
      <c r="G23" s="31"/>
    </row>
    <row r="24" customFormat="false" ht="15" hidden="false" customHeight="false" outlineLevel="0" collapsed="false">
      <c r="A24" s="0" t="s">
        <v>84</v>
      </c>
      <c r="B24" s="29" t="n">
        <v>3</v>
      </c>
      <c r="C24" s="2" t="n">
        <v>0.013</v>
      </c>
      <c r="D24" s="2" t="n">
        <f aca="false">+SUM(C$23:$C24)</f>
        <v>0.213</v>
      </c>
      <c r="E24" s="2" t="n">
        <f aca="false">+E7</f>
        <v>4</v>
      </c>
      <c r="F24" s="2" t="n">
        <f aca="false">+C24*E24</f>
        <v>0.052</v>
      </c>
      <c r="G24" s="31"/>
    </row>
    <row r="25" customFormat="false" ht="15" hidden="false" customHeight="false" outlineLevel="0" collapsed="false">
      <c r="B25" s="29" t="s">
        <v>74</v>
      </c>
      <c r="C25" s="2" t="n">
        <v>0.008</v>
      </c>
      <c r="D25" s="2" t="n">
        <f aca="false">+SUM(C$23:$C25)</f>
        <v>0.221</v>
      </c>
      <c r="E25" s="2" t="n">
        <f aca="false">+E23+E24</f>
        <v>6</v>
      </c>
      <c r="F25" s="2" t="n">
        <f aca="false">+C25*E25</f>
        <v>0.048</v>
      </c>
      <c r="G25" s="31" t="n">
        <v>0.625</v>
      </c>
      <c r="H25" s="0" t="s">
        <v>77</v>
      </c>
      <c r="J25" s="48"/>
    </row>
    <row r="26" customFormat="false" ht="15" hidden="false" customHeight="false" outlineLevel="0" collapsed="false">
      <c r="B26" s="34" t="s">
        <v>14</v>
      </c>
      <c r="C26" s="34" t="n">
        <f aca="false">+SUM(C23:C25)</f>
        <v>0.221</v>
      </c>
      <c r="D26" s="34"/>
      <c r="E26" s="34"/>
      <c r="F26" s="39" t="n">
        <f aca="false">+SUM(F23:F25)</f>
        <v>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0.125</v>
      </c>
      <c r="D30" s="2" t="n">
        <f aca="false">+SUM(C30:$C$30)</f>
        <v>0.125</v>
      </c>
      <c r="E30" s="2" t="n">
        <f aca="false">+E7</f>
        <v>4</v>
      </c>
      <c r="F30" s="2" t="n">
        <f aca="false">+C30*E30</f>
        <v>0.5</v>
      </c>
      <c r="G30" s="31" t="n">
        <v>0.04</v>
      </c>
      <c r="H30" s="0" t="s">
        <v>77</v>
      </c>
    </row>
    <row r="31" customFormat="false" ht="15" hidden="false" customHeight="false" outlineLevel="0" collapsed="false">
      <c r="A31" s="0" t="s">
        <v>82</v>
      </c>
      <c r="B31" s="34" t="s">
        <v>14</v>
      </c>
      <c r="C31" s="34" t="n">
        <f aca="false">+SUM(C30:C30)</f>
        <v>0.125</v>
      </c>
      <c r="D31" s="34"/>
      <c r="E31" s="34"/>
      <c r="F31" s="39" t="n">
        <f aca="false">+SUM(F30:F30)</f>
        <v>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0.115</v>
      </c>
      <c r="D35" s="2" t="n">
        <f aca="false">+SUM(C35:$C$35)</f>
        <v>0.115</v>
      </c>
      <c r="E35" s="2" t="n">
        <f aca="false">+E5</f>
        <v>2</v>
      </c>
      <c r="F35" s="2" t="n">
        <f aca="false">+C35*E35</f>
        <v>0.23</v>
      </c>
      <c r="G35" s="31"/>
    </row>
    <row r="36" customFormat="false" ht="15" hidden="false" customHeight="false" outlineLevel="0" collapsed="false">
      <c r="A36" s="0" t="s">
        <v>87</v>
      </c>
      <c r="B36" s="29" t="n">
        <v>2</v>
      </c>
      <c r="C36" s="2" t="n">
        <v>0.115</v>
      </c>
      <c r="D36" s="2" t="n">
        <f aca="false">+SUM(C$35:$C36)</f>
        <v>0.23</v>
      </c>
      <c r="E36" s="2" t="n">
        <f aca="false">+E6</f>
        <v>2</v>
      </c>
      <c r="F36" s="2" t="n">
        <f aca="false">+C36*E36</f>
        <v>0.23</v>
      </c>
      <c r="G36" s="31"/>
    </row>
    <row r="37" customFormat="false" ht="15" hidden="false" customHeight="false" outlineLevel="0" collapsed="false">
      <c r="B37" s="29" t="s">
        <v>73</v>
      </c>
      <c r="C37" s="2" t="n">
        <v>0.01</v>
      </c>
      <c r="D37" s="2" t="n">
        <f aca="false">+SUM(C$35:$C37)</f>
        <v>0.24</v>
      </c>
      <c r="E37" s="2" t="n">
        <f aca="false">+E35+E36</f>
        <v>4</v>
      </c>
      <c r="F37" s="2" t="n">
        <f aca="false">+C37*E37</f>
        <v>0.04</v>
      </c>
      <c r="G37" s="31" t="n">
        <v>0.5</v>
      </c>
      <c r="H37" s="0" t="s">
        <v>77</v>
      </c>
    </row>
    <row r="38" customFormat="false" ht="15" hidden="false" customHeight="false" outlineLevel="0" collapsed="false">
      <c r="A38" s="44"/>
      <c r="B38" s="34" t="s">
        <v>14</v>
      </c>
      <c r="C38" s="34" t="n">
        <f aca="false">+SUM(C35:C37)</f>
        <v>0.24</v>
      </c>
      <c r="D38" s="34"/>
      <c r="E38" s="34"/>
      <c r="F38" s="39" t="n">
        <f aca="false">+SUM(F35:F37)</f>
        <v>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0.25</v>
      </c>
      <c r="D42" s="2" t="n">
        <f aca="false">+SUM(C42:$C$42)</f>
        <v>0.25</v>
      </c>
      <c r="E42" s="2" t="n">
        <f aca="false">+E5</f>
        <v>2</v>
      </c>
      <c r="F42" s="2" t="n">
        <f aca="false">+E42*C42</f>
        <v>0.5</v>
      </c>
      <c r="G42" s="31" t="n">
        <v>0.02</v>
      </c>
      <c r="H42" s="0" t="s">
        <v>77</v>
      </c>
    </row>
    <row r="43" customFormat="false" ht="15" hidden="false" customHeight="false" outlineLevel="0" collapsed="false">
      <c r="A43" s="0" t="s">
        <v>84</v>
      </c>
      <c r="B43" s="34" t="s">
        <v>14</v>
      </c>
      <c r="C43" s="34" t="n">
        <f aca="false">+SUM(C42:C42)</f>
        <v>0.25</v>
      </c>
      <c r="D43" s="34"/>
      <c r="E43" s="34"/>
      <c r="F43" s="39" t="n">
        <f aca="false">+SUM(F42:F42)</f>
        <v>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0.25</v>
      </c>
      <c r="D47" s="2" t="n">
        <f aca="false">+SUM(C$47:$C47)</f>
        <v>0.25</v>
      </c>
      <c r="E47" s="2" t="n">
        <f aca="false">+E6</f>
        <v>2</v>
      </c>
      <c r="F47" s="2" t="n">
        <f aca="false">+E47*C47</f>
        <v>0.5</v>
      </c>
      <c r="G47" s="31" t="n">
        <v>0.02</v>
      </c>
      <c r="H47" s="0" t="s">
        <v>77</v>
      </c>
    </row>
    <row r="48" customFormat="false" ht="15" hidden="false" customHeight="false" outlineLevel="0" collapsed="false">
      <c r="A48" s="0" t="s">
        <v>82</v>
      </c>
      <c r="B48" s="34" t="s">
        <v>14</v>
      </c>
      <c r="C48" s="34" t="n">
        <f aca="false">+SUM(C47:C47)</f>
        <v>0.25</v>
      </c>
      <c r="D48" s="34"/>
      <c r="E48" s="34"/>
      <c r="F48" s="39" t="n">
        <f aca="false">+SUM(F47:F47)</f>
        <v>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92</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0.06</v>
      </c>
      <c r="D5" s="12" t="n">
        <f aca="false">+SUM($C$5:C5)</f>
        <v>0.06</v>
      </c>
      <c r="E5" s="12" t="n">
        <f aca="false">+Summary!K27</f>
        <v>3</v>
      </c>
      <c r="F5" s="12" t="n">
        <f aca="false">+C5*E5</f>
        <v>0.18</v>
      </c>
      <c r="G5" s="31"/>
    </row>
    <row r="6" customFormat="false" ht="15" hidden="false" customHeight="false" outlineLevel="0" collapsed="false">
      <c r="B6" s="46" t="n">
        <v>2</v>
      </c>
      <c r="C6" s="30" t="n">
        <v>0.06</v>
      </c>
      <c r="D6" s="12" t="n">
        <f aca="false">+SUM($C$5:C6)</f>
        <v>0.12</v>
      </c>
      <c r="E6" s="12" t="n">
        <f aca="false">+Summary!K28</f>
        <v>3</v>
      </c>
      <c r="F6" s="12" t="n">
        <f aca="false">+C6*E6</f>
        <v>0.18</v>
      </c>
      <c r="G6" s="31"/>
    </row>
    <row r="7" customFormat="false" ht="15" hidden="false" customHeight="false" outlineLevel="0" collapsed="false">
      <c r="B7" s="46" t="n">
        <v>3</v>
      </c>
      <c r="C7" s="30" t="n">
        <v>0.005</v>
      </c>
      <c r="D7" s="12" t="n">
        <f aca="false">+SUM($C$5:C7)</f>
        <v>0.125</v>
      </c>
      <c r="E7" s="12" t="n">
        <f aca="false">+Summary!K29</f>
        <v>6</v>
      </c>
      <c r="F7" s="12" t="n">
        <f aca="false">+C7*E7</f>
        <v>0.03</v>
      </c>
      <c r="G7" s="31"/>
      <c r="I7" s="49"/>
    </row>
    <row r="8" customFormat="false" ht="15" hidden="false" customHeight="false" outlineLevel="0" collapsed="false">
      <c r="B8" s="46" t="s">
        <v>73</v>
      </c>
      <c r="C8" s="30" t="n">
        <v>0.00383333333333333</v>
      </c>
      <c r="D8" s="12" t="n">
        <f aca="false">+SUM($C$5:C8)</f>
        <v>0.128833333333333</v>
      </c>
      <c r="E8" s="12" t="n">
        <f aca="false">+E5+E6</f>
        <v>6</v>
      </c>
      <c r="F8" s="12" t="n">
        <f aca="false">+C8*E8</f>
        <v>0.023</v>
      </c>
      <c r="G8" s="31"/>
      <c r="I8" s="50"/>
    </row>
    <row r="9" customFormat="false" ht="15" hidden="false" customHeight="false" outlineLevel="0" collapsed="false">
      <c r="B9" s="46" t="s">
        <v>74</v>
      </c>
      <c r="C9" s="30" t="n">
        <v>0.0015</v>
      </c>
      <c r="D9" s="12" t="n">
        <f aca="false">+SUM($C$5:C9)</f>
        <v>0.130333333333333</v>
      </c>
      <c r="E9" s="12" t="n">
        <f aca="false">+E5+E7</f>
        <v>9</v>
      </c>
      <c r="F9" s="12" t="n">
        <f aca="false">+C9*E9</f>
        <v>0.0135</v>
      </c>
      <c r="G9" s="31"/>
    </row>
    <row r="10" customFormat="false" ht="15" hidden="false" customHeight="false" outlineLevel="0" collapsed="false">
      <c r="B10" s="46" t="s">
        <v>75</v>
      </c>
      <c r="C10" s="30" t="n">
        <v>0.0015</v>
      </c>
      <c r="D10" s="12" t="n">
        <f aca="false">+SUM($C$5:C10)</f>
        <v>0.131833333333333</v>
      </c>
      <c r="E10" s="12" t="n">
        <f aca="false">+E6+E7</f>
        <v>9</v>
      </c>
      <c r="F10" s="12" t="n">
        <f aca="false">+C10*E10</f>
        <v>0.0135</v>
      </c>
      <c r="G10" s="31"/>
    </row>
    <row r="11" customFormat="false" ht="15" hidden="false" customHeight="false" outlineLevel="0" collapsed="false">
      <c r="B11" s="46" t="s">
        <v>76</v>
      </c>
      <c r="C11" s="30" t="n">
        <v>0.005</v>
      </c>
      <c r="D11" s="12" t="n">
        <f aca="false">+SUM($C$5:C11)</f>
        <v>0.136833333333333</v>
      </c>
      <c r="E11" s="12" t="n">
        <f aca="false">+E5+E6+E7</f>
        <v>12</v>
      </c>
      <c r="F11" s="12" t="n">
        <f aca="false">+C11*E11</f>
        <v>0.06</v>
      </c>
      <c r="G11" s="31" t="n">
        <v>1</v>
      </c>
      <c r="H11" s="0" t="s">
        <v>77</v>
      </c>
    </row>
    <row r="12" customFormat="false" ht="15" hidden="false" customHeight="false" outlineLevel="0" collapsed="false">
      <c r="B12" s="34" t="s">
        <v>78</v>
      </c>
      <c r="C12" s="34" t="n">
        <f aca="false">+SUM(C5:C11)</f>
        <v>0.136833333333333</v>
      </c>
      <c r="D12" s="34"/>
      <c r="E12" s="34"/>
      <c r="F12" s="35" t="n">
        <f aca="false">+SUM(F5:F11)</f>
        <v>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0.0966666666666666</v>
      </c>
      <c r="D16" s="2" t="n">
        <f aca="false">+SUM(C16:$C$16)</f>
        <v>0.0966666666666666</v>
      </c>
      <c r="E16" s="2" t="n">
        <f aca="false">+E6</f>
        <v>3</v>
      </c>
      <c r="F16" s="2" t="n">
        <f aca="false">+C16*E16</f>
        <v>0.29</v>
      </c>
      <c r="G16" s="31"/>
    </row>
    <row r="17" customFormat="false" ht="15" hidden="false" customHeight="false" outlineLevel="0" collapsed="false">
      <c r="A17" s="0" t="s">
        <v>82</v>
      </c>
      <c r="B17" s="29" t="n">
        <v>3</v>
      </c>
      <c r="C17" s="2" t="n">
        <v>0.02</v>
      </c>
      <c r="D17" s="2" t="n">
        <f aca="false">+SUM(C$16:$C17)</f>
        <v>0.116666666666667</v>
      </c>
      <c r="E17" s="2" t="n">
        <f aca="false">+E7</f>
        <v>6</v>
      </c>
      <c r="F17" s="2" t="n">
        <f aca="false">+C17*E17</f>
        <v>0.12</v>
      </c>
      <c r="G17" s="31"/>
    </row>
    <row r="18" customFormat="false" ht="15" hidden="false" customHeight="false" outlineLevel="0" collapsed="false">
      <c r="B18" s="29" t="s">
        <v>75</v>
      </c>
      <c r="C18" s="2" t="n">
        <v>0.01</v>
      </c>
      <c r="D18" s="2" t="n">
        <f aca="false">+SUM(C$16:$C18)</f>
        <v>0.126666666666667</v>
      </c>
      <c r="E18" s="2" t="n">
        <f aca="false">+E16+E17</f>
        <v>9</v>
      </c>
      <c r="F18" s="2" t="n">
        <f aca="false">+C18*E18</f>
        <v>0.09</v>
      </c>
      <c r="G18" s="31" t="n">
        <v>0.5</v>
      </c>
      <c r="H18" s="0" t="s">
        <v>77</v>
      </c>
    </row>
    <row r="19" customFormat="false" ht="15" hidden="false" customHeight="false" outlineLevel="0" collapsed="false">
      <c r="B19" s="34" t="s">
        <v>14</v>
      </c>
      <c r="C19" s="34" t="n">
        <f aca="false">+SUM(C16:C18)</f>
        <v>0.126666666666667</v>
      </c>
      <c r="D19" s="34"/>
      <c r="E19" s="34"/>
      <c r="F19" s="39" t="n">
        <f aca="false">+SUM(F16:F18)</f>
        <v>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0.0966666666666666</v>
      </c>
      <c r="D23" s="2" t="n">
        <f aca="false">+SUM(C23:$C$23)</f>
        <v>0.0966666666666666</v>
      </c>
      <c r="E23" s="2" t="n">
        <f aca="false">+E5</f>
        <v>3</v>
      </c>
      <c r="F23" s="2" t="n">
        <f aca="false">+C23*E23</f>
        <v>0.29</v>
      </c>
      <c r="G23" s="31"/>
    </row>
    <row r="24" customFormat="false" ht="15" hidden="false" customHeight="false" outlineLevel="0" collapsed="false">
      <c r="A24" s="0" t="s">
        <v>84</v>
      </c>
      <c r="B24" s="29" t="n">
        <v>3</v>
      </c>
      <c r="C24" s="2" t="n">
        <v>0.02</v>
      </c>
      <c r="D24" s="2" t="n">
        <f aca="false">+SUM(C$23:$C24)</f>
        <v>0.116666666666667</v>
      </c>
      <c r="E24" s="2" t="n">
        <f aca="false">+E7</f>
        <v>6</v>
      </c>
      <c r="F24" s="2" t="n">
        <f aca="false">+C24*E24</f>
        <v>0.12</v>
      </c>
      <c r="G24" s="31"/>
    </row>
    <row r="25" customFormat="false" ht="15" hidden="false" customHeight="false" outlineLevel="0" collapsed="false">
      <c r="B25" s="29" t="s">
        <v>74</v>
      </c>
      <c r="C25" s="2" t="n">
        <v>0.01</v>
      </c>
      <c r="D25" s="2" t="n">
        <f aca="false">+SUM(C$23:$C25)</f>
        <v>0.126666666666667</v>
      </c>
      <c r="E25" s="2" t="n">
        <f aca="false">+E23+E24</f>
        <v>9</v>
      </c>
      <c r="F25" s="2" t="n">
        <f aca="false">+C25*E25</f>
        <v>0.09</v>
      </c>
      <c r="G25" s="31" t="n">
        <v>0.5</v>
      </c>
      <c r="H25" s="0" t="s">
        <v>77</v>
      </c>
    </row>
    <row r="26" customFormat="false" ht="15" hidden="false" customHeight="false" outlineLevel="0" collapsed="false">
      <c r="B26" s="34" t="s">
        <v>14</v>
      </c>
      <c r="C26" s="34" t="n">
        <f aca="false">+SUM(C23:C25)</f>
        <v>0.126666666666667</v>
      </c>
      <c r="D26" s="34"/>
      <c r="E26" s="34"/>
      <c r="F26" s="39" t="n">
        <f aca="false">+SUM(F23:F25)</f>
        <v>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0.0833333333333333</v>
      </c>
      <c r="D30" s="2" t="n">
        <f aca="false">+SUM(C30:$C$30)</f>
        <v>0.0833333333333333</v>
      </c>
      <c r="E30" s="2" t="n">
        <f aca="false">+E7</f>
        <v>6</v>
      </c>
      <c r="F30" s="2" t="n">
        <f aca="false">+C30*E30</f>
        <v>0.5</v>
      </c>
      <c r="G30" s="31" t="n">
        <v>0.06</v>
      </c>
      <c r="H30" s="0" t="s">
        <v>77</v>
      </c>
    </row>
    <row r="31" customFormat="false" ht="15" hidden="false" customHeight="false" outlineLevel="0" collapsed="false">
      <c r="A31" s="0" t="s">
        <v>82</v>
      </c>
      <c r="B31" s="34" t="s">
        <v>14</v>
      </c>
      <c r="C31" s="34" t="n">
        <f aca="false">+SUM(C30:C30)</f>
        <v>0.0833333333333333</v>
      </c>
      <c r="D31" s="34"/>
      <c r="E31" s="34"/>
      <c r="F31" s="39" t="n">
        <f aca="false">+SUM(F30:F30)</f>
        <v>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0.07</v>
      </c>
      <c r="D35" s="2" t="n">
        <f aca="false">+SUM(C35:$C$35)</f>
        <v>0.07</v>
      </c>
      <c r="E35" s="2" t="n">
        <f aca="false">+E5</f>
        <v>3</v>
      </c>
      <c r="F35" s="2" t="n">
        <f aca="false">+C35*E35</f>
        <v>0.21</v>
      </c>
      <c r="G35" s="31"/>
    </row>
    <row r="36" customFormat="false" ht="15" hidden="false" customHeight="false" outlineLevel="0" collapsed="false">
      <c r="A36" s="0" t="s">
        <v>87</v>
      </c>
      <c r="B36" s="29" t="n">
        <v>2</v>
      </c>
      <c r="C36" s="2" t="n">
        <v>0.07</v>
      </c>
      <c r="D36" s="2" t="n">
        <f aca="false">+SUM(C$35:$C36)</f>
        <v>0.14</v>
      </c>
      <c r="E36" s="2" t="n">
        <f aca="false">+E6</f>
        <v>3</v>
      </c>
      <c r="F36" s="2" t="n">
        <f aca="false">+C36*E36</f>
        <v>0.21</v>
      </c>
      <c r="G36" s="31"/>
    </row>
    <row r="37" customFormat="false" ht="15" hidden="false" customHeight="false" outlineLevel="0" collapsed="false">
      <c r="B37" s="29" t="s">
        <v>73</v>
      </c>
      <c r="C37" s="2" t="n">
        <v>0.0133333333333333</v>
      </c>
      <c r="D37" s="2" t="n">
        <f aca="false">+SUM(C$35:$C37)</f>
        <v>0.153333333333333</v>
      </c>
      <c r="E37" s="2" t="n">
        <f aca="false">+E35+E36</f>
        <v>6</v>
      </c>
      <c r="F37" s="2" t="n">
        <f aca="false">+C37*E37</f>
        <v>0.08</v>
      </c>
      <c r="G37" s="31" t="n">
        <v>0.375</v>
      </c>
      <c r="H37" s="0" t="s">
        <v>77</v>
      </c>
    </row>
    <row r="38" customFormat="false" ht="15" hidden="false" customHeight="false" outlineLevel="0" collapsed="false">
      <c r="A38" s="44"/>
      <c r="B38" s="34" t="s">
        <v>14</v>
      </c>
      <c r="C38" s="34" t="n">
        <f aca="false">+SUM(C35:C37)</f>
        <v>0.153333333333333</v>
      </c>
      <c r="D38" s="34"/>
      <c r="E38" s="34"/>
      <c r="F38" s="39" t="n">
        <f aca="false">+SUM(F35:F37)</f>
        <v>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1" t="s">
        <v>71</v>
      </c>
    </row>
    <row r="42" customFormat="false" ht="15" hidden="false" customHeight="false" outlineLevel="0" collapsed="false">
      <c r="A42" s="0" t="s">
        <v>81</v>
      </c>
      <c r="B42" s="29" t="n">
        <v>1</v>
      </c>
      <c r="C42" s="2" t="n">
        <v>0.166666666666667</v>
      </c>
      <c r="D42" s="2" t="n">
        <f aca="false">+SUM(C42:$C$42)</f>
        <v>0.166666666666667</v>
      </c>
      <c r="E42" s="2" t="n">
        <f aca="false">+E5</f>
        <v>3</v>
      </c>
      <c r="F42" s="2" t="n">
        <f aca="false">+E42*C42</f>
        <v>0.5</v>
      </c>
      <c r="G42" s="31" t="n">
        <v>0.03</v>
      </c>
      <c r="H42" s="0" t="s">
        <v>77</v>
      </c>
    </row>
    <row r="43" customFormat="false" ht="15" hidden="false" customHeight="false" outlineLevel="0" collapsed="false">
      <c r="A43" s="0" t="s">
        <v>84</v>
      </c>
      <c r="B43" s="34" t="s">
        <v>14</v>
      </c>
      <c r="C43" s="34" t="n">
        <f aca="false">+SUM(C42:C42)</f>
        <v>0.166666666666667</v>
      </c>
      <c r="D43" s="34"/>
      <c r="E43" s="34"/>
      <c r="F43" s="39" t="n">
        <f aca="false">+SUM(F42:F42)</f>
        <v>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1" t="s">
        <v>71</v>
      </c>
    </row>
    <row r="47" customFormat="false" ht="15" hidden="false" customHeight="false" outlineLevel="0" collapsed="false">
      <c r="A47" s="0" t="s">
        <v>81</v>
      </c>
      <c r="B47" s="29" t="n">
        <v>2</v>
      </c>
      <c r="C47" s="2" t="n">
        <v>0.166666666666667</v>
      </c>
      <c r="D47" s="2" t="n">
        <f aca="false">+SUM(C$47:$C47)</f>
        <v>0.166666666666667</v>
      </c>
      <c r="E47" s="2" t="n">
        <f aca="false">+E6</f>
        <v>3</v>
      </c>
      <c r="F47" s="2" t="n">
        <f aca="false">+E47*C47</f>
        <v>0.5</v>
      </c>
      <c r="G47" s="31" t="n">
        <v>0.03</v>
      </c>
      <c r="H47" s="0" t="s">
        <v>77</v>
      </c>
    </row>
    <row r="48" customFormat="false" ht="15" hidden="false" customHeight="false" outlineLevel="0" collapsed="false">
      <c r="A48" s="0" t="s">
        <v>82</v>
      </c>
      <c r="B48" s="34" t="s">
        <v>14</v>
      </c>
      <c r="C48" s="34" t="n">
        <f aca="false">+SUM(C47:C47)</f>
        <v>0.166666666666667</v>
      </c>
      <c r="D48" s="34"/>
      <c r="E48" s="34"/>
      <c r="F48" s="39" t="n">
        <f aca="false">+SUM(F47:F47)</f>
        <v>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24</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0.105</v>
      </c>
      <c r="D5" s="12" t="n">
        <f aca="false">+SUM($C$5:C5)</f>
        <v>0.105</v>
      </c>
      <c r="E5" s="12" t="n">
        <f aca="false">+Summary!B27</f>
        <v>2</v>
      </c>
      <c r="F5" s="12" t="n">
        <f aca="false">+C5*E5</f>
        <v>0.21</v>
      </c>
      <c r="G5" s="31"/>
    </row>
    <row r="6" customFormat="false" ht="15" hidden="false" customHeight="false" outlineLevel="0" collapsed="false">
      <c r="B6" s="46" t="n">
        <v>2</v>
      </c>
      <c r="C6" s="30" t="n">
        <v>0.08</v>
      </c>
      <c r="D6" s="12" t="n">
        <f aca="false">+SUM($C$5:C6)</f>
        <v>0.185</v>
      </c>
      <c r="E6" s="12" t="n">
        <f aca="false">+Summary!B28</f>
        <v>3</v>
      </c>
      <c r="F6" s="12" t="n">
        <f aca="false">+C6*E6</f>
        <v>0.24</v>
      </c>
      <c r="G6" s="31"/>
    </row>
    <row r="7" customFormat="false" ht="15" hidden="false" customHeight="false" outlineLevel="0" collapsed="false">
      <c r="B7" s="46" t="s">
        <v>73</v>
      </c>
      <c r="C7" s="30" t="n">
        <v>0.01</v>
      </c>
      <c r="D7" s="12" t="n">
        <f aca="false">+SUM($C$5:C7)</f>
        <v>0.195</v>
      </c>
      <c r="E7" s="12" t="n">
        <f aca="false">+E5+E6</f>
        <v>5</v>
      </c>
      <c r="F7" s="12" t="n">
        <f aca="false">+C7*E7</f>
        <v>0.05</v>
      </c>
      <c r="G7" s="31" t="n">
        <v>0.5</v>
      </c>
      <c r="H7" s="0" t="s">
        <v>77</v>
      </c>
      <c r="I7" s="50"/>
    </row>
    <row r="8" customFormat="false" ht="15" hidden="false" customHeight="false" outlineLevel="0" collapsed="false">
      <c r="B8" s="34" t="s">
        <v>78</v>
      </c>
      <c r="C8" s="34" t="n">
        <f aca="false">+SUM(C5:C7)</f>
        <v>0.195</v>
      </c>
      <c r="D8" s="34"/>
      <c r="E8" s="34"/>
      <c r="F8" s="35" t="n">
        <f aca="false">+SUM(F5:F7)</f>
        <v>0.5</v>
      </c>
      <c r="G8" s="36"/>
    </row>
    <row r="9" customFormat="false" ht="15" hidden="false" customHeight="false" outlineLevel="0" collapsed="false">
      <c r="B9" s="6" t="s">
        <v>91</v>
      </c>
      <c r="G9" s="37"/>
    </row>
    <row r="10" customFormat="false" ht="15" hidden="false" customHeight="false" outlineLevel="0" collapsed="false">
      <c r="G10" s="37"/>
    </row>
    <row r="11" customFormat="false" ht="15" hidden="false" customHeight="false" outlineLevel="0" collapsed="false">
      <c r="G11" s="37"/>
    </row>
    <row r="12" customFormat="false" ht="15" hidden="false" customHeight="false" outlineLevel="0" collapsed="false">
      <c r="A12" s="8" t="s">
        <v>88</v>
      </c>
      <c r="B12" s="1" t="s">
        <v>22</v>
      </c>
      <c r="C12" s="1" t="s">
        <v>5</v>
      </c>
      <c r="D12" s="1" t="s">
        <v>69</v>
      </c>
      <c r="E12" s="1" t="s">
        <v>70</v>
      </c>
      <c r="F12" s="1" t="s">
        <v>3</v>
      </c>
      <c r="G12" s="1" t="s">
        <v>71</v>
      </c>
    </row>
    <row r="13" customFormat="false" ht="15" hidden="false" customHeight="false" outlineLevel="0" collapsed="false">
      <c r="A13" s="0" t="s">
        <v>81</v>
      </c>
      <c r="B13" s="29" t="n">
        <v>1</v>
      </c>
      <c r="C13" s="2" t="n">
        <v>0.25</v>
      </c>
      <c r="D13" s="2" t="n">
        <f aca="false">+SUM(C13:$C$13)</f>
        <v>0.25</v>
      </c>
      <c r="E13" s="2" t="n">
        <f aca="false">+E5</f>
        <v>2</v>
      </c>
      <c r="F13" s="2" t="n">
        <f aca="false">+E13*C13</f>
        <v>0.5</v>
      </c>
      <c r="G13" s="31" t="n">
        <v>0.02</v>
      </c>
      <c r="H13" s="0" t="s">
        <v>77</v>
      </c>
    </row>
    <row r="14" customFormat="false" ht="15" hidden="false" customHeight="false" outlineLevel="0" collapsed="false">
      <c r="A14" s="0" t="s">
        <v>84</v>
      </c>
      <c r="B14" s="34" t="s">
        <v>14</v>
      </c>
      <c r="C14" s="34" t="n">
        <f aca="false">+SUM(C13:C13)</f>
        <v>0.25</v>
      </c>
      <c r="D14" s="34"/>
      <c r="E14" s="34"/>
      <c r="F14" s="39" t="n">
        <f aca="false">+SUM(F13:F13)</f>
        <v>0.5</v>
      </c>
      <c r="G14" s="40"/>
    </row>
    <row r="15" customFormat="false" ht="15" hidden="false" customHeight="false" outlineLevel="0" collapsed="false">
      <c r="G15" s="37"/>
    </row>
    <row r="16" customFormat="false" ht="15" hidden="false" customHeight="false" outlineLevel="0" collapsed="false">
      <c r="G16" s="37"/>
    </row>
    <row r="17" customFormat="false" ht="15" hidden="false" customHeight="false" outlineLevel="0" collapsed="false">
      <c r="A17" s="8" t="s">
        <v>89</v>
      </c>
      <c r="B17" s="1" t="s">
        <v>22</v>
      </c>
      <c r="C17" s="1" t="s">
        <v>5</v>
      </c>
      <c r="D17" s="1" t="s">
        <v>69</v>
      </c>
      <c r="E17" s="1" t="s">
        <v>70</v>
      </c>
      <c r="F17" s="1" t="s">
        <v>3</v>
      </c>
      <c r="G17" s="1" t="s">
        <v>71</v>
      </c>
    </row>
    <row r="18" customFormat="false" ht="15" hidden="false" customHeight="false" outlineLevel="0" collapsed="false">
      <c r="A18" s="0" t="s">
        <v>81</v>
      </c>
      <c r="B18" s="29" t="n">
        <v>2</v>
      </c>
      <c r="C18" s="2" t="n">
        <f aca="false">1/6</f>
        <v>0.166666666666667</v>
      </c>
      <c r="D18" s="2" t="n">
        <f aca="false">+SUM(C$18:$C18)</f>
        <v>0.166666666666667</v>
      </c>
      <c r="E18" s="2" t="n">
        <f aca="false">+E6</f>
        <v>3</v>
      </c>
      <c r="F18" s="2" t="n">
        <f aca="false">+E18*C18</f>
        <v>0.5</v>
      </c>
      <c r="G18" s="31" t="n">
        <v>0.03</v>
      </c>
      <c r="H18" s="0" t="s">
        <v>77</v>
      </c>
    </row>
    <row r="19" customFormat="false" ht="15" hidden="false" customHeight="false" outlineLevel="0" collapsed="false">
      <c r="A19" s="0" t="s">
        <v>82</v>
      </c>
      <c r="B19" s="34" t="s">
        <v>14</v>
      </c>
      <c r="C19" s="34" t="n">
        <f aca="false">+SUM(C18:C18)</f>
        <v>0.166666666666667</v>
      </c>
      <c r="D19" s="34"/>
      <c r="E19" s="34"/>
      <c r="F19" s="39" t="n">
        <f aca="false">+SUM(F18:F18)</f>
        <v>0.5</v>
      </c>
      <c r="G19"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93</v>
      </c>
      <c r="B1" s="24"/>
      <c r="C1" s="24"/>
      <c r="D1" s="24"/>
      <c r="E1" s="24"/>
    </row>
    <row r="2" customFormat="false" ht="15" hidden="false" customHeight="false" outlineLevel="0" collapsed="false">
      <c r="A2" s="25"/>
    </row>
    <row r="4" customFormat="false" ht="15" hidden="false" customHeight="false" outlineLevel="0" collapsed="false">
      <c r="A4" s="8" t="s">
        <v>19</v>
      </c>
      <c r="B4" s="1" t="s">
        <v>22</v>
      </c>
      <c r="C4" s="1" t="s">
        <v>5</v>
      </c>
      <c r="D4" s="1" t="s">
        <v>69</v>
      </c>
      <c r="E4" s="1" t="s">
        <v>70</v>
      </c>
      <c r="F4" s="1" t="s">
        <v>3</v>
      </c>
      <c r="G4" s="1" t="s">
        <v>71</v>
      </c>
    </row>
    <row r="5" customFormat="false" ht="15" hidden="false" customHeight="false" outlineLevel="0" collapsed="false">
      <c r="B5" s="29" t="n">
        <v>1</v>
      </c>
      <c r="C5" s="2" t="n">
        <v>0.25</v>
      </c>
      <c r="D5" s="2" t="n">
        <f aca="false">+SUM(C5:$C$5)</f>
        <v>0.25</v>
      </c>
      <c r="E5" s="2" t="n">
        <f aca="false">+Summary!B21</f>
        <v>2</v>
      </c>
      <c r="F5" s="2" t="n">
        <f aca="false">+E5*C5</f>
        <v>0.5</v>
      </c>
      <c r="G5" s="31" t="n">
        <v>0.02</v>
      </c>
      <c r="H5" s="0" t="s">
        <v>77</v>
      </c>
    </row>
    <row r="6" customFormat="false" ht="15" hidden="false" customHeight="false" outlineLevel="0" collapsed="false">
      <c r="B6" s="34" t="s">
        <v>14</v>
      </c>
      <c r="C6" s="34" t="n">
        <f aca="false">+SUM(C5:C5)</f>
        <v>0.25</v>
      </c>
      <c r="D6" s="34"/>
      <c r="E6" s="34"/>
      <c r="F6" s="39" t="n">
        <f aca="false">+SUM(F5:F5)</f>
        <v>0.5</v>
      </c>
      <c r="G6" s="40"/>
    </row>
    <row r="7" customFormat="false" ht="15" hidden="false" customHeight="false" outlineLevel="0" collapsed="false">
      <c r="G7" s="37"/>
    </row>
    <row r="8" customFormat="false" ht="15" hidden="false" customHeight="false" outlineLevel="0" collapsed="false">
      <c r="G8" s="37"/>
    </row>
    <row r="9" customFormat="false" ht="15" hidden="false" customHeight="false" outlineLevel="0" collapsed="false">
      <c r="A9" s="8" t="s">
        <v>20</v>
      </c>
      <c r="B9" s="1" t="s">
        <v>22</v>
      </c>
      <c r="C9" s="1" t="s">
        <v>5</v>
      </c>
      <c r="D9" s="1" t="s">
        <v>69</v>
      </c>
      <c r="E9" s="1" t="s">
        <v>70</v>
      </c>
      <c r="F9" s="1" t="s">
        <v>3</v>
      </c>
      <c r="G9" s="1" t="s">
        <v>71</v>
      </c>
    </row>
    <row r="10" customFormat="false" ht="15" hidden="false" customHeight="false" outlineLevel="0" collapsed="false">
      <c r="B10" s="29" t="n">
        <v>1</v>
      </c>
      <c r="C10" s="2" t="n">
        <v>0.166666666666666</v>
      </c>
      <c r="D10" s="2" t="n">
        <f aca="false">1/6</f>
        <v>0.166666666666667</v>
      </c>
      <c r="E10" s="2" t="n">
        <f aca="false">+Summary!E21</f>
        <v>3</v>
      </c>
      <c r="F10" s="2" t="n">
        <f aca="false">+E10*C10</f>
        <v>0.499999999999998</v>
      </c>
      <c r="G10" s="31" t="n">
        <v>0.03</v>
      </c>
      <c r="H10" s="0" t="s">
        <v>77</v>
      </c>
    </row>
    <row r="11" customFormat="false" ht="15" hidden="false" customHeight="false" outlineLevel="0" collapsed="false">
      <c r="B11" s="34" t="s">
        <v>14</v>
      </c>
      <c r="C11" s="34" t="n">
        <f aca="false">+SUM(C10:C10)</f>
        <v>0.166666666666666</v>
      </c>
      <c r="D11" s="34"/>
      <c r="E11" s="34"/>
      <c r="F11" s="39" t="n">
        <f aca="false">+SUM(F10:F10)</f>
        <v>0.499999999999998</v>
      </c>
      <c r="G11" s="40"/>
    </row>
    <row r="12" customFormat="false" ht="15" hidden="false" customHeight="false" outlineLevel="0" collapsed="false">
      <c r="G12" s="45"/>
    </row>
    <row r="13" customFormat="false" ht="15" hidden="false" customHeight="false" outlineLevel="0" collapsed="false">
      <c r="G13" s="45"/>
    </row>
    <row r="14" customFormat="false" ht="15" hidden="false" customHeight="false" outlineLevel="0" collapsed="false">
      <c r="A14" s="8" t="s">
        <v>21</v>
      </c>
      <c r="B14" s="1" t="s">
        <v>22</v>
      </c>
      <c r="C14" s="1" t="s">
        <v>5</v>
      </c>
      <c r="D14" s="1" t="s">
        <v>69</v>
      </c>
      <c r="E14" s="1" t="s">
        <v>70</v>
      </c>
      <c r="F14" s="1" t="s">
        <v>3</v>
      </c>
      <c r="G14" s="1" t="s">
        <v>71</v>
      </c>
    </row>
    <row r="15" customFormat="false" ht="15" hidden="false" customHeight="false" outlineLevel="0" collapsed="false">
      <c r="B15" s="29" t="n">
        <v>1</v>
      </c>
      <c r="C15" s="2" t="n">
        <v>0.125</v>
      </c>
      <c r="D15" s="2" t="n">
        <f aca="false">+SUM(C$15:$C15)</f>
        <v>0.125</v>
      </c>
      <c r="E15" s="2" t="n">
        <f aca="false">+Summary!H21</f>
        <v>4</v>
      </c>
      <c r="F15" s="2" t="n">
        <f aca="false">+E15*C15</f>
        <v>0.5</v>
      </c>
      <c r="G15" s="31" t="n">
        <v>0.04</v>
      </c>
      <c r="H15" s="0" t="s">
        <v>77</v>
      </c>
    </row>
    <row r="16" customFormat="false" ht="15" hidden="false" customHeight="false" outlineLevel="0" collapsed="false">
      <c r="B16" s="34" t="s">
        <v>14</v>
      </c>
      <c r="C16" s="34" t="n">
        <f aca="false">+SUM(C15:C15)</f>
        <v>0.125</v>
      </c>
      <c r="D16" s="34"/>
      <c r="E16" s="34"/>
      <c r="F16" s="39" t="n">
        <f aca="false">+SUM(F15:F15)</f>
        <v>0.5</v>
      </c>
      <c r="G16"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94</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0.07</v>
      </c>
      <c r="D5" s="12" t="n">
        <f aca="false">+SUM($C$5:C5)</f>
        <v>0.07</v>
      </c>
      <c r="E5" s="12" t="n">
        <f aca="false">+Summary!B36</f>
        <v>2</v>
      </c>
      <c r="F5" s="12" t="n">
        <f aca="false">+C5*E5</f>
        <v>0.14</v>
      </c>
      <c r="G5" s="31"/>
    </row>
    <row r="6" customFormat="false" ht="15" hidden="false" customHeight="false" outlineLevel="0" collapsed="false">
      <c r="B6" s="46" t="n">
        <v>2</v>
      </c>
      <c r="C6" s="30" t="n">
        <v>0.009</v>
      </c>
      <c r="D6" s="12" t="n">
        <f aca="false">+SUM($C$5:C6)</f>
        <v>0.079</v>
      </c>
      <c r="E6" s="12" t="n">
        <f aca="false">+Summary!B37</f>
        <v>5</v>
      </c>
      <c r="F6" s="12" t="n">
        <f aca="false">+C6*E6</f>
        <v>0.045</v>
      </c>
      <c r="G6" s="31"/>
    </row>
    <row r="7" customFormat="false" ht="15" hidden="false" customHeight="false" outlineLevel="0" collapsed="false">
      <c r="B7" s="46" t="n">
        <v>3</v>
      </c>
      <c r="C7" s="30" t="n">
        <v>0.01</v>
      </c>
      <c r="D7" s="12" t="n">
        <f aca="false">+SUM($C$5:C7)</f>
        <v>0.089</v>
      </c>
      <c r="E7" s="12" t="n">
        <f aca="false">+Summary!B38</f>
        <v>8</v>
      </c>
      <c r="F7" s="12" t="n">
        <f aca="false">+C7*E7</f>
        <v>0.08</v>
      </c>
      <c r="G7" s="31"/>
      <c r="I7" s="49"/>
    </row>
    <row r="8" customFormat="false" ht="15" hidden="false" customHeight="false" outlineLevel="0" collapsed="false">
      <c r="B8" s="46" t="s">
        <v>73</v>
      </c>
      <c r="C8" s="30" t="n">
        <v>0.005</v>
      </c>
      <c r="D8" s="12" t="n">
        <f aca="false">+SUM($C$5:C8)</f>
        <v>0.094</v>
      </c>
      <c r="E8" s="12" t="n">
        <f aca="false">+E5+E6</f>
        <v>7</v>
      </c>
      <c r="F8" s="12" t="n">
        <f aca="false">+C8*E8</f>
        <v>0.035</v>
      </c>
      <c r="G8" s="31"/>
      <c r="I8" s="50"/>
    </row>
    <row r="9" customFormat="false" ht="15" hidden="false" customHeight="false" outlineLevel="0" collapsed="false">
      <c r="B9" s="46" t="s">
        <v>74</v>
      </c>
      <c r="C9" s="30" t="n">
        <v>0.006</v>
      </c>
      <c r="D9" s="12" t="n">
        <f aca="false">+SUM($C$5:C9)</f>
        <v>0.1</v>
      </c>
      <c r="E9" s="12" t="n">
        <f aca="false">+E5+E7</f>
        <v>10</v>
      </c>
      <c r="F9" s="12" t="n">
        <f aca="false">+C9*E9</f>
        <v>0.06</v>
      </c>
      <c r="G9" s="31"/>
    </row>
    <row r="10" customFormat="false" ht="15" hidden="false" customHeight="false" outlineLevel="0" collapsed="false">
      <c r="B10" s="46" t="s">
        <v>75</v>
      </c>
      <c r="C10" s="30" t="n">
        <v>0.005</v>
      </c>
      <c r="D10" s="12" t="n">
        <f aca="false">+SUM($C$5:C10)</f>
        <v>0.105</v>
      </c>
      <c r="E10" s="12" t="n">
        <f aca="false">+E6+E7</f>
        <v>13</v>
      </c>
      <c r="F10" s="12" t="n">
        <f aca="false">+C10*E10</f>
        <v>0.065</v>
      </c>
      <c r="G10" s="31"/>
    </row>
    <row r="11" customFormat="false" ht="15" hidden="false" customHeight="false" outlineLevel="0" collapsed="false">
      <c r="B11" s="46" t="s">
        <v>76</v>
      </c>
      <c r="C11" s="30" t="n">
        <v>0.005</v>
      </c>
      <c r="D11" s="12" t="n">
        <f aca="false">+SUM($C$5:C11)</f>
        <v>0.11</v>
      </c>
      <c r="E11" s="12" t="n">
        <f aca="false">+E5+E6+E7</f>
        <v>15</v>
      </c>
      <c r="F11" s="12" t="n">
        <f aca="false">+C11*E11</f>
        <v>0.075</v>
      </c>
      <c r="G11" s="31" t="n">
        <v>1</v>
      </c>
      <c r="H11" s="0" t="s">
        <v>77</v>
      </c>
    </row>
    <row r="12" customFormat="false" ht="15" hidden="false" customHeight="false" outlineLevel="0" collapsed="false">
      <c r="B12" s="34" t="s">
        <v>78</v>
      </c>
      <c r="C12" s="34" t="n">
        <f aca="false">+SUM(C5:C11)</f>
        <v>0.11</v>
      </c>
      <c r="D12" s="34"/>
      <c r="E12" s="34"/>
      <c r="F12" s="35" t="n">
        <f aca="false">+SUM(F5:F11)</f>
        <v>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0.08</v>
      </c>
      <c r="D16" s="2" t="n">
        <f aca="false">+SUM(C16:$C$16)</f>
        <v>0.08</v>
      </c>
      <c r="E16" s="2" t="n">
        <f aca="false">+E6</f>
        <v>5</v>
      </c>
      <c r="F16" s="2" t="n">
        <f aca="false">+C16*E16</f>
        <v>0.4</v>
      </c>
      <c r="G16" s="31"/>
    </row>
    <row r="17" customFormat="false" ht="15" hidden="false" customHeight="false" outlineLevel="0" collapsed="false">
      <c r="A17" s="0" t="s">
        <v>82</v>
      </c>
      <c r="B17" s="29" t="n">
        <v>3</v>
      </c>
      <c r="C17" s="2" t="n">
        <v>0.004375</v>
      </c>
      <c r="D17" s="2" t="n">
        <f aca="false">+SUM(C$16:$C17)</f>
        <v>0.084375</v>
      </c>
      <c r="E17" s="2" t="n">
        <f aca="false">+E7</f>
        <v>8</v>
      </c>
      <c r="F17" s="2" t="n">
        <f aca="false">+C17*E17</f>
        <v>0.035</v>
      </c>
      <c r="G17" s="31"/>
      <c r="I17" s="51"/>
    </row>
    <row r="18" customFormat="false" ht="15" hidden="false" customHeight="false" outlineLevel="0" collapsed="false">
      <c r="B18" s="29" t="s">
        <v>75</v>
      </c>
      <c r="C18" s="2" t="n">
        <v>0.005</v>
      </c>
      <c r="D18" s="2" t="n">
        <f aca="false">+SUM(C$16:$C18)</f>
        <v>0.089375</v>
      </c>
      <c r="E18" s="2" t="n">
        <f aca="false">+E16+E17</f>
        <v>13</v>
      </c>
      <c r="F18" s="2" t="n">
        <f aca="false">+C18*E18</f>
        <v>0.065</v>
      </c>
      <c r="G18" s="31" t="n">
        <v>1</v>
      </c>
      <c r="H18" s="0" t="s">
        <v>77</v>
      </c>
    </row>
    <row r="19" customFormat="false" ht="15" hidden="false" customHeight="false" outlineLevel="0" collapsed="false">
      <c r="B19" s="34" t="s">
        <v>14</v>
      </c>
      <c r="C19" s="34" t="n">
        <f aca="false">+SUM(C16:C18)</f>
        <v>0.089375</v>
      </c>
      <c r="D19" s="34"/>
      <c r="E19" s="34"/>
      <c r="F19" s="39" t="n">
        <f aca="false">+SUM(F16:F18)</f>
        <v>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0.12</v>
      </c>
      <c r="D23" s="2" t="n">
        <f aca="false">+SUM(C23:$C$23)</f>
        <v>0.12</v>
      </c>
      <c r="E23" s="2" t="n">
        <f aca="false">+E5</f>
        <v>2</v>
      </c>
      <c r="F23" s="2" t="n">
        <f aca="false">+C23*E23</f>
        <v>0.24</v>
      </c>
      <c r="G23" s="31"/>
    </row>
    <row r="24" customFormat="false" ht="15" hidden="false" customHeight="false" outlineLevel="0" collapsed="false">
      <c r="A24" s="0" t="s">
        <v>84</v>
      </c>
      <c r="B24" s="29" t="n">
        <v>3</v>
      </c>
      <c r="C24" s="2" t="n">
        <v>0.02</v>
      </c>
      <c r="D24" s="2" t="n">
        <f aca="false">+SUM(C$23:$C24)</f>
        <v>0.14</v>
      </c>
      <c r="E24" s="2" t="n">
        <f aca="false">+E7</f>
        <v>8</v>
      </c>
      <c r="F24" s="2" t="n">
        <f aca="false">+C24*E24</f>
        <v>0.16</v>
      </c>
      <c r="G24" s="31"/>
    </row>
    <row r="25" customFormat="false" ht="15" hidden="false" customHeight="false" outlineLevel="0" collapsed="false">
      <c r="B25" s="29" t="s">
        <v>74</v>
      </c>
      <c r="C25" s="2" t="n">
        <v>0.01</v>
      </c>
      <c r="D25" s="2" t="n">
        <f aca="false">+SUM(C$23:$C25)</f>
        <v>0.15</v>
      </c>
      <c r="E25" s="2" t="n">
        <f aca="false">+E23+E24</f>
        <v>10</v>
      </c>
      <c r="F25" s="2" t="n">
        <f aca="false">+C25*E25</f>
        <v>0.1</v>
      </c>
      <c r="G25" s="31" t="n">
        <v>0.5</v>
      </c>
      <c r="H25" s="0" t="s">
        <v>77</v>
      </c>
    </row>
    <row r="26" customFormat="false" ht="15" hidden="false" customHeight="false" outlineLevel="0" collapsed="false">
      <c r="B26" s="34" t="s">
        <v>14</v>
      </c>
      <c r="C26" s="34" t="n">
        <f aca="false">+SUM(C23:C25)</f>
        <v>0.15</v>
      </c>
      <c r="D26" s="34"/>
      <c r="E26" s="34"/>
      <c r="F26" s="39" t="n">
        <f aca="false">+SUM(F23:F25)</f>
        <v>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0.0625</v>
      </c>
      <c r="D30" s="2" t="n">
        <f aca="false">+SUM(C30:$C$30)</f>
        <v>0.0625</v>
      </c>
      <c r="E30" s="2" t="n">
        <f aca="false">+E7</f>
        <v>8</v>
      </c>
      <c r="F30" s="2" t="n">
        <f aca="false">+C30*E30</f>
        <v>0.5</v>
      </c>
      <c r="G30" s="31" t="n">
        <v>0.08</v>
      </c>
      <c r="H30" s="0" t="s">
        <v>77</v>
      </c>
    </row>
    <row r="31" customFormat="false" ht="15" hidden="false" customHeight="false" outlineLevel="0" collapsed="false">
      <c r="A31" s="0" t="s">
        <v>82</v>
      </c>
      <c r="B31" s="34" t="s">
        <v>14</v>
      </c>
      <c r="C31" s="34" t="n">
        <f aca="false">+SUM(C30:C30)</f>
        <v>0.0625</v>
      </c>
      <c r="D31" s="34"/>
      <c r="E31" s="34"/>
      <c r="F31" s="39" t="n">
        <f aca="false">+SUM(F30:F30)</f>
        <v>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0.115</v>
      </c>
      <c r="D35" s="2" t="n">
        <f aca="false">+SUM(C35:$C$35)</f>
        <v>0.115</v>
      </c>
      <c r="E35" s="2" t="n">
        <f aca="false">+E5</f>
        <v>2</v>
      </c>
      <c r="F35" s="2" t="n">
        <f aca="false">+C35*E35</f>
        <v>0.23</v>
      </c>
      <c r="G35" s="31"/>
    </row>
    <row r="36" customFormat="false" ht="15" hidden="false" customHeight="false" outlineLevel="0" collapsed="false">
      <c r="A36" s="0" t="s">
        <v>87</v>
      </c>
      <c r="B36" s="29" t="n">
        <v>2</v>
      </c>
      <c r="C36" s="2" t="n">
        <v>0.04</v>
      </c>
      <c r="D36" s="2" t="n">
        <f aca="false">+SUM(C$35:$C36)</f>
        <v>0.155</v>
      </c>
      <c r="E36" s="2" t="n">
        <f aca="false">+E6</f>
        <v>5</v>
      </c>
      <c r="F36" s="2" t="n">
        <f aca="false">+C36*E36</f>
        <v>0.2</v>
      </c>
      <c r="G36" s="31"/>
    </row>
    <row r="37" customFormat="false" ht="15" hidden="false" customHeight="false" outlineLevel="0" collapsed="false">
      <c r="B37" s="29" t="s">
        <v>73</v>
      </c>
      <c r="C37" s="2" t="n">
        <v>0.01</v>
      </c>
      <c r="D37" s="2" t="n">
        <f aca="false">+SUM(C$35:$C37)</f>
        <v>0.165</v>
      </c>
      <c r="E37" s="2" t="n">
        <f aca="false">+E35+E36</f>
        <v>7</v>
      </c>
      <c r="F37" s="2" t="n">
        <f aca="false">+C37*E37</f>
        <v>0.07</v>
      </c>
      <c r="G37" s="31" t="n">
        <v>0.5</v>
      </c>
      <c r="H37" s="0" t="s">
        <v>77</v>
      </c>
    </row>
    <row r="38" customFormat="false" ht="15" hidden="false" customHeight="false" outlineLevel="0" collapsed="false">
      <c r="A38" s="44"/>
      <c r="B38" s="34" t="s">
        <v>14</v>
      </c>
      <c r="C38" s="34" t="n">
        <f aca="false">+SUM(C35:C37)</f>
        <v>0.165</v>
      </c>
      <c r="D38" s="34"/>
      <c r="E38" s="34"/>
      <c r="F38" s="39" t="n">
        <f aca="false">+SUM(F35:F37)</f>
        <v>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1" t="s">
        <v>71</v>
      </c>
    </row>
    <row r="42" customFormat="false" ht="15" hidden="false" customHeight="false" outlineLevel="0" collapsed="false">
      <c r="A42" s="0" t="s">
        <v>81</v>
      </c>
      <c r="B42" s="29" t="n">
        <v>1</v>
      </c>
      <c r="C42" s="2" t="n">
        <v>0.25</v>
      </c>
      <c r="D42" s="2" t="n">
        <f aca="false">+SUM(C42:$C$42)</f>
        <v>0.25</v>
      </c>
      <c r="E42" s="2" t="n">
        <f aca="false">+E5</f>
        <v>2</v>
      </c>
      <c r="F42" s="2" t="n">
        <f aca="false">+E42*C42</f>
        <v>0.5</v>
      </c>
      <c r="G42" s="31" t="n">
        <v>0.02</v>
      </c>
      <c r="H42" s="0" t="s">
        <v>77</v>
      </c>
    </row>
    <row r="43" customFormat="false" ht="15" hidden="false" customHeight="false" outlineLevel="0" collapsed="false">
      <c r="A43" s="0" t="s">
        <v>84</v>
      </c>
      <c r="B43" s="34" t="s">
        <v>14</v>
      </c>
      <c r="C43" s="34" t="n">
        <f aca="false">+SUM(C42:C42)</f>
        <v>0.25</v>
      </c>
      <c r="D43" s="34"/>
      <c r="E43" s="34"/>
      <c r="F43" s="39" t="n">
        <f aca="false">+SUM(F42:F42)</f>
        <v>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1" t="s">
        <v>71</v>
      </c>
    </row>
    <row r="47" customFormat="false" ht="15" hidden="false" customHeight="false" outlineLevel="0" collapsed="false">
      <c r="A47" s="0" t="s">
        <v>81</v>
      </c>
      <c r="B47" s="29" t="n">
        <v>2</v>
      </c>
      <c r="C47" s="2" t="n">
        <v>0.1</v>
      </c>
      <c r="D47" s="2" t="n">
        <f aca="false">+SUM(C$47:$C47)</f>
        <v>0.1</v>
      </c>
      <c r="E47" s="2" t="n">
        <f aca="false">+E6</f>
        <v>5</v>
      </c>
      <c r="F47" s="2" t="n">
        <f aca="false">+E47*C47</f>
        <v>0.5</v>
      </c>
      <c r="G47" s="31" t="n">
        <v>0.05</v>
      </c>
      <c r="H47" s="0" t="s">
        <v>77</v>
      </c>
    </row>
    <row r="48" customFormat="false" ht="15" hidden="false" customHeight="false" outlineLevel="0" collapsed="false">
      <c r="A48" s="0" t="s">
        <v>82</v>
      </c>
      <c r="B48" s="34" t="s">
        <v>14</v>
      </c>
      <c r="C48" s="34" t="n">
        <f aca="false">+SUM(C47:C47)</f>
        <v>0.1</v>
      </c>
      <c r="D48" s="34"/>
      <c r="E48" s="34"/>
      <c r="F48" s="39" t="n">
        <f aca="false">+SUM(F47:F47)</f>
        <v>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95</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0.25</v>
      </c>
      <c r="D5" s="12" t="n">
        <f aca="false">+SUM($C$5:C5)</f>
        <v>0.25</v>
      </c>
      <c r="E5" s="52" t="n">
        <f aca="false">Summary!E27</f>
        <v>1.5</v>
      </c>
      <c r="F5" s="12" t="n">
        <f aca="false">+C5*E5</f>
        <v>0.375</v>
      </c>
      <c r="G5" s="31"/>
    </row>
    <row r="6" customFormat="false" ht="15" hidden="false" customHeight="false" outlineLevel="0" collapsed="false">
      <c r="B6" s="46" t="n">
        <v>2</v>
      </c>
      <c r="C6" s="12" t="n">
        <v>0.25</v>
      </c>
      <c r="D6" s="12" t="n">
        <f aca="false">+SUM($C$5:C6)</f>
        <v>0.5</v>
      </c>
      <c r="E6" s="52" t="n">
        <f aca="false">Summary!E28</f>
        <v>1.5</v>
      </c>
      <c r="F6" s="12" t="n">
        <f aca="false">+C6*E6</f>
        <v>0.375</v>
      </c>
      <c r="G6" s="31"/>
    </row>
    <row r="7" customFormat="false" ht="15" hidden="false" customHeight="false" outlineLevel="0" collapsed="false">
      <c r="B7" s="46" t="n">
        <v>3</v>
      </c>
      <c r="C7" s="12" t="n">
        <v>0.04</v>
      </c>
      <c r="D7" s="12" t="n">
        <f aca="false">+SUM($C$5:C7)</f>
        <v>0.54</v>
      </c>
      <c r="E7" s="53" t="n">
        <f aca="false">Summary!E29</f>
        <v>3</v>
      </c>
      <c r="F7" s="12" t="n">
        <f aca="false">+C7*E7</f>
        <v>0.12</v>
      </c>
      <c r="G7" s="31"/>
    </row>
    <row r="8" customFormat="false" ht="15" hidden="false" customHeight="false" outlineLevel="0" collapsed="false">
      <c r="B8" s="46" t="s">
        <v>73</v>
      </c>
      <c r="C8" s="12" t="n">
        <v>0.07</v>
      </c>
      <c r="D8" s="12" t="n">
        <f aca="false">+SUM($C$5:C8)</f>
        <v>0.61</v>
      </c>
      <c r="E8" s="12" t="n">
        <f aca="false">+E5+E6</f>
        <v>3</v>
      </c>
      <c r="F8" s="12" t="n">
        <f aca="false">+C8*E8</f>
        <v>0.21</v>
      </c>
      <c r="G8" s="31"/>
    </row>
    <row r="9" customFormat="false" ht="15" hidden="false" customHeight="false" outlineLevel="0" collapsed="false">
      <c r="B9" s="46" t="s">
        <v>74</v>
      </c>
      <c r="C9" s="12" t="n">
        <v>0.01</v>
      </c>
      <c r="D9" s="12" t="n">
        <f aca="false">+SUM($C$5:C9)</f>
        <v>0.62</v>
      </c>
      <c r="E9" s="12" t="n">
        <f aca="false">+E5+E7</f>
        <v>4.5</v>
      </c>
      <c r="F9" s="12" t="n">
        <f aca="false">+C9*E9</f>
        <v>0.045</v>
      </c>
      <c r="G9" s="31"/>
    </row>
    <row r="10" customFormat="false" ht="15" hidden="false" customHeight="false" outlineLevel="0" collapsed="false">
      <c r="B10" s="46" t="s">
        <v>75</v>
      </c>
      <c r="C10" s="12" t="n">
        <v>0.01</v>
      </c>
      <c r="D10" s="12" t="n">
        <f aca="false">+SUM($C$5:C10)</f>
        <v>0.63</v>
      </c>
      <c r="E10" s="12" t="n">
        <f aca="false">+E6+E7</f>
        <v>4.5</v>
      </c>
      <c r="F10" s="12" t="n">
        <f aca="false">+C10*E10</f>
        <v>0.045</v>
      </c>
      <c r="G10" s="31"/>
    </row>
    <row r="11" customFormat="false" ht="15" hidden="false" customHeight="false" outlineLevel="0" collapsed="false">
      <c r="B11" s="46" t="s">
        <v>76</v>
      </c>
      <c r="C11" s="12" t="n">
        <v>0.005</v>
      </c>
      <c r="D11" s="12" t="n">
        <f aca="false">+SUM($C$5:C11)</f>
        <v>0.635</v>
      </c>
      <c r="E11" s="12" t="n">
        <f aca="false">+E5+E6+E7</f>
        <v>6</v>
      </c>
      <c r="F11" s="12" t="n">
        <f aca="false">+C11*E11</f>
        <v>0.03</v>
      </c>
      <c r="G11" s="31" t="n">
        <v>0</v>
      </c>
      <c r="H11" s="0" t="s">
        <v>77</v>
      </c>
    </row>
    <row r="12" customFormat="false" ht="15" hidden="false" customHeight="false" outlineLevel="0" collapsed="false">
      <c r="B12" s="34" t="s">
        <v>78</v>
      </c>
      <c r="C12" s="34" t="n">
        <f aca="false">+SUM(C5:C11)</f>
        <v>0.635</v>
      </c>
      <c r="D12" s="34"/>
      <c r="E12" s="34"/>
      <c r="F12" s="54" t="n">
        <f aca="false">+SUM(F5:F11)</f>
        <v>1.2</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0.6</v>
      </c>
      <c r="D16" s="2" t="n">
        <f aca="false">+SUM(C16:$C$16)</f>
        <v>0.6</v>
      </c>
      <c r="E16" s="2" t="n">
        <f aca="false">+E6</f>
        <v>1.5</v>
      </c>
      <c r="F16" s="2" t="n">
        <f aca="false">+C16*E16</f>
        <v>0.9</v>
      </c>
      <c r="G16" s="31"/>
    </row>
    <row r="17" customFormat="false" ht="15" hidden="false" customHeight="false" outlineLevel="0" collapsed="false">
      <c r="A17" s="0" t="s">
        <v>82</v>
      </c>
      <c r="B17" s="29" t="n">
        <v>3</v>
      </c>
      <c r="C17" s="2" t="n">
        <v>0.055</v>
      </c>
      <c r="D17" s="2" t="n">
        <f aca="false">+SUM(C$16:$C17)</f>
        <v>0.655</v>
      </c>
      <c r="E17" s="2" t="n">
        <f aca="false">+E7</f>
        <v>3</v>
      </c>
      <c r="F17" s="2" t="n">
        <f aca="false">+C17*E17</f>
        <v>0.165</v>
      </c>
      <c r="G17" s="31"/>
    </row>
    <row r="18" customFormat="false" ht="15" hidden="false" customHeight="false" outlineLevel="0" collapsed="false">
      <c r="B18" s="29" t="s">
        <v>75</v>
      </c>
      <c r="C18" s="2" t="n">
        <v>0.03</v>
      </c>
      <c r="D18" s="2" t="n">
        <f aca="false">+SUM(C$16:$C18)</f>
        <v>0.685</v>
      </c>
      <c r="E18" s="2" t="n">
        <f aca="false">+E16+E17</f>
        <v>4.5</v>
      </c>
      <c r="F18" s="2" t="n">
        <f aca="false">+C18*E18</f>
        <v>0.135</v>
      </c>
      <c r="G18" s="31" t="n">
        <v>0</v>
      </c>
      <c r="H18" s="0" t="s">
        <v>77</v>
      </c>
    </row>
    <row r="19" customFormat="false" ht="15" hidden="false" customHeight="false" outlineLevel="0" collapsed="false">
      <c r="B19" s="34" t="s">
        <v>14</v>
      </c>
      <c r="C19" s="34" t="n">
        <f aca="false">+SUM(C16:C18)</f>
        <v>0.685</v>
      </c>
      <c r="D19" s="34"/>
      <c r="E19" s="34"/>
      <c r="F19" s="39" t="n">
        <f aca="false">+SUM(F16:F18)</f>
        <v>1.2</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0.6</v>
      </c>
      <c r="D23" s="2" t="n">
        <f aca="false">+SUM(C23:$C$23)</f>
        <v>0.6</v>
      </c>
      <c r="E23" s="2" t="n">
        <f aca="false">+E5</f>
        <v>1.5</v>
      </c>
      <c r="F23" s="2" t="n">
        <f aca="false">+C23*E23</f>
        <v>0.9</v>
      </c>
      <c r="G23" s="31"/>
    </row>
    <row r="24" customFormat="false" ht="15" hidden="false" customHeight="false" outlineLevel="0" collapsed="false">
      <c r="A24" s="0" t="s">
        <v>84</v>
      </c>
      <c r="B24" s="29" t="n">
        <v>3</v>
      </c>
      <c r="C24" s="2" t="n">
        <v>0.055</v>
      </c>
      <c r="D24" s="2" t="n">
        <f aca="false">+SUM(C$23:$C24)</f>
        <v>0.655</v>
      </c>
      <c r="E24" s="2" t="n">
        <f aca="false">+E7</f>
        <v>3</v>
      </c>
      <c r="F24" s="2" t="n">
        <f aca="false">+C24*E24</f>
        <v>0.165</v>
      </c>
      <c r="G24" s="31"/>
    </row>
    <row r="25" customFormat="false" ht="15" hidden="false" customHeight="false" outlineLevel="0" collapsed="false">
      <c r="B25" s="29" t="s">
        <v>74</v>
      </c>
      <c r="C25" s="2" t="n">
        <v>0.03</v>
      </c>
      <c r="D25" s="2" t="n">
        <f aca="false">+SUM(C$23:$C25)</f>
        <v>0.685</v>
      </c>
      <c r="E25" s="2" t="n">
        <f aca="false">+E23+E24</f>
        <v>4.5</v>
      </c>
      <c r="F25" s="2" t="n">
        <f aca="false">+C25*E25</f>
        <v>0.135</v>
      </c>
      <c r="G25" s="31" t="n">
        <v>0</v>
      </c>
      <c r="H25" s="0" t="s">
        <v>77</v>
      </c>
      <c r="J25" s="48"/>
    </row>
    <row r="26" customFormat="false" ht="15" hidden="false" customHeight="false" outlineLevel="0" collapsed="false">
      <c r="B26" s="34" t="s">
        <v>14</v>
      </c>
      <c r="C26" s="34" t="n">
        <f aca="false">+SUM(C23:C25)</f>
        <v>0.685</v>
      </c>
      <c r="D26" s="34"/>
      <c r="E26" s="34"/>
      <c r="F26" s="39" t="n">
        <f aca="false">+SUM(F23:F25)</f>
        <v>1.2</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0.4</v>
      </c>
      <c r="D30" s="2" t="n">
        <f aca="false">+SUM(C30:$C$30)</f>
        <v>0.4</v>
      </c>
      <c r="E30" s="2" t="n">
        <f aca="false">+E7</f>
        <v>3</v>
      </c>
      <c r="F30" s="2" t="n">
        <f aca="false">+C30*E30</f>
        <v>1.2</v>
      </c>
      <c r="G30" s="31" t="n">
        <v>0</v>
      </c>
      <c r="H30" s="0" t="s">
        <v>77</v>
      </c>
    </row>
    <row r="31" customFormat="false" ht="15" hidden="false" customHeight="false" outlineLevel="0" collapsed="false">
      <c r="A31" s="0" t="s">
        <v>82</v>
      </c>
      <c r="B31" s="34" t="s">
        <v>14</v>
      </c>
      <c r="C31" s="34" t="n">
        <f aca="false">+SUM(C30:C30)</f>
        <v>0.4</v>
      </c>
      <c r="D31" s="34"/>
      <c r="E31" s="34"/>
      <c r="F31" s="39" t="n">
        <f aca="false">+SUM(F30:F30)</f>
        <v>1.2</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0.35</v>
      </c>
      <c r="D35" s="2" t="n">
        <f aca="false">+SUM(C35:$C$35)</f>
        <v>0.35</v>
      </c>
      <c r="E35" s="2" t="n">
        <f aca="false">+E5</f>
        <v>1.5</v>
      </c>
      <c r="F35" s="2" t="n">
        <f aca="false">+C35*E35</f>
        <v>0.525</v>
      </c>
      <c r="G35" s="31"/>
    </row>
    <row r="36" customFormat="false" ht="15" hidden="false" customHeight="false" outlineLevel="0" collapsed="false">
      <c r="A36" s="0" t="s">
        <v>87</v>
      </c>
      <c r="B36" s="29" t="n">
        <v>2</v>
      </c>
      <c r="C36" s="2" t="n">
        <v>0.35</v>
      </c>
      <c r="D36" s="2" t="n">
        <f aca="false">+SUM(C$35:$C36)</f>
        <v>0.7</v>
      </c>
      <c r="E36" s="2" t="n">
        <f aca="false">+E6</f>
        <v>1.5</v>
      </c>
      <c r="F36" s="2" t="n">
        <f aca="false">+C36*E36</f>
        <v>0.525</v>
      </c>
      <c r="G36" s="31"/>
    </row>
    <row r="37" customFormat="false" ht="15" hidden="false" customHeight="false" outlineLevel="0" collapsed="false">
      <c r="B37" s="29" t="s">
        <v>73</v>
      </c>
      <c r="C37" s="2" t="n">
        <v>0.05</v>
      </c>
      <c r="D37" s="2" t="n">
        <f aca="false">+SUM(C$35:$C37)</f>
        <v>0.75</v>
      </c>
      <c r="E37" s="2" t="n">
        <f aca="false">+E35+E36</f>
        <v>3</v>
      </c>
      <c r="F37" s="2" t="n">
        <f aca="false">+C37*E37</f>
        <v>0.15</v>
      </c>
      <c r="G37" s="31" t="n">
        <v>0</v>
      </c>
      <c r="H37" s="0" t="s">
        <v>77</v>
      </c>
    </row>
    <row r="38" customFormat="false" ht="15" hidden="false" customHeight="false" outlineLevel="0" collapsed="false">
      <c r="A38" s="44"/>
      <c r="B38" s="34" t="s">
        <v>14</v>
      </c>
      <c r="C38" s="34" t="n">
        <f aca="false">+SUM(C35:C37)</f>
        <v>0.75</v>
      </c>
      <c r="D38" s="34"/>
      <c r="E38" s="34"/>
      <c r="F38" s="39" t="n">
        <f aca="false">+SUM(F35:F37)</f>
        <v>1.2</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0.8</v>
      </c>
      <c r="D42" s="2" t="n">
        <f aca="false">+SUM(C42:$C$42)</f>
        <v>0.8</v>
      </c>
      <c r="E42" s="2" t="n">
        <f aca="false">+E5</f>
        <v>1.5</v>
      </c>
      <c r="F42" s="2" t="n">
        <f aca="false">+E42*C42</f>
        <v>1.2</v>
      </c>
      <c r="G42" s="31" t="n">
        <v>0</v>
      </c>
      <c r="H42" s="0" t="s">
        <v>77</v>
      </c>
    </row>
    <row r="43" customFormat="false" ht="15" hidden="false" customHeight="false" outlineLevel="0" collapsed="false">
      <c r="A43" s="0" t="s">
        <v>84</v>
      </c>
      <c r="B43" s="34" t="s">
        <v>14</v>
      </c>
      <c r="C43" s="34" t="n">
        <f aca="false">+SUM(C42:C42)</f>
        <v>0.8</v>
      </c>
      <c r="D43" s="34"/>
      <c r="E43" s="34"/>
      <c r="F43" s="39" t="n">
        <f aca="false">+SUM(F42:F42)</f>
        <v>1.2</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0.8</v>
      </c>
      <c r="D47" s="2" t="n">
        <f aca="false">+SUM(C$47:$C47)</f>
        <v>0.8</v>
      </c>
      <c r="E47" s="2" t="n">
        <f aca="false">+E6</f>
        <v>1.5</v>
      </c>
      <c r="F47" s="2" t="n">
        <f aca="false">+E47*C47</f>
        <v>1.2</v>
      </c>
      <c r="G47" s="31" t="n">
        <v>0</v>
      </c>
      <c r="H47" s="0" t="s">
        <v>77</v>
      </c>
    </row>
    <row r="48" customFormat="false" ht="15" hidden="false" customHeight="false" outlineLevel="0" collapsed="false">
      <c r="A48" s="0" t="s">
        <v>82</v>
      </c>
      <c r="B48" s="34" t="s">
        <v>14</v>
      </c>
      <c r="C48" s="34" t="n">
        <f aca="false">+SUM(C47:C47)</f>
        <v>0.8</v>
      </c>
      <c r="D48" s="34"/>
      <c r="E48" s="34"/>
      <c r="F48" s="39" t="n">
        <f aca="false">+SUM(F47:F47)</f>
        <v>1.2</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97</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0.2</v>
      </c>
      <c r="D5" s="12" t="n">
        <f aca="false">+SUM($C$5:C5)</f>
        <v>0.2</v>
      </c>
      <c r="E5" s="12" t="n">
        <f aca="false">+Summary!H27</f>
        <v>2</v>
      </c>
      <c r="F5" s="12" t="n">
        <f aca="false">+C5*E5</f>
        <v>0.4</v>
      </c>
      <c r="G5" s="31"/>
    </row>
    <row r="6" customFormat="false" ht="15" hidden="false" customHeight="false" outlineLevel="0" collapsed="false">
      <c r="B6" s="46" t="n">
        <v>2</v>
      </c>
      <c r="C6" s="12" t="n">
        <v>0.2</v>
      </c>
      <c r="D6" s="12" t="n">
        <f aca="false">+SUM($C$5:C6)</f>
        <v>0.4</v>
      </c>
      <c r="E6" s="12" t="n">
        <f aca="false">+Summary!H28</f>
        <v>2</v>
      </c>
      <c r="F6" s="12" t="n">
        <f aca="false">+C6*E6</f>
        <v>0.4</v>
      </c>
      <c r="G6" s="31"/>
    </row>
    <row r="7" customFormat="false" ht="15" hidden="false" customHeight="false" outlineLevel="0" collapsed="false">
      <c r="B7" s="46" t="n">
        <v>3</v>
      </c>
      <c r="C7" s="12" t="n">
        <v>0.01</v>
      </c>
      <c r="D7" s="12" t="n">
        <f aca="false">+SUM($C$5:C7)</f>
        <v>0.41</v>
      </c>
      <c r="E7" s="12" t="n">
        <f aca="false">+Summary!H29</f>
        <v>4</v>
      </c>
      <c r="F7" s="12" t="n">
        <f aca="false">+C7*E7</f>
        <v>0.04</v>
      </c>
      <c r="G7" s="31"/>
    </row>
    <row r="8" customFormat="false" ht="15" hidden="false" customHeight="false" outlineLevel="0" collapsed="false">
      <c r="B8" s="46" t="s">
        <v>73</v>
      </c>
      <c r="C8" s="12" t="n">
        <v>0.05</v>
      </c>
      <c r="D8" s="12" t="n">
        <f aca="false">+SUM($C$5:C8)</f>
        <v>0.46</v>
      </c>
      <c r="E8" s="12" t="n">
        <f aca="false">+E5+E6</f>
        <v>4</v>
      </c>
      <c r="F8" s="12" t="n">
        <f aca="false">+C8*E8</f>
        <v>0.2</v>
      </c>
      <c r="G8" s="31"/>
    </row>
    <row r="9" customFormat="false" ht="15" hidden="false" customHeight="false" outlineLevel="0" collapsed="false">
      <c r="B9" s="46" t="s">
        <v>74</v>
      </c>
      <c r="C9" s="12" t="n">
        <v>0.01</v>
      </c>
      <c r="D9" s="12" t="n">
        <f aca="false">+SUM($C$5:C9)</f>
        <v>0.47</v>
      </c>
      <c r="E9" s="12" t="n">
        <f aca="false">+E5+E7</f>
        <v>6</v>
      </c>
      <c r="F9" s="12" t="n">
        <f aca="false">+C9*E9</f>
        <v>0.06</v>
      </c>
      <c r="G9" s="31"/>
    </row>
    <row r="10" customFormat="false" ht="15" hidden="false" customHeight="false" outlineLevel="0" collapsed="false">
      <c r="B10" s="46" t="s">
        <v>75</v>
      </c>
      <c r="C10" s="12" t="n">
        <v>0.01</v>
      </c>
      <c r="D10" s="12" t="n">
        <f aca="false">+SUM($C$5:C10)</f>
        <v>0.48</v>
      </c>
      <c r="E10" s="12" t="n">
        <f aca="false">+E6+E7</f>
        <v>6</v>
      </c>
      <c r="F10" s="12" t="n">
        <f aca="false">+C10*E10</f>
        <v>0.06</v>
      </c>
      <c r="G10" s="31"/>
    </row>
    <row r="11" customFormat="false" ht="15" hidden="false" customHeight="false" outlineLevel="0" collapsed="false">
      <c r="B11" s="46" t="s">
        <v>76</v>
      </c>
      <c r="C11" s="12" t="n">
        <v>0.005</v>
      </c>
      <c r="D11" s="12" t="n">
        <f aca="false">+SUM($C$5:C11)</f>
        <v>0.485</v>
      </c>
      <c r="E11" s="12" t="n">
        <f aca="false">+E5+E6+E7</f>
        <v>8</v>
      </c>
      <c r="F11" s="12" t="n">
        <f aca="false">+C11*E11</f>
        <v>0.04</v>
      </c>
      <c r="G11" s="31" t="n">
        <v>0</v>
      </c>
      <c r="H11" s="0" t="s">
        <v>77</v>
      </c>
    </row>
    <row r="12" customFormat="false" ht="15" hidden="false" customHeight="false" outlineLevel="0" collapsed="false">
      <c r="B12" s="34" t="s">
        <v>78</v>
      </c>
      <c r="C12" s="34" t="n">
        <f aca="false">+SUM(C5:C11)</f>
        <v>0.485</v>
      </c>
      <c r="D12" s="34"/>
      <c r="E12" s="34"/>
      <c r="F12" s="54" t="n">
        <f aca="false">+SUM(F5:F11)</f>
        <v>1.2</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0.5</v>
      </c>
      <c r="D16" s="2" t="n">
        <f aca="false">+SUM(C16:$C$16)</f>
        <v>0.5</v>
      </c>
      <c r="E16" s="2" t="n">
        <f aca="false">+E6</f>
        <v>2</v>
      </c>
      <c r="F16" s="2" t="n">
        <f aca="false">+C16*E16</f>
        <v>1</v>
      </c>
      <c r="G16" s="31"/>
    </row>
    <row r="17" customFormat="false" ht="15" hidden="false" customHeight="false" outlineLevel="0" collapsed="false">
      <c r="A17" s="0" t="s">
        <v>82</v>
      </c>
      <c r="B17" s="29" t="n">
        <v>3</v>
      </c>
      <c r="C17" s="2" t="n">
        <v>0.02</v>
      </c>
      <c r="D17" s="2" t="n">
        <f aca="false">+SUM(C$16:$C17)</f>
        <v>0.52</v>
      </c>
      <c r="E17" s="2" t="n">
        <f aca="false">+E7</f>
        <v>4</v>
      </c>
      <c r="F17" s="2" t="n">
        <f aca="false">+C17*E17</f>
        <v>0.08</v>
      </c>
      <c r="G17" s="31"/>
    </row>
    <row r="18" customFormat="false" ht="15" hidden="false" customHeight="false" outlineLevel="0" collapsed="false">
      <c r="B18" s="29" t="s">
        <v>75</v>
      </c>
      <c r="C18" s="2" t="n">
        <v>0.02</v>
      </c>
      <c r="D18" s="2" t="n">
        <f aca="false">+SUM(C$16:$C18)</f>
        <v>0.54</v>
      </c>
      <c r="E18" s="2" t="n">
        <f aca="false">+E16+E17</f>
        <v>6</v>
      </c>
      <c r="F18" s="2" t="n">
        <f aca="false">+C18*E18</f>
        <v>0.12</v>
      </c>
      <c r="G18" s="31" t="n">
        <v>0</v>
      </c>
      <c r="H18" s="0" t="s">
        <v>77</v>
      </c>
    </row>
    <row r="19" customFormat="false" ht="15" hidden="false" customHeight="false" outlineLevel="0" collapsed="false">
      <c r="B19" s="34" t="s">
        <v>14</v>
      </c>
      <c r="C19" s="34" t="n">
        <f aca="false">+SUM(C16:C18)</f>
        <v>0.54</v>
      </c>
      <c r="D19" s="34"/>
      <c r="E19" s="34"/>
      <c r="F19" s="39" t="n">
        <f aca="false">+SUM(F16:F18)</f>
        <v>1.2</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0.5</v>
      </c>
      <c r="D23" s="2" t="n">
        <f aca="false">+SUM(C23:$C$23)</f>
        <v>0.5</v>
      </c>
      <c r="E23" s="2" t="n">
        <f aca="false">+E5</f>
        <v>2</v>
      </c>
      <c r="F23" s="2" t="n">
        <f aca="false">+C23*E23</f>
        <v>1</v>
      </c>
      <c r="G23" s="31"/>
    </row>
    <row r="24" customFormat="false" ht="15" hidden="false" customHeight="false" outlineLevel="0" collapsed="false">
      <c r="A24" s="0" t="s">
        <v>84</v>
      </c>
      <c r="B24" s="29" t="n">
        <v>3</v>
      </c>
      <c r="C24" s="2" t="n">
        <v>0.02</v>
      </c>
      <c r="D24" s="2" t="n">
        <f aca="false">+SUM(C$23:$C24)</f>
        <v>0.52</v>
      </c>
      <c r="E24" s="2" t="n">
        <f aca="false">+E7</f>
        <v>4</v>
      </c>
      <c r="F24" s="2" t="n">
        <f aca="false">+C24*E24</f>
        <v>0.08</v>
      </c>
      <c r="G24" s="31"/>
    </row>
    <row r="25" customFormat="false" ht="15" hidden="false" customHeight="false" outlineLevel="0" collapsed="false">
      <c r="B25" s="29" t="s">
        <v>74</v>
      </c>
      <c r="C25" s="2" t="n">
        <v>0.02</v>
      </c>
      <c r="D25" s="2" t="n">
        <f aca="false">+SUM(C$23:$C25)</f>
        <v>0.54</v>
      </c>
      <c r="E25" s="2" t="n">
        <f aca="false">+E23+E24</f>
        <v>6</v>
      </c>
      <c r="F25" s="2" t="n">
        <f aca="false">+C25*E25</f>
        <v>0.12</v>
      </c>
      <c r="G25" s="31" t="n">
        <v>0</v>
      </c>
      <c r="H25" s="0" t="s">
        <v>77</v>
      </c>
      <c r="J25" s="48"/>
    </row>
    <row r="26" customFormat="false" ht="15" hidden="false" customHeight="false" outlineLevel="0" collapsed="false">
      <c r="B26" s="34" t="s">
        <v>14</v>
      </c>
      <c r="C26" s="34" t="n">
        <f aca="false">+SUM(C23:C25)</f>
        <v>0.54</v>
      </c>
      <c r="D26" s="34"/>
      <c r="E26" s="34"/>
      <c r="F26" s="39" t="n">
        <f aca="false">+SUM(F23:F25)</f>
        <v>1.2</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0.3</v>
      </c>
      <c r="D30" s="2" t="n">
        <f aca="false">+SUM(C30:$C$30)</f>
        <v>0.3</v>
      </c>
      <c r="E30" s="2" t="n">
        <f aca="false">+E7</f>
        <v>4</v>
      </c>
      <c r="F30" s="2" t="n">
        <f aca="false">+C30*E30</f>
        <v>1.2</v>
      </c>
      <c r="G30" s="31" t="n">
        <v>0</v>
      </c>
      <c r="H30" s="0" t="s">
        <v>77</v>
      </c>
    </row>
    <row r="31" customFormat="false" ht="15" hidden="false" customHeight="false" outlineLevel="0" collapsed="false">
      <c r="A31" s="0" t="s">
        <v>82</v>
      </c>
      <c r="B31" s="34" t="s">
        <v>14</v>
      </c>
      <c r="C31" s="34" t="n">
        <f aca="false">+SUM(C30:C30)</f>
        <v>0.3</v>
      </c>
      <c r="D31" s="34"/>
      <c r="E31" s="34"/>
      <c r="F31" s="39" t="n">
        <f aca="false">+SUM(F30:F30)</f>
        <v>1.2</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0.28</v>
      </c>
      <c r="D35" s="2" t="n">
        <f aca="false">+SUM(C35:$C$35)</f>
        <v>0.28</v>
      </c>
      <c r="E35" s="2" t="n">
        <f aca="false">+E5</f>
        <v>2</v>
      </c>
      <c r="F35" s="2" t="n">
        <f aca="false">+C35*E35</f>
        <v>0.56</v>
      </c>
      <c r="G35" s="31"/>
    </row>
    <row r="36" customFormat="false" ht="15" hidden="false" customHeight="false" outlineLevel="0" collapsed="false">
      <c r="A36" s="0" t="s">
        <v>87</v>
      </c>
      <c r="B36" s="29" t="n">
        <v>2</v>
      </c>
      <c r="C36" s="2" t="n">
        <v>0.28</v>
      </c>
      <c r="D36" s="2" t="n">
        <f aca="false">+SUM(C$35:$C36)</f>
        <v>0.56</v>
      </c>
      <c r="E36" s="2" t="n">
        <f aca="false">+E6</f>
        <v>2</v>
      </c>
      <c r="F36" s="2" t="n">
        <f aca="false">+C36*E36</f>
        <v>0.56</v>
      </c>
      <c r="G36" s="31"/>
    </row>
    <row r="37" customFormat="false" ht="15" hidden="false" customHeight="false" outlineLevel="0" collapsed="false">
      <c r="B37" s="29" t="s">
        <v>73</v>
      </c>
      <c r="C37" s="2" t="n">
        <v>0.02</v>
      </c>
      <c r="D37" s="2" t="n">
        <f aca="false">+SUM(C$35:$C37)</f>
        <v>0.58</v>
      </c>
      <c r="E37" s="2" t="n">
        <f aca="false">+E35+E36</f>
        <v>4</v>
      </c>
      <c r="F37" s="2" t="n">
        <f aca="false">+C37*E37</f>
        <v>0.08</v>
      </c>
      <c r="G37" s="31" t="n">
        <v>0</v>
      </c>
      <c r="H37" s="0" t="s">
        <v>77</v>
      </c>
    </row>
    <row r="38" customFormat="false" ht="15" hidden="false" customHeight="false" outlineLevel="0" collapsed="false">
      <c r="A38" s="44"/>
      <c r="B38" s="34" t="s">
        <v>14</v>
      </c>
      <c r="C38" s="34" t="n">
        <f aca="false">+SUM(C35:C37)</f>
        <v>0.58</v>
      </c>
      <c r="D38" s="34"/>
      <c r="E38" s="34"/>
      <c r="F38" s="39" t="n">
        <f aca="false">+SUM(F35:F37)</f>
        <v>1.2</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0.6</v>
      </c>
      <c r="D42" s="2" t="n">
        <f aca="false">+SUM(C42:$C$42)</f>
        <v>0.6</v>
      </c>
      <c r="E42" s="2" t="n">
        <f aca="false">+E5</f>
        <v>2</v>
      </c>
      <c r="F42" s="2" t="n">
        <f aca="false">+E42*C42</f>
        <v>1.2</v>
      </c>
      <c r="G42" s="31" t="n">
        <v>0</v>
      </c>
      <c r="H42" s="0" t="s">
        <v>77</v>
      </c>
    </row>
    <row r="43" customFormat="false" ht="15" hidden="false" customHeight="false" outlineLevel="0" collapsed="false">
      <c r="A43" s="0" t="s">
        <v>84</v>
      </c>
      <c r="B43" s="34" t="s">
        <v>14</v>
      </c>
      <c r="C43" s="34" t="n">
        <f aca="false">+SUM(C42:C42)</f>
        <v>0.6</v>
      </c>
      <c r="D43" s="34"/>
      <c r="E43" s="34"/>
      <c r="F43" s="39" t="n">
        <f aca="false">+SUM(F42:F42)</f>
        <v>1.2</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0.6</v>
      </c>
      <c r="D47" s="2" t="n">
        <f aca="false">+SUM(C$47:$C47)</f>
        <v>0.6</v>
      </c>
      <c r="E47" s="2" t="n">
        <f aca="false">+E6</f>
        <v>2</v>
      </c>
      <c r="F47" s="2" t="n">
        <f aca="false">+E47*C47</f>
        <v>1.2</v>
      </c>
      <c r="G47" s="31" t="n">
        <v>0</v>
      </c>
      <c r="H47" s="0" t="s">
        <v>77</v>
      </c>
    </row>
    <row r="48" customFormat="false" ht="15" hidden="false" customHeight="false" outlineLevel="0" collapsed="false">
      <c r="A48" s="0" t="s">
        <v>82</v>
      </c>
      <c r="B48" s="34" t="s">
        <v>14</v>
      </c>
      <c r="C48" s="34" t="n">
        <f aca="false">+SUM(C47:C47)</f>
        <v>0.6</v>
      </c>
      <c r="D48" s="34"/>
      <c r="E48" s="34"/>
      <c r="F48" s="39" t="n">
        <f aca="false">+SUM(F47:F47)</f>
        <v>1.2</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98</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0.12</v>
      </c>
      <c r="D5" s="12" t="n">
        <f aca="false">+SUM($C$5:C5)</f>
        <v>0.12</v>
      </c>
      <c r="E5" s="53" t="n">
        <f aca="false">Summary!K27</f>
        <v>3</v>
      </c>
      <c r="F5" s="12" t="n">
        <f aca="false">+C5*E5</f>
        <v>0.36</v>
      </c>
      <c r="G5" s="31"/>
    </row>
    <row r="6" customFormat="false" ht="15" hidden="false" customHeight="false" outlineLevel="0" collapsed="false">
      <c r="B6" s="46" t="n">
        <v>2</v>
      </c>
      <c r="C6" s="12" t="n">
        <v>0.12</v>
      </c>
      <c r="D6" s="12" t="n">
        <f aca="false">+SUM($C$5:C6)</f>
        <v>0.24</v>
      </c>
      <c r="E6" s="53" t="n">
        <f aca="false">Summary!K28</f>
        <v>3</v>
      </c>
      <c r="F6" s="12" t="n">
        <f aca="false">+C6*E6</f>
        <v>0.36</v>
      </c>
      <c r="G6" s="31"/>
    </row>
    <row r="7" customFormat="false" ht="15" hidden="false" customHeight="false" outlineLevel="0" collapsed="false">
      <c r="B7" s="46" t="n">
        <v>3</v>
      </c>
      <c r="C7" s="12" t="n">
        <v>0.02</v>
      </c>
      <c r="D7" s="12" t="n">
        <f aca="false">+SUM($C$5:C7)</f>
        <v>0.26</v>
      </c>
      <c r="E7" s="53" t="n">
        <f aca="false">Summary!K29</f>
        <v>6</v>
      </c>
      <c r="F7" s="12" t="n">
        <f aca="false">+C7*E7</f>
        <v>0.12</v>
      </c>
      <c r="G7" s="31"/>
    </row>
    <row r="8" customFormat="false" ht="15" hidden="false" customHeight="false" outlineLevel="0" collapsed="false">
      <c r="B8" s="46" t="s">
        <v>73</v>
      </c>
      <c r="C8" s="12" t="n">
        <v>0.02</v>
      </c>
      <c r="D8" s="12" t="n">
        <f aca="false">+SUM($C$5:C8)</f>
        <v>0.28</v>
      </c>
      <c r="E8" s="12" t="n">
        <f aca="false">+E5+E6</f>
        <v>6</v>
      </c>
      <c r="F8" s="12" t="n">
        <f aca="false">+C8*E8</f>
        <v>0.12</v>
      </c>
      <c r="G8" s="31"/>
    </row>
    <row r="9" customFormat="false" ht="15" hidden="false" customHeight="false" outlineLevel="0" collapsed="false">
      <c r="B9" s="46" t="s">
        <v>74</v>
      </c>
      <c r="C9" s="12" t="n">
        <v>0.01</v>
      </c>
      <c r="D9" s="12" t="n">
        <f aca="false">+SUM($C$5:C9)</f>
        <v>0.29</v>
      </c>
      <c r="E9" s="12" t="n">
        <f aca="false">+E5+E7</f>
        <v>9</v>
      </c>
      <c r="F9" s="12" t="n">
        <f aca="false">+C9*E9</f>
        <v>0.09</v>
      </c>
      <c r="G9" s="31"/>
    </row>
    <row r="10" customFormat="false" ht="15" hidden="false" customHeight="false" outlineLevel="0" collapsed="false">
      <c r="B10" s="46" t="s">
        <v>75</v>
      </c>
      <c r="C10" s="12" t="n">
        <v>0.01</v>
      </c>
      <c r="D10" s="12" t="n">
        <f aca="false">+SUM($C$5:C10)</f>
        <v>0.3</v>
      </c>
      <c r="E10" s="12" t="n">
        <f aca="false">+E6+E7</f>
        <v>9</v>
      </c>
      <c r="F10" s="12" t="n">
        <f aca="false">+C10*E10</f>
        <v>0.09</v>
      </c>
      <c r="G10" s="31"/>
    </row>
    <row r="11" customFormat="false" ht="15" hidden="false" customHeight="false" outlineLevel="0" collapsed="false">
      <c r="B11" s="46" t="s">
        <v>76</v>
      </c>
      <c r="C11" s="12" t="n">
        <v>0.005</v>
      </c>
      <c r="D11" s="12" t="n">
        <f aca="false">+SUM($C$5:C11)</f>
        <v>0.305</v>
      </c>
      <c r="E11" s="12" t="n">
        <f aca="false">+E5+E6+E7</f>
        <v>12</v>
      </c>
      <c r="F11" s="12" t="n">
        <f aca="false">+C11*E11</f>
        <v>0.06</v>
      </c>
      <c r="G11" s="31" t="n">
        <v>0</v>
      </c>
      <c r="H11" s="0" t="s">
        <v>77</v>
      </c>
    </row>
    <row r="12" customFormat="false" ht="15" hidden="false" customHeight="false" outlineLevel="0" collapsed="false">
      <c r="B12" s="34" t="s">
        <v>78</v>
      </c>
      <c r="C12" s="34" t="n">
        <f aca="false">+SUM(C5:C11)</f>
        <v>0.305</v>
      </c>
      <c r="D12" s="34"/>
      <c r="E12" s="34"/>
      <c r="F12" s="54" t="n">
        <f aca="false">+SUM(F5:F11)</f>
        <v>1.2</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0.3</v>
      </c>
      <c r="D16" s="2" t="n">
        <f aca="false">+SUM(C16:$C$16)</f>
        <v>0.3</v>
      </c>
      <c r="E16" s="2" t="n">
        <f aca="false">+E6</f>
        <v>3</v>
      </c>
      <c r="F16" s="2" t="n">
        <f aca="false">+C16*E16</f>
        <v>0.9</v>
      </c>
      <c r="G16" s="31"/>
    </row>
    <row r="17" customFormat="false" ht="15" hidden="false" customHeight="false" outlineLevel="0" collapsed="false">
      <c r="A17" s="0" t="s">
        <v>82</v>
      </c>
      <c r="B17" s="29" t="n">
        <v>3</v>
      </c>
      <c r="C17" s="2" t="n">
        <v>0.02</v>
      </c>
      <c r="D17" s="2" t="n">
        <f aca="false">+SUM(C$16:$C17)</f>
        <v>0.32</v>
      </c>
      <c r="E17" s="2" t="n">
        <f aca="false">+E7</f>
        <v>6</v>
      </c>
      <c r="F17" s="2" t="n">
        <f aca="false">+C17*E17</f>
        <v>0.12</v>
      </c>
      <c r="G17" s="31"/>
    </row>
    <row r="18" customFormat="false" ht="15" hidden="false" customHeight="false" outlineLevel="0" collapsed="false">
      <c r="B18" s="29" t="s">
        <v>75</v>
      </c>
      <c r="C18" s="2" t="n">
        <v>0.02</v>
      </c>
      <c r="D18" s="2" t="n">
        <f aca="false">+SUM(C$16:$C18)</f>
        <v>0.34</v>
      </c>
      <c r="E18" s="2" t="n">
        <f aca="false">+E16+E17</f>
        <v>9</v>
      </c>
      <c r="F18" s="2" t="n">
        <f aca="false">+C18*E18</f>
        <v>0.18</v>
      </c>
      <c r="G18" s="31" t="n">
        <v>0</v>
      </c>
      <c r="H18" s="0" t="s">
        <v>77</v>
      </c>
    </row>
    <row r="19" customFormat="false" ht="15" hidden="false" customHeight="false" outlineLevel="0" collapsed="false">
      <c r="B19" s="34" t="s">
        <v>14</v>
      </c>
      <c r="C19" s="34" t="n">
        <f aca="false">+SUM(C16:C18)</f>
        <v>0.34</v>
      </c>
      <c r="D19" s="34"/>
      <c r="E19" s="34"/>
      <c r="F19" s="39" t="n">
        <f aca="false">+SUM(F16:F18)</f>
        <v>1.2</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0.3</v>
      </c>
      <c r="D23" s="2" t="n">
        <f aca="false">+SUM(C23:$C$23)</f>
        <v>0.3</v>
      </c>
      <c r="E23" s="2" t="n">
        <f aca="false">+E5</f>
        <v>3</v>
      </c>
      <c r="F23" s="2" t="n">
        <f aca="false">+C23*E23</f>
        <v>0.9</v>
      </c>
      <c r="G23" s="31"/>
    </row>
    <row r="24" customFormat="false" ht="15" hidden="false" customHeight="false" outlineLevel="0" collapsed="false">
      <c r="A24" s="0" t="s">
        <v>84</v>
      </c>
      <c r="B24" s="29" t="n">
        <v>3</v>
      </c>
      <c r="C24" s="2" t="n">
        <v>0.02</v>
      </c>
      <c r="D24" s="2" t="n">
        <f aca="false">+SUM(C$23:$C24)</f>
        <v>0.32</v>
      </c>
      <c r="E24" s="2" t="n">
        <f aca="false">+E7</f>
        <v>6</v>
      </c>
      <c r="F24" s="2" t="n">
        <f aca="false">+C24*E24</f>
        <v>0.12</v>
      </c>
      <c r="G24" s="31"/>
    </row>
    <row r="25" customFormat="false" ht="15" hidden="false" customHeight="false" outlineLevel="0" collapsed="false">
      <c r="B25" s="29" t="s">
        <v>74</v>
      </c>
      <c r="C25" s="2" t="n">
        <v>0.02</v>
      </c>
      <c r="D25" s="2" t="n">
        <f aca="false">+SUM(C$23:$C25)</f>
        <v>0.34</v>
      </c>
      <c r="E25" s="2" t="n">
        <f aca="false">+E23+E24</f>
        <v>9</v>
      </c>
      <c r="F25" s="2" t="n">
        <f aca="false">+C25*E25</f>
        <v>0.18</v>
      </c>
      <c r="G25" s="31" t="n">
        <v>0</v>
      </c>
      <c r="H25" s="0" t="s">
        <v>77</v>
      </c>
      <c r="J25" s="48"/>
    </row>
    <row r="26" customFormat="false" ht="15" hidden="false" customHeight="false" outlineLevel="0" collapsed="false">
      <c r="B26" s="34" t="s">
        <v>14</v>
      </c>
      <c r="C26" s="34" t="n">
        <f aca="false">+SUM(C23:C25)</f>
        <v>0.34</v>
      </c>
      <c r="D26" s="34"/>
      <c r="E26" s="34"/>
      <c r="F26" s="39" t="n">
        <f aca="false">+SUM(F23:F25)</f>
        <v>1.2</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0.2</v>
      </c>
      <c r="D30" s="2" t="n">
        <f aca="false">+SUM(C30:$C$30)</f>
        <v>0.2</v>
      </c>
      <c r="E30" s="2" t="n">
        <f aca="false">+E7</f>
        <v>6</v>
      </c>
      <c r="F30" s="2" t="n">
        <f aca="false">+C30*E30</f>
        <v>1.2</v>
      </c>
      <c r="G30" s="31" t="n">
        <v>0</v>
      </c>
      <c r="H30" s="0" t="s">
        <v>77</v>
      </c>
    </row>
    <row r="31" customFormat="false" ht="15" hidden="false" customHeight="false" outlineLevel="0" collapsed="false">
      <c r="A31" s="0" t="s">
        <v>82</v>
      </c>
      <c r="B31" s="34" t="s">
        <v>14</v>
      </c>
      <c r="C31" s="34" t="n">
        <f aca="false">+SUM(C30:C30)</f>
        <v>0.2</v>
      </c>
      <c r="D31" s="34"/>
      <c r="E31" s="34"/>
      <c r="F31" s="39" t="n">
        <f aca="false">+SUM(F30:F30)</f>
        <v>1.2</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0.16</v>
      </c>
      <c r="D35" s="2" t="n">
        <f aca="false">+SUM(C35:$C$35)</f>
        <v>0.16</v>
      </c>
      <c r="E35" s="2" t="n">
        <f aca="false">+E5</f>
        <v>3</v>
      </c>
      <c r="F35" s="2" t="n">
        <f aca="false">+C35*E35</f>
        <v>0.48</v>
      </c>
      <c r="G35" s="31"/>
    </row>
    <row r="36" customFormat="false" ht="15" hidden="false" customHeight="false" outlineLevel="0" collapsed="false">
      <c r="A36" s="0" t="s">
        <v>87</v>
      </c>
      <c r="B36" s="29" t="n">
        <v>2</v>
      </c>
      <c r="C36" s="2" t="n">
        <v>0.16</v>
      </c>
      <c r="D36" s="2" t="n">
        <f aca="false">+SUM(C$35:$C36)</f>
        <v>0.32</v>
      </c>
      <c r="E36" s="2" t="n">
        <f aca="false">+E6</f>
        <v>3</v>
      </c>
      <c r="F36" s="2" t="n">
        <f aca="false">+C36*E36</f>
        <v>0.48</v>
      </c>
      <c r="G36" s="31"/>
    </row>
    <row r="37" customFormat="false" ht="15" hidden="false" customHeight="false" outlineLevel="0" collapsed="false">
      <c r="B37" s="29" t="s">
        <v>73</v>
      </c>
      <c r="C37" s="2" t="n">
        <v>0.04</v>
      </c>
      <c r="D37" s="2" t="n">
        <f aca="false">+SUM(C$35:$C37)</f>
        <v>0.36</v>
      </c>
      <c r="E37" s="2" t="n">
        <f aca="false">+E35+E36</f>
        <v>6</v>
      </c>
      <c r="F37" s="2" t="n">
        <f aca="false">+C37*E37</f>
        <v>0.24</v>
      </c>
      <c r="G37" s="31" t="n">
        <v>0</v>
      </c>
      <c r="H37" s="0" t="s">
        <v>77</v>
      </c>
    </row>
    <row r="38" customFormat="false" ht="15" hidden="false" customHeight="false" outlineLevel="0" collapsed="false">
      <c r="A38" s="44"/>
      <c r="B38" s="34" t="s">
        <v>14</v>
      </c>
      <c r="C38" s="34" t="n">
        <f aca="false">+SUM(C35:C37)</f>
        <v>0.36</v>
      </c>
      <c r="D38" s="34"/>
      <c r="E38" s="34"/>
      <c r="F38" s="39" t="n">
        <f aca="false">+SUM(F35:F37)</f>
        <v>1.2</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0.4</v>
      </c>
      <c r="D42" s="2" t="n">
        <f aca="false">+SUM(C42:$C$42)</f>
        <v>0.4</v>
      </c>
      <c r="E42" s="2" t="n">
        <f aca="false">+E5</f>
        <v>3</v>
      </c>
      <c r="F42" s="2" t="n">
        <f aca="false">+E42*C42</f>
        <v>1.2</v>
      </c>
      <c r="G42" s="31" t="n">
        <v>0</v>
      </c>
      <c r="H42" s="0" t="s">
        <v>77</v>
      </c>
    </row>
    <row r="43" customFormat="false" ht="15" hidden="false" customHeight="false" outlineLevel="0" collapsed="false">
      <c r="A43" s="0" t="s">
        <v>84</v>
      </c>
      <c r="B43" s="34" t="s">
        <v>14</v>
      </c>
      <c r="C43" s="34" t="n">
        <f aca="false">+SUM(C42:C42)</f>
        <v>0.4</v>
      </c>
      <c r="D43" s="34"/>
      <c r="E43" s="34"/>
      <c r="F43" s="39" t="n">
        <f aca="false">+SUM(F42:F42)</f>
        <v>1.2</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0.4</v>
      </c>
      <c r="D47" s="2" t="n">
        <f aca="false">+SUM(C$47:$C47)</f>
        <v>0.4</v>
      </c>
      <c r="E47" s="2" t="n">
        <f aca="false">+E6</f>
        <v>3</v>
      </c>
      <c r="F47" s="2" t="n">
        <f aca="false">+E47*C47</f>
        <v>1.2</v>
      </c>
      <c r="G47" s="31" t="n">
        <v>0</v>
      </c>
      <c r="H47" s="0" t="s">
        <v>77</v>
      </c>
    </row>
    <row r="48" customFormat="false" ht="15" hidden="false" customHeight="false" outlineLevel="0" collapsed="false">
      <c r="A48" s="0" t="s">
        <v>82</v>
      </c>
      <c r="B48" s="34" t="s">
        <v>14</v>
      </c>
      <c r="C48" s="34" t="n">
        <f aca="false">+SUM(C47:C47)</f>
        <v>0.4</v>
      </c>
      <c r="D48" s="34"/>
      <c r="E48" s="34"/>
      <c r="F48" s="39" t="n">
        <f aca="false">+SUM(F47:F47)</f>
        <v>1.2</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99</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0.26</v>
      </c>
      <c r="D5" s="12" t="n">
        <f aca="false">+SUM($C$5:C5)</f>
        <v>0.26</v>
      </c>
      <c r="E5" s="12" t="n">
        <f aca="false">+Summary!B27</f>
        <v>2</v>
      </c>
      <c r="F5" s="12" t="n">
        <f aca="false">+C5*E5</f>
        <v>0.52</v>
      </c>
      <c r="G5" s="31"/>
    </row>
    <row r="6" customFormat="false" ht="15" hidden="false" customHeight="false" outlineLevel="0" collapsed="false">
      <c r="B6" s="46" t="n">
        <v>2</v>
      </c>
      <c r="C6" s="30" t="n">
        <v>0.16</v>
      </c>
      <c r="D6" s="12" t="n">
        <f aca="false">+SUM($C$5:C6)</f>
        <v>0.42</v>
      </c>
      <c r="E6" s="12" t="n">
        <f aca="false">+Summary!B28</f>
        <v>3</v>
      </c>
      <c r="F6" s="12" t="n">
        <f aca="false">+C6*E6</f>
        <v>0.48</v>
      </c>
      <c r="G6" s="31"/>
    </row>
    <row r="7" customFormat="false" ht="15" hidden="false" customHeight="false" outlineLevel="0" collapsed="false">
      <c r="B7" s="46" t="s">
        <v>73</v>
      </c>
      <c r="C7" s="30" t="n">
        <v>0.04</v>
      </c>
      <c r="D7" s="12" t="n">
        <f aca="false">+SUM($C$5:C7)</f>
        <v>0.46</v>
      </c>
      <c r="E7" s="12" t="n">
        <f aca="false">+E5+E6</f>
        <v>5</v>
      </c>
      <c r="F7" s="12" t="n">
        <f aca="false">+C7*E7</f>
        <v>0.2</v>
      </c>
      <c r="G7" s="31" t="n">
        <v>0</v>
      </c>
      <c r="H7" s="0" t="s">
        <v>77</v>
      </c>
      <c r="I7" s="50"/>
    </row>
    <row r="8" customFormat="false" ht="15" hidden="false" customHeight="false" outlineLevel="0" collapsed="false">
      <c r="B8" s="34" t="s">
        <v>78</v>
      </c>
      <c r="C8" s="34" t="n">
        <f aca="false">+SUM(C5:C7)</f>
        <v>0.46</v>
      </c>
      <c r="D8" s="34"/>
      <c r="E8" s="34"/>
      <c r="F8" s="35" t="n">
        <f aca="false">+SUM(F5:F7)</f>
        <v>1.2</v>
      </c>
      <c r="G8" s="36"/>
    </row>
    <row r="9" customFormat="false" ht="15" hidden="false" customHeight="false" outlineLevel="0" collapsed="false">
      <c r="B9" s="6" t="s">
        <v>91</v>
      </c>
      <c r="G9" s="37"/>
    </row>
    <row r="10" customFormat="false" ht="15" hidden="false" customHeight="false" outlineLevel="0" collapsed="false">
      <c r="G10" s="37"/>
    </row>
    <row r="11" customFormat="false" ht="15" hidden="false" customHeight="false" outlineLevel="0" collapsed="false">
      <c r="G11" s="37"/>
    </row>
    <row r="12" customFormat="false" ht="15" hidden="false" customHeight="false" outlineLevel="0" collapsed="false">
      <c r="A12" s="8" t="s">
        <v>88</v>
      </c>
      <c r="B12" s="1" t="s">
        <v>22</v>
      </c>
      <c r="C12" s="1" t="s">
        <v>5</v>
      </c>
      <c r="D12" s="1" t="s">
        <v>69</v>
      </c>
      <c r="E12" s="1" t="s">
        <v>70</v>
      </c>
      <c r="F12" s="1" t="s">
        <v>3</v>
      </c>
      <c r="G12" s="1" t="s">
        <v>71</v>
      </c>
    </row>
    <row r="13" customFormat="false" ht="15" hidden="false" customHeight="false" outlineLevel="0" collapsed="false">
      <c r="A13" s="0" t="s">
        <v>81</v>
      </c>
      <c r="B13" s="29" t="n">
        <v>1</v>
      </c>
      <c r="C13" s="2" t="n">
        <v>0.6</v>
      </c>
      <c r="D13" s="2" t="n">
        <f aca="false">+SUM(C13:$C$13)</f>
        <v>0.6</v>
      </c>
      <c r="E13" s="2" t="n">
        <f aca="false">+E5</f>
        <v>2</v>
      </c>
      <c r="F13" s="2" t="n">
        <f aca="false">+E13*C13</f>
        <v>1.2</v>
      </c>
      <c r="G13" s="31" t="n">
        <v>0</v>
      </c>
      <c r="H13" s="0" t="s">
        <v>77</v>
      </c>
    </row>
    <row r="14" customFormat="false" ht="15" hidden="false" customHeight="false" outlineLevel="0" collapsed="false">
      <c r="A14" s="0" t="s">
        <v>84</v>
      </c>
      <c r="B14" s="34" t="s">
        <v>14</v>
      </c>
      <c r="C14" s="34" t="n">
        <f aca="false">+SUM(C13:C13)</f>
        <v>0.6</v>
      </c>
      <c r="D14" s="34"/>
      <c r="E14" s="34"/>
      <c r="F14" s="39" t="n">
        <f aca="false">+SUM(F13:F13)</f>
        <v>1.2</v>
      </c>
      <c r="G14" s="40"/>
    </row>
    <row r="15" customFormat="false" ht="15" hidden="false" customHeight="false" outlineLevel="0" collapsed="false">
      <c r="G15" s="37"/>
    </row>
    <row r="16" customFormat="false" ht="15" hidden="false" customHeight="false" outlineLevel="0" collapsed="false">
      <c r="G16" s="37"/>
    </row>
    <row r="17" customFormat="false" ht="15" hidden="false" customHeight="false" outlineLevel="0" collapsed="false">
      <c r="A17" s="8" t="s">
        <v>89</v>
      </c>
      <c r="B17" s="1" t="s">
        <v>22</v>
      </c>
      <c r="C17" s="1" t="s">
        <v>5</v>
      </c>
      <c r="D17" s="1" t="s">
        <v>69</v>
      </c>
      <c r="E17" s="1" t="s">
        <v>70</v>
      </c>
      <c r="F17" s="1" t="s">
        <v>3</v>
      </c>
      <c r="G17" s="1" t="s">
        <v>71</v>
      </c>
    </row>
    <row r="18" customFormat="false" ht="15" hidden="false" customHeight="false" outlineLevel="0" collapsed="false">
      <c r="A18" s="0" t="s">
        <v>81</v>
      </c>
      <c r="B18" s="29" t="n">
        <v>2</v>
      </c>
      <c r="C18" s="2" t="n">
        <v>0.4</v>
      </c>
      <c r="D18" s="2" t="n">
        <f aca="false">+SUM(C$18:$C18)</f>
        <v>0.4</v>
      </c>
      <c r="E18" s="2" t="n">
        <f aca="false">+E6</f>
        <v>3</v>
      </c>
      <c r="F18" s="2" t="n">
        <f aca="false">+E18*C18</f>
        <v>1.2</v>
      </c>
      <c r="G18" s="31" t="n">
        <v>0</v>
      </c>
      <c r="H18" s="0" t="s">
        <v>77</v>
      </c>
    </row>
    <row r="19" customFormat="false" ht="15" hidden="false" customHeight="false" outlineLevel="0" collapsed="false">
      <c r="A19" s="0" t="s">
        <v>82</v>
      </c>
      <c r="B19" s="34" t="s">
        <v>14</v>
      </c>
      <c r="C19" s="34" t="n">
        <f aca="false">+SUM(C18:C18)</f>
        <v>0.4</v>
      </c>
      <c r="D19" s="34"/>
      <c r="E19" s="34"/>
      <c r="F19" s="39" t="n">
        <f aca="false">+SUM(F18:F18)</f>
        <v>1.2</v>
      </c>
      <c r="G19"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100</v>
      </c>
      <c r="B1" s="24"/>
      <c r="C1" s="24"/>
      <c r="D1" s="24"/>
      <c r="E1" s="24"/>
    </row>
    <row r="2" customFormat="false" ht="15" hidden="false" customHeight="false" outlineLevel="0" collapsed="false">
      <c r="A2" s="25" t="s">
        <v>96</v>
      </c>
    </row>
    <row r="4" customFormat="false" ht="15" hidden="false" customHeight="false" outlineLevel="0" collapsed="false">
      <c r="A4" s="8" t="s">
        <v>19</v>
      </c>
      <c r="B4" s="1" t="s">
        <v>22</v>
      </c>
      <c r="C4" s="1" t="s">
        <v>5</v>
      </c>
      <c r="D4" s="1" t="s">
        <v>69</v>
      </c>
      <c r="E4" s="1" t="s">
        <v>70</v>
      </c>
      <c r="F4" s="1" t="s">
        <v>3</v>
      </c>
      <c r="G4" s="1" t="s">
        <v>71</v>
      </c>
    </row>
    <row r="5" customFormat="false" ht="15" hidden="false" customHeight="false" outlineLevel="0" collapsed="false">
      <c r="B5" s="29" t="n">
        <v>1</v>
      </c>
      <c r="C5" s="2" t="n">
        <v>0.6</v>
      </c>
      <c r="D5" s="2" t="n">
        <f aca="false">+SUM(C5:$C$5)</f>
        <v>0.6</v>
      </c>
      <c r="E5" s="2" t="n">
        <f aca="false">+Summary!B21</f>
        <v>2</v>
      </c>
      <c r="F5" s="2" t="n">
        <f aca="false">+E5*C5</f>
        <v>1.2</v>
      </c>
      <c r="G5" s="31" t="n">
        <v>0</v>
      </c>
      <c r="H5" s="0" t="s">
        <v>77</v>
      </c>
    </row>
    <row r="6" customFormat="false" ht="15" hidden="false" customHeight="false" outlineLevel="0" collapsed="false">
      <c r="B6" s="34" t="s">
        <v>14</v>
      </c>
      <c r="C6" s="34" t="n">
        <f aca="false">+SUM(C5:C5)</f>
        <v>0.6</v>
      </c>
      <c r="D6" s="34"/>
      <c r="E6" s="34"/>
      <c r="F6" s="39" t="n">
        <f aca="false">+SUM(F5:F5)</f>
        <v>1.2</v>
      </c>
      <c r="G6" s="40"/>
    </row>
    <row r="7" customFormat="false" ht="15" hidden="false" customHeight="false" outlineLevel="0" collapsed="false">
      <c r="G7" s="37"/>
    </row>
    <row r="8" customFormat="false" ht="15" hidden="false" customHeight="false" outlineLevel="0" collapsed="false">
      <c r="G8" s="37"/>
    </row>
    <row r="9" customFormat="false" ht="15" hidden="false" customHeight="false" outlineLevel="0" collapsed="false">
      <c r="A9" s="8" t="s">
        <v>20</v>
      </c>
      <c r="B9" s="1" t="s">
        <v>22</v>
      </c>
      <c r="C9" s="1" t="s">
        <v>5</v>
      </c>
      <c r="D9" s="1" t="s">
        <v>69</v>
      </c>
      <c r="E9" s="1" t="s">
        <v>70</v>
      </c>
      <c r="F9" s="1" t="s">
        <v>3</v>
      </c>
      <c r="G9" s="1" t="s">
        <v>71</v>
      </c>
    </row>
    <row r="10" customFormat="false" ht="15" hidden="false" customHeight="false" outlineLevel="0" collapsed="false">
      <c r="B10" s="29" t="n">
        <v>1</v>
      </c>
      <c r="C10" s="2" t="n">
        <v>0.4</v>
      </c>
      <c r="D10" s="2" t="n">
        <f aca="false">1/6</f>
        <v>0.166666666666667</v>
      </c>
      <c r="E10" s="2" t="n">
        <f aca="false">+Summary!E21</f>
        <v>3</v>
      </c>
      <c r="F10" s="2" t="n">
        <f aca="false">+E10*C10</f>
        <v>1.2</v>
      </c>
      <c r="G10" s="31" t="n">
        <v>0</v>
      </c>
      <c r="H10" s="0" t="s">
        <v>77</v>
      </c>
    </row>
    <row r="11" customFormat="false" ht="15" hidden="false" customHeight="false" outlineLevel="0" collapsed="false">
      <c r="B11" s="34" t="s">
        <v>14</v>
      </c>
      <c r="C11" s="34" t="n">
        <f aca="false">+SUM(C10:C10)</f>
        <v>0.4</v>
      </c>
      <c r="D11" s="34"/>
      <c r="E11" s="34"/>
      <c r="F11" s="39" t="n">
        <f aca="false">+SUM(F10:F10)</f>
        <v>1.2</v>
      </c>
      <c r="G11" s="40"/>
    </row>
    <row r="12" customFormat="false" ht="15" hidden="false" customHeight="false" outlineLevel="0" collapsed="false">
      <c r="G12" s="45"/>
    </row>
    <row r="13" customFormat="false" ht="15" hidden="false" customHeight="false" outlineLevel="0" collapsed="false">
      <c r="G13" s="45"/>
    </row>
    <row r="14" customFormat="false" ht="15" hidden="false" customHeight="false" outlineLevel="0" collapsed="false">
      <c r="A14" s="8" t="s">
        <v>21</v>
      </c>
      <c r="B14" s="1" t="s">
        <v>22</v>
      </c>
      <c r="C14" s="1" t="s">
        <v>5</v>
      </c>
      <c r="D14" s="1" t="s">
        <v>69</v>
      </c>
      <c r="E14" s="1" t="s">
        <v>70</v>
      </c>
      <c r="F14" s="1" t="s">
        <v>3</v>
      </c>
      <c r="G14" s="1" t="s">
        <v>71</v>
      </c>
    </row>
    <row r="15" customFormat="false" ht="15" hidden="false" customHeight="false" outlineLevel="0" collapsed="false">
      <c r="B15" s="29" t="n">
        <v>1</v>
      </c>
      <c r="C15" s="2" t="n">
        <v>0.3</v>
      </c>
      <c r="D15" s="2" t="n">
        <f aca="false">+SUM(C$15:$C15)</f>
        <v>0.3</v>
      </c>
      <c r="E15" s="2" t="n">
        <f aca="false">+Summary!H21</f>
        <v>4</v>
      </c>
      <c r="F15" s="2" t="n">
        <f aca="false">+E15*C15</f>
        <v>1.2</v>
      </c>
      <c r="G15" s="31" t="n">
        <v>0</v>
      </c>
      <c r="H15" s="0" t="s">
        <v>77</v>
      </c>
    </row>
    <row r="16" customFormat="false" ht="15" hidden="false" customHeight="false" outlineLevel="0" collapsed="false">
      <c r="B16" s="34" t="s">
        <v>14</v>
      </c>
      <c r="C16" s="34" t="n">
        <f aca="false">+SUM(C15:C15)</f>
        <v>0.3</v>
      </c>
      <c r="D16" s="34"/>
      <c r="E16" s="34"/>
      <c r="F16" s="39" t="n">
        <f aca="false">+SUM(F15:F15)</f>
        <v>1.2</v>
      </c>
      <c r="G16"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101</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55" t="n">
        <v>0.12</v>
      </c>
      <c r="D5" s="12" t="n">
        <f aca="false">+SUM($C$5:C5)</f>
        <v>0.12</v>
      </c>
      <c r="E5" s="12" t="n">
        <f aca="false">+Summary!B36</f>
        <v>2</v>
      </c>
      <c r="F5" s="12" t="n">
        <f aca="false">+C5*E5</f>
        <v>0.24</v>
      </c>
      <c r="G5" s="31"/>
    </row>
    <row r="6" customFormat="false" ht="15" hidden="false" customHeight="false" outlineLevel="0" collapsed="false">
      <c r="B6" s="46" t="n">
        <v>2</v>
      </c>
      <c r="C6" s="55" t="n">
        <v>0.01</v>
      </c>
      <c r="D6" s="12" t="n">
        <f aca="false">+SUM($C$5:C6)</f>
        <v>0.13</v>
      </c>
      <c r="E6" s="12" t="n">
        <f aca="false">+Summary!B37</f>
        <v>5</v>
      </c>
      <c r="F6" s="12" t="n">
        <f aca="false">+C6*E6</f>
        <v>0.05</v>
      </c>
      <c r="G6" s="31"/>
    </row>
    <row r="7" customFormat="false" ht="15" hidden="false" customHeight="false" outlineLevel="0" collapsed="false">
      <c r="B7" s="46" t="n">
        <v>3</v>
      </c>
      <c r="C7" s="55" t="n">
        <v>0.01</v>
      </c>
      <c r="D7" s="12" t="n">
        <f aca="false">+SUM($C$5:C7)</f>
        <v>0.14</v>
      </c>
      <c r="E7" s="12" t="n">
        <f aca="false">+Summary!B38</f>
        <v>8</v>
      </c>
      <c r="F7" s="12" t="n">
        <f aca="false">+C7*E7</f>
        <v>0.08</v>
      </c>
      <c r="G7" s="31"/>
      <c r="I7" s="49"/>
    </row>
    <row r="8" customFormat="false" ht="15" hidden="false" customHeight="false" outlineLevel="0" collapsed="false">
      <c r="B8" s="46" t="s">
        <v>73</v>
      </c>
      <c r="C8" s="55" t="n">
        <v>0.01</v>
      </c>
      <c r="D8" s="12" t="n">
        <f aca="false">+SUM($C$5:C8)</f>
        <v>0.15</v>
      </c>
      <c r="E8" s="12" t="n">
        <f aca="false">+E5+E6</f>
        <v>7</v>
      </c>
      <c r="F8" s="12" t="n">
        <f aca="false">+C8*E8</f>
        <v>0.07</v>
      </c>
      <c r="G8" s="31"/>
      <c r="I8" s="50"/>
    </row>
    <row r="9" customFormat="false" ht="15" hidden="false" customHeight="false" outlineLevel="0" collapsed="false">
      <c r="B9" s="46" t="s">
        <v>74</v>
      </c>
      <c r="C9" s="55" t="n">
        <v>0.02</v>
      </c>
      <c r="D9" s="12" t="n">
        <f aca="false">+SUM($C$5:C9)</f>
        <v>0.17</v>
      </c>
      <c r="E9" s="12" t="n">
        <f aca="false">+E5+E7</f>
        <v>10</v>
      </c>
      <c r="F9" s="12" t="n">
        <f aca="false">+C9*E9</f>
        <v>0.2</v>
      </c>
      <c r="G9" s="31"/>
    </row>
    <row r="10" customFormat="false" ht="15" hidden="false" customHeight="false" outlineLevel="0" collapsed="false">
      <c r="B10" s="46" t="s">
        <v>75</v>
      </c>
      <c r="C10" s="55" t="n">
        <v>0.02</v>
      </c>
      <c r="D10" s="12" t="n">
        <f aca="false">+SUM($C$5:C10)</f>
        <v>0.19</v>
      </c>
      <c r="E10" s="12" t="n">
        <f aca="false">+E6+E7</f>
        <v>13</v>
      </c>
      <c r="F10" s="12" t="n">
        <f aca="false">+C10*E10</f>
        <v>0.26</v>
      </c>
      <c r="G10" s="31"/>
    </row>
    <row r="11" customFormat="false" ht="15" hidden="false" customHeight="false" outlineLevel="0" collapsed="false">
      <c r="B11" s="46" t="s">
        <v>76</v>
      </c>
      <c r="C11" s="55" t="n">
        <v>0.02</v>
      </c>
      <c r="D11" s="12" t="n">
        <f aca="false">+SUM($C$5:C11)</f>
        <v>0.21</v>
      </c>
      <c r="E11" s="12" t="n">
        <f aca="false">+E5+E6+E7</f>
        <v>15</v>
      </c>
      <c r="F11" s="12" t="n">
        <f aca="false">+C11*E11</f>
        <v>0.3</v>
      </c>
      <c r="G11" s="31" t="n">
        <v>0</v>
      </c>
      <c r="H11" s="0" t="s">
        <v>77</v>
      </c>
    </row>
    <row r="12" customFormat="false" ht="15" hidden="false" customHeight="false" outlineLevel="0" collapsed="false">
      <c r="B12" s="34" t="s">
        <v>78</v>
      </c>
      <c r="C12" s="34" t="n">
        <f aca="false">+SUM(C5:C11)</f>
        <v>0.21</v>
      </c>
      <c r="D12" s="34"/>
      <c r="E12" s="34"/>
      <c r="F12" s="35" t="n">
        <f aca="false">+SUM(F5:F11)</f>
        <v>1.2</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0.12</v>
      </c>
      <c r="D16" s="2" t="n">
        <f aca="false">+SUM(C16:$C$16)</f>
        <v>0.12</v>
      </c>
      <c r="E16" s="2" t="n">
        <f aca="false">+E6</f>
        <v>5</v>
      </c>
      <c r="F16" s="2" t="n">
        <f aca="false">+C16*E16</f>
        <v>0.6</v>
      </c>
      <c r="G16" s="31"/>
    </row>
    <row r="17" customFormat="false" ht="15" hidden="false" customHeight="false" outlineLevel="0" collapsed="false">
      <c r="A17" s="0" t="s">
        <v>82</v>
      </c>
      <c r="B17" s="29" t="n">
        <v>3</v>
      </c>
      <c r="C17" s="2" t="n">
        <v>0.01</v>
      </c>
      <c r="D17" s="2" t="n">
        <f aca="false">+SUM(C$16:$C17)</f>
        <v>0.13</v>
      </c>
      <c r="E17" s="2" t="n">
        <f aca="false">+E7</f>
        <v>8</v>
      </c>
      <c r="F17" s="2" t="n">
        <f aca="false">+C17*E17</f>
        <v>0.08</v>
      </c>
      <c r="G17" s="31"/>
      <c r="I17" s="51"/>
    </row>
    <row r="18" customFormat="false" ht="15" hidden="false" customHeight="false" outlineLevel="0" collapsed="false">
      <c r="B18" s="29" t="s">
        <v>75</v>
      </c>
      <c r="C18" s="2" t="n">
        <v>0.04</v>
      </c>
      <c r="D18" s="2" t="n">
        <f aca="false">+SUM(C$16:$C18)</f>
        <v>0.17</v>
      </c>
      <c r="E18" s="2" t="n">
        <f aca="false">+E16+E17</f>
        <v>13</v>
      </c>
      <c r="F18" s="2" t="n">
        <f aca="false">+C18*E18</f>
        <v>0.52</v>
      </c>
      <c r="G18" s="31" t="n">
        <v>0</v>
      </c>
      <c r="H18" s="0" t="s">
        <v>77</v>
      </c>
    </row>
    <row r="19" customFormat="false" ht="15" hidden="false" customHeight="false" outlineLevel="0" collapsed="false">
      <c r="B19" s="34" t="s">
        <v>14</v>
      </c>
      <c r="C19" s="34" t="n">
        <f aca="false">+SUM(C16:C18)</f>
        <v>0.17</v>
      </c>
      <c r="D19" s="34"/>
      <c r="E19" s="34"/>
      <c r="F19" s="39" t="n">
        <f aca="false">+SUM(F16:F18)</f>
        <v>1.2</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0.15</v>
      </c>
      <c r="D23" s="2" t="n">
        <f aca="false">+SUM(C23:$C$23)</f>
        <v>0.15</v>
      </c>
      <c r="E23" s="2" t="n">
        <f aca="false">+E5</f>
        <v>2</v>
      </c>
      <c r="F23" s="2" t="n">
        <f aca="false">+C23*E23</f>
        <v>0.3</v>
      </c>
      <c r="G23" s="31"/>
    </row>
    <row r="24" customFormat="false" ht="15" hidden="false" customHeight="false" outlineLevel="0" collapsed="false">
      <c r="A24" s="0" t="s">
        <v>84</v>
      </c>
      <c r="B24" s="29" t="n">
        <v>3</v>
      </c>
      <c r="C24" s="2" t="n">
        <v>0.05</v>
      </c>
      <c r="D24" s="2" t="n">
        <f aca="false">+SUM(C$23:$C24)</f>
        <v>0.2</v>
      </c>
      <c r="E24" s="2" t="n">
        <f aca="false">+E7</f>
        <v>8</v>
      </c>
      <c r="F24" s="2" t="n">
        <f aca="false">+C24*E24</f>
        <v>0.4</v>
      </c>
      <c r="G24" s="31"/>
    </row>
    <row r="25" customFormat="false" ht="15" hidden="false" customHeight="false" outlineLevel="0" collapsed="false">
      <c r="B25" s="29" t="s">
        <v>74</v>
      </c>
      <c r="C25" s="2" t="n">
        <v>0.05</v>
      </c>
      <c r="D25" s="2" t="n">
        <f aca="false">+SUM(C$23:$C25)</f>
        <v>0.25</v>
      </c>
      <c r="E25" s="2" t="n">
        <f aca="false">+E23+E24</f>
        <v>10</v>
      </c>
      <c r="F25" s="2" t="n">
        <f aca="false">+C25*E25</f>
        <v>0.5</v>
      </c>
      <c r="G25" s="31" t="n">
        <v>0</v>
      </c>
      <c r="H25" s="0" t="s">
        <v>77</v>
      </c>
    </row>
    <row r="26" customFormat="false" ht="15" hidden="false" customHeight="false" outlineLevel="0" collapsed="false">
      <c r="B26" s="34" t="s">
        <v>14</v>
      </c>
      <c r="C26" s="34" t="n">
        <f aca="false">+SUM(C23:C25)</f>
        <v>0.25</v>
      </c>
      <c r="D26" s="34"/>
      <c r="E26" s="34"/>
      <c r="F26" s="39" t="n">
        <f aca="false">+SUM(F23:F25)</f>
        <v>1.2</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0.15</v>
      </c>
      <c r="D30" s="2" t="n">
        <f aca="false">+SUM(C30:$C$30)</f>
        <v>0.15</v>
      </c>
      <c r="E30" s="2" t="n">
        <f aca="false">+E7</f>
        <v>8</v>
      </c>
      <c r="F30" s="2" t="n">
        <f aca="false">+C30*E30</f>
        <v>1.2</v>
      </c>
      <c r="G30" s="31" t="n">
        <v>0</v>
      </c>
      <c r="H30" s="0" t="s">
        <v>77</v>
      </c>
    </row>
    <row r="31" customFormat="false" ht="15" hidden="false" customHeight="false" outlineLevel="0" collapsed="false">
      <c r="A31" s="0" t="s">
        <v>82</v>
      </c>
      <c r="B31" s="34" t="s">
        <v>14</v>
      </c>
      <c r="C31" s="34" t="n">
        <f aca="false">+SUM(C30:C30)</f>
        <v>0.15</v>
      </c>
      <c r="D31" s="34"/>
      <c r="E31" s="34"/>
      <c r="F31" s="39" t="n">
        <f aca="false">+SUM(F30:F30)</f>
        <v>1.2</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0.14</v>
      </c>
      <c r="D35" s="2" t="n">
        <f aca="false">+SUM(C35:$C$35)</f>
        <v>0.14</v>
      </c>
      <c r="E35" s="2" t="n">
        <f aca="false">+E5</f>
        <v>2</v>
      </c>
      <c r="F35" s="2" t="n">
        <f aca="false">+C35*E35</f>
        <v>0.28</v>
      </c>
      <c r="G35" s="31"/>
    </row>
    <row r="36" customFormat="false" ht="15" hidden="false" customHeight="false" outlineLevel="0" collapsed="false">
      <c r="A36" s="0" t="s">
        <v>87</v>
      </c>
      <c r="B36" s="29" t="n">
        <v>2</v>
      </c>
      <c r="C36" s="2" t="n">
        <v>0.1</v>
      </c>
      <c r="D36" s="2" t="n">
        <f aca="false">+SUM(C$35:$C36)</f>
        <v>0.24</v>
      </c>
      <c r="E36" s="2" t="n">
        <f aca="false">+E6</f>
        <v>5</v>
      </c>
      <c r="F36" s="2" t="n">
        <f aca="false">+C36*E36</f>
        <v>0.5</v>
      </c>
      <c r="G36" s="31"/>
    </row>
    <row r="37" customFormat="false" ht="15" hidden="false" customHeight="false" outlineLevel="0" collapsed="false">
      <c r="B37" s="29" t="s">
        <v>73</v>
      </c>
      <c r="C37" s="2" t="n">
        <v>0.06</v>
      </c>
      <c r="D37" s="2" t="n">
        <f aca="false">+SUM(C$35:$C37)</f>
        <v>0.3</v>
      </c>
      <c r="E37" s="2" t="n">
        <f aca="false">+E35+E36</f>
        <v>7</v>
      </c>
      <c r="F37" s="2" t="n">
        <f aca="false">+C37*E37</f>
        <v>0.42</v>
      </c>
      <c r="G37" s="31" t="n">
        <v>0</v>
      </c>
      <c r="H37" s="0" t="s">
        <v>77</v>
      </c>
    </row>
    <row r="38" customFormat="false" ht="15" hidden="false" customHeight="false" outlineLevel="0" collapsed="false">
      <c r="A38" s="44"/>
      <c r="B38" s="34" t="s">
        <v>14</v>
      </c>
      <c r="C38" s="34" t="n">
        <f aca="false">+SUM(C35:C37)</f>
        <v>0.3</v>
      </c>
      <c r="D38" s="34"/>
      <c r="E38" s="34"/>
      <c r="F38" s="39" t="n">
        <f aca="false">+SUM(F35:F37)</f>
        <v>1.2</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1" t="s">
        <v>71</v>
      </c>
    </row>
    <row r="42" customFormat="false" ht="15" hidden="false" customHeight="false" outlineLevel="0" collapsed="false">
      <c r="A42" s="0" t="s">
        <v>81</v>
      </c>
      <c r="B42" s="29" t="n">
        <v>1</v>
      </c>
      <c r="C42" s="2" t="n">
        <v>0.6</v>
      </c>
      <c r="D42" s="2" t="n">
        <f aca="false">+SUM(C42:$C$42)</f>
        <v>0.6</v>
      </c>
      <c r="E42" s="2" t="n">
        <f aca="false">+E5</f>
        <v>2</v>
      </c>
      <c r="F42" s="2" t="n">
        <f aca="false">+E42*C42</f>
        <v>1.2</v>
      </c>
      <c r="G42" s="31" t="n">
        <v>0</v>
      </c>
      <c r="H42" s="0" t="s">
        <v>77</v>
      </c>
    </row>
    <row r="43" customFormat="false" ht="15" hidden="false" customHeight="false" outlineLevel="0" collapsed="false">
      <c r="A43" s="0" t="s">
        <v>84</v>
      </c>
      <c r="B43" s="34" t="s">
        <v>14</v>
      </c>
      <c r="C43" s="34" t="n">
        <f aca="false">+SUM(C42:C42)</f>
        <v>0.6</v>
      </c>
      <c r="D43" s="34"/>
      <c r="E43" s="34"/>
      <c r="F43" s="39" t="n">
        <f aca="false">+SUM(F42:F42)</f>
        <v>1.2</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1" t="s">
        <v>71</v>
      </c>
    </row>
    <row r="47" customFormat="false" ht="15" hidden="false" customHeight="false" outlineLevel="0" collapsed="false">
      <c r="A47" s="0" t="s">
        <v>81</v>
      </c>
      <c r="B47" s="29" t="n">
        <v>2</v>
      </c>
      <c r="C47" s="2" t="n">
        <v>0.24</v>
      </c>
      <c r="D47" s="2" t="n">
        <f aca="false">+SUM(C$47:$C47)</f>
        <v>0.24</v>
      </c>
      <c r="E47" s="2" t="n">
        <f aca="false">+E6</f>
        <v>5</v>
      </c>
      <c r="F47" s="2" t="n">
        <f aca="false">+E47*C47</f>
        <v>1.2</v>
      </c>
      <c r="G47" s="31" t="n">
        <v>0</v>
      </c>
      <c r="H47" s="0" t="s">
        <v>77</v>
      </c>
    </row>
    <row r="48" customFormat="false" ht="15" hidden="false" customHeight="false" outlineLevel="0" collapsed="false">
      <c r="A48" s="0" t="s">
        <v>82</v>
      </c>
      <c r="B48" s="34" t="s">
        <v>14</v>
      </c>
      <c r="C48" s="34" t="n">
        <f aca="false">+SUM(C47:C47)</f>
        <v>0.24</v>
      </c>
      <c r="D48" s="34"/>
      <c r="E48" s="34"/>
      <c r="F48" s="39" t="n">
        <f aca="false">+SUM(F47:F47)</f>
        <v>1.2</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102</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0.2</v>
      </c>
      <c r="D5" s="12" t="n">
        <f aca="false">+SUM($C$5:C5)</f>
        <v>0.2</v>
      </c>
      <c r="E5" s="52" t="n">
        <f aca="false">Summary!E27</f>
        <v>1.5</v>
      </c>
      <c r="F5" s="12" t="n">
        <f aca="false">+C5*E5</f>
        <v>0.3</v>
      </c>
      <c r="G5" s="31"/>
    </row>
    <row r="6" customFormat="false" ht="15" hidden="false" customHeight="false" outlineLevel="0" collapsed="false">
      <c r="B6" s="46" t="n">
        <v>2</v>
      </c>
      <c r="C6" s="12" t="n">
        <v>0.2</v>
      </c>
      <c r="D6" s="12" t="n">
        <f aca="false">+SUM($C$5:C6)</f>
        <v>0.4</v>
      </c>
      <c r="E6" s="52" t="n">
        <f aca="false">Summary!E28</f>
        <v>1.5</v>
      </c>
      <c r="F6" s="12" t="n">
        <f aca="false">+C6*E6</f>
        <v>0.3</v>
      </c>
      <c r="G6" s="31"/>
    </row>
    <row r="7" customFormat="false" ht="15" hidden="false" customHeight="false" outlineLevel="0" collapsed="false">
      <c r="B7" s="46" t="n">
        <v>3</v>
      </c>
      <c r="C7" s="12" t="n">
        <v>0.04</v>
      </c>
      <c r="D7" s="12" t="n">
        <f aca="false">+SUM($C$5:C7)</f>
        <v>0.44</v>
      </c>
      <c r="E7" s="53" t="n">
        <f aca="false">Summary!E29</f>
        <v>3</v>
      </c>
      <c r="F7" s="12" t="n">
        <f aca="false">+C7*E7</f>
        <v>0.12</v>
      </c>
      <c r="G7" s="31"/>
    </row>
    <row r="8" customFormat="false" ht="15" hidden="false" customHeight="false" outlineLevel="0" collapsed="false">
      <c r="B8" s="46" t="s">
        <v>73</v>
      </c>
      <c r="C8" s="12" t="n">
        <v>0.07</v>
      </c>
      <c r="D8" s="12" t="n">
        <f aca="false">+SUM($C$5:C8)</f>
        <v>0.51</v>
      </c>
      <c r="E8" s="12" t="n">
        <f aca="false">+E5+E6</f>
        <v>3</v>
      </c>
      <c r="F8" s="12" t="n">
        <f aca="false">+C8*E8</f>
        <v>0.21</v>
      </c>
      <c r="G8" s="31"/>
    </row>
    <row r="9" customFormat="false" ht="15" hidden="false" customHeight="false" outlineLevel="0" collapsed="false">
      <c r="B9" s="46" t="s">
        <v>74</v>
      </c>
      <c r="C9" s="12" t="n">
        <v>0.01</v>
      </c>
      <c r="D9" s="12" t="n">
        <f aca="false">+SUM($C$5:C9)</f>
        <v>0.52</v>
      </c>
      <c r="E9" s="12" t="n">
        <f aca="false">+E5+E7</f>
        <v>4.5</v>
      </c>
      <c r="F9" s="12" t="n">
        <f aca="false">+C9*E9</f>
        <v>0.045</v>
      </c>
      <c r="G9" s="31"/>
    </row>
    <row r="10" customFormat="false" ht="15" hidden="false" customHeight="false" outlineLevel="0" collapsed="false">
      <c r="B10" s="46" t="s">
        <v>75</v>
      </c>
      <c r="C10" s="12" t="n">
        <v>0.01</v>
      </c>
      <c r="D10" s="12" t="n">
        <f aca="false">+SUM($C$5:C10)</f>
        <v>0.53</v>
      </c>
      <c r="E10" s="12" t="n">
        <f aca="false">+E6+E7</f>
        <v>4.5</v>
      </c>
      <c r="F10" s="12" t="n">
        <f aca="false">+C10*E10</f>
        <v>0.045</v>
      </c>
      <c r="G10" s="31"/>
    </row>
    <row r="11" customFormat="false" ht="15" hidden="false" customHeight="false" outlineLevel="0" collapsed="false">
      <c r="B11" s="46" t="s">
        <v>76</v>
      </c>
      <c r="C11" s="12" t="n">
        <v>0.005</v>
      </c>
      <c r="D11" s="12" t="n">
        <f aca="false">+SUM($C$5:C11)</f>
        <v>0.535</v>
      </c>
      <c r="E11" s="12" t="n">
        <f aca="false">+E5+E6+E7</f>
        <v>6</v>
      </c>
      <c r="F11" s="12" t="n">
        <f aca="false">+C11*E11</f>
        <v>0.03</v>
      </c>
      <c r="G11" s="31" t="n">
        <v>0</v>
      </c>
      <c r="H11" s="0" t="s">
        <v>77</v>
      </c>
    </row>
    <row r="12" customFormat="false" ht="15" hidden="false" customHeight="false" outlineLevel="0" collapsed="false">
      <c r="B12" s="34" t="s">
        <v>78</v>
      </c>
      <c r="C12" s="34" t="n">
        <f aca="false">+SUM(C5:C11)</f>
        <v>0.535</v>
      </c>
      <c r="D12" s="34"/>
      <c r="E12" s="34"/>
      <c r="F12" s="54" t="n">
        <f aca="false">+SUM(F5:F11)</f>
        <v>1.05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0.5</v>
      </c>
      <c r="D16" s="2" t="n">
        <f aca="false">+SUM(C16:$C$16)</f>
        <v>0.5</v>
      </c>
      <c r="E16" s="2" t="n">
        <f aca="false">+E6</f>
        <v>1.5</v>
      </c>
      <c r="F16" s="2" t="n">
        <f aca="false">+C16*E16</f>
        <v>0.75</v>
      </c>
      <c r="G16" s="31"/>
    </row>
    <row r="17" customFormat="false" ht="15" hidden="false" customHeight="false" outlineLevel="0" collapsed="false">
      <c r="A17" s="0" t="s">
        <v>82</v>
      </c>
      <c r="B17" s="29" t="n">
        <v>3</v>
      </c>
      <c r="C17" s="2" t="n">
        <v>0.055</v>
      </c>
      <c r="D17" s="2" t="n">
        <f aca="false">+SUM(C$16:$C17)</f>
        <v>0.555</v>
      </c>
      <c r="E17" s="2" t="n">
        <f aca="false">+E7</f>
        <v>3</v>
      </c>
      <c r="F17" s="2" t="n">
        <f aca="false">+C17*E17</f>
        <v>0.165</v>
      </c>
      <c r="G17" s="31"/>
    </row>
    <row r="18" customFormat="false" ht="15" hidden="false" customHeight="false" outlineLevel="0" collapsed="false">
      <c r="B18" s="29" t="s">
        <v>75</v>
      </c>
      <c r="C18" s="2" t="n">
        <v>0.03</v>
      </c>
      <c r="D18" s="2" t="n">
        <f aca="false">+SUM(C$16:$C18)</f>
        <v>0.585</v>
      </c>
      <c r="E18" s="2" t="n">
        <f aca="false">+E16+E17</f>
        <v>4.5</v>
      </c>
      <c r="F18" s="2" t="n">
        <f aca="false">+C18*E18</f>
        <v>0.135</v>
      </c>
      <c r="G18" s="31" t="n">
        <v>0</v>
      </c>
      <c r="H18" s="0" t="s">
        <v>77</v>
      </c>
    </row>
    <row r="19" customFormat="false" ht="15" hidden="false" customHeight="false" outlineLevel="0" collapsed="false">
      <c r="B19" s="34" t="s">
        <v>14</v>
      </c>
      <c r="C19" s="34" t="n">
        <f aca="false">+SUM(C16:C18)</f>
        <v>0.585</v>
      </c>
      <c r="D19" s="34"/>
      <c r="E19" s="34"/>
      <c r="F19" s="39" t="n">
        <f aca="false">+SUM(F16:F18)</f>
        <v>1.05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0.5</v>
      </c>
      <c r="D23" s="2" t="n">
        <f aca="false">+SUM(C23:$C$23)</f>
        <v>0.5</v>
      </c>
      <c r="E23" s="2" t="n">
        <f aca="false">+E5</f>
        <v>1.5</v>
      </c>
      <c r="F23" s="2" t="n">
        <f aca="false">+C23*E23</f>
        <v>0.75</v>
      </c>
      <c r="G23" s="31"/>
    </row>
    <row r="24" customFormat="false" ht="15" hidden="false" customHeight="false" outlineLevel="0" collapsed="false">
      <c r="A24" s="0" t="s">
        <v>84</v>
      </c>
      <c r="B24" s="29" t="n">
        <v>3</v>
      </c>
      <c r="C24" s="2" t="n">
        <v>0.055</v>
      </c>
      <c r="D24" s="2" t="n">
        <f aca="false">+SUM(C$23:$C24)</f>
        <v>0.555</v>
      </c>
      <c r="E24" s="2" t="n">
        <f aca="false">+E7</f>
        <v>3</v>
      </c>
      <c r="F24" s="2" t="n">
        <f aca="false">+C24*E24</f>
        <v>0.165</v>
      </c>
      <c r="G24" s="31"/>
    </row>
    <row r="25" customFormat="false" ht="15" hidden="false" customHeight="false" outlineLevel="0" collapsed="false">
      <c r="B25" s="29" t="s">
        <v>74</v>
      </c>
      <c r="C25" s="2" t="n">
        <v>0.03</v>
      </c>
      <c r="D25" s="2" t="n">
        <f aca="false">+SUM(C$23:$C25)</f>
        <v>0.585</v>
      </c>
      <c r="E25" s="2" t="n">
        <f aca="false">+E23+E24</f>
        <v>4.5</v>
      </c>
      <c r="F25" s="2" t="n">
        <f aca="false">+C25*E25</f>
        <v>0.135</v>
      </c>
      <c r="G25" s="31" t="n">
        <v>0</v>
      </c>
      <c r="H25" s="0" t="s">
        <v>77</v>
      </c>
      <c r="J25" s="48"/>
    </row>
    <row r="26" customFormat="false" ht="15" hidden="false" customHeight="false" outlineLevel="0" collapsed="false">
      <c r="B26" s="34" t="s">
        <v>14</v>
      </c>
      <c r="C26" s="34" t="n">
        <f aca="false">+SUM(C23:C25)</f>
        <v>0.585</v>
      </c>
      <c r="D26" s="34"/>
      <c r="E26" s="34"/>
      <c r="F26" s="39" t="n">
        <f aca="false">+SUM(F23:F25)</f>
        <v>1.05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0.35</v>
      </c>
      <c r="D30" s="2" t="n">
        <f aca="false">+SUM(C30:$C$30)</f>
        <v>0.35</v>
      </c>
      <c r="E30" s="2" t="n">
        <f aca="false">+E7</f>
        <v>3</v>
      </c>
      <c r="F30" s="2" t="n">
        <f aca="false">+C30*E30</f>
        <v>1.05</v>
      </c>
      <c r="G30" s="31" t="n">
        <v>0</v>
      </c>
      <c r="H30" s="0" t="s">
        <v>77</v>
      </c>
    </row>
    <row r="31" customFormat="false" ht="15" hidden="false" customHeight="false" outlineLevel="0" collapsed="false">
      <c r="A31" s="0" t="s">
        <v>82</v>
      </c>
      <c r="B31" s="34" t="s">
        <v>14</v>
      </c>
      <c r="C31" s="34" t="n">
        <f aca="false">+SUM(C30:C30)</f>
        <v>0.35</v>
      </c>
      <c r="D31" s="34"/>
      <c r="E31" s="34"/>
      <c r="F31" s="39" t="n">
        <f aca="false">+SUM(F30:F30)</f>
        <v>1.05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0.3</v>
      </c>
      <c r="D35" s="2" t="n">
        <f aca="false">+SUM(C35:$C$35)</f>
        <v>0.3</v>
      </c>
      <c r="E35" s="2" t="n">
        <f aca="false">+E5</f>
        <v>1.5</v>
      </c>
      <c r="F35" s="2" t="n">
        <f aca="false">+C35*E35</f>
        <v>0.45</v>
      </c>
      <c r="G35" s="31"/>
    </row>
    <row r="36" customFormat="false" ht="15" hidden="false" customHeight="false" outlineLevel="0" collapsed="false">
      <c r="A36" s="0" t="s">
        <v>87</v>
      </c>
      <c r="B36" s="29" t="n">
        <v>2</v>
      </c>
      <c r="C36" s="2" t="n">
        <v>0.3</v>
      </c>
      <c r="D36" s="2" t="n">
        <f aca="false">+SUM(C$35:$C36)</f>
        <v>0.6</v>
      </c>
      <c r="E36" s="2" t="n">
        <f aca="false">+E6</f>
        <v>1.5</v>
      </c>
      <c r="F36" s="2" t="n">
        <f aca="false">+C36*E36</f>
        <v>0.45</v>
      </c>
      <c r="G36" s="31"/>
    </row>
    <row r="37" customFormat="false" ht="15" hidden="false" customHeight="false" outlineLevel="0" collapsed="false">
      <c r="B37" s="29" t="s">
        <v>73</v>
      </c>
      <c r="C37" s="2" t="n">
        <v>0.05</v>
      </c>
      <c r="D37" s="2" t="n">
        <f aca="false">+SUM(C$35:$C37)</f>
        <v>0.65</v>
      </c>
      <c r="E37" s="2" t="n">
        <f aca="false">+E35+E36</f>
        <v>3</v>
      </c>
      <c r="F37" s="2" t="n">
        <f aca="false">+C37*E37</f>
        <v>0.15</v>
      </c>
      <c r="G37" s="31" t="n">
        <v>0</v>
      </c>
      <c r="H37" s="0" t="s">
        <v>77</v>
      </c>
    </row>
    <row r="38" customFormat="false" ht="15" hidden="false" customHeight="false" outlineLevel="0" collapsed="false">
      <c r="A38" s="44"/>
      <c r="B38" s="34" t="s">
        <v>14</v>
      </c>
      <c r="C38" s="34" t="n">
        <f aca="false">+SUM(C35:C37)</f>
        <v>0.65</v>
      </c>
      <c r="D38" s="34"/>
      <c r="E38" s="34"/>
      <c r="F38" s="39" t="n">
        <f aca="false">+SUM(F35:F37)</f>
        <v>1.05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0.7</v>
      </c>
      <c r="D42" s="2" t="n">
        <f aca="false">+SUM(C42:$C$42)</f>
        <v>0.7</v>
      </c>
      <c r="E42" s="2" t="n">
        <f aca="false">+E5</f>
        <v>1.5</v>
      </c>
      <c r="F42" s="2" t="n">
        <f aca="false">+E42*C42</f>
        <v>1.05</v>
      </c>
      <c r="G42" s="31" t="n">
        <v>0</v>
      </c>
      <c r="H42" s="0" t="s">
        <v>77</v>
      </c>
    </row>
    <row r="43" customFormat="false" ht="15" hidden="false" customHeight="false" outlineLevel="0" collapsed="false">
      <c r="A43" s="0" t="s">
        <v>84</v>
      </c>
      <c r="B43" s="34" t="s">
        <v>14</v>
      </c>
      <c r="C43" s="34" t="n">
        <f aca="false">+SUM(C42:C42)</f>
        <v>0.7</v>
      </c>
      <c r="D43" s="34"/>
      <c r="E43" s="34"/>
      <c r="F43" s="39" t="n">
        <f aca="false">+SUM(F42:F42)</f>
        <v>1.05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0.7</v>
      </c>
      <c r="D47" s="2" t="n">
        <f aca="false">+SUM(C$47:$C47)</f>
        <v>0.7</v>
      </c>
      <c r="E47" s="2" t="n">
        <f aca="false">+E6</f>
        <v>1.5</v>
      </c>
      <c r="F47" s="2" t="n">
        <f aca="false">+E47*C47</f>
        <v>1.05</v>
      </c>
      <c r="G47" s="31" t="n">
        <v>0</v>
      </c>
      <c r="H47" s="0" t="s">
        <v>77</v>
      </c>
    </row>
    <row r="48" customFormat="false" ht="15" hidden="false" customHeight="false" outlineLevel="0" collapsed="false">
      <c r="A48" s="0" t="s">
        <v>82</v>
      </c>
      <c r="B48" s="34" t="s">
        <v>14</v>
      </c>
      <c r="C48" s="34" t="n">
        <f aca="false">+SUM(C47:C47)</f>
        <v>0.7</v>
      </c>
      <c r="D48" s="34"/>
      <c r="E48" s="34"/>
      <c r="F48" s="39" t="n">
        <f aca="false">+SUM(F47:F47)</f>
        <v>1.05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103</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0.15</v>
      </c>
      <c r="D5" s="12" t="n">
        <f aca="false">+SUM($C$5:C5)</f>
        <v>0.15</v>
      </c>
      <c r="E5" s="12" t="n">
        <f aca="false">+Summary!H27</f>
        <v>2</v>
      </c>
      <c r="F5" s="12" t="n">
        <f aca="false">+C5*E5</f>
        <v>0.3</v>
      </c>
      <c r="G5" s="31"/>
    </row>
    <row r="6" customFormat="false" ht="15" hidden="false" customHeight="false" outlineLevel="0" collapsed="false">
      <c r="B6" s="46" t="n">
        <v>2</v>
      </c>
      <c r="C6" s="12" t="n">
        <v>0.15</v>
      </c>
      <c r="D6" s="12" t="n">
        <f aca="false">+SUM($C$5:C6)</f>
        <v>0.3</v>
      </c>
      <c r="E6" s="12" t="n">
        <f aca="false">+Summary!H28</f>
        <v>2</v>
      </c>
      <c r="F6" s="12" t="n">
        <f aca="false">+C6*E6</f>
        <v>0.3</v>
      </c>
      <c r="G6" s="31"/>
    </row>
    <row r="7" customFormat="false" ht="15" hidden="false" customHeight="false" outlineLevel="0" collapsed="false">
      <c r="B7" s="46" t="n">
        <v>3</v>
      </c>
      <c r="C7" s="12" t="n">
        <v>0.0225</v>
      </c>
      <c r="D7" s="12" t="n">
        <f aca="false">+SUM($C$5:C7)</f>
        <v>0.3225</v>
      </c>
      <c r="E7" s="12" t="n">
        <f aca="false">+Summary!H29</f>
        <v>4</v>
      </c>
      <c r="F7" s="12" t="n">
        <f aca="false">+C7*E7</f>
        <v>0.09</v>
      </c>
      <c r="G7" s="31"/>
    </row>
    <row r="8" customFormat="false" ht="15" hidden="false" customHeight="false" outlineLevel="0" collapsed="false">
      <c r="B8" s="46" t="s">
        <v>73</v>
      </c>
      <c r="C8" s="12" t="n">
        <v>0.05</v>
      </c>
      <c r="D8" s="12" t="n">
        <f aca="false">+SUM($C$5:C8)</f>
        <v>0.3725</v>
      </c>
      <c r="E8" s="12" t="n">
        <f aca="false">+E5+E6</f>
        <v>4</v>
      </c>
      <c r="F8" s="12" t="n">
        <f aca="false">+C8*E8</f>
        <v>0.2</v>
      </c>
      <c r="G8" s="31"/>
    </row>
    <row r="9" customFormat="false" ht="15" hidden="false" customHeight="false" outlineLevel="0" collapsed="false">
      <c r="B9" s="46" t="s">
        <v>74</v>
      </c>
      <c r="C9" s="12" t="n">
        <v>0.01</v>
      </c>
      <c r="D9" s="12" t="n">
        <f aca="false">+SUM($C$5:C9)</f>
        <v>0.3825</v>
      </c>
      <c r="E9" s="12" t="n">
        <f aca="false">+E5+E7</f>
        <v>6</v>
      </c>
      <c r="F9" s="12" t="n">
        <f aca="false">+C9*E9</f>
        <v>0.06</v>
      </c>
      <c r="G9" s="31"/>
    </row>
    <row r="10" customFormat="false" ht="15" hidden="false" customHeight="false" outlineLevel="0" collapsed="false">
      <c r="B10" s="46" t="s">
        <v>75</v>
      </c>
      <c r="C10" s="12" t="n">
        <v>0.01</v>
      </c>
      <c r="D10" s="12" t="n">
        <f aca="false">+SUM($C$5:C10)</f>
        <v>0.3925</v>
      </c>
      <c r="E10" s="12" t="n">
        <f aca="false">+E6+E7</f>
        <v>6</v>
      </c>
      <c r="F10" s="12" t="n">
        <f aca="false">+C10*E10</f>
        <v>0.06</v>
      </c>
      <c r="G10" s="31"/>
    </row>
    <row r="11" customFormat="false" ht="15" hidden="false" customHeight="false" outlineLevel="0" collapsed="false">
      <c r="B11" s="46" t="s">
        <v>76</v>
      </c>
      <c r="C11" s="12" t="n">
        <v>0.005</v>
      </c>
      <c r="D11" s="12" t="n">
        <f aca="false">+SUM($C$5:C11)</f>
        <v>0.3975</v>
      </c>
      <c r="E11" s="12" t="n">
        <f aca="false">+E5+E6+E7</f>
        <v>8</v>
      </c>
      <c r="F11" s="12" t="n">
        <f aca="false">+C11*E11</f>
        <v>0.04</v>
      </c>
      <c r="G11" s="31" t="n">
        <v>0</v>
      </c>
      <c r="H11" s="0" t="s">
        <v>77</v>
      </c>
    </row>
    <row r="12" customFormat="false" ht="15" hidden="false" customHeight="false" outlineLevel="0" collapsed="false">
      <c r="B12" s="34" t="s">
        <v>78</v>
      </c>
      <c r="C12" s="34" t="n">
        <f aca="false">+SUM(C5:C11)</f>
        <v>0.3975</v>
      </c>
      <c r="D12" s="34"/>
      <c r="E12" s="34"/>
      <c r="F12" s="54" t="n">
        <f aca="false">+SUM(F5:F11)</f>
        <v>1.05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0.4</v>
      </c>
      <c r="D16" s="2" t="n">
        <f aca="false">+SUM(C16:$C$16)</f>
        <v>0.4</v>
      </c>
      <c r="E16" s="2" t="n">
        <f aca="false">+E6</f>
        <v>2</v>
      </c>
      <c r="F16" s="2" t="n">
        <f aca="false">+C16*E16</f>
        <v>0.8</v>
      </c>
      <c r="G16" s="31"/>
    </row>
    <row r="17" customFormat="false" ht="15" hidden="false" customHeight="false" outlineLevel="0" collapsed="false">
      <c r="A17" s="0" t="s">
        <v>82</v>
      </c>
      <c r="B17" s="29" t="n">
        <v>3</v>
      </c>
      <c r="C17" s="2" t="n">
        <v>0.0325</v>
      </c>
      <c r="D17" s="2" t="n">
        <f aca="false">+SUM(C$16:$C17)</f>
        <v>0.4325</v>
      </c>
      <c r="E17" s="2" t="n">
        <f aca="false">+E7</f>
        <v>4</v>
      </c>
      <c r="F17" s="2" t="n">
        <f aca="false">+C17*E17</f>
        <v>0.13</v>
      </c>
      <c r="G17" s="31"/>
    </row>
    <row r="18" customFormat="false" ht="15" hidden="false" customHeight="false" outlineLevel="0" collapsed="false">
      <c r="B18" s="29" t="s">
        <v>75</v>
      </c>
      <c r="C18" s="2" t="n">
        <v>0.02</v>
      </c>
      <c r="D18" s="2" t="n">
        <f aca="false">+SUM(C$16:$C18)</f>
        <v>0.4525</v>
      </c>
      <c r="E18" s="2" t="n">
        <f aca="false">+E16+E17</f>
        <v>6</v>
      </c>
      <c r="F18" s="2" t="n">
        <f aca="false">+C18*E18</f>
        <v>0.12</v>
      </c>
      <c r="G18" s="31" t="n">
        <v>0</v>
      </c>
      <c r="H18" s="0" t="s">
        <v>77</v>
      </c>
    </row>
    <row r="19" customFormat="false" ht="15" hidden="false" customHeight="false" outlineLevel="0" collapsed="false">
      <c r="B19" s="34" t="s">
        <v>14</v>
      </c>
      <c r="C19" s="34" t="n">
        <f aca="false">+SUM(C16:C18)</f>
        <v>0.4525</v>
      </c>
      <c r="D19" s="34"/>
      <c r="E19" s="34"/>
      <c r="F19" s="39" t="n">
        <f aca="false">+SUM(F16:F18)</f>
        <v>1.05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0.4</v>
      </c>
      <c r="D23" s="2" t="n">
        <f aca="false">+SUM(C23:$C$23)</f>
        <v>0.4</v>
      </c>
      <c r="E23" s="2" t="n">
        <f aca="false">+E5</f>
        <v>2</v>
      </c>
      <c r="F23" s="2" t="n">
        <f aca="false">+C23*E23</f>
        <v>0.8</v>
      </c>
      <c r="G23" s="31"/>
    </row>
    <row r="24" customFormat="false" ht="15" hidden="false" customHeight="false" outlineLevel="0" collapsed="false">
      <c r="A24" s="0" t="s">
        <v>84</v>
      </c>
      <c r="B24" s="29" t="n">
        <v>3</v>
      </c>
      <c r="C24" s="2" t="n">
        <v>0.0325</v>
      </c>
      <c r="D24" s="2" t="n">
        <f aca="false">+SUM(C$23:$C24)</f>
        <v>0.4325</v>
      </c>
      <c r="E24" s="2" t="n">
        <f aca="false">+E7</f>
        <v>4</v>
      </c>
      <c r="F24" s="2" t="n">
        <f aca="false">+C24*E24</f>
        <v>0.13</v>
      </c>
      <c r="G24" s="31"/>
    </row>
    <row r="25" customFormat="false" ht="15" hidden="false" customHeight="false" outlineLevel="0" collapsed="false">
      <c r="B25" s="29" t="s">
        <v>74</v>
      </c>
      <c r="C25" s="2" t="n">
        <v>0.02</v>
      </c>
      <c r="D25" s="2" t="n">
        <f aca="false">+SUM(C$23:$C25)</f>
        <v>0.4525</v>
      </c>
      <c r="E25" s="2" t="n">
        <f aca="false">+E23+E24</f>
        <v>6</v>
      </c>
      <c r="F25" s="2" t="n">
        <f aca="false">+C25*E25</f>
        <v>0.12</v>
      </c>
      <c r="G25" s="31" t="n">
        <v>0</v>
      </c>
      <c r="H25" s="0" t="s">
        <v>77</v>
      </c>
      <c r="J25" s="48"/>
    </row>
    <row r="26" customFormat="false" ht="15" hidden="false" customHeight="false" outlineLevel="0" collapsed="false">
      <c r="B26" s="34" t="s">
        <v>14</v>
      </c>
      <c r="C26" s="34" t="n">
        <f aca="false">+SUM(C23:C25)</f>
        <v>0.4525</v>
      </c>
      <c r="D26" s="34"/>
      <c r="E26" s="34"/>
      <c r="F26" s="39" t="n">
        <f aca="false">+SUM(F23:F25)</f>
        <v>1.05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0.2625</v>
      </c>
      <c r="D30" s="2" t="n">
        <f aca="false">+SUM(C30:$C$30)</f>
        <v>0.2625</v>
      </c>
      <c r="E30" s="2" t="n">
        <f aca="false">+E7</f>
        <v>4</v>
      </c>
      <c r="F30" s="2" t="n">
        <f aca="false">+C30*E30</f>
        <v>1.05</v>
      </c>
      <c r="G30" s="31" t="n">
        <v>0</v>
      </c>
      <c r="H30" s="0" t="s">
        <v>77</v>
      </c>
    </row>
    <row r="31" customFormat="false" ht="15" hidden="false" customHeight="false" outlineLevel="0" collapsed="false">
      <c r="A31" s="0" t="s">
        <v>82</v>
      </c>
      <c r="B31" s="34" t="s">
        <v>14</v>
      </c>
      <c r="C31" s="34" t="n">
        <f aca="false">+SUM(C30:C30)</f>
        <v>0.2625</v>
      </c>
      <c r="D31" s="34"/>
      <c r="E31" s="34"/>
      <c r="F31" s="39" t="n">
        <f aca="false">+SUM(F30:F30)</f>
        <v>1.05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0.24</v>
      </c>
      <c r="D35" s="2" t="n">
        <f aca="false">+SUM(C35:$C$35)</f>
        <v>0.24</v>
      </c>
      <c r="E35" s="2" t="n">
        <f aca="false">+E5</f>
        <v>2</v>
      </c>
      <c r="F35" s="2" t="n">
        <f aca="false">+C35*E35</f>
        <v>0.48</v>
      </c>
      <c r="G35" s="31"/>
    </row>
    <row r="36" customFormat="false" ht="15" hidden="false" customHeight="false" outlineLevel="0" collapsed="false">
      <c r="A36" s="0" t="s">
        <v>87</v>
      </c>
      <c r="B36" s="29" t="n">
        <v>2</v>
      </c>
      <c r="C36" s="2" t="n">
        <v>0.24</v>
      </c>
      <c r="D36" s="2" t="n">
        <f aca="false">+SUM(C$35:$C36)</f>
        <v>0.48</v>
      </c>
      <c r="E36" s="2" t="n">
        <f aca="false">+E6</f>
        <v>2</v>
      </c>
      <c r="F36" s="2" t="n">
        <f aca="false">+C36*E36</f>
        <v>0.48</v>
      </c>
      <c r="G36" s="31"/>
    </row>
    <row r="37" customFormat="false" ht="15" hidden="false" customHeight="false" outlineLevel="0" collapsed="false">
      <c r="B37" s="29" t="s">
        <v>73</v>
      </c>
      <c r="C37" s="2" t="n">
        <v>0.0225</v>
      </c>
      <c r="D37" s="2" t="n">
        <f aca="false">+SUM(C$35:$C37)</f>
        <v>0.5025</v>
      </c>
      <c r="E37" s="2" t="n">
        <f aca="false">+E35+E36</f>
        <v>4</v>
      </c>
      <c r="F37" s="2" t="n">
        <f aca="false">+C37*E37</f>
        <v>0.09</v>
      </c>
      <c r="G37" s="31" t="n">
        <v>0</v>
      </c>
      <c r="H37" s="0" t="s">
        <v>77</v>
      </c>
    </row>
    <row r="38" customFormat="false" ht="15" hidden="false" customHeight="false" outlineLevel="0" collapsed="false">
      <c r="A38" s="44"/>
      <c r="B38" s="34" t="s">
        <v>14</v>
      </c>
      <c r="C38" s="34" t="n">
        <f aca="false">+SUM(C35:C37)</f>
        <v>0.5025</v>
      </c>
      <c r="D38" s="34"/>
      <c r="E38" s="34"/>
      <c r="F38" s="39" t="n">
        <f aca="false">+SUM(F35:F37)</f>
        <v>1.05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0.525</v>
      </c>
      <c r="D42" s="2" t="n">
        <f aca="false">+SUM(C42:$C$42)</f>
        <v>0.525</v>
      </c>
      <c r="E42" s="2" t="n">
        <f aca="false">+E5</f>
        <v>2</v>
      </c>
      <c r="F42" s="2" t="n">
        <f aca="false">+E42*C42</f>
        <v>1.05</v>
      </c>
      <c r="G42" s="31" t="n">
        <v>0</v>
      </c>
      <c r="H42" s="0" t="s">
        <v>77</v>
      </c>
    </row>
    <row r="43" customFormat="false" ht="15" hidden="false" customHeight="false" outlineLevel="0" collapsed="false">
      <c r="A43" s="0" t="s">
        <v>84</v>
      </c>
      <c r="B43" s="34" t="s">
        <v>14</v>
      </c>
      <c r="C43" s="34" t="n">
        <f aca="false">+SUM(C42:C42)</f>
        <v>0.525</v>
      </c>
      <c r="D43" s="34"/>
      <c r="E43" s="34"/>
      <c r="F43" s="39" t="n">
        <f aca="false">+SUM(F42:F42)</f>
        <v>1.05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0.525</v>
      </c>
      <c r="D47" s="2" t="n">
        <f aca="false">+SUM(C$47:$C47)</f>
        <v>0.525</v>
      </c>
      <c r="E47" s="2" t="n">
        <f aca="false">+E6</f>
        <v>2</v>
      </c>
      <c r="F47" s="2" t="n">
        <f aca="false">+E47*C47</f>
        <v>1.05</v>
      </c>
      <c r="G47" s="31" t="n">
        <v>0</v>
      </c>
      <c r="H47" s="0" t="s">
        <v>77</v>
      </c>
    </row>
    <row r="48" customFormat="false" ht="15" hidden="false" customHeight="false" outlineLevel="0" collapsed="false">
      <c r="A48" s="0" t="s">
        <v>82</v>
      </c>
      <c r="B48" s="34" t="s">
        <v>14</v>
      </c>
      <c r="C48" s="34" t="n">
        <f aca="false">+SUM(C47:C47)</f>
        <v>0.525</v>
      </c>
      <c r="D48" s="34"/>
      <c r="E48" s="34"/>
      <c r="F48" s="39" t="n">
        <f aca="false">+SUM(F47:F47)</f>
        <v>1.05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104</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0.1</v>
      </c>
      <c r="D5" s="12" t="n">
        <f aca="false">+SUM($C$5:C5)</f>
        <v>0.1</v>
      </c>
      <c r="E5" s="53" t="n">
        <f aca="false">Summary!K27</f>
        <v>3</v>
      </c>
      <c r="F5" s="12" t="n">
        <f aca="false">+C5*E5</f>
        <v>0.3</v>
      </c>
      <c r="G5" s="31"/>
    </row>
    <row r="6" customFormat="false" ht="15" hidden="false" customHeight="false" outlineLevel="0" collapsed="false">
      <c r="B6" s="46" t="n">
        <v>2</v>
      </c>
      <c r="C6" s="12" t="n">
        <v>0.1</v>
      </c>
      <c r="D6" s="12" t="n">
        <f aca="false">+SUM($C$5:C6)</f>
        <v>0.2</v>
      </c>
      <c r="E6" s="53" t="n">
        <f aca="false">Summary!K28</f>
        <v>3</v>
      </c>
      <c r="F6" s="12" t="n">
        <f aca="false">+C6*E6</f>
        <v>0.3</v>
      </c>
      <c r="G6" s="31"/>
    </row>
    <row r="7" customFormat="false" ht="15" hidden="false" customHeight="false" outlineLevel="0" collapsed="false">
      <c r="B7" s="46" t="n">
        <v>3</v>
      </c>
      <c r="C7" s="12" t="n">
        <v>0.015</v>
      </c>
      <c r="D7" s="12" t="n">
        <f aca="false">+SUM($C$5:C7)</f>
        <v>0.215</v>
      </c>
      <c r="E7" s="53" t="n">
        <f aca="false">Summary!K29</f>
        <v>6</v>
      </c>
      <c r="F7" s="12" t="n">
        <f aca="false">+C7*E7</f>
        <v>0.09</v>
      </c>
      <c r="G7" s="31"/>
    </row>
    <row r="8" customFormat="false" ht="15" hidden="false" customHeight="false" outlineLevel="0" collapsed="false">
      <c r="B8" s="46" t="s">
        <v>73</v>
      </c>
      <c r="C8" s="12" t="n">
        <v>0.02</v>
      </c>
      <c r="D8" s="12" t="n">
        <f aca="false">+SUM($C$5:C8)</f>
        <v>0.235</v>
      </c>
      <c r="E8" s="12" t="n">
        <f aca="false">+E5+E6</f>
        <v>6</v>
      </c>
      <c r="F8" s="12" t="n">
        <f aca="false">+C8*E8</f>
        <v>0.12</v>
      </c>
      <c r="G8" s="31"/>
    </row>
    <row r="9" customFormat="false" ht="15" hidden="false" customHeight="false" outlineLevel="0" collapsed="false">
      <c r="B9" s="46" t="s">
        <v>74</v>
      </c>
      <c r="C9" s="12" t="n">
        <v>0.01</v>
      </c>
      <c r="D9" s="12" t="n">
        <f aca="false">+SUM($C$5:C9)</f>
        <v>0.245</v>
      </c>
      <c r="E9" s="12" t="n">
        <f aca="false">+E5+E7</f>
        <v>9</v>
      </c>
      <c r="F9" s="12" t="n">
        <f aca="false">+C9*E9</f>
        <v>0.09</v>
      </c>
      <c r="G9" s="31"/>
    </row>
    <row r="10" customFormat="false" ht="15" hidden="false" customHeight="false" outlineLevel="0" collapsed="false">
      <c r="B10" s="46" t="s">
        <v>75</v>
      </c>
      <c r="C10" s="12" t="n">
        <v>0.01</v>
      </c>
      <c r="D10" s="12" t="n">
        <f aca="false">+SUM($C$5:C10)</f>
        <v>0.255</v>
      </c>
      <c r="E10" s="12" t="n">
        <f aca="false">+E6+E7</f>
        <v>9</v>
      </c>
      <c r="F10" s="12" t="n">
        <f aca="false">+C10*E10</f>
        <v>0.09</v>
      </c>
      <c r="G10" s="31"/>
    </row>
    <row r="11" customFormat="false" ht="15" hidden="false" customHeight="false" outlineLevel="0" collapsed="false">
      <c r="B11" s="46" t="s">
        <v>76</v>
      </c>
      <c r="C11" s="12" t="n">
        <v>0.005</v>
      </c>
      <c r="D11" s="12" t="n">
        <f aca="false">+SUM($C$5:C11)</f>
        <v>0.26</v>
      </c>
      <c r="E11" s="12" t="n">
        <f aca="false">+E5+E6+E7</f>
        <v>12</v>
      </c>
      <c r="F11" s="12" t="n">
        <f aca="false">+C11*E11</f>
        <v>0.06</v>
      </c>
      <c r="G11" s="31" t="n">
        <v>0</v>
      </c>
      <c r="H11" s="0" t="s">
        <v>77</v>
      </c>
    </row>
    <row r="12" customFormat="false" ht="15" hidden="false" customHeight="false" outlineLevel="0" collapsed="false">
      <c r="B12" s="34" t="s">
        <v>78</v>
      </c>
      <c r="C12" s="34" t="n">
        <f aca="false">+SUM(C5:C11)</f>
        <v>0.26</v>
      </c>
      <c r="D12" s="34"/>
      <c r="E12" s="34"/>
      <c r="F12" s="54" t="n">
        <f aca="false">+SUM(F5:F11)</f>
        <v>1.05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0.25</v>
      </c>
      <c r="D16" s="2" t="n">
        <f aca="false">+SUM(C16:$C$16)</f>
        <v>0.25</v>
      </c>
      <c r="E16" s="2" t="n">
        <f aca="false">+E6</f>
        <v>3</v>
      </c>
      <c r="F16" s="2" t="n">
        <f aca="false">+C16*E16</f>
        <v>0.75</v>
      </c>
      <c r="G16" s="31"/>
    </row>
    <row r="17" customFormat="false" ht="15" hidden="false" customHeight="false" outlineLevel="0" collapsed="false">
      <c r="A17" s="0" t="s">
        <v>82</v>
      </c>
      <c r="B17" s="29" t="n">
        <v>3</v>
      </c>
      <c r="C17" s="2" t="n">
        <v>0.02</v>
      </c>
      <c r="D17" s="2" t="n">
        <f aca="false">+SUM(C$16:$C17)</f>
        <v>0.27</v>
      </c>
      <c r="E17" s="2" t="n">
        <f aca="false">+E7</f>
        <v>6</v>
      </c>
      <c r="F17" s="2" t="n">
        <f aca="false">+C17*E17</f>
        <v>0.12</v>
      </c>
      <c r="G17" s="31"/>
    </row>
    <row r="18" customFormat="false" ht="15" hidden="false" customHeight="false" outlineLevel="0" collapsed="false">
      <c r="B18" s="29" t="s">
        <v>75</v>
      </c>
      <c r="C18" s="2" t="n">
        <v>0.02</v>
      </c>
      <c r="D18" s="2" t="n">
        <f aca="false">+SUM(C$16:$C18)</f>
        <v>0.29</v>
      </c>
      <c r="E18" s="2" t="n">
        <f aca="false">+E16+E17</f>
        <v>9</v>
      </c>
      <c r="F18" s="2" t="n">
        <f aca="false">+C18*E18</f>
        <v>0.18</v>
      </c>
      <c r="G18" s="31" t="n">
        <v>0</v>
      </c>
      <c r="H18" s="0" t="s">
        <v>77</v>
      </c>
    </row>
    <row r="19" customFormat="false" ht="15" hidden="false" customHeight="false" outlineLevel="0" collapsed="false">
      <c r="B19" s="34" t="s">
        <v>14</v>
      </c>
      <c r="C19" s="34" t="n">
        <f aca="false">+SUM(C16:C18)</f>
        <v>0.29</v>
      </c>
      <c r="D19" s="34"/>
      <c r="E19" s="34"/>
      <c r="F19" s="39" t="n">
        <f aca="false">+SUM(F16:F18)</f>
        <v>1.05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0.25</v>
      </c>
      <c r="D23" s="2" t="n">
        <f aca="false">+SUM(C23:$C$23)</f>
        <v>0.25</v>
      </c>
      <c r="E23" s="2" t="n">
        <f aca="false">+E5</f>
        <v>3</v>
      </c>
      <c r="F23" s="2" t="n">
        <f aca="false">+C23*E23</f>
        <v>0.75</v>
      </c>
      <c r="G23" s="31"/>
    </row>
    <row r="24" customFormat="false" ht="15" hidden="false" customHeight="false" outlineLevel="0" collapsed="false">
      <c r="A24" s="0" t="s">
        <v>84</v>
      </c>
      <c r="B24" s="29" t="n">
        <v>3</v>
      </c>
      <c r="C24" s="2" t="n">
        <v>0.02</v>
      </c>
      <c r="D24" s="2" t="n">
        <f aca="false">+SUM(C$23:$C24)</f>
        <v>0.27</v>
      </c>
      <c r="E24" s="2" t="n">
        <f aca="false">+E7</f>
        <v>6</v>
      </c>
      <c r="F24" s="2" t="n">
        <f aca="false">+C24*E24</f>
        <v>0.12</v>
      </c>
      <c r="G24" s="31"/>
    </row>
    <row r="25" customFormat="false" ht="15" hidden="false" customHeight="false" outlineLevel="0" collapsed="false">
      <c r="B25" s="29" t="s">
        <v>74</v>
      </c>
      <c r="C25" s="2" t="n">
        <v>0.02</v>
      </c>
      <c r="D25" s="2" t="n">
        <f aca="false">+SUM(C$23:$C25)</f>
        <v>0.29</v>
      </c>
      <c r="E25" s="2" t="n">
        <f aca="false">+E23+E24</f>
        <v>9</v>
      </c>
      <c r="F25" s="2" t="n">
        <f aca="false">+C25*E25</f>
        <v>0.18</v>
      </c>
      <c r="G25" s="31" t="n">
        <v>0</v>
      </c>
      <c r="H25" s="0" t="s">
        <v>77</v>
      </c>
      <c r="J25" s="48"/>
    </row>
    <row r="26" customFormat="false" ht="15" hidden="false" customHeight="false" outlineLevel="0" collapsed="false">
      <c r="B26" s="34" t="s">
        <v>14</v>
      </c>
      <c r="C26" s="34" t="n">
        <f aca="false">+SUM(C23:C25)</f>
        <v>0.29</v>
      </c>
      <c r="D26" s="34"/>
      <c r="E26" s="34"/>
      <c r="F26" s="39" t="n">
        <f aca="false">+SUM(F23:F25)</f>
        <v>1.05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0.175</v>
      </c>
      <c r="D30" s="2" t="n">
        <f aca="false">+SUM(C30:$C$30)</f>
        <v>0.175</v>
      </c>
      <c r="E30" s="2" t="n">
        <f aca="false">+E7</f>
        <v>6</v>
      </c>
      <c r="F30" s="2" t="n">
        <f aca="false">+C30*E30</f>
        <v>1.05</v>
      </c>
      <c r="G30" s="31" t="n">
        <v>0</v>
      </c>
      <c r="H30" s="0" t="s">
        <v>77</v>
      </c>
    </row>
    <row r="31" customFormat="false" ht="15" hidden="false" customHeight="false" outlineLevel="0" collapsed="false">
      <c r="A31" s="0" t="s">
        <v>82</v>
      </c>
      <c r="B31" s="34" t="s">
        <v>14</v>
      </c>
      <c r="C31" s="34" t="n">
        <f aca="false">+SUM(C30:C30)</f>
        <v>0.175</v>
      </c>
      <c r="D31" s="34"/>
      <c r="E31" s="34"/>
      <c r="F31" s="39" t="n">
        <f aca="false">+SUM(F30:F30)</f>
        <v>1.05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0.15</v>
      </c>
      <c r="D35" s="2" t="n">
        <f aca="false">+SUM(C35:$C$35)</f>
        <v>0.15</v>
      </c>
      <c r="E35" s="2" t="n">
        <f aca="false">+E5</f>
        <v>3</v>
      </c>
      <c r="F35" s="2" t="n">
        <f aca="false">+C35*E35</f>
        <v>0.45</v>
      </c>
      <c r="G35" s="31"/>
    </row>
    <row r="36" customFormat="false" ht="15" hidden="false" customHeight="false" outlineLevel="0" collapsed="false">
      <c r="A36" s="0" t="s">
        <v>87</v>
      </c>
      <c r="B36" s="29" t="n">
        <v>2</v>
      </c>
      <c r="C36" s="2" t="n">
        <v>0.15</v>
      </c>
      <c r="D36" s="2" t="n">
        <f aca="false">+SUM(C$35:$C36)</f>
        <v>0.3</v>
      </c>
      <c r="E36" s="2" t="n">
        <f aca="false">+E6</f>
        <v>3</v>
      </c>
      <c r="F36" s="2" t="n">
        <f aca="false">+C36*E36</f>
        <v>0.45</v>
      </c>
      <c r="G36" s="31"/>
    </row>
    <row r="37" customFormat="false" ht="15" hidden="false" customHeight="false" outlineLevel="0" collapsed="false">
      <c r="B37" s="29" t="s">
        <v>73</v>
      </c>
      <c r="C37" s="2" t="n">
        <v>0.025</v>
      </c>
      <c r="D37" s="2" t="n">
        <f aca="false">+SUM(C$35:$C37)</f>
        <v>0.325</v>
      </c>
      <c r="E37" s="2" t="n">
        <f aca="false">+E35+E36</f>
        <v>6</v>
      </c>
      <c r="F37" s="2" t="n">
        <f aca="false">+C37*E37</f>
        <v>0.15</v>
      </c>
      <c r="G37" s="31" t="n">
        <v>0</v>
      </c>
      <c r="H37" s="0" t="s">
        <v>77</v>
      </c>
    </row>
    <row r="38" customFormat="false" ht="15" hidden="false" customHeight="false" outlineLevel="0" collapsed="false">
      <c r="A38" s="44"/>
      <c r="B38" s="34" t="s">
        <v>14</v>
      </c>
      <c r="C38" s="34" t="n">
        <f aca="false">+SUM(C35:C37)</f>
        <v>0.325</v>
      </c>
      <c r="D38" s="34"/>
      <c r="E38" s="34"/>
      <c r="F38" s="39" t="n">
        <f aca="false">+SUM(F35:F37)</f>
        <v>1.05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0.35</v>
      </c>
      <c r="D42" s="2" t="n">
        <f aca="false">+SUM(C42:$C$42)</f>
        <v>0.35</v>
      </c>
      <c r="E42" s="2" t="n">
        <f aca="false">+E5</f>
        <v>3</v>
      </c>
      <c r="F42" s="2" t="n">
        <f aca="false">+E42*C42</f>
        <v>1.05</v>
      </c>
      <c r="G42" s="31" t="n">
        <v>0</v>
      </c>
      <c r="H42" s="0" t="s">
        <v>77</v>
      </c>
    </row>
    <row r="43" customFormat="false" ht="15" hidden="false" customHeight="false" outlineLevel="0" collapsed="false">
      <c r="A43" s="0" t="s">
        <v>84</v>
      </c>
      <c r="B43" s="34" t="s">
        <v>14</v>
      </c>
      <c r="C43" s="34" t="n">
        <f aca="false">+SUM(C42:C42)</f>
        <v>0.35</v>
      </c>
      <c r="D43" s="34"/>
      <c r="E43" s="34"/>
      <c r="F43" s="39" t="n">
        <f aca="false">+SUM(F42:F42)</f>
        <v>1.05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0.35</v>
      </c>
      <c r="D47" s="2" t="n">
        <f aca="false">+SUM(C$47:$C47)</f>
        <v>0.35</v>
      </c>
      <c r="E47" s="2" t="n">
        <f aca="false">+E6</f>
        <v>3</v>
      </c>
      <c r="F47" s="2" t="n">
        <f aca="false">+E47*C47</f>
        <v>1.05</v>
      </c>
      <c r="G47" s="31" t="n">
        <v>0</v>
      </c>
      <c r="H47" s="0" t="s">
        <v>77</v>
      </c>
    </row>
    <row r="48" customFormat="false" ht="15" hidden="false" customHeight="false" outlineLevel="0" collapsed="false">
      <c r="A48" s="0" t="s">
        <v>82</v>
      </c>
      <c r="B48" s="34" t="s">
        <v>14</v>
      </c>
      <c r="C48" s="34" t="n">
        <f aca="false">+SUM(C47:C47)</f>
        <v>0.35</v>
      </c>
      <c r="D48" s="34"/>
      <c r="E48" s="34"/>
      <c r="F48" s="39" t="n">
        <f aca="false">+SUM(F47:F47)</f>
        <v>1.05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105</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0.25</v>
      </c>
      <c r="D5" s="12" t="n">
        <f aca="false">+SUM($C$5:C5)</f>
        <v>0.25</v>
      </c>
      <c r="E5" s="12" t="n">
        <f aca="false">+Summary!B27</f>
        <v>2</v>
      </c>
      <c r="F5" s="12" t="n">
        <f aca="false">+C5*E5</f>
        <v>0.5</v>
      </c>
      <c r="G5" s="31"/>
    </row>
    <row r="6" customFormat="false" ht="15" hidden="false" customHeight="false" outlineLevel="0" collapsed="false">
      <c r="B6" s="46" t="n">
        <v>2</v>
      </c>
      <c r="C6" s="30" t="n">
        <v>0.1</v>
      </c>
      <c r="D6" s="12" t="n">
        <f aca="false">+SUM($C$5:C6)</f>
        <v>0.35</v>
      </c>
      <c r="E6" s="12" t="n">
        <f aca="false">+Summary!B28</f>
        <v>3</v>
      </c>
      <c r="F6" s="12" t="n">
        <f aca="false">+C6*E6</f>
        <v>0.3</v>
      </c>
      <c r="G6" s="31"/>
    </row>
    <row r="7" customFormat="false" ht="15" hidden="false" customHeight="false" outlineLevel="0" collapsed="false">
      <c r="B7" s="46" t="s">
        <v>73</v>
      </c>
      <c r="C7" s="30" t="n">
        <v>0.05</v>
      </c>
      <c r="D7" s="12" t="n">
        <f aca="false">+SUM($C$5:C7)</f>
        <v>0.4</v>
      </c>
      <c r="E7" s="12" t="n">
        <f aca="false">+E5+E6</f>
        <v>5</v>
      </c>
      <c r="F7" s="12" t="n">
        <f aca="false">+C7*E7</f>
        <v>0.25</v>
      </c>
      <c r="G7" s="31" t="n">
        <v>0</v>
      </c>
      <c r="H7" s="0" t="s">
        <v>77</v>
      </c>
      <c r="I7" s="50"/>
    </row>
    <row r="8" customFormat="false" ht="15" hidden="false" customHeight="false" outlineLevel="0" collapsed="false">
      <c r="B8" s="34" t="s">
        <v>78</v>
      </c>
      <c r="C8" s="34" t="n">
        <f aca="false">+SUM(C5:C7)</f>
        <v>0.4</v>
      </c>
      <c r="D8" s="34"/>
      <c r="E8" s="34"/>
      <c r="F8" s="35" t="n">
        <f aca="false">+SUM(F5:F7)</f>
        <v>1.05</v>
      </c>
      <c r="G8" s="36"/>
    </row>
    <row r="9" customFormat="false" ht="15" hidden="false" customHeight="false" outlineLevel="0" collapsed="false">
      <c r="B9" s="6" t="s">
        <v>91</v>
      </c>
      <c r="G9" s="37"/>
    </row>
    <row r="10" customFormat="false" ht="15" hidden="false" customHeight="false" outlineLevel="0" collapsed="false">
      <c r="G10" s="37"/>
    </row>
    <row r="11" customFormat="false" ht="15" hidden="false" customHeight="false" outlineLevel="0" collapsed="false">
      <c r="G11" s="37"/>
    </row>
    <row r="12" customFormat="false" ht="15" hidden="false" customHeight="false" outlineLevel="0" collapsed="false">
      <c r="A12" s="8" t="s">
        <v>88</v>
      </c>
      <c r="B12" s="1" t="s">
        <v>22</v>
      </c>
      <c r="C12" s="1" t="s">
        <v>5</v>
      </c>
      <c r="D12" s="1" t="s">
        <v>69</v>
      </c>
      <c r="E12" s="1" t="s">
        <v>70</v>
      </c>
      <c r="F12" s="1" t="s">
        <v>3</v>
      </c>
      <c r="G12" s="1" t="s">
        <v>71</v>
      </c>
    </row>
    <row r="13" customFormat="false" ht="15" hidden="false" customHeight="false" outlineLevel="0" collapsed="false">
      <c r="A13" s="0" t="s">
        <v>81</v>
      </c>
      <c r="B13" s="29" t="n">
        <v>1</v>
      </c>
      <c r="C13" s="2" t="n">
        <v>0.525</v>
      </c>
      <c r="D13" s="2" t="n">
        <f aca="false">+SUM(C13:$C$13)</f>
        <v>0.525</v>
      </c>
      <c r="E13" s="2" t="n">
        <f aca="false">+E5</f>
        <v>2</v>
      </c>
      <c r="F13" s="2" t="n">
        <f aca="false">+E13*C13</f>
        <v>1.05</v>
      </c>
      <c r="G13" s="31" t="n">
        <v>0</v>
      </c>
      <c r="H13" s="0" t="s">
        <v>77</v>
      </c>
    </row>
    <row r="14" customFormat="false" ht="15" hidden="false" customHeight="false" outlineLevel="0" collapsed="false">
      <c r="A14" s="0" t="s">
        <v>84</v>
      </c>
      <c r="B14" s="34" t="s">
        <v>14</v>
      </c>
      <c r="C14" s="34" t="n">
        <f aca="false">+SUM(C13:C13)</f>
        <v>0.525</v>
      </c>
      <c r="D14" s="34"/>
      <c r="E14" s="34"/>
      <c r="F14" s="39" t="n">
        <f aca="false">+SUM(F13:F13)</f>
        <v>1.05</v>
      </c>
      <c r="G14" s="40"/>
    </row>
    <row r="15" customFormat="false" ht="15" hidden="false" customHeight="false" outlineLevel="0" collapsed="false">
      <c r="G15" s="37"/>
    </row>
    <row r="16" customFormat="false" ht="15" hidden="false" customHeight="false" outlineLevel="0" collapsed="false">
      <c r="G16" s="37"/>
    </row>
    <row r="17" customFormat="false" ht="15" hidden="false" customHeight="false" outlineLevel="0" collapsed="false">
      <c r="A17" s="8" t="s">
        <v>89</v>
      </c>
      <c r="B17" s="1" t="s">
        <v>22</v>
      </c>
      <c r="C17" s="1" t="s">
        <v>5</v>
      </c>
      <c r="D17" s="1" t="s">
        <v>69</v>
      </c>
      <c r="E17" s="1" t="s">
        <v>70</v>
      </c>
      <c r="F17" s="1" t="s">
        <v>3</v>
      </c>
      <c r="G17" s="1" t="s">
        <v>71</v>
      </c>
    </row>
    <row r="18" customFormat="false" ht="15" hidden="false" customHeight="false" outlineLevel="0" collapsed="false">
      <c r="A18" s="0" t="s">
        <v>81</v>
      </c>
      <c r="B18" s="29" t="n">
        <v>2</v>
      </c>
      <c r="C18" s="2" t="n">
        <v>0.35</v>
      </c>
      <c r="D18" s="2" t="n">
        <f aca="false">+SUM(C$18:$C18)</f>
        <v>0.35</v>
      </c>
      <c r="E18" s="2" t="n">
        <f aca="false">+E6</f>
        <v>3</v>
      </c>
      <c r="F18" s="2" t="n">
        <f aca="false">+E18*C18</f>
        <v>1.05</v>
      </c>
      <c r="G18" s="31" t="n">
        <v>0</v>
      </c>
      <c r="H18" s="0" t="s">
        <v>77</v>
      </c>
    </row>
    <row r="19" customFormat="false" ht="15" hidden="false" customHeight="false" outlineLevel="0" collapsed="false">
      <c r="A19" s="0" t="s">
        <v>82</v>
      </c>
      <c r="B19" s="34" t="s">
        <v>14</v>
      </c>
      <c r="C19" s="34" t="n">
        <f aca="false">+SUM(C18:C18)</f>
        <v>0.35</v>
      </c>
      <c r="D19" s="34"/>
      <c r="E19" s="34"/>
      <c r="F19" s="39" t="n">
        <f aca="false">+SUM(F18:F18)</f>
        <v>1.05</v>
      </c>
      <c r="G19"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106</v>
      </c>
      <c r="B1" s="24"/>
      <c r="C1" s="24"/>
      <c r="D1" s="24"/>
      <c r="E1" s="24"/>
    </row>
    <row r="2" customFormat="false" ht="15" hidden="false" customHeight="false" outlineLevel="0" collapsed="false">
      <c r="A2" s="25" t="s">
        <v>96</v>
      </c>
    </row>
    <row r="4" customFormat="false" ht="15" hidden="false" customHeight="false" outlineLevel="0" collapsed="false">
      <c r="A4" s="8" t="s">
        <v>19</v>
      </c>
      <c r="B4" s="1" t="s">
        <v>22</v>
      </c>
      <c r="C4" s="1" t="s">
        <v>5</v>
      </c>
      <c r="D4" s="1" t="s">
        <v>69</v>
      </c>
      <c r="E4" s="1" t="s">
        <v>70</v>
      </c>
      <c r="F4" s="1" t="s">
        <v>3</v>
      </c>
      <c r="G4" s="1" t="s">
        <v>71</v>
      </c>
    </row>
    <row r="5" customFormat="false" ht="15" hidden="false" customHeight="false" outlineLevel="0" collapsed="false">
      <c r="B5" s="29" t="n">
        <v>1</v>
      </c>
      <c r="C5" s="2" t="n">
        <v>0.525</v>
      </c>
      <c r="D5" s="2" t="n">
        <f aca="false">+SUM(C5:$C$5)</f>
        <v>0.525</v>
      </c>
      <c r="E5" s="2" t="n">
        <f aca="false">+Summary!B21</f>
        <v>2</v>
      </c>
      <c r="F5" s="2" t="n">
        <f aca="false">+E5*C5</f>
        <v>1.05</v>
      </c>
      <c r="G5" s="31" t="n">
        <v>0</v>
      </c>
      <c r="H5" s="0" t="s">
        <v>77</v>
      </c>
    </row>
    <row r="6" customFormat="false" ht="15" hidden="false" customHeight="false" outlineLevel="0" collapsed="false">
      <c r="B6" s="34" t="s">
        <v>14</v>
      </c>
      <c r="C6" s="34" t="n">
        <f aca="false">+SUM(C5:C5)</f>
        <v>0.525</v>
      </c>
      <c r="D6" s="34"/>
      <c r="E6" s="34"/>
      <c r="F6" s="39" t="n">
        <f aca="false">+SUM(F5:F5)</f>
        <v>1.05</v>
      </c>
      <c r="G6" s="40"/>
    </row>
    <row r="7" customFormat="false" ht="15" hidden="false" customHeight="false" outlineLevel="0" collapsed="false">
      <c r="G7" s="37"/>
    </row>
    <row r="8" customFormat="false" ht="15" hidden="false" customHeight="false" outlineLevel="0" collapsed="false">
      <c r="G8" s="37"/>
    </row>
    <row r="9" customFormat="false" ht="15" hidden="false" customHeight="false" outlineLevel="0" collapsed="false">
      <c r="A9" s="8" t="s">
        <v>20</v>
      </c>
      <c r="B9" s="1" t="s">
        <v>22</v>
      </c>
      <c r="C9" s="1" t="s">
        <v>5</v>
      </c>
      <c r="D9" s="1" t="s">
        <v>69</v>
      </c>
      <c r="E9" s="1" t="s">
        <v>70</v>
      </c>
      <c r="F9" s="1" t="s">
        <v>3</v>
      </c>
      <c r="G9" s="1" t="s">
        <v>71</v>
      </c>
    </row>
    <row r="10" customFormat="false" ht="15" hidden="false" customHeight="false" outlineLevel="0" collapsed="false">
      <c r="B10" s="29" t="n">
        <v>1</v>
      </c>
      <c r="C10" s="2" t="n">
        <v>0.35</v>
      </c>
      <c r="D10" s="2" t="n">
        <f aca="false">1/6</f>
        <v>0.166666666666667</v>
      </c>
      <c r="E10" s="2" t="n">
        <f aca="false">+Summary!E21</f>
        <v>3</v>
      </c>
      <c r="F10" s="2" t="n">
        <f aca="false">+E10*C10</f>
        <v>1.05</v>
      </c>
      <c r="G10" s="31" t="n">
        <v>0</v>
      </c>
      <c r="H10" s="0" t="s">
        <v>77</v>
      </c>
    </row>
    <row r="11" customFormat="false" ht="15" hidden="false" customHeight="false" outlineLevel="0" collapsed="false">
      <c r="B11" s="34" t="s">
        <v>14</v>
      </c>
      <c r="C11" s="34" t="n">
        <f aca="false">+SUM(C10:C10)</f>
        <v>0.35</v>
      </c>
      <c r="D11" s="34"/>
      <c r="E11" s="34"/>
      <c r="F11" s="39" t="n">
        <f aca="false">+SUM(F10:F10)</f>
        <v>1.05</v>
      </c>
      <c r="G11" s="40"/>
    </row>
    <row r="12" customFormat="false" ht="15" hidden="false" customHeight="false" outlineLevel="0" collapsed="false">
      <c r="G12" s="45"/>
    </row>
    <row r="13" customFormat="false" ht="15" hidden="false" customHeight="false" outlineLevel="0" collapsed="false">
      <c r="G13" s="45"/>
    </row>
    <row r="14" customFormat="false" ht="15" hidden="false" customHeight="false" outlineLevel="0" collapsed="false">
      <c r="A14" s="8" t="s">
        <v>21</v>
      </c>
      <c r="B14" s="1" t="s">
        <v>22</v>
      </c>
      <c r="C14" s="1" t="s">
        <v>5</v>
      </c>
      <c r="D14" s="1" t="s">
        <v>69</v>
      </c>
      <c r="E14" s="1" t="s">
        <v>70</v>
      </c>
      <c r="F14" s="1" t="s">
        <v>3</v>
      </c>
      <c r="G14" s="1" t="s">
        <v>71</v>
      </c>
    </row>
    <row r="15" customFormat="false" ht="15" hidden="false" customHeight="false" outlineLevel="0" collapsed="false">
      <c r="B15" s="29" t="n">
        <v>1</v>
      </c>
      <c r="C15" s="2" t="n">
        <v>0.2625</v>
      </c>
      <c r="D15" s="2" t="n">
        <f aca="false">+SUM(C$15:$C15)</f>
        <v>0.2625</v>
      </c>
      <c r="E15" s="2" t="n">
        <f aca="false">+Summary!H21</f>
        <v>4</v>
      </c>
      <c r="F15" s="2" t="n">
        <f aca="false">+E15*C15</f>
        <v>1.05</v>
      </c>
      <c r="G15" s="31" t="n">
        <v>0</v>
      </c>
      <c r="H15" s="0" t="s">
        <v>77</v>
      </c>
    </row>
    <row r="16" customFormat="false" ht="15" hidden="false" customHeight="false" outlineLevel="0" collapsed="false">
      <c r="B16" s="34" t="s">
        <v>14</v>
      </c>
      <c r="C16" s="34" t="n">
        <f aca="false">+SUM(C15:C15)</f>
        <v>0.2625</v>
      </c>
      <c r="D16" s="34"/>
      <c r="E16" s="34"/>
      <c r="F16" s="39" t="n">
        <f aca="false">+SUM(F15:F15)</f>
        <v>1.05</v>
      </c>
      <c r="G16"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107</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55" t="n">
        <v>0.12</v>
      </c>
      <c r="D5" s="12" t="n">
        <f aca="false">+SUM($C$5:C5)</f>
        <v>0.12</v>
      </c>
      <c r="E5" s="12" t="n">
        <f aca="false">+Summary!B36</f>
        <v>2</v>
      </c>
      <c r="F5" s="12" t="n">
        <f aca="false">+C5*E5</f>
        <v>0.24</v>
      </c>
      <c r="G5" s="31"/>
    </row>
    <row r="6" customFormat="false" ht="15" hidden="false" customHeight="false" outlineLevel="0" collapsed="false">
      <c r="B6" s="46" t="n">
        <v>2</v>
      </c>
      <c r="C6" s="55" t="n">
        <v>0.01</v>
      </c>
      <c r="D6" s="12" t="n">
        <f aca="false">+SUM($C$5:C6)</f>
        <v>0.13</v>
      </c>
      <c r="E6" s="12" t="n">
        <f aca="false">+Summary!B37</f>
        <v>5</v>
      </c>
      <c r="F6" s="12" t="n">
        <f aca="false">+C6*E6</f>
        <v>0.05</v>
      </c>
      <c r="G6" s="31"/>
    </row>
    <row r="7" customFormat="false" ht="15" hidden="false" customHeight="false" outlineLevel="0" collapsed="false">
      <c r="B7" s="46" t="n">
        <v>3</v>
      </c>
      <c r="C7" s="55" t="n">
        <v>0.01</v>
      </c>
      <c r="D7" s="12" t="n">
        <f aca="false">+SUM($C$5:C7)</f>
        <v>0.14</v>
      </c>
      <c r="E7" s="12" t="n">
        <f aca="false">+Summary!B38</f>
        <v>8</v>
      </c>
      <c r="F7" s="12" t="n">
        <f aca="false">+C7*E7</f>
        <v>0.08</v>
      </c>
      <c r="G7" s="31"/>
      <c r="I7" s="49"/>
    </row>
    <row r="8" customFormat="false" ht="15" hidden="false" customHeight="false" outlineLevel="0" collapsed="false">
      <c r="B8" s="46" t="s">
        <v>73</v>
      </c>
      <c r="C8" s="55" t="n">
        <v>0.01</v>
      </c>
      <c r="D8" s="12" t="n">
        <f aca="false">+SUM($C$5:C8)</f>
        <v>0.15</v>
      </c>
      <c r="E8" s="12" t="n">
        <f aca="false">+E5+E6</f>
        <v>7</v>
      </c>
      <c r="F8" s="12" t="n">
        <f aca="false">+C8*E8</f>
        <v>0.07</v>
      </c>
      <c r="G8" s="31"/>
      <c r="I8" s="50"/>
    </row>
    <row r="9" customFormat="false" ht="15" hidden="false" customHeight="false" outlineLevel="0" collapsed="false">
      <c r="B9" s="46" t="s">
        <v>74</v>
      </c>
      <c r="C9" s="55" t="n">
        <v>0.02</v>
      </c>
      <c r="D9" s="12" t="n">
        <f aca="false">+SUM($C$5:C9)</f>
        <v>0.17</v>
      </c>
      <c r="E9" s="12" t="n">
        <f aca="false">+E5+E7</f>
        <v>10</v>
      </c>
      <c r="F9" s="12" t="n">
        <f aca="false">+C9*E9</f>
        <v>0.2</v>
      </c>
      <c r="G9" s="31"/>
    </row>
    <row r="10" customFormat="false" ht="15" hidden="false" customHeight="false" outlineLevel="0" collapsed="false">
      <c r="B10" s="46" t="s">
        <v>75</v>
      </c>
      <c r="C10" s="55" t="n">
        <v>0.02</v>
      </c>
      <c r="D10" s="12" t="n">
        <f aca="false">+SUM($C$5:C10)</f>
        <v>0.19</v>
      </c>
      <c r="E10" s="12" t="n">
        <f aca="false">+E6+E7</f>
        <v>13</v>
      </c>
      <c r="F10" s="12" t="n">
        <f aca="false">+C10*E10</f>
        <v>0.26</v>
      </c>
      <c r="G10" s="31"/>
    </row>
    <row r="11" customFormat="false" ht="15" hidden="false" customHeight="false" outlineLevel="0" collapsed="false">
      <c r="B11" s="46" t="s">
        <v>76</v>
      </c>
      <c r="C11" s="55" t="n">
        <v>0.01</v>
      </c>
      <c r="D11" s="12" t="n">
        <f aca="false">+SUM($C$5:C11)</f>
        <v>0.2</v>
      </c>
      <c r="E11" s="12" t="n">
        <f aca="false">+E5+E6+E7</f>
        <v>15</v>
      </c>
      <c r="F11" s="12" t="n">
        <f aca="false">+C11*E11</f>
        <v>0.15</v>
      </c>
      <c r="G11" s="31" t="n">
        <v>0</v>
      </c>
      <c r="H11" s="0" t="s">
        <v>77</v>
      </c>
    </row>
    <row r="12" customFormat="false" ht="15" hidden="false" customHeight="false" outlineLevel="0" collapsed="false">
      <c r="B12" s="34" t="s">
        <v>78</v>
      </c>
      <c r="C12" s="34" t="n">
        <f aca="false">+SUM(C5:C11)</f>
        <v>0.2</v>
      </c>
      <c r="D12" s="34"/>
      <c r="E12" s="34"/>
      <c r="F12" s="35" t="n">
        <f aca="false">+SUM(F5:F11)</f>
        <v>1.05</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0.09</v>
      </c>
      <c r="D16" s="2" t="n">
        <f aca="false">+SUM(C16:$C$16)</f>
        <v>0.09</v>
      </c>
      <c r="E16" s="2" t="n">
        <f aca="false">+E6</f>
        <v>5</v>
      </c>
      <c r="F16" s="2" t="n">
        <f aca="false">+C16*E16</f>
        <v>0.45</v>
      </c>
      <c r="G16" s="31"/>
    </row>
    <row r="17" customFormat="false" ht="15" hidden="false" customHeight="false" outlineLevel="0" collapsed="false">
      <c r="A17" s="0" t="s">
        <v>82</v>
      </c>
      <c r="B17" s="29" t="n">
        <v>3</v>
      </c>
      <c r="C17" s="2" t="n">
        <v>0.01</v>
      </c>
      <c r="D17" s="2" t="n">
        <f aca="false">+SUM(C$16:$C17)</f>
        <v>0.1</v>
      </c>
      <c r="E17" s="2" t="n">
        <f aca="false">+E7</f>
        <v>8</v>
      </c>
      <c r="F17" s="2" t="n">
        <f aca="false">+C17*E17</f>
        <v>0.08</v>
      </c>
      <c r="G17" s="31"/>
      <c r="I17" s="51"/>
    </row>
    <row r="18" customFormat="false" ht="15" hidden="false" customHeight="false" outlineLevel="0" collapsed="false">
      <c r="B18" s="29" t="s">
        <v>75</v>
      </c>
      <c r="C18" s="2" t="n">
        <v>0.04</v>
      </c>
      <c r="D18" s="2" t="n">
        <f aca="false">+SUM(C$16:$C18)</f>
        <v>0.14</v>
      </c>
      <c r="E18" s="2" t="n">
        <f aca="false">+E16+E17</f>
        <v>13</v>
      </c>
      <c r="F18" s="2" t="n">
        <f aca="false">+C18*E18</f>
        <v>0.52</v>
      </c>
      <c r="G18" s="31" t="n">
        <v>0</v>
      </c>
      <c r="H18" s="0" t="s">
        <v>77</v>
      </c>
    </row>
    <row r="19" customFormat="false" ht="15" hidden="false" customHeight="false" outlineLevel="0" collapsed="false">
      <c r="B19" s="34" t="s">
        <v>14</v>
      </c>
      <c r="C19" s="34" t="n">
        <f aca="false">+SUM(C16:C18)</f>
        <v>0.14</v>
      </c>
      <c r="D19" s="34"/>
      <c r="E19" s="34"/>
      <c r="F19" s="39" t="n">
        <f aca="false">+SUM(F16:F18)</f>
        <v>1.05</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0.12</v>
      </c>
      <c r="D23" s="2" t="n">
        <f aca="false">+SUM(C23:$C$23)</f>
        <v>0.12</v>
      </c>
      <c r="E23" s="2" t="n">
        <f aca="false">+E5</f>
        <v>2</v>
      </c>
      <c r="F23" s="2" t="n">
        <f aca="false">+C23*E23</f>
        <v>0.24</v>
      </c>
      <c r="G23" s="31"/>
    </row>
    <row r="24" customFormat="false" ht="15" hidden="false" customHeight="false" outlineLevel="0" collapsed="false">
      <c r="A24" s="0" t="s">
        <v>84</v>
      </c>
      <c r="B24" s="29" t="n">
        <v>3</v>
      </c>
      <c r="C24" s="2" t="n">
        <v>0.04</v>
      </c>
      <c r="D24" s="2" t="n">
        <f aca="false">+SUM(C$23:$C24)</f>
        <v>0.16</v>
      </c>
      <c r="E24" s="2" t="n">
        <f aca="false">+E7</f>
        <v>8</v>
      </c>
      <c r="F24" s="2" t="n">
        <f aca="false">+C24*E24</f>
        <v>0.32</v>
      </c>
      <c r="G24" s="31"/>
    </row>
    <row r="25" customFormat="false" ht="15" hidden="false" customHeight="false" outlineLevel="0" collapsed="false">
      <c r="B25" s="29" t="s">
        <v>74</v>
      </c>
      <c r="C25" s="2" t="n">
        <v>0.049</v>
      </c>
      <c r="D25" s="2" t="n">
        <f aca="false">+SUM(C$23:$C25)</f>
        <v>0.209</v>
      </c>
      <c r="E25" s="2" t="n">
        <f aca="false">+E23+E24</f>
        <v>10</v>
      </c>
      <c r="F25" s="2" t="n">
        <f aca="false">+C25*E25</f>
        <v>0.49</v>
      </c>
      <c r="G25" s="31" t="n">
        <v>0</v>
      </c>
      <c r="H25" s="0" t="s">
        <v>77</v>
      </c>
    </row>
    <row r="26" customFormat="false" ht="15" hidden="false" customHeight="false" outlineLevel="0" collapsed="false">
      <c r="B26" s="34" t="s">
        <v>14</v>
      </c>
      <c r="C26" s="34" t="n">
        <f aca="false">+SUM(C23:C25)</f>
        <v>0.209</v>
      </c>
      <c r="D26" s="34"/>
      <c r="E26" s="34"/>
      <c r="F26" s="39" t="n">
        <f aca="false">+SUM(F23:F25)</f>
        <v>1.05</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0.13125</v>
      </c>
      <c r="D30" s="2" t="n">
        <f aca="false">+SUM(C30:$C$30)</f>
        <v>0.13125</v>
      </c>
      <c r="E30" s="2" t="n">
        <f aca="false">+E7</f>
        <v>8</v>
      </c>
      <c r="F30" s="2" t="n">
        <f aca="false">+C30*E30</f>
        <v>1.05</v>
      </c>
      <c r="G30" s="31" t="n">
        <v>0</v>
      </c>
      <c r="H30" s="0" t="s">
        <v>77</v>
      </c>
    </row>
    <row r="31" customFormat="false" ht="15" hidden="false" customHeight="false" outlineLevel="0" collapsed="false">
      <c r="A31" s="0" t="s">
        <v>82</v>
      </c>
      <c r="B31" s="34" t="s">
        <v>14</v>
      </c>
      <c r="C31" s="34" t="n">
        <f aca="false">+SUM(C30:C30)</f>
        <v>0.13125</v>
      </c>
      <c r="D31" s="34"/>
      <c r="E31" s="34"/>
      <c r="F31" s="39" t="n">
        <f aca="false">+SUM(F30:F30)</f>
        <v>1.05</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0.12</v>
      </c>
      <c r="D35" s="2" t="n">
        <f aca="false">+SUM(C35:$C$35)</f>
        <v>0.12</v>
      </c>
      <c r="E35" s="2" t="n">
        <f aca="false">+E5</f>
        <v>2</v>
      </c>
      <c r="F35" s="2" t="n">
        <f aca="false">+C35*E35</f>
        <v>0.24</v>
      </c>
      <c r="G35" s="31"/>
    </row>
    <row r="36" customFormat="false" ht="15" hidden="false" customHeight="false" outlineLevel="0" collapsed="false">
      <c r="A36" s="0" t="s">
        <v>87</v>
      </c>
      <c r="B36" s="29" t="n">
        <v>2</v>
      </c>
      <c r="C36" s="2" t="n">
        <v>0.078</v>
      </c>
      <c r="D36" s="2" t="n">
        <f aca="false">+SUM(C$35:$C36)</f>
        <v>0.198</v>
      </c>
      <c r="E36" s="2" t="n">
        <f aca="false">+E6</f>
        <v>5</v>
      </c>
      <c r="F36" s="2" t="n">
        <f aca="false">+C36*E36</f>
        <v>0.39</v>
      </c>
      <c r="G36" s="31"/>
    </row>
    <row r="37" customFormat="false" ht="15" hidden="false" customHeight="false" outlineLevel="0" collapsed="false">
      <c r="B37" s="29" t="s">
        <v>73</v>
      </c>
      <c r="C37" s="2" t="n">
        <v>0.06</v>
      </c>
      <c r="D37" s="2" t="n">
        <f aca="false">+SUM(C$35:$C37)</f>
        <v>0.258</v>
      </c>
      <c r="E37" s="2" t="n">
        <f aca="false">+E35+E36</f>
        <v>7</v>
      </c>
      <c r="F37" s="2" t="n">
        <f aca="false">+C37*E37</f>
        <v>0.42</v>
      </c>
      <c r="G37" s="31" t="n">
        <v>0</v>
      </c>
      <c r="H37" s="0" t="s">
        <v>77</v>
      </c>
    </row>
    <row r="38" customFormat="false" ht="15" hidden="false" customHeight="false" outlineLevel="0" collapsed="false">
      <c r="A38" s="44"/>
      <c r="B38" s="34" t="s">
        <v>14</v>
      </c>
      <c r="C38" s="34" t="n">
        <f aca="false">+SUM(C35:C37)</f>
        <v>0.258</v>
      </c>
      <c r="D38" s="34"/>
      <c r="E38" s="34"/>
      <c r="F38" s="39" t="n">
        <f aca="false">+SUM(F35:F37)</f>
        <v>1.05</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1" t="s">
        <v>71</v>
      </c>
    </row>
    <row r="42" customFormat="false" ht="15" hidden="false" customHeight="false" outlineLevel="0" collapsed="false">
      <c r="A42" s="0" t="s">
        <v>81</v>
      </c>
      <c r="B42" s="29" t="n">
        <v>1</v>
      </c>
      <c r="C42" s="2" t="n">
        <v>0.525</v>
      </c>
      <c r="D42" s="2" t="n">
        <f aca="false">+SUM(C42:$C$42)</f>
        <v>0.525</v>
      </c>
      <c r="E42" s="2" t="n">
        <f aca="false">+E5</f>
        <v>2</v>
      </c>
      <c r="F42" s="2" t="n">
        <f aca="false">+E42*C42</f>
        <v>1.05</v>
      </c>
      <c r="G42" s="31" t="n">
        <v>0</v>
      </c>
      <c r="H42" s="0" t="s">
        <v>77</v>
      </c>
    </row>
    <row r="43" customFormat="false" ht="15" hidden="false" customHeight="false" outlineLevel="0" collapsed="false">
      <c r="A43" s="0" t="s">
        <v>84</v>
      </c>
      <c r="B43" s="34" t="s">
        <v>14</v>
      </c>
      <c r="C43" s="34" t="n">
        <f aca="false">+SUM(C42:C42)</f>
        <v>0.525</v>
      </c>
      <c r="D43" s="34"/>
      <c r="E43" s="34"/>
      <c r="F43" s="39" t="n">
        <f aca="false">+SUM(F42:F42)</f>
        <v>1.05</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1" t="s">
        <v>71</v>
      </c>
    </row>
    <row r="47" customFormat="false" ht="15" hidden="false" customHeight="false" outlineLevel="0" collapsed="false">
      <c r="A47" s="0" t="s">
        <v>81</v>
      </c>
      <c r="B47" s="29" t="n">
        <v>2</v>
      </c>
      <c r="C47" s="2" t="n">
        <v>0.21</v>
      </c>
      <c r="D47" s="2" t="n">
        <f aca="false">+SUM(C$47:$C47)</f>
        <v>0.21</v>
      </c>
      <c r="E47" s="2" t="n">
        <f aca="false">+E6</f>
        <v>5</v>
      </c>
      <c r="F47" s="2" t="n">
        <f aca="false">+E47*C47</f>
        <v>1.05</v>
      </c>
      <c r="G47" s="31" t="n">
        <v>0</v>
      </c>
      <c r="H47" s="0" t="s">
        <v>77</v>
      </c>
    </row>
    <row r="48" customFormat="false" ht="15" hidden="false" customHeight="false" outlineLevel="0" collapsed="false">
      <c r="A48" s="0" t="s">
        <v>82</v>
      </c>
      <c r="B48" s="34" t="s">
        <v>14</v>
      </c>
      <c r="C48" s="34" t="n">
        <f aca="false">+SUM(C47:C47)</f>
        <v>0.21</v>
      </c>
      <c r="D48" s="34"/>
      <c r="E48" s="34"/>
      <c r="F48" s="39" t="n">
        <f aca="false">+SUM(F47:F47)</f>
        <v>1.05</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108</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0.15</v>
      </c>
      <c r="D5" s="12" t="n">
        <f aca="false">+SUM($C$5:C5)</f>
        <v>0.15</v>
      </c>
      <c r="E5" s="52" t="n">
        <f aca="false">Summary!E27</f>
        <v>1.5</v>
      </c>
      <c r="F5" s="12" t="n">
        <f aca="false">+C5*E5</f>
        <v>0.225</v>
      </c>
      <c r="G5" s="31"/>
    </row>
    <row r="6" customFormat="false" ht="15" hidden="false" customHeight="false" outlineLevel="0" collapsed="false">
      <c r="B6" s="46" t="n">
        <v>2</v>
      </c>
      <c r="C6" s="12" t="n">
        <v>0.15</v>
      </c>
      <c r="D6" s="12" t="n">
        <f aca="false">+SUM($C$5:C6)</f>
        <v>0.3</v>
      </c>
      <c r="E6" s="52" t="n">
        <f aca="false">Summary!E28</f>
        <v>1.5</v>
      </c>
      <c r="F6" s="12" t="n">
        <f aca="false">+C6*E6</f>
        <v>0.225</v>
      </c>
      <c r="G6" s="31"/>
    </row>
    <row r="7" customFormat="false" ht="15" hidden="false" customHeight="false" outlineLevel="0" collapsed="false">
      <c r="B7" s="46" t="n">
        <v>3</v>
      </c>
      <c r="C7" s="12" t="n">
        <v>0.04</v>
      </c>
      <c r="D7" s="12" t="n">
        <f aca="false">+SUM($C$5:C7)</f>
        <v>0.34</v>
      </c>
      <c r="E7" s="53" t="n">
        <f aca="false">Summary!E29</f>
        <v>3</v>
      </c>
      <c r="F7" s="12" t="n">
        <f aca="false">+C7*E7</f>
        <v>0.12</v>
      </c>
      <c r="G7" s="31"/>
    </row>
    <row r="8" customFormat="false" ht="15" hidden="false" customHeight="false" outlineLevel="0" collapsed="false">
      <c r="B8" s="46" t="s">
        <v>73</v>
      </c>
      <c r="C8" s="12" t="n">
        <v>0.07</v>
      </c>
      <c r="D8" s="12" t="n">
        <f aca="false">+SUM($C$5:C8)</f>
        <v>0.41</v>
      </c>
      <c r="E8" s="12" t="n">
        <f aca="false">+E5+E6</f>
        <v>3</v>
      </c>
      <c r="F8" s="12" t="n">
        <f aca="false">+C8*E8</f>
        <v>0.21</v>
      </c>
      <c r="G8" s="31"/>
    </row>
    <row r="9" customFormat="false" ht="15" hidden="false" customHeight="false" outlineLevel="0" collapsed="false">
      <c r="B9" s="46" t="s">
        <v>74</v>
      </c>
      <c r="C9" s="12" t="n">
        <v>0.01</v>
      </c>
      <c r="D9" s="12" t="n">
        <f aca="false">+SUM($C$5:C9)</f>
        <v>0.42</v>
      </c>
      <c r="E9" s="12" t="n">
        <f aca="false">+E5+E7</f>
        <v>4.5</v>
      </c>
      <c r="F9" s="12" t="n">
        <f aca="false">+C9*E9</f>
        <v>0.045</v>
      </c>
      <c r="G9" s="31"/>
    </row>
    <row r="10" customFormat="false" ht="15" hidden="false" customHeight="false" outlineLevel="0" collapsed="false">
      <c r="B10" s="46" t="s">
        <v>75</v>
      </c>
      <c r="C10" s="12" t="n">
        <v>0.01</v>
      </c>
      <c r="D10" s="12" t="n">
        <f aca="false">+SUM($C$5:C10)</f>
        <v>0.43</v>
      </c>
      <c r="E10" s="12" t="n">
        <f aca="false">+E6+E7</f>
        <v>4.5</v>
      </c>
      <c r="F10" s="12" t="n">
        <f aca="false">+C10*E10</f>
        <v>0.045</v>
      </c>
      <c r="G10" s="31"/>
    </row>
    <row r="11" customFormat="false" ht="15" hidden="false" customHeight="false" outlineLevel="0" collapsed="false">
      <c r="B11" s="46" t="s">
        <v>76</v>
      </c>
      <c r="C11" s="12" t="n">
        <v>0.005</v>
      </c>
      <c r="D11" s="12" t="n">
        <f aca="false">+SUM($C$5:C11)</f>
        <v>0.435</v>
      </c>
      <c r="E11" s="12" t="n">
        <f aca="false">+E5+E6+E7</f>
        <v>6</v>
      </c>
      <c r="F11" s="12" t="n">
        <f aca="false">+C11*E11</f>
        <v>0.03</v>
      </c>
      <c r="G11" s="31" t="n">
        <v>0</v>
      </c>
      <c r="H11" s="0" t="s">
        <v>77</v>
      </c>
    </row>
    <row r="12" customFormat="false" ht="15" hidden="false" customHeight="false" outlineLevel="0" collapsed="false">
      <c r="B12" s="34" t="s">
        <v>78</v>
      </c>
      <c r="C12" s="34" t="n">
        <f aca="false">+SUM(C5:C11)</f>
        <v>0.435</v>
      </c>
      <c r="D12" s="34"/>
      <c r="E12" s="34"/>
      <c r="F12" s="54" t="n">
        <f aca="false">+SUM(F5:F11)</f>
        <v>0.9</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0.4</v>
      </c>
      <c r="D16" s="2" t="n">
        <f aca="false">+SUM(C16:$C$16)</f>
        <v>0.4</v>
      </c>
      <c r="E16" s="2" t="n">
        <f aca="false">+E6</f>
        <v>1.5</v>
      </c>
      <c r="F16" s="2" t="n">
        <f aca="false">+C16*E16</f>
        <v>0.6</v>
      </c>
      <c r="G16" s="31"/>
    </row>
    <row r="17" customFormat="false" ht="15" hidden="false" customHeight="false" outlineLevel="0" collapsed="false">
      <c r="A17" s="0" t="s">
        <v>82</v>
      </c>
      <c r="B17" s="29" t="n">
        <v>3</v>
      </c>
      <c r="C17" s="2" t="n">
        <v>0.055</v>
      </c>
      <c r="D17" s="2" t="n">
        <f aca="false">+SUM(C$16:$C17)</f>
        <v>0.455</v>
      </c>
      <c r="E17" s="2" t="n">
        <f aca="false">+E7</f>
        <v>3</v>
      </c>
      <c r="F17" s="2" t="n">
        <f aca="false">+C17*E17</f>
        <v>0.165</v>
      </c>
      <c r="G17" s="31"/>
    </row>
    <row r="18" customFormat="false" ht="15" hidden="false" customHeight="false" outlineLevel="0" collapsed="false">
      <c r="B18" s="29" t="s">
        <v>75</v>
      </c>
      <c r="C18" s="2" t="n">
        <v>0.03</v>
      </c>
      <c r="D18" s="2" t="n">
        <f aca="false">+SUM(C$16:$C18)</f>
        <v>0.485</v>
      </c>
      <c r="E18" s="2" t="n">
        <f aca="false">+E16+E17</f>
        <v>4.5</v>
      </c>
      <c r="F18" s="2" t="n">
        <f aca="false">+C18*E18</f>
        <v>0.135</v>
      </c>
      <c r="G18" s="31" t="n">
        <v>0</v>
      </c>
      <c r="H18" s="0" t="s">
        <v>77</v>
      </c>
    </row>
    <row r="19" customFormat="false" ht="15" hidden="false" customHeight="false" outlineLevel="0" collapsed="false">
      <c r="B19" s="34" t="s">
        <v>14</v>
      </c>
      <c r="C19" s="34" t="n">
        <f aca="false">+SUM(C16:C18)</f>
        <v>0.485</v>
      </c>
      <c r="D19" s="34"/>
      <c r="E19" s="34"/>
      <c r="F19" s="39" t="n">
        <f aca="false">+SUM(F16:F18)</f>
        <v>0.9</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0.4</v>
      </c>
      <c r="D23" s="2" t="n">
        <f aca="false">+SUM(C23:$C$23)</f>
        <v>0.4</v>
      </c>
      <c r="E23" s="2" t="n">
        <f aca="false">+E5</f>
        <v>1.5</v>
      </c>
      <c r="F23" s="2" t="n">
        <f aca="false">+C23*E23</f>
        <v>0.6</v>
      </c>
      <c r="G23" s="31"/>
    </row>
    <row r="24" customFormat="false" ht="15" hidden="false" customHeight="false" outlineLevel="0" collapsed="false">
      <c r="A24" s="0" t="s">
        <v>84</v>
      </c>
      <c r="B24" s="29" t="n">
        <v>3</v>
      </c>
      <c r="C24" s="2" t="n">
        <v>0.055</v>
      </c>
      <c r="D24" s="2" t="n">
        <f aca="false">+SUM(C$23:$C24)</f>
        <v>0.455</v>
      </c>
      <c r="E24" s="2" t="n">
        <f aca="false">+E7</f>
        <v>3</v>
      </c>
      <c r="F24" s="2" t="n">
        <f aca="false">+C24*E24</f>
        <v>0.165</v>
      </c>
      <c r="G24" s="31"/>
    </row>
    <row r="25" customFormat="false" ht="15" hidden="false" customHeight="false" outlineLevel="0" collapsed="false">
      <c r="B25" s="29" t="s">
        <v>74</v>
      </c>
      <c r="C25" s="2" t="n">
        <v>0.03</v>
      </c>
      <c r="D25" s="2" t="n">
        <f aca="false">+SUM(C$23:$C25)</f>
        <v>0.485</v>
      </c>
      <c r="E25" s="2" t="n">
        <f aca="false">+E23+E24</f>
        <v>4.5</v>
      </c>
      <c r="F25" s="2" t="n">
        <f aca="false">+C25*E25</f>
        <v>0.135</v>
      </c>
      <c r="G25" s="31" t="n">
        <v>0</v>
      </c>
      <c r="H25" s="0" t="s">
        <v>77</v>
      </c>
      <c r="J25" s="48"/>
    </row>
    <row r="26" customFormat="false" ht="15" hidden="false" customHeight="false" outlineLevel="0" collapsed="false">
      <c r="B26" s="34" t="s">
        <v>14</v>
      </c>
      <c r="C26" s="34" t="n">
        <f aca="false">+SUM(C23:C25)</f>
        <v>0.485</v>
      </c>
      <c r="D26" s="34"/>
      <c r="E26" s="34"/>
      <c r="F26" s="39" t="n">
        <f aca="false">+SUM(F23:F25)</f>
        <v>0.9</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0.3</v>
      </c>
      <c r="D30" s="2" t="n">
        <f aca="false">+SUM(C30:$C$30)</f>
        <v>0.3</v>
      </c>
      <c r="E30" s="2" t="n">
        <f aca="false">+E7</f>
        <v>3</v>
      </c>
      <c r="F30" s="2" t="n">
        <f aca="false">+C30*E30</f>
        <v>0.9</v>
      </c>
      <c r="G30" s="31" t="n">
        <v>0</v>
      </c>
      <c r="H30" s="0" t="s">
        <v>77</v>
      </c>
    </row>
    <row r="31" customFormat="false" ht="15" hidden="false" customHeight="false" outlineLevel="0" collapsed="false">
      <c r="A31" s="0" t="s">
        <v>82</v>
      </c>
      <c r="B31" s="34" t="s">
        <v>14</v>
      </c>
      <c r="C31" s="34" t="n">
        <f aca="false">+SUM(C30:C30)</f>
        <v>0.3</v>
      </c>
      <c r="D31" s="34"/>
      <c r="E31" s="34"/>
      <c r="F31" s="39" t="n">
        <f aca="false">+SUM(F30:F30)</f>
        <v>0.9</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0.25</v>
      </c>
      <c r="D35" s="2" t="n">
        <f aca="false">+SUM(C35:$C$35)</f>
        <v>0.25</v>
      </c>
      <c r="E35" s="2" t="n">
        <f aca="false">+E5</f>
        <v>1.5</v>
      </c>
      <c r="F35" s="2" t="n">
        <f aca="false">+C35*E35</f>
        <v>0.375</v>
      </c>
      <c r="G35" s="31"/>
    </row>
    <row r="36" customFormat="false" ht="15" hidden="false" customHeight="false" outlineLevel="0" collapsed="false">
      <c r="A36" s="0" t="s">
        <v>87</v>
      </c>
      <c r="B36" s="29" t="n">
        <v>2</v>
      </c>
      <c r="C36" s="2" t="n">
        <v>0.25</v>
      </c>
      <c r="D36" s="2" t="n">
        <f aca="false">+SUM(C$35:$C36)</f>
        <v>0.5</v>
      </c>
      <c r="E36" s="2" t="n">
        <f aca="false">+E6</f>
        <v>1.5</v>
      </c>
      <c r="F36" s="2" t="n">
        <f aca="false">+C36*E36</f>
        <v>0.375</v>
      </c>
      <c r="G36" s="31"/>
    </row>
    <row r="37" customFormat="false" ht="15" hidden="false" customHeight="false" outlineLevel="0" collapsed="false">
      <c r="B37" s="29" t="s">
        <v>73</v>
      </c>
      <c r="C37" s="2" t="n">
        <v>0.05</v>
      </c>
      <c r="D37" s="2" t="n">
        <f aca="false">+SUM(C$35:$C37)</f>
        <v>0.55</v>
      </c>
      <c r="E37" s="2" t="n">
        <f aca="false">+E35+E36</f>
        <v>3</v>
      </c>
      <c r="F37" s="2" t="n">
        <f aca="false">+C37*E37</f>
        <v>0.15</v>
      </c>
      <c r="G37" s="31" t="n">
        <v>0</v>
      </c>
      <c r="H37" s="0" t="s">
        <v>77</v>
      </c>
    </row>
    <row r="38" customFormat="false" ht="15" hidden="false" customHeight="false" outlineLevel="0" collapsed="false">
      <c r="A38" s="44"/>
      <c r="B38" s="34" t="s">
        <v>14</v>
      </c>
      <c r="C38" s="34" t="n">
        <f aca="false">+SUM(C35:C37)</f>
        <v>0.55</v>
      </c>
      <c r="D38" s="34"/>
      <c r="E38" s="34"/>
      <c r="F38" s="39" t="n">
        <f aca="false">+SUM(F35:F37)</f>
        <v>0.9</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0.6</v>
      </c>
      <c r="D42" s="2" t="n">
        <f aca="false">+SUM(C42:$C$42)</f>
        <v>0.6</v>
      </c>
      <c r="E42" s="2" t="n">
        <f aca="false">+E5</f>
        <v>1.5</v>
      </c>
      <c r="F42" s="2" t="n">
        <f aca="false">+E42*C42</f>
        <v>0.9</v>
      </c>
      <c r="G42" s="31" t="n">
        <v>0</v>
      </c>
      <c r="H42" s="0" t="s">
        <v>77</v>
      </c>
    </row>
    <row r="43" customFormat="false" ht="15" hidden="false" customHeight="false" outlineLevel="0" collapsed="false">
      <c r="A43" s="0" t="s">
        <v>84</v>
      </c>
      <c r="B43" s="34" t="s">
        <v>14</v>
      </c>
      <c r="C43" s="34" t="n">
        <f aca="false">+SUM(C42:C42)</f>
        <v>0.6</v>
      </c>
      <c r="D43" s="34"/>
      <c r="E43" s="34"/>
      <c r="F43" s="39" t="n">
        <f aca="false">+SUM(F42:F42)</f>
        <v>0.9</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0.6</v>
      </c>
      <c r="D47" s="2" t="n">
        <f aca="false">+SUM(C$47:$C47)</f>
        <v>0.6</v>
      </c>
      <c r="E47" s="2" t="n">
        <f aca="false">+E6</f>
        <v>1.5</v>
      </c>
      <c r="F47" s="2" t="n">
        <f aca="false">+E47*C47</f>
        <v>0.9</v>
      </c>
      <c r="G47" s="31" t="n">
        <v>0</v>
      </c>
      <c r="H47" s="0" t="s">
        <v>77</v>
      </c>
    </row>
    <row r="48" customFormat="false" ht="15" hidden="false" customHeight="false" outlineLevel="0" collapsed="false">
      <c r="A48" s="0" t="s">
        <v>82</v>
      </c>
      <c r="B48" s="34" t="s">
        <v>14</v>
      </c>
      <c r="C48" s="34" t="n">
        <f aca="false">+SUM(C47:C47)</f>
        <v>0.6</v>
      </c>
      <c r="D48" s="34"/>
      <c r="E48" s="34"/>
      <c r="F48" s="39" t="n">
        <f aca="false">+SUM(F47:F47)</f>
        <v>0.9</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109</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0.12</v>
      </c>
      <c r="D5" s="12" t="n">
        <f aca="false">+SUM($C$5:C5)</f>
        <v>0.12</v>
      </c>
      <c r="E5" s="12" t="n">
        <f aca="false">+Summary!H27</f>
        <v>2</v>
      </c>
      <c r="F5" s="12" t="n">
        <f aca="false">+C5*E5</f>
        <v>0.24</v>
      </c>
      <c r="G5" s="31"/>
    </row>
    <row r="6" customFormat="false" ht="15" hidden="false" customHeight="false" outlineLevel="0" collapsed="false">
      <c r="B6" s="46" t="n">
        <v>2</v>
      </c>
      <c r="C6" s="12" t="n">
        <v>0.12</v>
      </c>
      <c r="D6" s="12" t="n">
        <f aca="false">+SUM($C$5:C6)</f>
        <v>0.24</v>
      </c>
      <c r="E6" s="12" t="n">
        <f aca="false">+Summary!H28</f>
        <v>2</v>
      </c>
      <c r="F6" s="12" t="n">
        <f aca="false">+C6*E6</f>
        <v>0.24</v>
      </c>
      <c r="G6" s="31"/>
    </row>
    <row r="7" customFormat="false" ht="15" hidden="false" customHeight="false" outlineLevel="0" collapsed="false">
      <c r="B7" s="46" t="n">
        <v>3</v>
      </c>
      <c r="C7" s="12" t="n">
        <v>0.02</v>
      </c>
      <c r="D7" s="12" t="n">
        <f aca="false">+SUM($C$5:C7)</f>
        <v>0.26</v>
      </c>
      <c r="E7" s="12" t="n">
        <f aca="false">+Summary!H29</f>
        <v>4</v>
      </c>
      <c r="F7" s="12" t="n">
        <f aca="false">+C7*E7</f>
        <v>0.08</v>
      </c>
      <c r="G7" s="31"/>
    </row>
    <row r="8" customFormat="false" ht="15" hidden="false" customHeight="false" outlineLevel="0" collapsed="false">
      <c r="B8" s="46" t="s">
        <v>73</v>
      </c>
      <c r="C8" s="12" t="n">
        <v>0.045</v>
      </c>
      <c r="D8" s="12" t="n">
        <f aca="false">+SUM($C$5:C8)</f>
        <v>0.305</v>
      </c>
      <c r="E8" s="12" t="n">
        <f aca="false">+E5+E6</f>
        <v>4</v>
      </c>
      <c r="F8" s="12" t="n">
        <f aca="false">+C8*E8</f>
        <v>0.18</v>
      </c>
      <c r="G8" s="31"/>
    </row>
    <row r="9" customFormat="false" ht="15" hidden="false" customHeight="false" outlineLevel="0" collapsed="false">
      <c r="B9" s="46" t="s">
        <v>74</v>
      </c>
      <c r="C9" s="12" t="n">
        <v>0.01</v>
      </c>
      <c r="D9" s="12" t="n">
        <f aca="false">+SUM($C$5:C9)</f>
        <v>0.315</v>
      </c>
      <c r="E9" s="12" t="n">
        <f aca="false">+E5+E7</f>
        <v>6</v>
      </c>
      <c r="F9" s="12" t="n">
        <f aca="false">+C9*E9</f>
        <v>0.06</v>
      </c>
      <c r="G9" s="31"/>
    </row>
    <row r="10" customFormat="false" ht="15" hidden="false" customHeight="false" outlineLevel="0" collapsed="false">
      <c r="B10" s="46" t="s">
        <v>75</v>
      </c>
      <c r="C10" s="12" t="n">
        <v>0.01</v>
      </c>
      <c r="D10" s="12" t="n">
        <f aca="false">+SUM($C$5:C10)</f>
        <v>0.325</v>
      </c>
      <c r="E10" s="12" t="n">
        <f aca="false">+E6+E7</f>
        <v>6</v>
      </c>
      <c r="F10" s="12" t="n">
        <f aca="false">+C10*E10</f>
        <v>0.06</v>
      </c>
      <c r="G10" s="31"/>
    </row>
    <row r="11" customFormat="false" ht="15" hidden="false" customHeight="false" outlineLevel="0" collapsed="false">
      <c r="B11" s="46" t="s">
        <v>76</v>
      </c>
      <c r="C11" s="12" t="n">
        <v>0.005</v>
      </c>
      <c r="D11" s="12" t="n">
        <f aca="false">+SUM($C$5:C11)</f>
        <v>0.33</v>
      </c>
      <c r="E11" s="12" t="n">
        <f aca="false">+E5+E6+E7</f>
        <v>8</v>
      </c>
      <c r="F11" s="12" t="n">
        <f aca="false">+C11*E11</f>
        <v>0.04</v>
      </c>
      <c r="G11" s="31" t="n">
        <v>0</v>
      </c>
      <c r="H11" s="0" t="s">
        <v>77</v>
      </c>
    </row>
    <row r="12" customFormat="false" ht="15" hidden="false" customHeight="false" outlineLevel="0" collapsed="false">
      <c r="B12" s="34" t="s">
        <v>78</v>
      </c>
      <c r="C12" s="34" t="n">
        <f aca="false">+SUM(C5:C11)</f>
        <v>0.33</v>
      </c>
      <c r="D12" s="34"/>
      <c r="E12" s="34"/>
      <c r="F12" s="54" t="n">
        <f aca="false">+SUM(F5:F11)</f>
        <v>0.9</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0.33</v>
      </c>
      <c r="D16" s="2" t="n">
        <f aca="false">+SUM(C16:$C$16)</f>
        <v>0.33</v>
      </c>
      <c r="E16" s="2" t="n">
        <f aca="false">+E6</f>
        <v>2</v>
      </c>
      <c r="F16" s="2" t="n">
        <f aca="false">+C16*E16</f>
        <v>0.66</v>
      </c>
      <c r="G16" s="31"/>
    </row>
    <row r="17" customFormat="false" ht="15" hidden="false" customHeight="false" outlineLevel="0" collapsed="false">
      <c r="A17" s="0" t="s">
        <v>82</v>
      </c>
      <c r="B17" s="29" t="n">
        <v>3</v>
      </c>
      <c r="C17" s="2" t="n">
        <v>0.03</v>
      </c>
      <c r="D17" s="2" t="n">
        <f aca="false">+SUM(C$16:$C17)</f>
        <v>0.36</v>
      </c>
      <c r="E17" s="2" t="n">
        <f aca="false">+E7</f>
        <v>4</v>
      </c>
      <c r="F17" s="2" t="n">
        <f aca="false">+C17*E17</f>
        <v>0.12</v>
      </c>
      <c r="G17" s="31"/>
    </row>
    <row r="18" customFormat="false" ht="15" hidden="false" customHeight="false" outlineLevel="0" collapsed="false">
      <c r="B18" s="29" t="s">
        <v>75</v>
      </c>
      <c r="C18" s="2" t="n">
        <v>0.02</v>
      </c>
      <c r="D18" s="2" t="n">
        <f aca="false">+SUM(C$16:$C18)</f>
        <v>0.38</v>
      </c>
      <c r="E18" s="2" t="n">
        <f aca="false">+E16+E17</f>
        <v>6</v>
      </c>
      <c r="F18" s="2" t="n">
        <f aca="false">+C18*E18</f>
        <v>0.12</v>
      </c>
      <c r="G18" s="31" t="n">
        <v>0</v>
      </c>
      <c r="H18" s="0" t="s">
        <v>77</v>
      </c>
    </row>
    <row r="19" customFormat="false" ht="15" hidden="false" customHeight="false" outlineLevel="0" collapsed="false">
      <c r="B19" s="34" t="s">
        <v>14</v>
      </c>
      <c r="C19" s="34" t="n">
        <f aca="false">+SUM(C16:C18)</f>
        <v>0.38</v>
      </c>
      <c r="D19" s="34"/>
      <c r="E19" s="34"/>
      <c r="F19" s="39" t="n">
        <f aca="false">+SUM(F16:F18)</f>
        <v>0.9</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0.33</v>
      </c>
      <c r="D23" s="2" t="n">
        <f aca="false">+SUM(C23:$C$23)</f>
        <v>0.33</v>
      </c>
      <c r="E23" s="2" t="n">
        <f aca="false">+E5</f>
        <v>2</v>
      </c>
      <c r="F23" s="2" t="n">
        <f aca="false">+C23*E23</f>
        <v>0.66</v>
      </c>
      <c r="G23" s="31"/>
    </row>
    <row r="24" customFormat="false" ht="15" hidden="false" customHeight="false" outlineLevel="0" collapsed="false">
      <c r="A24" s="0" t="s">
        <v>84</v>
      </c>
      <c r="B24" s="29" t="n">
        <v>3</v>
      </c>
      <c r="C24" s="2" t="n">
        <v>0.03</v>
      </c>
      <c r="D24" s="2" t="n">
        <f aca="false">+SUM(C$23:$C24)</f>
        <v>0.36</v>
      </c>
      <c r="E24" s="2" t="n">
        <f aca="false">+E7</f>
        <v>4</v>
      </c>
      <c r="F24" s="2" t="n">
        <f aca="false">+C24*E24</f>
        <v>0.12</v>
      </c>
      <c r="G24" s="31"/>
    </row>
    <row r="25" customFormat="false" ht="15" hidden="false" customHeight="false" outlineLevel="0" collapsed="false">
      <c r="B25" s="29" t="s">
        <v>74</v>
      </c>
      <c r="C25" s="2" t="n">
        <v>0.02</v>
      </c>
      <c r="D25" s="2" t="n">
        <f aca="false">+SUM(C$23:$C25)</f>
        <v>0.38</v>
      </c>
      <c r="E25" s="2" t="n">
        <f aca="false">+E23+E24</f>
        <v>6</v>
      </c>
      <c r="F25" s="2" t="n">
        <f aca="false">+C25*E25</f>
        <v>0.12</v>
      </c>
      <c r="G25" s="31" t="n">
        <v>0</v>
      </c>
      <c r="H25" s="0" t="s">
        <v>77</v>
      </c>
      <c r="J25" s="48"/>
    </row>
    <row r="26" customFormat="false" ht="15" hidden="false" customHeight="false" outlineLevel="0" collapsed="false">
      <c r="B26" s="34" t="s">
        <v>14</v>
      </c>
      <c r="C26" s="34" t="n">
        <f aca="false">+SUM(C23:C25)</f>
        <v>0.38</v>
      </c>
      <c r="D26" s="34"/>
      <c r="E26" s="34"/>
      <c r="F26" s="39" t="n">
        <f aca="false">+SUM(F23:F25)</f>
        <v>0.9</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0.225</v>
      </c>
      <c r="D30" s="2" t="n">
        <f aca="false">+SUM(C30:$C$30)</f>
        <v>0.225</v>
      </c>
      <c r="E30" s="2" t="n">
        <f aca="false">+E7</f>
        <v>4</v>
      </c>
      <c r="F30" s="2" t="n">
        <f aca="false">+C30*E30</f>
        <v>0.9</v>
      </c>
      <c r="G30" s="31" t="n">
        <v>0</v>
      </c>
      <c r="H30" s="0" t="s">
        <v>77</v>
      </c>
    </row>
    <row r="31" customFormat="false" ht="15" hidden="false" customHeight="false" outlineLevel="0" collapsed="false">
      <c r="A31" s="0" t="s">
        <v>82</v>
      </c>
      <c r="B31" s="34" t="s">
        <v>14</v>
      </c>
      <c r="C31" s="34" t="n">
        <f aca="false">+SUM(C30:C30)</f>
        <v>0.225</v>
      </c>
      <c r="D31" s="34"/>
      <c r="E31" s="34"/>
      <c r="F31" s="39" t="n">
        <f aca="false">+SUM(F30:F30)</f>
        <v>0.9</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0.2</v>
      </c>
      <c r="D35" s="2" t="n">
        <f aca="false">+SUM(C35:$C$35)</f>
        <v>0.2</v>
      </c>
      <c r="E35" s="2" t="n">
        <f aca="false">+E5</f>
        <v>2</v>
      </c>
      <c r="F35" s="2" t="n">
        <f aca="false">+C35*E35</f>
        <v>0.4</v>
      </c>
      <c r="G35" s="31"/>
    </row>
    <row r="36" customFormat="false" ht="15" hidden="false" customHeight="false" outlineLevel="0" collapsed="false">
      <c r="A36" s="0" t="s">
        <v>87</v>
      </c>
      <c r="B36" s="29" t="n">
        <v>2</v>
      </c>
      <c r="C36" s="2" t="n">
        <v>0.2</v>
      </c>
      <c r="D36" s="2" t="n">
        <f aca="false">+SUM(C$35:$C36)</f>
        <v>0.4</v>
      </c>
      <c r="E36" s="2" t="n">
        <f aca="false">+E6</f>
        <v>2</v>
      </c>
      <c r="F36" s="2" t="n">
        <f aca="false">+C36*E36</f>
        <v>0.4</v>
      </c>
      <c r="G36" s="31"/>
    </row>
    <row r="37" customFormat="false" ht="15" hidden="false" customHeight="false" outlineLevel="0" collapsed="false">
      <c r="B37" s="29" t="s">
        <v>73</v>
      </c>
      <c r="C37" s="2" t="n">
        <v>0.025</v>
      </c>
      <c r="D37" s="2" t="n">
        <f aca="false">+SUM(C$35:$C37)</f>
        <v>0.425</v>
      </c>
      <c r="E37" s="2" t="n">
        <f aca="false">+E35+E36</f>
        <v>4</v>
      </c>
      <c r="F37" s="2" t="n">
        <f aca="false">+C37*E37</f>
        <v>0.1</v>
      </c>
      <c r="G37" s="31" t="n">
        <v>0</v>
      </c>
      <c r="H37" s="0" t="s">
        <v>77</v>
      </c>
    </row>
    <row r="38" customFormat="false" ht="15" hidden="false" customHeight="false" outlineLevel="0" collapsed="false">
      <c r="A38" s="44"/>
      <c r="B38" s="34" t="s">
        <v>14</v>
      </c>
      <c r="C38" s="34" t="n">
        <f aca="false">+SUM(C35:C37)</f>
        <v>0.425</v>
      </c>
      <c r="D38" s="34"/>
      <c r="E38" s="34"/>
      <c r="F38" s="39" t="n">
        <f aca="false">+SUM(F35:F37)</f>
        <v>0.9</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0.45</v>
      </c>
      <c r="D42" s="2" t="n">
        <f aca="false">+SUM(C42:$C$42)</f>
        <v>0.45</v>
      </c>
      <c r="E42" s="2" t="n">
        <f aca="false">+E5</f>
        <v>2</v>
      </c>
      <c r="F42" s="2" t="n">
        <f aca="false">+E42*C42</f>
        <v>0.9</v>
      </c>
      <c r="G42" s="31" t="n">
        <v>0</v>
      </c>
      <c r="H42" s="0" t="s">
        <v>77</v>
      </c>
    </row>
    <row r="43" customFormat="false" ht="15" hidden="false" customHeight="false" outlineLevel="0" collapsed="false">
      <c r="A43" s="0" t="s">
        <v>84</v>
      </c>
      <c r="B43" s="34" t="s">
        <v>14</v>
      </c>
      <c r="C43" s="34" t="n">
        <f aca="false">+SUM(C42:C42)</f>
        <v>0.45</v>
      </c>
      <c r="D43" s="34"/>
      <c r="E43" s="34"/>
      <c r="F43" s="39" t="n">
        <f aca="false">+SUM(F42:F42)</f>
        <v>0.9</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0.45</v>
      </c>
      <c r="D47" s="2" t="n">
        <f aca="false">+SUM(C$47:$C47)</f>
        <v>0.45</v>
      </c>
      <c r="E47" s="2" t="n">
        <f aca="false">+E6</f>
        <v>2</v>
      </c>
      <c r="F47" s="2" t="n">
        <f aca="false">+E47*C47</f>
        <v>0.9</v>
      </c>
      <c r="G47" s="31" t="n">
        <v>0</v>
      </c>
      <c r="H47" s="0" t="s">
        <v>77</v>
      </c>
    </row>
    <row r="48" customFormat="false" ht="15" hidden="false" customHeight="false" outlineLevel="0" collapsed="false">
      <c r="A48" s="0" t="s">
        <v>82</v>
      </c>
      <c r="B48" s="34" t="s">
        <v>14</v>
      </c>
      <c r="C48" s="34" t="n">
        <f aca="false">+SUM(C47:C47)</f>
        <v>0.45</v>
      </c>
      <c r="D48" s="34"/>
      <c r="E48" s="34"/>
      <c r="F48" s="39" t="n">
        <f aca="false">+SUM(F47:F47)</f>
        <v>0.9</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110</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12" t="n">
        <v>0.09</v>
      </c>
      <c r="D5" s="12" t="n">
        <f aca="false">+SUM($C$5:C5)</f>
        <v>0.09</v>
      </c>
      <c r="E5" s="53" t="n">
        <f aca="false">Summary!K27</f>
        <v>3</v>
      </c>
      <c r="F5" s="12" t="n">
        <f aca="false">+C5*E5</f>
        <v>0.27</v>
      </c>
      <c r="G5" s="31"/>
    </row>
    <row r="6" customFormat="false" ht="15" hidden="false" customHeight="false" outlineLevel="0" collapsed="false">
      <c r="B6" s="46" t="n">
        <v>2</v>
      </c>
      <c r="C6" s="12" t="n">
        <v>0.09</v>
      </c>
      <c r="D6" s="12" t="n">
        <f aca="false">+SUM($C$5:C6)</f>
        <v>0.18</v>
      </c>
      <c r="E6" s="53" t="n">
        <f aca="false">Summary!K28</f>
        <v>3</v>
      </c>
      <c r="F6" s="12" t="n">
        <f aca="false">+C6*E6</f>
        <v>0.27</v>
      </c>
      <c r="G6" s="31"/>
    </row>
    <row r="7" customFormat="false" ht="15" hidden="false" customHeight="false" outlineLevel="0" collapsed="false">
      <c r="B7" s="46" t="n">
        <v>3</v>
      </c>
      <c r="C7" s="12" t="n">
        <v>0.01</v>
      </c>
      <c r="D7" s="12" t="n">
        <f aca="false">+SUM($C$5:C7)</f>
        <v>0.19</v>
      </c>
      <c r="E7" s="53" t="n">
        <f aca="false">Summary!K29</f>
        <v>6</v>
      </c>
      <c r="F7" s="12" t="n">
        <f aca="false">+C7*E7</f>
        <v>0.06</v>
      </c>
      <c r="G7" s="31"/>
    </row>
    <row r="8" customFormat="false" ht="15" hidden="false" customHeight="false" outlineLevel="0" collapsed="false">
      <c r="B8" s="46" t="s">
        <v>73</v>
      </c>
      <c r="C8" s="12" t="n">
        <v>0.01</v>
      </c>
      <c r="D8" s="12" t="n">
        <f aca="false">+SUM($C$5:C8)</f>
        <v>0.2</v>
      </c>
      <c r="E8" s="12" t="n">
        <f aca="false">+E5+E6</f>
        <v>6</v>
      </c>
      <c r="F8" s="12" t="n">
        <f aca="false">+C8*E8</f>
        <v>0.06</v>
      </c>
      <c r="G8" s="31"/>
    </row>
    <row r="9" customFormat="false" ht="15" hidden="false" customHeight="false" outlineLevel="0" collapsed="false">
      <c r="B9" s="46" t="s">
        <v>74</v>
      </c>
      <c r="C9" s="12" t="n">
        <v>0.01</v>
      </c>
      <c r="D9" s="12" t="n">
        <f aca="false">+SUM($C$5:C9)</f>
        <v>0.21</v>
      </c>
      <c r="E9" s="12" t="n">
        <f aca="false">+E5+E7</f>
        <v>9</v>
      </c>
      <c r="F9" s="12" t="n">
        <f aca="false">+C9*E9</f>
        <v>0.09</v>
      </c>
      <c r="G9" s="31"/>
    </row>
    <row r="10" customFormat="false" ht="15" hidden="false" customHeight="false" outlineLevel="0" collapsed="false">
      <c r="B10" s="46" t="s">
        <v>75</v>
      </c>
      <c r="C10" s="12" t="n">
        <v>0.01</v>
      </c>
      <c r="D10" s="12" t="n">
        <f aca="false">+SUM($C$5:C10)</f>
        <v>0.22</v>
      </c>
      <c r="E10" s="12" t="n">
        <f aca="false">+E6+E7</f>
        <v>9</v>
      </c>
      <c r="F10" s="12" t="n">
        <f aca="false">+C10*E10</f>
        <v>0.09</v>
      </c>
      <c r="G10" s="31"/>
    </row>
    <row r="11" customFormat="false" ht="15" hidden="false" customHeight="false" outlineLevel="0" collapsed="false">
      <c r="B11" s="46" t="s">
        <v>76</v>
      </c>
      <c r="C11" s="12" t="n">
        <v>0.005</v>
      </c>
      <c r="D11" s="12" t="n">
        <f aca="false">+SUM($C$5:C11)</f>
        <v>0.225</v>
      </c>
      <c r="E11" s="12" t="n">
        <f aca="false">+E5+E6+E7</f>
        <v>12</v>
      </c>
      <c r="F11" s="12" t="n">
        <f aca="false">+C11*E11</f>
        <v>0.06</v>
      </c>
      <c r="G11" s="31" t="n">
        <v>0</v>
      </c>
      <c r="H11" s="0" t="s">
        <v>77</v>
      </c>
    </row>
    <row r="12" customFormat="false" ht="15" hidden="false" customHeight="false" outlineLevel="0" collapsed="false">
      <c r="B12" s="34" t="s">
        <v>78</v>
      </c>
      <c r="C12" s="34" t="n">
        <f aca="false">+SUM(C5:C11)</f>
        <v>0.225</v>
      </c>
      <c r="D12" s="34"/>
      <c r="E12" s="34"/>
      <c r="F12" s="54" t="n">
        <f aca="false">+SUM(F5:F11)</f>
        <v>0.9</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0.2</v>
      </c>
      <c r="D16" s="2" t="n">
        <f aca="false">+SUM(C16:$C$16)</f>
        <v>0.2</v>
      </c>
      <c r="E16" s="2" t="n">
        <f aca="false">+E6</f>
        <v>3</v>
      </c>
      <c r="F16" s="2" t="n">
        <f aca="false">+C16*E16</f>
        <v>0.6</v>
      </c>
      <c r="G16" s="31"/>
    </row>
    <row r="17" customFormat="false" ht="15" hidden="false" customHeight="false" outlineLevel="0" collapsed="false">
      <c r="A17" s="0" t="s">
        <v>82</v>
      </c>
      <c r="B17" s="29" t="n">
        <v>3</v>
      </c>
      <c r="C17" s="2" t="n">
        <v>0.02</v>
      </c>
      <c r="D17" s="2" t="n">
        <f aca="false">+SUM(C$16:$C17)</f>
        <v>0.22</v>
      </c>
      <c r="E17" s="2" t="n">
        <f aca="false">+E7</f>
        <v>6</v>
      </c>
      <c r="F17" s="2" t="n">
        <f aca="false">+C17*E17</f>
        <v>0.12</v>
      </c>
      <c r="G17" s="31"/>
    </row>
    <row r="18" customFormat="false" ht="15" hidden="false" customHeight="false" outlineLevel="0" collapsed="false">
      <c r="B18" s="29" t="s">
        <v>75</v>
      </c>
      <c r="C18" s="2" t="n">
        <v>0.02</v>
      </c>
      <c r="D18" s="2" t="n">
        <f aca="false">+SUM(C$16:$C18)</f>
        <v>0.24</v>
      </c>
      <c r="E18" s="2" t="n">
        <f aca="false">+E16+E17</f>
        <v>9</v>
      </c>
      <c r="F18" s="2" t="n">
        <f aca="false">+C18*E18</f>
        <v>0.18</v>
      </c>
      <c r="G18" s="31" t="n">
        <v>0</v>
      </c>
      <c r="H18" s="0" t="s">
        <v>77</v>
      </c>
    </row>
    <row r="19" customFormat="false" ht="15" hidden="false" customHeight="false" outlineLevel="0" collapsed="false">
      <c r="B19" s="34" t="s">
        <v>14</v>
      </c>
      <c r="C19" s="34" t="n">
        <f aca="false">+SUM(C16:C18)</f>
        <v>0.24</v>
      </c>
      <c r="D19" s="34"/>
      <c r="E19" s="34"/>
      <c r="F19" s="39" t="n">
        <f aca="false">+SUM(F16:F18)</f>
        <v>0.9</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0.2</v>
      </c>
      <c r="D23" s="2" t="n">
        <f aca="false">+SUM(C23:$C$23)</f>
        <v>0.2</v>
      </c>
      <c r="E23" s="2" t="n">
        <f aca="false">+E5</f>
        <v>3</v>
      </c>
      <c r="F23" s="2" t="n">
        <f aca="false">+C23*E23</f>
        <v>0.6</v>
      </c>
      <c r="G23" s="31"/>
    </row>
    <row r="24" customFormat="false" ht="15" hidden="false" customHeight="false" outlineLevel="0" collapsed="false">
      <c r="A24" s="0" t="s">
        <v>84</v>
      </c>
      <c r="B24" s="29" t="n">
        <v>3</v>
      </c>
      <c r="C24" s="2" t="n">
        <v>0.02</v>
      </c>
      <c r="D24" s="2" t="n">
        <f aca="false">+SUM(C$23:$C24)</f>
        <v>0.22</v>
      </c>
      <c r="E24" s="2" t="n">
        <f aca="false">+E7</f>
        <v>6</v>
      </c>
      <c r="F24" s="2" t="n">
        <f aca="false">+C24*E24</f>
        <v>0.12</v>
      </c>
      <c r="G24" s="31"/>
    </row>
    <row r="25" customFormat="false" ht="15" hidden="false" customHeight="false" outlineLevel="0" collapsed="false">
      <c r="B25" s="29" t="s">
        <v>74</v>
      </c>
      <c r="C25" s="2" t="n">
        <v>0.02</v>
      </c>
      <c r="D25" s="2" t="n">
        <f aca="false">+SUM(C$23:$C25)</f>
        <v>0.24</v>
      </c>
      <c r="E25" s="2" t="n">
        <f aca="false">+E23+E24</f>
        <v>9</v>
      </c>
      <c r="F25" s="2" t="n">
        <f aca="false">+C25*E25</f>
        <v>0.18</v>
      </c>
      <c r="G25" s="31" t="n">
        <v>0</v>
      </c>
      <c r="H25" s="0" t="s">
        <v>77</v>
      </c>
      <c r="J25" s="48"/>
    </row>
    <row r="26" customFormat="false" ht="15" hidden="false" customHeight="false" outlineLevel="0" collapsed="false">
      <c r="B26" s="34" t="s">
        <v>14</v>
      </c>
      <c r="C26" s="34" t="n">
        <f aca="false">+SUM(C23:C25)</f>
        <v>0.24</v>
      </c>
      <c r="D26" s="34"/>
      <c r="E26" s="34"/>
      <c r="F26" s="39" t="n">
        <f aca="false">+SUM(F23:F25)</f>
        <v>0.9</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0.15</v>
      </c>
      <c r="D30" s="2" t="n">
        <f aca="false">+SUM(C30:$C$30)</f>
        <v>0.15</v>
      </c>
      <c r="E30" s="2" t="n">
        <f aca="false">+E7</f>
        <v>6</v>
      </c>
      <c r="F30" s="2" t="n">
        <f aca="false">+C30*E30</f>
        <v>0.9</v>
      </c>
      <c r="G30" s="31" t="n">
        <v>0</v>
      </c>
      <c r="H30" s="0" t="s">
        <v>77</v>
      </c>
    </row>
    <row r="31" customFormat="false" ht="15" hidden="false" customHeight="false" outlineLevel="0" collapsed="false">
      <c r="A31" s="0" t="s">
        <v>82</v>
      </c>
      <c r="B31" s="34" t="s">
        <v>14</v>
      </c>
      <c r="C31" s="34" t="n">
        <f aca="false">+SUM(C30:C30)</f>
        <v>0.15</v>
      </c>
      <c r="D31" s="34"/>
      <c r="E31" s="34"/>
      <c r="F31" s="39" t="n">
        <f aca="false">+SUM(F30:F30)</f>
        <v>0.9</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0.125</v>
      </c>
      <c r="D35" s="2" t="n">
        <f aca="false">+SUM(C35:$C$35)</f>
        <v>0.125</v>
      </c>
      <c r="E35" s="2" t="n">
        <f aca="false">+E5</f>
        <v>3</v>
      </c>
      <c r="F35" s="2" t="n">
        <f aca="false">+C35*E35</f>
        <v>0.375</v>
      </c>
      <c r="G35" s="31"/>
    </row>
    <row r="36" customFormat="false" ht="15" hidden="false" customHeight="false" outlineLevel="0" collapsed="false">
      <c r="A36" s="0" t="s">
        <v>87</v>
      </c>
      <c r="B36" s="29" t="n">
        <v>2</v>
      </c>
      <c r="C36" s="2" t="n">
        <v>0.125</v>
      </c>
      <c r="D36" s="2" t="n">
        <f aca="false">+SUM(C$35:$C36)</f>
        <v>0.25</v>
      </c>
      <c r="E36" s="2" t="n">
        <f aca="false">+E6</f>
        <v>3</v>
      </c>
      <c r="F36" s="2" t="n">
        <f aca="false">+C36*E36</f>
        <v>0.375</v>
      </c>
      <c r="G36" s="31"/>
    </row>
    <row r="37" customFormat="false" ht="15" hidden="false" customHeight="false" outlineLevel="0" collapsed="false">
      <c r="B37" s="29" t="s">
        <v>73</v>
      </c>
      <c r="C37" s="2" t="n">
        <v>0.025</v>
      </c>
      <c r="D37" s="2" t="n">
        <f aca="false">+SUM(C$35:$C37)</f>
        <v>0.275</v>
      </c>
      <c r="E37" s="2" t="n">
        <f aca="false">+E35+E36</f>
        <v>6</v>
      </c>
      <c r="F37" s="2" t="n">
        <f aca="false">+C37*E37</f>
        <v>0.15</v>
      </c>
      <c r="G37" s="31" t="n">
        <v>0</v>
      </c>
      <c r="H37" s="0" t="s">
        <v>77</v>
      </c>
    </row>
    <row r="38" customFormat="false" ht="15" hidden="false" customHeight="false" outlineLevel="0" collapsed="false">
      <c r="A38" s="44"/>
      <c r="B38" s="34" t="s">
        <v>14</v>
      </c>
      <c r="C38" s="34" t="n">
        <f aca="false">+SUM(C35:C37)</f>
        <v>0.275</v>
      </c>
      <c r="D38" s="34"/>
      <c r="E38" s="34"/>
      <c r="F38" s="39" t="n">
        <f aca="false">+SUM(F35:F37)</f>
        <v>0.9</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38"/>
    </row>
    <row r="42" customFormat="false" ht="15" hidden="false" customHeight="false" outlineLevel="0" collapsed="false">
      <c r="A42" s="0" t="s">
        <v>81</v>
      </c>
      <c r="B42" s="29" t="n">
        <v>1</v>
      </c>
      <c r="C42" s="2" t="n">
        <v>0.3</v>
      </c>
      <c r="D42" s="2" t="n">
        <f aca="false">+SUM(C42:$C$42)</f>
        <v>0.3</v>
      </c>
      <c r="E42" s="2" t="n">
        <f aca="false">+E5</f>
        <v>3</v>
      </c>
      <c r="F42" s="2" t="n">
        <f aca="false">+E42*C42</f>
        <v>0.9</v>
      </c>
      <c r="G42" s="31" t="n">
        <v>0</v>
      </c>
      <c r="H42" s="0" t="s">
        <v>77</v>
      </c>
    </row>
    <row r="43" customFormat="false" ht="15" hidden="false" customHeight="false" outlineLevel="0" collapsed="false">
      <c r="A43" s="0" t="s">
        <v>84</v>
      </c>
      <c r="B43" s="34" t="s">
        <v>14</v>
      </c>
      <c r="C43" s="34" t="n">
        <f aca="false">+SUM(C42:C42)</f>
        <v>0.3</v>
      </c>
      <c r="D43" s="34"/>
      <c r="E43" s="34"/>
      <c r="F43" s="39" t="n">
        <f aca="false">+SUM(F42:F42)</f>
        <v>0.9</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38"/>
    </row>
    <row r="47" customFormat="false" ht="15" hidden="false" customHeight="false" outlineLevel="0" collapsed="false">
      <c r="A47" s="0" t="s">
        <v>81</v>
      </c>
      <c r="B47" s="29" t="n">
        <v>2</v>
      </c>
      <c r="C47" s="2" t="n">
        <v>0.3</v>
      </c>
      <c r="D47" s="2" t="n">
        <f aca="false">+SUM(C$47:$C47)</f>
        <v>0.3</v>
      </c>
      <c r="E47" s="2" t="n">
        <f aca="false">+E6</f>
        <v>3</v>
      </c>
      <c r="F47" s="2" t="n">
        <f aca="false">+E47*C47</f>
        <v>0.9</v>
      </c>
      <c r="G47" s="31" t="n">
        <v>0</v>
      </c>
      <c r="H47" s="0" t="s">
        <v>77</v>
      </c>
    </row>
    <row r="48" customFormat="false" ht="15" hidden="false" customHeight="false" outlineLevel="0" collapsed="false">
      <c r="A48" s="0" t="s">
        <v>82</v>
      </c>
      <c r="B48" s="34" t="s">
        <v>14</v>
      </c>
      <c r="C48" s="34" t="n">
        <f aca="false">+SUM(C47:C47)</f>
        <v>0.3</v>
      </c>
      <c r="D48" s="34"/>
      <c r="E48" s="34"/>
      <c r="F48" s="39" t="n">
        <f aca="false">+SUM(F47:F47)</f>
        <v>0.9</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111</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30" t="n">
        <v>0.2</v>
      </c>
      <c r="D5" s="12" t="n">
        <f aca="false">+SUM($C$5:C5)</f>
        <v>0.2</v>
      </c>
      <c r="E5" s="12" t="n">
        <f aca="false">+Summary!B27</f>
        <v>2</v>
      </c>
      <c r="F5" s="12" t="n">
        <f aca="false">+C5*E5</f>
        <v>0.4</v>
      </c>
      <c r="G5" s="31"/>
    </row>
    <row r="6" customFormat="false" ht="15" hidden="false" customHeight="false" outlineLevel="0" collapsed="false">
      <c r="B6" s="46" t="n">
        <v>2</v>
      </c>
      <c r="C6" s="30" t="n">
        <v>0.1</v>
      </c>
      <c r="D6" s="12" t="n">
        <f aca="false">+SUM($C$5:C6)</f>
        <v>0.3</v>
      </c>
      <c r="E6" s="12" t="n">
        <f aca="false">+Summary!B28</f>
        <v>3</v>
      </c>
      <c r="F6" s="12" t="n">
        <f aca="false">+C6*E6</f>
        <v>0.3</v>
      </c>
      <c r="G6" s="31"/>
    </row>
    <row r="7" customFormat="false" ht="15" hidden="false" customHeight="false" outlineLevel="0" collapsed="false">
      <c r="B7" s="46" t="s">
        <v>73</v>
      </c>
      <c r="C7" s="30" t="n">
        <v>0.04</v>
      </c>
      <c r="D7" s="12" t="n">
        <f aca="false">+SUM($C$5:C7)</f>
        <v>0.34</v>
      </c>
      <c r="E7" s="12" t="n">
        <f aca="false">+E5+E6</f>
        <v>5</v>
      </c>
      <c r="F7" s="12" t="n">
        <f aca="false">+C7*E7</f>
        <v>0.2</v>
      </c>
      <c r="G7" s="31" t="n">
        <v>0</v>
      </c>
      <c r="H7" s="0" t="s">
        <v>77</v>
      </c>
      <c r="I7" s="50"/>
    </row>
    <row r="8" customFormat="false" ht="15" hidden="false" customHeight="false" outlineLevel="0" collapsed="false">
      <c r="B8" s="34" t="s">
        <v>78</v>
      </c>
      <c r="C8" s="34" t="n">
        <f aca="false">+SUM(C5:C7)</f>
        <v>0.34</v>
      </c>
      <c r="D8" s="34"/>
      <c r="E8" s="34"/>
      <c r="F8" s="35" t="n">
        <f aca="false">+SUM(F5:F7)</f>
        <v>0.9</v>
      </c>
      <c r="G8" s="36"/>
    </row>
    <row r="9" customFormat="false" ht="15" hidden="false" customHeight="false" outlineLevel="0" collapsed="false">
      <c r="B9" s="6" t="s">
        <v>91</v>
      </c>
      <c r="G9" s="37"/>
    </row>
    <row r="10" customFormat="false" ht="15" hidden="false" customHeight="false" outlineLevel="0" collapsed="false">
      <c r="G10" s="37"/>
    </row>
    <row r="11" customFormat="false" ht="15" hidden="false" customHeight="false" outlineLevel="0" collapsed="false">
      <c r="G11" s="37"/>
    </row>
    <row r="12" customFormat="false" ht="15" hidden="false" customHeight="false" outlineLevel="0" collapsed="false">
      <c r="A12" s="8" t="s">
        <v>88</v>
      </c>
      <c r="B12" s="1" t="s">
        <v>22</v>
      </c>
      <c r="C12" s="1" t="s">
        <v>5</v>
      </c>
      <c r="D12" s="1" t="s">
        <v>69</v>
      </c>
      <c r="E12" s="1" t="s">
        <v>70</v>
      </c>
      <c r="F12" s="1" t="s">
        <v>3</v>
      </c>
      <c r="G12" s="1" t="s">
        <v>71</v>
      </c>
    </row>
    <row r="13" customFormat="false" ht="15" hidden="false" customHeight="false" outlineLevel="0" collapsed="false">
      <c r="A13" s="0" t="s">
        <v>81</v>
      </c>
      <c r="B13" s="29" t="n">
        <v>1</v>
      </c>
      <c r="C13" s="2" t="n">
        <v>0.45</v>
      </c>
      <c r="D13" s="2" t="n">
        <f aca="false">+SUM(C13:$C$13)</f>
        <v>0.45</v>
      </c>
      <c r="E13" s="2" t="n">
        <f aca="false">+E5</f>
        <v>2</v>
      </c>
      <c r="F13" s="2" t="n">
        <f aca="false">+E13*C13</f>
        <v>0.9</v>
      </c>
      <c r="G13" s="31" t="n">
        <v>0</v>
      </c>
      <c r="H13" s="0" t="s">
        <v>77</v>
      </c>
    </row>
    <row r="14" customFormat="false" ht="15" hidden="false" customHeight="false" outlineLevel="0" collapsed="false">
      <c r="A14" s="0" t="s">
        <v>84</v>
      </c>
      <c r="B14" s="34" t="s">
        <v>14</v>
      </c>
      <c r="C14" s="34" t="n">
        <f aca="false">+SUM(C13:C13)</f>
        <v>0.45</v>
      </c>
      <c r="D14" s="34"/>
      <c r="E14" s="34"/>
      <c r="F14" s="39" t="n">
        <f aca="false">+SUM(F13:F13)</f>
        <v>0.9</v>
      </c>
      <c r="G14" s="40"/>
    </row>
    <row r="15" customFormat="false" ht="15" hidden="false" customHeight="false" outlineLevel="0" collapsed="false">
      <c r="G15" s="37"/>
    </row>
    <row r="16" customFormat="false" ht="15" hidden="false" customHeight="false" outlineLevel="0" collapsed="false">
      <c r="G16" s="37"/>
    </row>
    <row r="17" customFormat="false" ht="15" hidden="false" customHeight="false" outlineLevel="0" collapsed="false">
      <c r="A17" s="8" t="s">
        <v>89</v>
      </c>
      <c r="B17" s="1" t="s">
        <v>22</v>
      </c>
      <c r="C17" s="1" t="s">
        <v>5</v>
      </c>
      <c r="D17" s="1" t="s">
        <v>69</v>
      </c>
      <c r="E17" s="1" t="s">
        <v>70</v>
      </c>
      <c r="F17" s="1" t="s">
        <v>3</v>
      </c>
      <c r="G17" s="1" t="s">
        <v>71</v>
      </c>
    </row>
    <row r="18" customFormat="false" ht="15" hidden="false" customHeight="false" outlineLevel="0" collapsed="false">
      <c r="A18" s="0" t="s">
        <v>81</v>
      </c>
      <c r="B18" s="29" t="n">
        <v>2</v>
      </c>
      <c r="C18" s="2" t="n">
        <v>0.3</v>
      </c>
      <c r="D18" s="2" t="n">
        <f aca="false">+SUM(C$18:$C18)</f>
        <v>0.3</v>
      </c>
      <c r="E18" s="2" t="n">
        <f aca="false">+E6</f>
        <v>3</v>
      </c>
      <c r="F18" s="2" t="n">
        <f aca="false">+E18*C18</f>
        <v>0.9</v>
      </c>
      <c r="G18" s="31" t="n">
        <v>0</v>
      </c>
      <c r="H18" s="0" t="s">
        <v>77</v>
      </c>
    </row>
    <row r="19" customFormat="false" ht="15" hidden="false" customHeight="false" outlineLevel="0" collapsed="false">
      <c r="A19" s="0" t="s">
        <v>82</v>
      </c>
      <c r="B19" s="34" t="s">
        <v>14</v>
      </c>
      <c r="C19" s="34" t="n">
        <f aca="false">+SUM(C18:C18)</f>
        <v>0.3</v>
      </c>
      <c r="D19" s="34"/>
      <c r="E19" s="34"/>
      <c r="F19" s="39" t="n">
        <f aca="false">+SUM(F18:F18)</f>
        <v>0.9</v>
      </c>
      <c r="G19"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106</v>
      </c>
      <c r="B1" s="24"/>
      <c r="C1" s="24"/>
      <c r="D1" s="24"/>
      <c r="E1" s="24"/>
    </row>
    <row r="2" customFormat="false" ht="15" hidden="false" customHeight="false" outlineLevel="0" collapsed="false">
      <c r="A2" s="25"/>
    </row>
    <row r="4" customFormat="false" ht="15" hidden="false" customHeight="false" outlineLevel="0" collapsed="false">
      <c r="A4" s="8" t="s">
        <v>19</v>
      </c>
      <c r="B4" s="1" t="s">
        <v>22</v>
      </c>
      <c r="C4" s="1" t="s">
        <v>5</v>
      </c>
      <c r="D4" s="1" t="s">
        <v>69</v>
      </c>
      <c r="E4" s="1" t="s">
        <v>70</v>
      </c>
      <c r="F4" s="1" t="s">
        <v>3</v>
      </c>
      <c r="G4" s="1" t="s">
        <v>71</v>
      </c>
    </row>
    <row r="5" customFormat="false" ht="15" hidden="false" customHeight="false" outlineLevel="0" collapsed="false">
      <c r="B5" s="29" t="n">
        <v>1</v>
      </c>
      <c r="C5" s="2" t="n">
        <v>0.45</v>
      </c>
      <c r="D5" s="2" t="n">
        <f aca="false">+SUM(C5:$C$5)</f>
        <v>0.45</v>
      </c>
      <c r="E5" s="2" t="n">
        <f aca="false">+Summary!B21</f>
        <v>2</v>
      </c>
      <c r="F5" s="2" t="n">
        <f aca="false">+E5*C5</f>
        <v>0.9</v>
      </c>
      <c r="G5" s="31" t="n">
        <v>0</v>
      </c>
      <c r="H5" s="0" t="s">
        <v>77</v>
      </c>
    </row>
    <row r="6" customFormat="false" ht="15" hidden="false" customHeight="false" outlineLevel="0" collapsed="false">
      <c r="B6" s="34" t="s">
        <v>14</v>
      </c>
      <c r="C6" s="34" t="n">
        <f aca="false">+SUM(C5:C5)</f>
        <v>0.45</v>
      </c>
      <c r="D6" s="34"/>
      <c r="E6" s="34"/>
      <c r="F6" s="39" t="n">
        <f aca="false">+SUM(F5:F5)</f>
        <v>0.9</v>
      </c>
      <c r="G6" s="40"/>
    </row>
    <row r="7" customFormat="false" ht="15" hidden="false" customHeight="false" outlineLevel="0" collapsed="false">
      <c r="G7" s="37"/>
    </row>
    <row r="8" customFormat="false" ht="15" hidden="false" customHeight="false" outlineLevel="0" collapsed="false">
      <c r="G8" s="37"/>
    </row>
    <row r="9" customFormat="false" ht="15" hidden="false" customHeight="false" outlineLevel="0" collapsed="false">
      <c r="A9" s="8" t="s">
        <v>20</v>
      </c>
      <c r="B9" s="1" t="s">
        <v>22</v>
      </c>
      <c r="C9" s="1" t="s">
        <v>5</v>
      </c>
      <c r="D9" s="1" t="s">
        <v>69</v>
      </c>
      <c r="E9" s="1" t="s">
        <v>70</v>
      </c>
      <c r="F9" s="1" t="s">
        <v>3</v>
      </c>
      <c r="G9" s="1" t="s">
        <v>71</v>
      </c>
    </row>
    <row r="10" customFormat="false" ht="15" hidden="false" customHeight="false" outlineLevel="0" collapsed="false">
      <c r="B10" s="29" t="n">
        <v>1</v>
      </c>
      <c r="C10" s="2" t="n">
        <v>0.3</v>
      </c>
      <c r="D10" s="2" t="n">
        <f aca="false">1/6</f>
        <v>0.166666666666667</v>
      </c>
      <c r="E10" s="2" t="n">
        <f aca="false">+Summary!E21</f>
        <v>3</v>
      </c>
      <c r="F10" s="2" t="n">
        <f aca="false">+E10*C10</f>
        <v>0.9</v>
      </c>
      <c r="G10" s="31" t="n">
        <v>0</v>
      </c>
      <c r="H10" s="0" t="s">
        <v>77</v>
      </c>
    </row>
    <row r="11" customFormat="false" ht="15" hidden="false" customHeight="false" outlineLevel="0" collapsed="false">
      <c r="B11" s="34" t="s">
        <v>14</v>
      </c>
      <c r="C11" s="34" t="n">
        <f aca="false">+SUM(C10:C10)</f>
        <v>0.3</v>
      </c>
      <c r="D11" s="34"/>
      <c r="E11" s="34"/>
      <c r="F11" s="39" t="n">
        <f aca="false">+SUM(F10:F10)</f>
        <v>0.9</v>
      </c>
      <c r="G11" s="40"/>
    </row>
    <row r="12" customFormat="false" ht="15" hidden="false" customHeight="false" outlineLevel="0" collapsed="false">
      <c r="G12" s="45"/>
    </row>
    <row r="13" customFormat="false" ht="15" hidden="false" customHeight="false" outlineLevel="0" collapsed="false">
      <c r="G13" s="45"/>
    </row>
    <row r="14" customFormat="false" ht="15" hidden="false" customHeight="false" outlineLevel="0" collapsed="false">
      <c r="A14" s="8" t="s">
        <v>21</v>
      </c>
      <c r="B14" s="1" t="s">
        <v>22</v>
      </c>
      <c r="C14" s="1" t="s">
        <v>5</v>
      </c>
      <c r="D14" s="1" t="s">
        <v>69</v>
      </c>
      <c r="E14" s="1" t="s">
        <v>70</v>
      </c>
      <c r="F14" s="1" t="s">
        <v>3</v>
      </c>
      <c r="G14" s="1" t="s">
        <v>71</v>
      </c>
    </row>
    <row r="15" customFormat="false" ht="15" hidden="false" customHeight="false" outlineLevel="0" collapsed="false">
      <c r="B15" s="29" t="n">
        <v>1</v>
      </c>
      <c r="C15" s="2" t="n">
        <v>0.225</v>
      </c>
      <c r="D15" s="2" t="n">
        <f aca="false">+SUM(C$15:$C15)</f>
        <v>0.225</v>
      </c>
      <c r="E15" s="2" t="n">
        <f aca="false">+Summary!H21</f>
        <v>4</v>
      </c>
      <c r="F15" s="2" t="n">
        <f aca="false">+E15*C15</f>
        <v>0.9</v>
      </c>
      <c r="G15" s="31" t="n">
        <v>0</v>
      </c>
      <c r="H15" s="0" t="s">
        <v>77</v>
      </c>
    </row>
    <row r="16" customFormat="false" ht="15" hidden="false" customHeight="false" outlineLevel="0" collapsed="false">
      <c r="B16" s="34" t="s">
        <v>14</v>
      </c>
      <c r="C16" s="34" t="n">
        <f aca="false">+SUM(C15:C15)</f>
        <v>0.225</v>
      </c>
      <c r="D16" s="34"/>
      <c r="E16" s="34"/>
      <c r="F16" s="39" t="n">
        <f aca="false">+SUM(F15:F15)</f>
        <v>0.9</v>
      </c>
      <c r="G16"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85"/>
    <col collapsed="false" customWidth="true" hidden="false" outlineLevel="0" max="9" min="9" style="0" width="12"/>
    <col collapsed="false" customWidth="true" hidden="false" outlineLevel="0" max="1025" min="10" style="0" width="11.57"/>
  </cols>
  <sheetData>
    <row r="1" customFormat="false" ht="18.75" hidden="false" customHeight="false" outlineLevel="0" collapsed="false">
      <c r="A1" s="24" t="s">
        <v>112</v>
      </c>
      <c r="B1" s="24"/>
      <c r="C1" s="24"/>
      <c r="D1" s="24"/>
      <c r="E1" s="24"/>
    </row>
    <row r="2" customFormat="false" ht="15" hidden="false" customHeight="false" outlineLevel="0" collapsed="false">
      <c r="A2" s="25" t="s">
        <v>96</v>
      </c>
    </row>
    <row r="4" customFormat="false" ht="15" hidden="false" customHeight="false" outlineLevel="0" collapsed="false">
      <c r="A4" s="8" t="s">
        <v>68</v>
      </c>
      <c r="B4" s="1" t="s">
        <v>22</v>
      </c>
      <c r="C4" s="1" t="s">
        <v>5</v>
      </c>
      <c r="D4" s="1" t="s">
        <v>69</v>
      </c>
      <c r="E4" s="1" t="s">
        <v>70</v>
      </c>
      <c r="F4" s="1" t="s">
        <v>3</v>
      </c>
      <c r="G4" s="1" t="s">
        <v>71</v>
      </c>
    </row>
    <row r="5" customFormat="false" ht="15" hidden="false" customHeight="false" outlineLevel="0" collapsed="false">
      <c r="A5" s="0" t="s">
        <v>72</v>
      </c>
      <c r="B5" s="46" t="n">
        <v>1</v>
      </c>
      <c r="C5" s="47" t="n">
        <v>0.095</v>
      </c>
      <c r="D5" s="12" t="n">
        <f aca="false">+SUM($C$5:C5)</f>
        <v>0.095</v>
      </c>
      <c r="E5" s="12" t="n">
        <f aca="false">+Summary!B36</f>
        <v>2</v>
      </c>
      <c r="F5" s="12" t="n">
        <f aca="false">+C5*E5</f>
        <v>0.19</v>
      </c>
      <c r="G5" s="31"/>
    </row>
    <row r="6" customFormat="false" ht="15" hidden="false" customHeight="false" outlineLevel="0" collapsed="false">
      <c r="B6" s="46" t="n">
        <v>2</v>
      </c>
      <c r="C6" s="55" t="n">
        <v>0.01</v>
      </c>
      <c r="D6" s="12" t="n">
        <f aca="false">+SUM($C$5:C6)</f>
        <v>0.105</v>
      </c>
      <c r="E6" s="12" t="n">
        <f aca="false">+Summary!B37</f>
        <v>5</v>
      </c>
      <c r="F6" s="12" t="n">
        <f aca="false">+C6*E6</f>
        <v>0.05</v>
      </c>
      <c r="G6" s="31"/>
    </row>
    <row r="7" customFormat="false" ht="15" hidden="false" customHeight="false" outlineLevel="0" collapsed="false">
      <c r="B7" s="46" t="n">
        <v>3</v>
      </c>
      <c r="C7" s="55" t="n">
        <v>0.01</v>
      </c>
      <c r="D7" s="12" t="n">
        <f aca="false">+SUM($C$5:C7)</f>
        <v>0.115</v>
      </c>
      <c r="E7" s="12" t="n">
        <f aca="false">+Summary!B38</f>
        <v>8</v>
      </c>
      <c r="F7" s="12" t="n">
        <f aca="false">+C7*E7</f>
        <v>0.08</v>
      </c>
      <c r="G7" s="31"/>
      <c r="I7" s="49"/>
    </row>
    <row r="8" customFormat="false" ht="15" hidden="false" customHeight="false" outlineLevel="0" collapsed="false">
      <c r="B8" s="46" t="s">
        <v>73</v>
      </c>
      <c r="C8" s="55" t="n">
        <v>0.01</v>
      </c>
      <c r="D8" s="12" t="n">
        <f aca="false">+SUM($C$5:C8)</f>
        <v>0.125</v>
      </c>
      <c r="E8" s="12" t="n">
        <f aca="false">+E5+E6</f>
        <v>7</v>
      </c>
      <c r="F8" s="12" t="n">
        <f aca="false">+C8*E8</f>
        <v>0.07</v>
      </c>
      <c r="G8" s="31"/>
      <c r="I8" s="50"/>
    </row>
    <row r="9" customFormat="false" ht="15" hidden="false" customHeight="false" outlineLevel="0" collapsed="false">
      <c r="B9" s="46" t="s">
        <v>74</v>
      </c>
      <c r="C9" s="55" t="n">
        <v>0.01</v>
      </c>
      <c r="D9" s="12" t="n">
        <f aca="false">+SUM($C$5:C9)</f>
        <v>0.135</v>
      </c>
      <c r="E9" s="12" t="n">
        <f aca="false">+E5+E7</f>
        <v>10</v>
      </c>
      <c r="F9" s="12" t="n">
        <f aca="false">+C9*E9</f>
        <v>0.1</v>
      </c>
      <c r="G9" s="31"/>
    </row>
    <row r="10" customFormat="false" ht="15" hidden="false" customHeight="false" outlineLevel="0" collapsed="false">
      <c r="B10" s="46" t="s">
        <v>75</v>
      </c>
      <c r="C10" s="55" t="n">
        <v>0.02</v>
      </c>
      <c r="D10" s="12" t="n">
        <f aca="false">+SUM($C$5:C10)</f>
        <v>0.155</v>
      </c>
      <c r="E10" s="12" t="n">
        <f aca="false">+E6+E7</f>
        <v>13</v>
      </c>
      <c r="F10" s="12" t="n">
        <f aca="false">+C10*E10</f>
        <v>0.26</v>
      </c>
      <c r="G10" s="31"/>
    </row>
    <row r="11" customFormat="false" ht="15" hidden="false" customHeight="false" outlineLevel="0" collapsed="false">
      <c r="B11" s="46" t="s">
        <v>76</v>
      </c>
      <c r="C11" s="55" t="n">
        <v>0.01</v>
      </c>
      <c r="D11" s="12" t="n">
        <f aca="false">+SUM($C$5:C11)</f>
        <v>0.165</v>
      </c>
      <c r="E11" s="12" t="n">
        <f aca="false">+E5+E6+E7</f>
        <v>15</v>
      </c>
      <c r="F11" s="12" t="n">
        <f aca="false">+C11*E11</f>
        <v>0.15</v>
      </c>
      <c r="G11" s="31" t="n">
        <v>0</v>
      </c>
      <c r="H11" s="0" t="s">
        <v>77</v>
      </c>
    </row>
    <row r="12" customFormat="false" ht="15" hidden="false" customHeight="false" outlineLevel="0" collapsed="false">
      <c r="B12" s="34" t="s">
        <v>78</v>
      </c>
      <c r="C12" s="34" t="n">
        <f aca="false">+SUM(C5:C11)</f>
        <v>0.165</v>
      </c>
      <c r="D12" s="34"/>
      <c r="E12" s="34"/>
      <c r="F12" s="35" t="n">
        <f aca="false">+SUM(F5:F11)</f>
        <v>0.9</v>
      </c>
      <c r="G12" s="36"/>
    </row>
    <row r="13" customFormat="false" ht="15" hidden="false" customHeight="false" outlineLevel="0" collapsed="false">
      <c r="B13" s="6" t="s">
        <v>91</v>
      </c>
      <c r="G13" s="37"/>
    </row>
    <row r="14" customFormat="false" ht="15" hidden="false" customHeight="false" outlineLevel="0" collapsed="false">
      <c r="G14" s="37"/>
    </row>
    <row r="15" customFormat="false" ht="15" hidden="false" customHeight="false" outlineLevel="0" collapsed="false">
      <c r="A15" s="8" t="s">
        <v>80</v>
      </c>
      <c r="B15" s="1" t="s">
        <v>22</v>
      </c>
      <c r="C15" s="1" t="s">
        <v>5</v>
      </c>
      <c r="D15" s="1" t="s">
        <v>69</v>
      </c>
      <c r="E15" s="1" t="s">
        <v>70</v>
      </c>
      <c r="F15" s="1" t="s">
        <v>3</v>
      </c>
      <c r="G15" s="1" t="s">
        <v>71</v>
      </c>
    </row>
    <row r="16" customFormat="false" ht="15" hidden="false" customHeight="false" outlineLevel="0" collapsed="false">
      <c r="A16" s="0" t="s">
        <v>81</v>
      </c>
      <c r="B16" s="29" t="n">
        <v>2</v>
      </c>
      <c r="C16" s="2" t="n">
        <v>0.08</v>
      </c>
      <c r="D16" s="2" t="n">
        <f aca="false">+SUM(C16:$C$16)</f>
        <v>0.08</v>
      </c>
      <c r="E16" s="2" t="n">
        <f aca="false">+E6</f>
        <v>5</v>
      </c>
      <c r="F16" s="2" t="n">
        <f aca="false">+C16*E16</f>
        <v>0.4</v>
      </c>
      <c r="G16" s="31"/>
    </row>
    <row r="17" customFormat="false" ht="15" hidden="false" customHeight="false" outlineLevel="0" collapsed="false">
      <c r="A17" s="0" t="s">
        <v>82</v>
      </c>
      <c r="B17" s="29" t="n">
        <v>3</v>
      </c>
      <c r="C17" s="2" t="n">
        <v>0.03</v>
      </c>
      <c r="D17" s="2" t="n">
        <f aca="false">+SUM(C$16:$C17)</f>
        <v>0.11</v>
      </c>
      <c r="E17" s="2" t="n">
        <f aca="false">+E7</f>
        <v>8</v>
      </c>
      <c r="F17" s="2" t="n">
        <f aca="false">+C17*E17</f>
        <v>0.24</v>
      </c>
      <c r="G17" s="31"/>
      <c r="I17" s="51"/>
    </row>
    <row r="18" customFormat="false" ht="15" hidden="false" customHeight="false" outlineLevel="0" collapsed="false">
      <c r="B18" s="29" t="s">
        <v>75</v>
      </c>
      <c r="C18" s="2" t="n">
        <v>0.02</v>
      </c>
      <c r="D18" s="2" t="n">
        <f aca="false">+SUM(C$16:$C18)</f>
        <v>0.13</v>
      </c>
      <c r="E18" s="2" t="n">
        <f aca="false">+E16+E17</f>
        <v>13</v>
      </c>
      <c r="F18" s="2" t="n">
        <f aca="false">+C18*E18</f>
        <v>0.26</v>
      </c>
      <c r="G18" s="31" t="n">
        <v>0</v>
      </c>
      <c r="H18" s="0" t="s">
        <v>77</v>
      </c>
    </row>
    <row r="19" customFormat="false" ht="15" hidden="false" customHeight="false" outlineLevel="0" collapsed="false">
      <c r="B19" s="34" t="s">
        <v>14</v>
      </c>
      <c r="C19" s="34" t="n">
        <f aca="false">+SUM(C16:C18)</f>
        <v>0.13</v>
      </c>
      <c r="D19" s="34"/>
      <c r="E19" s="34"/>
      <c r="F19" s="39" t="n">
        <f aca="false">+SUM(F16:F18)</f>
        <v>0.9</v>
      </c>
      <c r="G19" s="40"/>
    </row>
    <row r="20" customFormat="false" ht="15" hidden="false" customHeight="false" outlineLevel="0" collapsed="false">
      <c r="B20" s="41"/>
      <c r="C20" s="41"/>
      <c r="D20" s="41"/>
      <c r="E20" s="41"/>
      <c r="F20" s="42"/>
      <c r="G20" s="43"/>
    </row>
    <row r="21" customFormat="false" ht="15" hidden="false" customHeight="false" outlineLevel="0" collapsed="false">
      <c r="B21" s="41"/>
      <c r="C21" s="41"/>
      <c r="D21" s="41"/>
      <c r="E21" s="41"/>
      <c r="F21" s="42"/>
      <c r="G21" s="43"/>
    </row>
    <row r="22" customFormat="false" ht="15" hidden="false" customHeight="false" outlineLevel="0" collapsed="false">
      <c r="A22" s="8" t="s">
        <v>83</v>
      </c>
      <c r="B22" s="1" t="s">
        <v>22</v>
      </c>
      <c r="C22" s="1" t="s">
        <v>5</v>
      </c>
      <c r="D22" s="1" t="s">
        <v>69</v>
      </c>
      <c r="E22" s="1" t="s">
        <v>70</v>
      </c>
      <c r="F22" s="1" t="s">
        <v>3</v>
      </c>
      <c r="G22" s="1" t="s">
        <v>71</v>
      </c>
    </row>
    <row r="23" customFormat="false" ht="15" hidden="false" customHeight="false" outlineLevel="0" collapsed="false">
      <c r="A23" s="0" t="s">
        <v>81</v>
      </c>
      <c r="B23" s="29" t="n">
        <v>1</v>
      </c>
      <c r="C23" s="2" t="n">
        <v>0.09</v>
      </c>
      <c r="D23" s="2" t="n">
        <f aca="false">+SUM(C23:$C$23)</f>
        <v>0.09</v>
      </c>
      <c r="E23" s="2" t="n">
        <f aca="false">+E5</f>
        <v>2</v>
      </c>
      <c r="F23" s="2" t="n">
        <f aca="false">+C23*E23</f>
        <v>0.18</v>
      </c>
      <c r="G23" s="31"/>
    </row>
    <row r="24" customFormat="false" ht="15" hidden="false" customHeight="false" outlineLevel="0" collapsed="false">
      <c r="A24" s="0" t="s">
        <v>84</v>
      </c>
      <c r="B24" s="29" t="n">
        <v>3</v>
      </c>
      <c r="C24" s="2" t="n">
        <v>0.04</v>
      </c>
      <c r="D24" s="2" t="n">
        <f aca="false">+SUM(C$23:$C24)</f>
        <v>0.13</v>
      </c>
      <c r="E24" s="2" t="n">
        <f aca="false">+E7</f>
        <v>8</v>
      </c>
      <c r="F24" s="2" t="n">
        <f aca="false">+C24*E24</f>
        <v>0.32</v>
      </c>
      <c r="G24" s="31"/>
    </row>
    <row r="25" customFormat="false" ht="15" hidden="false" customHeight="false" outlineLevel="0" collapsed="false">
      <c r="B25" s="29" t="s">
        <v>74</v>
      </c>
      <c r="C25" s="2" t="n">
        <v>0.04</v>
      </c>
      <c r="D25" s="2" t="n">
        <f aca="false">+SUM(C$23:$C25)</f>
        <v>0.17</v>
      </c>
      <c r="E25" s="2" t="n">
        <f aca="false">+E23+E24</f>
        <v>10</v>
      </c>
      <c r="F25" s="2" t="n">
        <f aca="false">+C25*E25</f>
        <v>0.4</v>
      </c>
      <c r="G25" s="31" t="n">
        <v>0</v>
      </c>
      <c r="H25" s="0" t="s">
        <v>77</v>
      </c>
    </row>
    <row r="26" customFormat="false" ht="15" hidden="false" customHeight="false" outlineLevel="0" collapsed="false">
      <c r="B26" s="34" t="s">
        <v>14</v>
      </c>
      <c r="C26" s="34" t="n">
        <f aca="false">+SUM(C23:C25)</f>
        <v>0.17</v>
      </c>
      <c r="D26" s="34"/>
      <c r="E26" s="34"/>
      <c r="F26" s="39" t="n">
        <f aca="false">+SUM(F23:F25)</f>
        <v>0.9</v>
      </c>
      <c r="G26" s="40"/>
    </row>
    <row r="27" customFormat="false" ht="15" hidden="false" customHeight="false" outlineLevel="0" collapsed="false">
      <c r="B27" s="41"/>
      <c r="C27" s="41"/>
      <c r="D27" s="41"/>
      <c r="E27" s="41"/>
      <c r="F27" s="42"/>
      <c r="G27" s="43"/>
    </row>
    <row r="28" customFormat="false" ht="15" hidden="false" customHeight="false" outlineLevel="0" collapsed="false">
      <c r="G28" s="37"/>
    </row>
    <row r="29" customFormat="false" ht="15" hidden="false" customHeight="false" outlineLevel="0" collapsed="false">
      <c r="A29" s="8" t="s">
        <v>85</v>
      </c>
      <c r="B29" s="1" t="s">
        <v>22</v>
      </c>
      <c r="C29" s="1" t="s">
        <v>5</v>
      </c>
      <c r="D29" s="1" t="s">
        <v>69</v>
      </c>
      <c r="E29" s="1" t="s">
        <v>70</v>
      </c>
      <c r="F29" s="1" t="s">
        <v>3</v>
      </c>
      <c r="G29" s="1" t="s">
        <v>71</v>
      </c>
    </row>
    <row r="30" customFormat="false" ht="15" hidden="false" customHeight="false" outlineLevel="0" collapsed="false">
      <c r="A30" s="0" t="s">
        <v>81</v>
      </c>
      <c r="B30" s="29" t="n">
        <v>3</v>
      </c>
      <c r="C30" s="2" t="n">
        <v>0.1125</v>
      </c>
      <c r="D30" s="2" t="n">
        <f aca="false">+SUM(C30:$C$30)</f>
        <v>0.1125</v>
      </c>
      <c r="E30" s="2" t="n">
        <f aca="false">+E7</f>
        <v>8</v>
      </c>
      <c r="F30" s="2" t="n">
        <f aca="false">+C30*E30</f>
        <v>0.9</v>
      </c>
      <c r="G30" s="31" t="n">
        <v>0</v>
      </c>
      <c r="H30" s="0" t="s">
        <v>77</v>
      </c>
    </row>
    <row r="31" customFormat="false" ht="15" hidden="false" customHeight="false" outlineLevel="0" collapsed="false">
      <c r="A31" s="0" t="s">
        <v>82</v>
      </c>
      <c r="B31" s="34" t="s">
        <v>14</v>
      </c>
      <c r="C31" s="34" t="n">
        <f aca="false">+SUM(C30:C30)</f>
        <v>0.1125</v>
      </c>
      <c r="D31" s="34"/>
      <c r="E31" s="34"/>
      <c r="F31" s="39" t="n">
        <f aca="false">+SUM(F30:F30)</f>
        <v>0.9</v>
      </c>
      <c r="G31" s="40"/>
    </row>
    <row r="32" customFormat="false" ht="15" hidden="false" customHeight="false" outlineLevel="0" collapsed="false">
      <c r="A32" s="0" t="s">
        <v>84</v>
      </c>
      <c r="G32" s="37"/>
    </row>
    <row r="33" customFormat="false" ht="15" hidden="false" customHeight="false" outlineLevel="0" collapsed="false">
      <c r="G33" s="37"/>
    </row>
    <row r="34" customFormat="false" ht="15" hidden="false" customHeight="false" outlineLevel="0" collapsed="false">
      <c r="A34" s="8" t="s">
        <v>86</v>
      </c>
      <c r="B34" s="1" t="s">
        <v>22</v>
      </c>
      <c r="C34" s="1" t="s">
        <v>5</v>
      </c>
      <c r="D34" s="1" t="s">
        <v>69</v>
      </c>
      <c r="E34" s="1" t="s">
        <v>70</v>
      </c>
      <c r="F34" s="1" t="s">
        <v>3</v>
      </c>
      <c r="G34" s="1" t="s">
        <v>71</v>
      </c>
    </row>
    <row r="35" customFormat="false" ht="15" hidden="false" customHeight="false" outlineLevel="0" collapsed="false">
      <c r="A35" s="0" t="s">
        <v>81</v>
      </c>
      <c r="B35" s="29" t="n">
        <v>1</v>
      </c>
      <c r="C35" s="2" t="n">
        <v>0.1</v>
      </c>
      <c r="D35" s="2" t="n">
        <f aca="false">+SUM(C35:$C$35)</f>
        <v>0.1</v>
      </c>
      <c r="E35" s="2" t="n">
        <f aca="false">+E5</f>
        <v>2</v>
      </c>
      <c r="F35" s="2" t="n">
        <f aca="false">+C35*E35</f>
        <v>0.2</v>
      </c>
      <c r="G35" s="31"/>
    </row>
    <row r="36" customFormat="false" ht="15" hidden="false" customHeight="false" outlineLevel="0" collapsed="false">
      <c r="A36" s="0" t="s">
        <v>87</v>
      </c>
      <c r="B36" s="29" t="n">
        <v>2</v>
      </c>
      <c r="C36" s="2" t="n">
        <v>0.07</v>
      </c>
      <c r="D36" s="2" t="n">
        <f aca="false">+SUM(C$35:$C36)</f>
        <v>0.17</v>
      </c>
      <c r="E36" s="2" t="n">
        <f aca="false">+E6</f>
        <v>5</v>
      </c>
      <c r="F36" s="2" t="n">
        <f aca="false">+C36*E36</f>
        <v>0.35</v>
      </c>
      <c r="G36" s="31"/>
    </row>
    <row r="37" customFormat="false" ht="15" hidden="false" customHeight="false" outlineLevel="0" collapsed="false">
      <c r="B37" s="29" t="s">
        <v>73</v>
      </c>
      <c r="C37" s="2" t="n">
        <v>0.05</v>
      </c>
      <c r="D37" s="2" t="n">
        <f aca="false">+SUM(C$35:$C37)</f>
        <v>0.22</v>
      </c>
      <c r="E37" s="2" t="n">
        <f aca="false">+E35+E36</f>
        <v>7</v>
      </c>
      <c r="F37" s="2" t="n">
        <f aca="false">+C37*E37</f>
        <v>0.35</v>
      </c>
      <c r="G37" s="31" t="n">
        <v>0</v>
      </c>
      <c r="H37" s="0" t="s">
        <v>77</v>
      </c>
    </row>
    <row r="38" customFormat="false" ht="15" hidden="false" customHeight="false" outlineLevel="0" collapsed="false">
      <c r="A38" s="44"/>
      <c r="B38" s="34" t="s">
        <v>14</v>
      </c>
      <c r="C38" s="34" t="n">
        <f aca="false">+SUM(C35:C37)</f>
        <v>0.22</v>
      </c>
      <c r="D38" s="34"/>
      <c r="E38" s="34"/>
      <c r="F38" s="39" t="n">
        <f aca="false">+SUM(F35:F37)</f>
        <v>0.9</v>
      </c>
      <c r="G38" s="40"/>
    </row>
    <row r="39" customFormat="false" ht="15" hidden="false" customHeight="false" outlineLevel="0" collapsed="false">
      <c r="A39" s="44"/>
      <c r="G39" s="37"/>
    </row>
    <row r="40" customFormat="false" ht="15" hidden="false" customHeight="false" outlineLevel="0" collapsed="false">
      <c r="G40" s="37"/>
    </row>
    <row r="41" customFormat="false" ht="15" hidden="false" customHeight="false" outlineLevel="0" collapsed="false">
      <c r="A41" s="8" t="s">
        <v>88</v>
      </c>
      <c r="B41" s="1" t="s">
        <v>22</v>
      </c>
      <c r="C41" s="1" t="s">
        <v>5</v>
      </c>
      <c r="D41" s="1" t="s">
        <v>69</v>
      </c>
      <c r="E41" s="1" t="s">
        <v>70</v>
      </c>
      <c r="F41" s="1" t="s">
        <v>3</v>
      </c>
      <c r="G41" s="1" t="s">
        <v>71</v>
      </c>
    </row>
    <row r="42" customFormat="false" ht="15" hidden="false" customHeight="false" outlineLevel="0" collapsed="false">
      <c r="A42" s="0" t="s">
        <v>81</v>
      </c>
      <c r="B42" s="29" t="n">
        <v>1</v>
      </c>
      <c r="C42" s="2" t="n">
        <v>0.45</v>
      </c>
      <c r="D42" s="2" t="n">
        <f aca="false">+SUM(C42:$C$42)</f>
        <v>0.45</v>
      </c>
      <c r="E42" s="2" t="n">
        <f aca="false">+E5</f>
        <v>2</v>
      </c>
      <c r="F42" s="2" t="n">
        <f aca="false">+E42*C42</f>
        <v>0.9</v>
      </c>
      <c r="G42" s="31" t="n">
        <v>0</v>
      </c>
      <c r="H42" s="0" t="s">
        <v>77</v>
      </c>
    </row>
    <row r="43" customFormat="false" ht="15" hidden="false" customHeight="false" outlineLevel="0" collapsed="false">
      <c r="A43" s="0" t="s">
        <v>84</v>
      </c>
      <c r="B43" s="34" t="s">
        <v>14</v>
      </c>
      <c r="C43" s="34" t="n">
        <f aca="false">+SUM(C42:C42)</f>
        <v>0.45</v>
      </c>
      <c r="D43" s="34"/>
      <c r="E43" s="34"/>
      <c r="F43" s="39" t="n">
        <f aca="false">+SUM(F42:F42)</f>
        <v>0.9</v>
      </c>
      <c r="G43" s="40"/>
    </row>
    <row r="44" customFormat="false" ht="15" hidden="false" customHeight="false" outlineLevel="0" collapsed="false">
      <c r="A44" s="0" t="s">
        <v>87</v>
      </c>
      <c r="G44" s="37"/>
    </row>
    <row r="45" customFormat="false" ht="15" hidden="false" customHeight="false" outlineLevel="0" collapsed="false">
      <c r="G45" s="37"/>
    </row>
    <row r="46" customFormat="false" ht="15" hidden="false" customHeight="false" outlineLevel="0" collapsed="false">
      <c r="A46" s="8" t="s">
        <v>89</v>
      </c>
      <c r="B46" s="1" t="s">
        <v>22</v>
      </c>
      <c r="C46" s="1" t="s">
        <v>5</v>
      </c>
      <c r="D46" s="1" t="s">
        <v>69</v>
      </c>
      <c r="E46" s="1" t="s">
        <v>70</v>
      </c>
      <c r="F46" s="1" t="s">
        <v>3</v>
      </c>
      <c r="G46" s="1" t="s">
        <v>71</v>
      </c>
    </row>
    <row r="47" customFormat="false" ht="15" hidden="false" customHeight="false" outlineLevel="0" collapsed="false">
      <c r="A47" s="0" t="s">
        <v>81</v>
      </c>
      <c r="B47" s="29" t="n">
        <v>2</v>
      </c>
      <c r="C47" s="2" t="n">
        <v>0.18</v>
      </c>
      <c r="D47" s="2" t="n">
        <f aca="false">+SUM(C$47:$C47)</f>
        <v>0.18</v>
      </c>
      <c r="E47" s="2" t="n">
        <f aca="false">+E6</f>
        <v>5</v>
      </c>
      <c r="F47" s="2" t="n">
        <f aca="false">+E47*C47</f>
        <v>0.9</v>
      </c>
      <c r="G47" s="31" t="n">
        <v>0</v>
      </c>
      <c r="H47" s="0" t="s">
        <v>77</v>
      </c>
    </row>
    <row r="48" customFormat="false" ht="15" hidden="false" customHeight="false" outlineLevel="0" collapsed="false">
      <c r="A48" s="0" t="s">
        <v>82</v>
      </c>
      <c r="B48" s="34" t="s">
        <v>14</v>
      </c>
      <c r="C48" s="34" t="n">
        <f aca="false">+SUM(C47:C47)</f>
        <v>0.18</v>
      </c>
      <c r="D48" s="34"/>
      <c r="E48" s="34"/>
      <c r="F48" s="39" t="n">
        <f aca="false">+SUM(F47:F47)</f>
        <v>0.9</v>
      </c>
      <c r="G48" s="40"/>
    </row>
    <row r="49" customFormat="false" ht="15" hidden="false" customHeight="false" outlineLevel="0" collapsed="false">
      <c r="A49" s="0" t="s">
        <v>87</v>
      </c>
      <c r="G49" s="45"/>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6" activeCellId="0" sqref="A26"/>
    </sheetView>
  </sheetViews>
  <sheetFormatPr defaultRowHeight="15" zeroHeight="false" outlineLevelRow="0" outlineLevelCol="0"/>
  <cols>
    <col collapsed="false" customWidth="true" hidden="false" outlineLevel="0" max="1" min="1" style="0" width="13.14"/>
    <col collapsed="false" customWidth="true" hidden="false" outlineLevel="0" max="2" min="2" style="0" width="14.14"/>
    <col collapsed="false" customWidth="true" hidden="false" outlineLevel="0" max="3" min="3" style="0" width="18.71"/>
    <col collapsed="false" customWidth="true" hidden="false" outlineLevel="0" max="4" min="4" style="0" width="15.57"/>
    <col collapsed="false" customWidth="true" hidden="false" outlineLevel="0" max="5" min="5" style="0" width="19.28"/>
    <col collapsed="false" customWidth="false" hidden="false" outlineLevel="0" max="1025" min="6" style="0" width="11.43"/>
  </cols>
  <sheetData>
    <row r="1" customFormat="false" ht="18.75" hidden="false" customHeight="false" outlineLevel="0" collapsed="false">
      <c r="A1" s="24" t="s">
        <v>113</v>
      </c>
      <c r="B1" s="24"/>
      <c r="C1" s="24"/>
      <c r="D1" s="24"/>
      <c r="E1" s="24"/>
    </row>
    <row r="2" customFormat="false" ht="15" hidden="false" customHeight="false" outlineLevel="0" collapsed="false">
      <c r="A2" s="0" t="s">
        <v>114</v>
      </c>
    </row>
    <row r="3" customFormat="false" ht="15" hidden="false" customHeight="false" outlineLevel="0" collapsed="false">
      <c r="A3" s="0" t="s">
        <v>115</v>
      </c>
    </row>
    <row r="4" customFormat="false" ht="15" hidden="false" customHeight="false" outlineLevel="0" collapsed="false">
      <c r="A4" s="0" t="s">
        <v>116</v>
      </c>
    </row>
    <row r="5" customFormat="false" ht="15" hidden="false" customHeight="false" outlineLevel="0" collapsed="false">
      <c r="A5" s="0" t="s">
        <v>117</v>
      </c>
    </row>
    <row r="6" customFormat="false" ht="15" hidden="false" customHeight="false" outlineLevel="0" collapsed="false">
      <c r="A6" s="8" t="s">
        <v>118</v>
      </c>
    </row>
    <row r="7" customFormat="false" ht="15" hidden="false" customHeight="false" outlineLevel="0" collapsed="false">
      <c r="A7" s="0" t="s">
        <v>119</v>
      </c>
    </row>
    <row r="8" customFormat="false" ht="18.75" hidden="false" customHeight="false" outlineLevel="0" collapsed="false">
      <c r="A8" s="56" t="s">
        <v>120</v>
      </c>
      <c r="B8" s="56"/>
      <c r="C8" s="56"/>
      <c r="D8" s="56"/>
      <c r="E8" s="56"/>
    </row>
    <row r="10" customFormat="false" ht="15" hidden="false" customHeight="false" outlineLevel="0" collapsed="false">
      <c r="A10" s="8" t="s">
        <v>68</v>
      </c>
      <c r="B10" s="1" t="s">
        <v>120</v>
      </c>
      <c r="C10" s="1" t="s">
        <v>5</v>
      </c>
      <c r="D10" s="1" t="s">
        <v>69</v>
      </c>
      <c r="E10" s="1" t="s">
        <v>3</v>
      </c>
    </row>
    <row r="11" customFormat="false" ht="15" hidden="false" customHeight="false" outlineLevel="0" collapsed="false">
      <c r="B11" s="57" t="n">
        <v>1</v>
      </c>
      <c r="C11" s="2" t="n">
        <v>0.5</v>
      </c>
      <c r="D11" s="2" t="n">
        <f aca="false">+SUM(C11:$C$11)</f>
        <v>0.5</v>
      </c>
      <c r="E11" s="2" t="n">
        <v>0.5</v>
      </c>
    </row>
    <row r="12" customFormat="false" ht="15" hidden="false" customHeight="false" outlineLevel="0" collapsed="false">
      <c r="B12" s="57" t="n">
        <v>2</v>
      </c>
      <c r="C12" s="2" t="n">
        <v>0.2</v>
      </c>
      <c r="D12" s="2" t="n">
        <f aca="false">+SUM(C$11:$C12)</f>
        <v>0.7</v>
      </c>
      <c r="E12" s="2" t="n">
        <v>0.4</v>
      </c>
    </row>
    <row r="13" customFormat="false" ht="15" hidden="false" customHeight="false" outlineLevel="0" collapsed="false">
      <c r="B13" s="57" t="n">
        <v>3</v>
      </c>
      <c r="C13" s="2" t="n">
        <v>0.01</v>
      </c>
      <c r="D13" s="2" t="n">
        <f aca="false">+SUM(C$11:$C13)</f>
        <v>0.71</v>
      </c>
      <c r="E13" s="2" t="n">
        <v>0.03</v>
      </c>
    </row>
    <row r="14" customFormat="false" ht="15" hidden="false" customHeight="false" outlineLevel="0" collapsed="false">
      <c r="B14" s="57" t="n">
        <v>4</v>
      </c>
      <c r="C14" s="2" t="n">
        <v>0.005</v>
      </c>
      <c r="D14" s="2" t="n">
        <f aca="false">+SUM(C$11:$C14)</f>
        <v>0.715</v>
      </c>
      <c r="E14" s="2" t="n">
        <v>0.02</v>
      </c>
    </row>
    <row r="15" customFormat="false" ht="15" hidden="false" customHeight="false" outlineLevel="0" collapsed="false">
      <c r="B15" s="34" t="s">
        <v>78</v>
      </c>
      <c r="C15" s="34" t="n">
        <v>0.715</v>
      </c>
      <c r="D15" s="34"/>
      <c r="E15" s="35" t="n">
        <v>0.95</v>
      </c>
    </row>
    <row r="16" customFormat="false" ht="15" hidden="false" customHeight="false" outlineLevel="0" collapsed="false">
      <c r="B16" s="6" t="s">
        <v>79</v>
      </c>
    </row>
    <row r="19" customFormat="false" ht="18.75" hidden="false" customHeight="false" outlineLevel="0" collapsed="false">
      <c r="A19" s="56" t="s">
        <v>121</v>
      </c>
      <c r="B19" s="56"/>
      <c r="C19" s="56"/>
      <c r="D19" s="56"/>
      <c r="E19" s="56"/>
    </row>
    <row r="20" customFormat="false" ht="15.75" hidden="false" customHeight="false" outlineLevel="0" collapsed="false"/>
    <row r="21" customFormat="false" ht="15.75" hidden="false" customHeight="false" outlineLevel="0" collapsed="false">
      <c r="A21" s="58" t="s">
        <v>122</v>
      </c>
      <c r="B21" s="59" t="n">
        <f aca="false">+Summary!E7</f>
        <v>50</v>
      </c>
    </row>
    <row r="22" customFormat="false" ht="15" hidden="false" customHeight="false" outlineLevel="0" collapsed="false">
      <c r="A22" s="41" t="s">
        <v>123</v>
      </c>
      <c r="B22" s="60"/>
    </row>
    <row r="23" customFormat="false" ht="15" hidden="false" customHeight="false" outlineLevel="0" collapsed="false">
      <c r="A23" s="0" t="s">
        <v>124</v>
      </c>
    </row>
    <row r="24" customFormat="false" ht="15" hidden="false" customHeight="false" outlineLevel="0" collapsed="false">
      <c r="A24" s="0" t="s">
        <v>125</v>
      </c>
    </row>
    <row r="25" customFormat="false" ht="15" hidden="false" customHeight="false" outlineLevel="0" collapsed="false">
      <c r="A25" s="7" t="s">
        <v>126</v>
      </c>
    </row>
    <row r="26" customFormat="false" ht="15" hidden="false" customHeight="false" outlineLevel="0" collapsed="false">
      <c r="A26" s="7" t="s">
        <v>127</v>
      </c>
    </row>
    <row r="28" customFormat="false" ht="15" hidden="false" customHeight="false" outlineLevel="0" collapsed="false">
      <c r="A28" s="8" t="s">
        <v>80</v>
      </c>
      <c r="B28" s="1" t="s">
        <v>128</v>
      </c>
      <c r="C28" s="1" t="s">
        <v>129</v>
      </c>
      <c r="D28" s="1" t="s">
        <v>3</v>
      </c>
    </row>
    <row r="29" customFormat="false" ht="15" hidden="false" customHeight="false" outlineLevel="0" collapsed="false">
      <c r="B29" s="2" t="n">
        <v>1</v>
      </c>
      <c r="C29" s="2" t="n">
        <v>0.2</v>
      </c>
      <c r="D29" s="2" t="n">
        <f aca="false">+B29*C29</f>
        <v>0.2</v>
      </c>
    </row>
    <row r="30" customFormat="false" ht="15" hidden="false" customHeight="false" outlineLevel="0" collapsed="false">
      <c r="B30" s="2" t="n">
        <v>2</v>
      </c>
      <c r="C30" s="2" t="n">
        <v>0.07</v>
      </c>
      <c r="D30" s="2" t="n">
        <f aca="false">+B30*C30</f>
        <v>0.14</v>
      </c>
    </row>
    <row r="31" customFormat="false" ht="15" hidden="false" customHeight="false" outlineLevel="0" collapsed="false">
      <c r="B31" s="2" t="n">
        <v>3</v>
      </c>
      <c r="C31" s="2" t="n">
        <v>0.05</v>
      </c>
      <c r="D31" s="2" t="n">
        <f aca="false">+B31*C31</f>
        <v>0.15</v>
      </c>
    </row>
    <row r="32" customFormat="false" ht="15" hidden="false" customHeight="false" outlineLevel="0" collapsed="false">
      <c r="B32" s="2" t="n">
        <v>4</v>
      </c>
      <c r="C32" s="2" t="n">
        <v>0.02</v>
      </c>
      <c r="D32" s="2" t="n">
        <f aca="false">+B32*C32</f>
        <v>0.08</v>
      </c>
    </row>
    <row r="33" customFormat="false" ht="15" hidden="false" customHeight="false" outlineLevel="0" collapsed="false">
      <c r="B33" s="2" t="n">
        <v>5</v>
      </c>
      <c r="C33" s="2" t="n">
        <v>0.01</v>
      </c>
      <c r="D33" s="2" t="n">
        <f aca="false">+B33*C33</f>
        <v>0.05</v>
      </c>
    </row>
    <row r="34" customFormat="false" ht="15" hidden="false" customHeight="false" outlineLevel="0" collapsed="false">
      <c r="B34" s="34" t="s">
        <v>14</v>
      </c>
      <c r="C34" s="34" t="n">
        <f aca="false">+SUM(C29:C33)</f>
        <v>0.35</v>
      </c>
      <c r="D34" s="34" t="n">
        <f aca="false">+SUM(D29:D33)</f>
        <v>0.62</v>
      </c>
      <c r="E34" s="0" t="s">
        <v>130</v>
      </c>
    </row>
    <row r="36" customFormat="false" ht="15" hidden="false" customHeight="false" outlineLevel="0" collapsed="false">
      <c r="A36" s="0" t="s">
        <v>131</v>
      </c>
    </row>
    <row r="38" customFormat="false" ht="15" hidden="false" customHeight="false" outlineLevel="0" collapsed="false">
      <c r="A38" s="8" t="s">
        <v>83</v>
      </c>
      <c r="B38" s="1" t="s">
        <v>128</v>
      </c>
      <c r="C38" s="1" t="s">
        <v>129</v>
      </c>
      <c r="D38" s="1" t="s">
        <v>3</v>
      </c>
    </row>
    <row r="39" customFormat="false" ht="15" hidden="false" customHeight="false" outlineLevel="0" collapsed="false">
      <c r="B39" s="2" t="n">
        <v>1</v>
      </c>
      <c r="C39" s="2" t="n">
        <v>0.62</v>
      </c>
      <c r="D39" s="2" t="n">
        <v>0.2</v>
      </c>
    </row>
    <row r="40" customFormat="false" ht="15" hidden="false" customHeight="false" outlineLevel="0" collapsed="false">
      <c r="B40" s="34" t="s">
        <v>14</v>
      </c>
      <c r="C40" s="34" t="n">
        <f aca="false">+SUM(C39)</f>
        <v>0.62</v>
      </c>
      <c r="D40" s="34" t="n">
        <v>0.62</v>
      </c>
    </row>
    <row r="42" customFormat="false" ht="15" hidden="false" customHeight="false" outlineLevel="0" collapsed="false">
      <c r="A42" s="8" t="s">
        <v>132</v>
      </c>
    </row>
    <row r="43" customFormat="false" ht="15" hidden="false" customHeight="false" outlineLevel="0" collapsed="false">
      <c r="A43" s="0" t="s">
        <v>133</v>
      </c>
    </row>
    <row r="44" customFormat="false" ht="15" hidden="false" customHeight="false" outlineLevel="0" collapsed="false">
      <c r="A44" s="0" t="s">
        <v>134</v>
      </c>
    </row>
    <row r="45" customFormat="false" ht="15" hidden="false" customHeight="false" outlineLevel="0" collapsed="false">
      <c r="A45" s="7" t="s">
        <v>135</v>
      </c>
    </row>
    <row r="47" customFormat="false" ht="15" hidden="false" customHeight="false" outlineLevel="0" collapsed="false">
      <c r="A47" s="0" t="s">
        <v>136</v>
      </c>
    </row>
    <row r="49" customFormat="false" ht="15" hidden="false" customHeight="false" outlineLevel="0" collapsed="false">
      <c r="B49" s="8" t="s">
        <v>137</v>
      </c>
      <c r="C49" s="8" t="s">
        <v>138</v>
      </c>
    </row>
    <row r="50" customFormat="false" ht="15" hidden="false" customHeight="false" outlineLevel="0" collapsed="false">
      <c r="B50" s="1" t="s">
        <v>128</v>
      </c>
      <c r="C50" s="1" t="s">
        <v>129</v>
      </c>
      <c r="D50" s="38" t="s">
        <v>139</v>
      </c>
      <c r="E50" s="1" t="s">
        <v>140</v>
      </c>
      <c r="F50" s="1" t="s">
        <v>3</v>
      </c>
    </row>
    <row r="51" customFormat="false" ht="15" hidden="false" customHeight="false" outlineLevel="0" collapsed="false">
      <c r="B51" s="2" t="n">
        <v>1</v>
      </c>
      <c r="C51" s="2" t="n">
        <v>0.2</v>
      </c>
      <c r="D51" s="2" t="n">
        <f aca="false">25/75</f>
        <v>0.333333333333333</v>
      </c>
      <c r="E51" s="2" t="n">
        <f aca="false">+C51*D51</f>
        <v>0.0666666666666667</v>
      </c>
      <c r="F51" s="2" t="n">
        <f aca="false">+E51*B51</f>
        <v>0.0666666666666667</v>
      </c>
    </row>
    <row r="52" customFormat="false" ht="15" hidden="false" customHeight="false" outlineLevel="0" collapsed="false">
      <c r="B52" s="2" t="n">
        <v>2</v>
      </c>
      <c r="C52" s="2" t="n">
        <v>0.07</v>
      </c>
      <c r="D52" s="2" t="n">
        <f aca="false">25/75</f>
        <v>0.333333333333333</v>
      </c>
      <c r="E52" s="2" t="n">
        <f aca="false">+C52*D52</f>
        <v>0.0233333333333333</v>
      </c>
      <c r="F52" s="2" t="n">
        <f aca="false">+E52*B52</f>
        <v>0.0466666666666667</v>
      </c>
    </row>
    <row r="53" customFormat="false" ht="15" hidden="false" customHeight="false" outlineLevel="0" collapsed="false">
      <c r="B53" s="2" t="n">
        <v>3</v>
      </c>
      <c r="C53" s="2" t="n">
        <v>0.05</v>
      </c>
      <c r="D53" s="2" t="n">
        <f aca="false">25/75</f>
        <v>0.333333333333333</v>
      </c>
      <c r="E53" s="2" t="n">
        <f aca="false">+C53*D53</f>
        <v>0.0166666666666667</v>
      </c>
      <c r="F53" s="2" t="n">
        <f aca="false">+E53*B53</f>
        <v>0.05</v>
      </c>
    </row>
    <row r="54" customFormat="false" ht="15" hidden="false" customHeight="false" outlineLevel="0" collapsed="false">
      <c r="B54" s="2" t="n">
        <v>4</v>
      </c>
      <c r="C54" s="2" t="n">
        <v>0.02</v>
      </c>
      <c r="D54" s="2" t="n">
        <f aca="false">25/75</f>
        <v>0.333333333333333</v>
      </c>
      <c r="E54" s="2" t="n">
        <f aca="false">+C54*D54</f>
        <v>0.00666666666666667</v>
      </c>
      <c r="F54" s="2" t="n">
        <f aca="false">+E54*B54</f>
        <v>0.0266666666666667</v>
      </c>
    </row>
    <row r="55" customFormat="false" ht="15" hidden="false" customHeight="false" outlineLevel="0" collapsed="false">
      <c r="B55" s="2" t="n">
        <v>5</v>
      </c>
      <c r="C55" s="2" t="n">
        <v>0.01</v>
      </c>
      <c r="D55" s="2" t="n">
        <f aca="false">25/75</f>
        <v>0.333333333333333</v>
      </c>
      <c r="E55" s="2" t="n">
        <f aca="false">+C55*D55</f>
        <v>0.00333333333333333</v>
      </c>
      <c r="F55" s="2" t="n">
        <f aca="false">+E55*B55</f>
        <v>0.0166666666666667</v>
      </c>
    </row>
    <row r="56" customFormat="false" ht="15" hidden="false" customHeight="false" outlineLevel="0" collapsed="false">
      <c r="B56" s="34" t="s">
        <v>14</v>
      </c>
      <c r="C56" s="34" t="n">
        <f aca="false">+SUM(C51:C55)</f>
        <v>0.35</v>
      </c>
      <c r="D56" s="34"/>
      <c r="E56" s="34" t="n">
        <f aca="false">+SUM(E51:E55)</f>
        <v>0.116666666666667</v>
      </c>
      <c r="F56" s="34" t="n">
        <f aca="false">+SUM(F51:F55)</f>
        <v>0.206666666666667</v>
      </c>
    </row>
    <row r="57" customFormat="false" ht="15" hidden="false" customHeight="false" outlineLevel="0" collapsed="false">
      <c r="B57" s="41"/>
      <c r="C57" s="41"/>
      <c r="D57" s="41"/>
      <c r="E57" s="41"/>
      <c r="F57" s="41"/>
    </row>
    <row r="58" customFormat="false" ht="15" hidden="false" customHeight="false" outlineLevel="0" collapsed="false">
      <c r="B58" s="8" t="s">
        <v>141</v>
      </c>
      <c r="C58" s="8" t="s">
        <v>142</v>
      </c>
    </row>
    <row r="59" customFormat="false" ht="15" hidden="false" customHeight="false" outlineLevel="0" collapsed="false">
      <c r="B59" s="1" t="s">
        <v>128</v>
      </c>
      <c r="C59" s="1" t="s">
        <v>129</v>
      </c>
      <c r="D59" s="38" t="s">
        <v>139</v>
      </c>
      <c r="E59" s="1" t="s">
        <v>140</v>
      </c>
      <c r="F59" s="1" t="s">
        <v>3</v>
      </c>
    </row>
    <row r="60" customFormat="false" ht="15" hidden="false" customHeight="false" outlineLevel="0" collapsed="false">
      <c r="B60" s="2" t="n">
        <v>1</v>
      </c>
      <c r="C60" s="2" t="n">
        <v>0.2</v>
      </c>
      <c r="D60" s="2" t="n">
        <f aca="false">50/75</f>
        <v>0.666666666666667</v>
      </c>
      <c r="E60" s="2" t="n">
        <f aca="false">+C60*D60</f>
        <v>0.133333333333333</v>
      </c>
      <c r="F60" s="2" t="n">
        <f aca="false">+E60*B60</f>
        <v>0.133333333333333</v>
      </c>
    </row>
    <row r="61" customFormat="false" ht="15" hidden="false" customHeight="false" outlineLevel="0" collapsed="false">
      <c r="B61" s="2" t="n">
        <v>2</v>
      </c>
      <c r="C61" s="2" t="n">
        <v>0.07</v>
      </c>
      <c r="D61" s="2" t="n">
        <f aca="false">50/75</f>
        <v>0.666666666666667</v>
      </c>
      <c r="E61" s="2" t="n">
        <f aca="false">+C61*D61</f>
        <v>0.0466666666666667</v>
      </c>
      <c r="F61" s="2" t="n">
        <f aca="false">+E61*B61</f>
        <v>0.0933333333333333</v>
      </c>
    </row>
    <row r="62" customFormat="false" ht="15" hidden="false" customHeight="false" outlineLevel="0" collapsed="false">
      <c r="B62" s="2" t="n">
        <v>3</v>
      </c>
      <c r="C62" s="2" t="n">
        <v>0.05</v>
      </c>
      <c r="D62" s="2" t="n">
        <f aca="false">50/75</f>
        <v>0.666666666666667</v>
      </c>
      <c r="E62" s="2" t="n">
        <f aca="false">+C62*D62</f>
        <v>0.0333333333333333</v>
      </c>
      <c r="F62" s="2" t="n">
        <f aca="false">+E62*B62</f>
        <v>0.1</v>
      </c>
    </row>
    <row r="63" customFormat="false" ht="15" hidden="false" customHeight="false" outlineLevel="0" collapsed="false">
      <c r="B63" s="2" t="n">
        <v>4</v>
      </c>
      <c r="C63" s="2" t="n">
        <v>0.02</v>
      </c>
      <c r="D63" s="2" t="n">
        <f aca="false">50/75</f>
        <v>0.666666666666667</v>
      </c>
      <c r="E63" s="2" t="n">
        <f aca="false">+C63*D63</f>
        <v>0.0133333333333333</v>
      </c>
      <c r="F63" s="2" t="n">
        <f aca="false">+E63*B63</f>
        <v>0.0533333333333333</v>
      </c>
    </row>
    <row r="64" customFormat="false" ht="15" hidden="false" customHeight="false" outlineLevel="0" collapsed="false">
      <c r="B64" s="2" t="n">
        <v>5</v>
      </c>
      <c r="C64" s="2" t="n">
        <v>0.01</v>
      </c>
      <c r="D64" s="2" t="n">
        <f aca="false">50/75</f>
        <v>0.666666666666667</v>
      </c>
      <c r="E64" s="2" t="n">
        <f aca="false">+C64*D64</f>
        <v>0.00666666666666667</v>
      </c>
      <c r="F64" s="2" t="n">
        <f aca="false">+E64*B64</f>
        <v>0.0333333333333333</v>
      </c>
    </row>
    <row r="65" customFormat="false" ht="15" hidden="false" customHeight="false" outlineLevel="0" collapsed="false">
      <c r="B65" s="34" t="s">
        <v>14</v>
      </c>
      <c r="C65" s="34" t="n">
        <f aca="false">+SUM(C60:C64)</f>
        <v>0.35</v>
      </c>
      <c r="D65" s="34"/>
      <c r="E65" s="34" t="n">
        <f aca="false">+SUM(E60:E64)</f>
        <v>0.233333333333333</v>
      </c>
      <c r="F65" s="34" t="n">
        <f aca="false">+SUM(F60:F64)</f>
        <v>0.413333333333333</v>
      </c>
    </row>
    <row r="68" customFormat="false" ht="15" hidden="false" customHeight="false" outlineLevel="0" collapsed="false">
      <c r="A68" s="0" t="s">
        <v>143</v>
      </c>
    </row>
    <row r="69" customFormat="false" ht="15" hidden="false" customHeight="false" outlineLevel="0" collapsed="false">
      <c r="A69" s="0" t="s">
        <v>144</v>
      </c>
    </row>
    <row r="70" customFormat="false" ht="15" hidden="false" customHeight="false" outlineLevel="0" collapsed="false">
      <c r="A70" s="0" t="s">
        <v>145</v>
      </c>
    </row>
  </sheetData>
  <mergeCells count="3">
    <mergeCell ref="A1:E1"/>
    <mergeCell ref="A8:E8"/>
    <mergeCell ref="A19:E19"/>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false" hidden="false" outlineLevel="0" max="1" min="1" style="0" width="11.43"/>
    <col collapsed="false" customWidth="true" hidden="false" outlineLevel="0" max="2" min="2" style="0" width="25.28"/>
    <col collapsed="false" customWidth="true" hidden="false" outlineLevel="0" max="3" min="3" style="0" width="18"/>
    <col collapsed="false" customWidth="true" hidden="false" outlineLevel="0" max="4" min="4" style="0" width="15.57"/>
    <col collapsed="false" customWidth="true" hidden="false" outlineLevel="0" max="5" min="5" style="0" width="25.57"/>
    <col collapsed="false" customWidth="false" hidden="false" outlineLevel="0" max="1025" min="6" style="0" width="11.43"/>
  </cols>
  <sheetData>
    <row r="1" customFormat="false" ht="18.75" hidden="false" customHeight="false" outlineLevel="0" collapsed="false">
      <c r="A1" s="24" t="s">
        <v>146</v>
      </c>
      <c r="B1" s="24"/>
      <c r="C1" s="24"/>
      <c r="D1" s="24"/>
      <c r="E1" s="24"/>
    </row>
    <row r="2" customFormat="false" ht="15" hidden="false" customHeight="false" outlineLevel="0" collapsed="false">
      <c r="A2" s="0" t="s">
        <v>114</v>
      </c>
    </row>
    <row r="3" customFormat="false" ht="15" hidden="false" customHeight="false" outlineLevel="0" collapsed="false">
      <c r="A3" s="0" t="s">
        <v>115</v>
      </c>
    </row>
    <row r="4" customFormat="false" ht="15" hidden="false" customHeight="false" outlineLevel="0" collapsed="false">
      <c r="A4" s="0" t="s">
        <v>116</v>
      </c>
    </row>
    <row r="5" customFormat="false" ht="15" hidden="false" customHeight="false" outlineLevel="0" collapsed="false">
      <c r="A5" s="0" t="s">
        <v>117</v>
      </c>
    </row>
    <row r="6" customFormat="false" ht="15" hidden="false" customHeight="false" outlineLevel="0" collapsed="false">
      <c r="A6" s="8" t="s">
        <v>118</v>
      </c>
    </row>
    <row r="8" customFormat="false" ht="18.75" hidden="false" customHeight="false" outlineLevel="0" collapsed="false">
      <c r="A8" s="56" t="s">
        <v>120</v>
      </c>
      <c r="B8" s="56"/>
      <c r="C8" s="56"/>
      <c r="D8" s="56"/>
      <c r="E8" s="56"/>
    </row>
    <row r="10" customFormat="false" ht="15" hidden="false" customHeight="false" outlineLevel="0" collapsed="false">
      <c r="A10" s="8" t="s">
        <v>68</v>
      </c>
      <c r="B10" s="1" t="s">
        <v>120</v>
      </c>
      <c r="C10" s="1" t="s">
        <v>5</v>
      </c>
      <c r="D10" s="1" t="s">
        <v>69</v>
      </c>
      <c r="E10" s="1" t="s">
        <v>3</v>
      </c>
    </row>
    <row r="11" customFormat="false" ht="15" hidden="false" customHeight="false" outlineLevel="0" collapsed="false">
      <c r="B11" s="57" t="n">
        <v>1</v>
      </c>
      <c r="C11" s="2" t="n">
        <v>0.5</v>
      </c>
      <c r="D11" s="2" t="n">
        <v>0.5</v>
      </c>
      <c r="E11" s="2" t="n">
        <v>0.5</v>
      </c>
    </row>
    <row r="12" customFormat="false" ht="15" hidden="false" customHeight="false" outlineLevel="0" collapsed="false">
      <c r="B12" s="57" t="n">
        <v>2</v>
      </c>
      <c r="C12" s="2" t="n">
        <v>0.2</v>
      </c>
      <c r="D12" s="2" t="n">
        <v>0.7</v>
      </c>
      <c r="E12" s="2" t="n">
        <v>0.4</v>
      </c>
    </row>
    <row r="13" customFormat="false" ht="15" hidden="false" customHeight="false" outlineLevel="0" collapsed="false">
      <c r="B13" s="57" t="n">
        <v>3</v>
      </c>
      <c r="C13" s="2" t="n">
        <v>0.01</v>
      </c>
      <c r="D13" s="2" t="n">
        <v>0.71</v>
      </c>
      <c r="E13" s="2" t="n">
        <v>0.03</v>
      </c>
    </row>
    <row r="14" customFormat="false" ht="15" hidden="false" customHeight="false" outlineLevel="0" collapsed="false">
      <c r="B14" s="57" t="n">
        <v>4</v>
      </c>
      <c r="C14" s="2" t="n">
        <v>0.005</v>
      </c>
      <c r="D14" s="2" t="n">
        <v>0.715</v>
      </c>
      <c r="E14" s="2" t="n">
        <v>0.02</v>
      </c>
    </row>
    <row r="15" customFormat="false" ht="15" hidden="false" customHeight="false" outlineLevel="0" collapsed="false">
      <c r="B15" s="34" t="s">
        <v>78</v>
      </c>
      <c r="C15" s="34" t="n">
        <v>0.715</v>
      </c>
      <c r="D15" s="34"/>
      <c r="E15" s="35" t="n">
        <v>0.95</v>
      </c>
    </row>
    <row r="16" customFormat="false" ht="15" hidden="false" customHeight="false" outlineLevel="0" collapsed="false">
      <c r="B16" s="6" t="s">
        <v>79</v>
      </c>
    </row>
    <row r="19" customFormat="false" ht="18.75" hidden="false" customHeight="false" outlineLevel="0" collapsed="false">
      <c r="A19" s="56" t="s">
        <v>121</v>
      </c>
      <c r="B19" s="56"/>
      <c r="C19" s="56"/>
      <c r="D19" s="56"/>
      <c r="E19" s="56"/>
    </row>
    <row r="20" customFormat="false" ht="15.75" hidden="false" customHeight="false" outlineLevel="0" collapsed="false"/>
    <row r="21" customFormat="false" ht="15.75" hidden="false" customHeight="false" outlineLevel="0" collapsed="false">
      <c r="A21" s="58" t="s">
        <v>122</v>
      </c>
      <c r="B21" s="59" t="n">
        <v>50</v>
      </c>
    </row>
    <row r="22" customFormat="false" ht="15" hidden="false" customHeight="false" outlineLevel="0" collapsed="false">
      <c r="A22" s="41" t="s">
        <v>123</v>
      </c>
      <c r="B22" s="60"/>
    </row>
    <row r="23" customFormat="false" ht="15" hidden="false" customHeight="false" outlineLevel="0" collapsed="false">
      <c r="A23" s="0" t="s">
        <v>124</v>
      </c>
    </row>
    <row r="24" customFormat="false" ht="15" hidden="false" customHeight="false" outlineLevel="0" collapsed="false">
      <c r="A24" s="0" t="s">
        <v>125</v>
      </c>
    </row>
    <row r="25" customFormat="false" ht="15" hidden="false" customHeight="false" outlineLevel="0" collapsed="false">
      <c r="A25" s="7" t="s">
        <v>126</v>
      </c>
    </row>
    <row r="26" customFormat="false" ht="15" hidden="false" customHeight="false" outlineLevel="0" collapsed="false">
      <c r="A26" s="7" t="s">
        <v>127</v>
      </c>
    </row>
    <row r="28" customFormat="false" ht="15" hidden="false" customHeight="false" outlineLevel="0" collapsed="false">
      <c r="A28" s="8" t="s">
        <v>80</v>
      </c>
      <c r="B28" s="1" t="s">
        <v>128</v>
      </c>
      <c r="C28" s="1" t="s">
        <v>129</v>
      </c>
      <c r="D28" s="1" t="s">
        <v>3</v>
      </c>
    </row>
    <row r="29" customFormat="false" ht="15" hidden="false" customHeight="false" outlineLevel="0" collapsed="false">
      <c r="B29" s="2" t="n">
        <v>1</v>
      </c>
      <c r="C29" s="2" t="n">
        <v>0.16</v>
      </c>
      <c r="D29" s="2" t="n">
        <v>0.16</v>
      </c>
    </row>
    <row r="30" customFormat="false" ht="15" hidden="false" customHeight="false" outlineLevel="0" collapsed="false">
      <c r="B30" s="2" t="n">
        <v>2</v>
      </c>
      <c r="C30" s="2" t="n">
        <v>0.07</v>
      </c>
      <c r="D30" s="2" t="n">
        <v>0.14</v>
      </c>
    </row>
    <row r="31" customFormat="false" ht="15" hidden="false" customHeight="false" outlineLevel="0" collapsed="false">
      <c r="B31" s="2" t="n">
        <v>3</v>
      </c>
      <c r="C31" s="2" t="n">
        <v>0.07</v>
      </c>
      <c r="D31" s="2" t="n">
        <v>0.21</v>
      </c>
    </row>
    <row r="32" customFormat="false" ht="15" hidden="false" customHeight="false" outlineLevel="0" collapsed="false">
      <c r="B32" s="2" t="n">
        <v>4</v>
      </c>
      <c r="C32" s="2" t="n">
        <v>0.06</v>
      </c>
      <c r="D32" s="2" t="n">
        <v>0.24</v>
      </c>
    </row>
    <row r="33" customFormat="false" ht="15" hidden="false" customHeight="false" outlineLevel="0" collapsed="false">
      <c r="B33" s="2" t="n">
        <v>5</v>
      </c>
      <c r="C33" s="2" t="n">
        <v>0.04</v>
      </c>
      <c r="D33" s="2" t="n">
        <v>0.2</v>
      </c>
    </row>
    <row r="34" customFormat="false" ht="15" hidden="false" customHeight="false" outlineLevel="0" collapsed="false">
      <c r="B34" s="34" t="s">
        <v>14</v>
      </c>
      <c r="C34" s="34" t="n">
        <v>0.4</v>
      </c>
      <c r="D34" s="34" t="n">
        <v>0.95</v>
      </c>
      <c r="E34" s="0" t="s">
        <v>130</v>
      </c>
    </row>
    <row r="36" customFormat="false" ht="15" hidden="false" customHeight="false" outlineLevel="0" collapsed="false">
      <c r="A36" s="0" t="s">
        <v>131</v>
      </c>
    </row>
    <row r="38" customFormat="false" ht="15" hidden="false" customHeight="false" outlineLevel="0" collapsed="false">
      <c r="A38" s="8" t="s">
        <v>83</v>
      </c>
      <c r="B38" s="1" t="s">
        <v>128</v>
      </c>
      <c r="C38" s="1" t="s">
        <v>129</v>
      </c>
      <c r="D38" s="1" t="s">
        <v>3</v>
      </c>
    </row>
    <row r="39" customFormat="false" ht="15" hidden="false" customHeight="false" outlineLevel="0" collapsed="false">
      <c r="B39" s="2" t="n">
        <v>1</v>
      </c>
      <c r="C39" s="2" t="n">
        <v>0.95</v>
      </c>
      <c r="D39" s="2" t="n">
        <v>0.95</v>
      </c>
    </row>
    <row r="40" customFormat="false" ht="15" hidden="false" customHeight="false" outlineLevel="0" collapsed="false">
      <c r="B40" s="34" t="s">
        <v>14</v>
      </c>
      <c r="C40" s="34" t="n">
        <v>0.95</v>
      </c>
      <c r="D40" s="34" t="n">
        <v>0.95</v>
      </c>
    </row>
    <row r="42" customFormat="false" ht="15" hidden="false" customHeight="false" outlineLevel="0" collapsed="false">
      <c r="A42" s="8" t="s">
        <v>132</v>
      </c>
    </row>
    <row r="43" customFormat="false" ht="15" hidden="false" customHeight="false" outlineLevel="0" collapsed="false">
      <c r="A43" s="0" t="s">
        <v>133</v>
      </c>
    </row>
    <row r="44" customFormat="false" ht="15" hidden="false" customHeight="false" outlineLevel="0" collapsed="false">
      <c r="A44" s="0" t="s">
        <v>134</v>
      </c>
    </row>
    <row r="45" customFormat="false" ht="15" hidden="false" customHeight="false" outlineLevel="0" collapsed="false">
      <c r="A45" s="7" t="s">
        <v>135</v>
      </c>
    </row>
    <row r="47" customFormat="false" ht="15" hidden="false" customHeight="false" outlineLevel="0" collapsed="false">
      <c r="A47" s="0" t="s">
        <v>136</v>
      </c>
    </row>
    <row r="49" customFormat="false" ht="15" hidden="false" customHeight="false" outlineLevel="0" collapsed="false">
      <c r="B49" s="8" t="s">
        <v>137</v>
      </c>
      <c r="C49" s="8" t="s">
        <v>138</v>
      </c>
    </row>
    <row r="50" customFormat="false" ht="15" hidden="false" customHeight="false" outlineLevel="0" collapsed="false">
      <c r="B50" s="1" t="s">
        <v>128</v>
      </c>
      <c r="C50" s="1" t="s">
        <v>129</v>
      </c>
      <c r="D50" s="38" t="s">
        <v>139</v>
      </c>
      <c r="E50" s="1" t="s">
        <v>140</v>
      </c>
      <c r="F50" s="1" t="s">
        <v>3</v>
      </c>
    </row>
    <row r="51" customFormat="false" ht="15" hidden="false" customHeight="false" outlineLevel="0" collapsed="false">
      <c r="B51" s="2" t="n">
        <v>1</v>
      </c>
      <c r="C51" s="2" t="n">
        <v>0.16</v>
      </c>
      <c r="D51" s="2" t="n">
        <v>0.333333333333333</v>
      </c>
      <c r="E51" s="2" t="n">
        <v>0.0533333333333333</v>
      </c>
      <c r="F51" s="2" t="n">
        <v>0.0533333333333333</v>
      </c>
    </row>
    <row r="52" customFormat="false" ht="15" hidden="false" customHeight="false" outlineLevel="0" collapsed="false">
      <c r="B52" s="2" t="n">
        <v>2</v>
      </c>
      <c r="C52" s="2" t="n">
        <v>0.07</v>
      </c>
      <c r="D52" s="2" t="n">
        <v>0.333333333333333</v>
      </c>
      <c r="E52" s="2" t="n">
        <v>0.0233333333333333</v>
      </c>
      <c r="F52" s="2" t="n">
        <v>0.0466666666666667</v>
      </c>
    </row>
    <row r="53" customFormat="false" ht="15" hidden="false" customHeight="false" outlineLevel="0" collapsed="false">
      <c r="B53" s="2" t="n">
        <v>3</v>
      </c>
      <c r="C53" s="2" t="n">
        <v>0.07</v>
      </c>
      <c r="D53" s="2" t="n">
        <v>0.333333333333333</v>
      </c>
      <c r="E53" s="2" t="n">
        <v>0.0233333333333333</v>
      </c>
      <c r="F53" s="2" t="n">
        <v>0.07</v>
      </c>
    </row>
    <row r="54" customFormat="false" ht="15" hidden="false" customHeight="false" outlineLevel="0" collapsed="false">
      <c r="B54" s="2" t="n">
        <v>4</v>
      </c>
      <c r="C54" s="2" t="n">
        <v>0.06</v>
      </c>
      <c r="D54" s="2" t="n">
        <v>0.333333333333333</v>
      </c>
      <c r="E54" s="2" t="n">
        <v>0.02</v>
      </c>
      <c r="F54" s="2" t="n">
        <v>0.08</v>
      </c>
    </row>
    <row r="55" customFormat="false" ht="15" hidden="false" customHeight="false" outlineLevel="0" collapsed="false">
      <c r="B55" s="2" t="n">
        <v>5</v>
      </c>
      <c r="C55" s="2" t="n">
        <v>0.04</v>
      </c>
      <c r="D55" s="2" t="n">
        <v>0.333333333333333</v>
      </c>
      <c r="E55" s="2" t="n">
        <v>0.0133333333333333</v>
      </c>
      <c r="F55" s="2" t="n">
        <v>0.0666666666666667</v>
      </c>
    </row>
    <row r="56" customFormat="false" ht="15" hidden="false" customHeight="false" outlineLevel="0" collapsed="false">
      <c r="B56" s="34" t="s">
        <v>14</v>
      </c>
      <c r="C56" s="34" t="n">
        <v>0.4</v>
      </c>
      <c r="D56" s="34"/>
      <c r="E56" s="34" t="n">
        <v>0.133333333333333</v>
      </c>
      <c r="F56" s="34" t="n">
        <v>0.316666666666667</v>
      </c>
    </row>
    <row r="57" customFormat="false" ht="15" hidden="false" customHeight="false" outlineLevel="0" collapsed="false">
      <c r="B57" s="41"/>
      <c r="C57" s="41"/>
      <c r="D57" s="41"/>
      <c r="E57" s="41"/>
      <c r="F57" s="41"/>
    </row>
    <row r="58" customFormat="false" ht="15" hidden="false" customHeight="false" outlineLevel="0" collapsed="false">
      <c r="B58" s="8" t="s">
        <v>141</v>
      </c>
      <c r="C58" s="8" t="s">
        <v>142</v>
      </c>
    </row>
    <row r="59" customFormat="false" ht="15" hidden="false" customHeight="false" outlineLevel="0" collapsed="false">
      <c r="B59" s="1" t="s">
        <v>128</v>
      </c>
      <c r="C59" s="1" t="s">
        <v>129</v>
      </c>
      <c r="D59" s="38" t="s">
        <v>139</v>
      </c>
      <c r="E59" s="1" t="s">
        <v>140</v>
      </c>
      <c r="F59" s="1" t="s">
        <v>3</v>
      </c>
    </row>
    <row r="60" customFormat="false" ht="15" hidden="false" customHeight="false" outlineLevel="0" collapsed="false">
      <c r="B60" s="2" t="n">
        <v>1</v>
      </c>
      <c r="C60" s="2" t="n">
        <v>0.16</v>
      </c>
      <c r="D60" s="2" t="n">
        <v>0.666666666666667</v>
      </c>
      <c r="E60" s="2" t="n">
        <v>0.106666666666667</v>
      </c>
      <c r="F60" s="2" t="n">
        <v>0.106666666666667</v>
      </c>
    </row>
    <row r="61" customFormat="false" ht="15" hidden="false" customHeight="false" outlineLevel="0" collapsed="false">
      <c r="B61" s="2" t="n">
        <v>2</v>
      </c>
      <c r="C61" s="2" t="n">
        <v>0.07</v>
      </c>
      <c r="D61" s="2" t="n">
        <v>0.666666666666667</v>
      </c>
      <c r="E61" s="2" t="n">
        <v>0.0466666666666667</v>
      </c>
      <c r="F61" s="2" t="n">
        <v>0.0933333333333333</v>
      </c>
    </row>
    <row r="62" customFormat="false" ht="15" hidden="false" customHeight="false" outlineLevel="0" collapsed="false">
      <c r="B62" s="2" t="n">
        <v>3</v>
      </c>
      <c r="C62" s="2" t="n">
        <v>0.07</v>
      </c>
      <c r="D62" s="2" t="n">
        <v>0.666666666666667</v>
      </c>
      <c r="E62" s="2" t="n">
        <v>0.0466666666666667</v>
      </c>
      <c r="F62" s="2" t="n">
        <v>0.14</v>
      </c>
    </row>
    <row r="63" customFormat="false" ht="15" hidden="false" customHeight="false" outlineLevel="0" collapsed="false">
      <c r="B63" s="2" t="n">
        <v>4</v>
      </c>
      <c r="C63" s="2" t="n">
        <v>0.06</v>
      </c>
      <c r="D63" s="2" t="n">
        <v>0.666666666666667</v>
      </c>
      <c r="E63" s="2" t="n">
        <v>0.04</v>
      </c>
      <c r="F63" s="2" t="n">
        <v>0.16</v>
      </c>
    </row>
    <row r="64" customFormat="false" ht="15" hidden="false" customHeight="false" outlineLevel="0" collapsed="false">
      <c r="B64" s="2" t="n">
        <v>5</v>
      </c>
      <c r="C64" s="2" t="n">
        <v>0.04</v>
      </c>
      <c r="D64" s="2" t="n">
        <v>0.666666666666667</v>
      </c>
      <c r="E64" s="2" t="n">
        <v>0.0266666666666667</v>
      </c>
      <c r="F64" s="2" t="n">
        <v>0.133333333333333</v>
      </c>
    </row>
    <row r="65" customFormat="false" ht="15" hidden="false" customHeight="false" outlineLevel="0" collapsed="false">
      <c r="B65" s="34" t="s">
        <v>14</v>
      </c>
      <c r="C65" s="34" t="n">
        <v>0.4</v>
      </c>
      <c r="D65" s="34"/>
      <c r="E65" s="34" t="n">
        <v>0.266666666666667</v>
      </c>
      <c r="F65" s="34" t="n">
        <v>0.633333333333333</v>
      </c>
    </row>
    <row r="68" customFormat="false" ht="15" hidden="false" customHeight="false" outlineLevel="0" collapsed="false">
      <c r="A68" s="0" t="s">
        <v>143</v>
      </c>
    </row>
    <row r="69" customFormat="false" ht="15" hidden="false" customHeight="false" outlineLevel="0" collapsed="false">
      <c r="A69" s="0" t="s">
        <v>144</v>
      </c>
    </row>
    <row r="70" customFormat="false" ht="15" hidden="false" customHeight="false" outlineLevel="0" collapsed="false">
      <c r="A70" s="0" t="s">
        <v>145</v>
      </c>
    </row>
  </sheetData>
  <mergeCells count="3">
    <mergeCell ref="A1:E1"/>
    <mergeCell ref="A8:E8"/>
    <mergeCell ref="A19:E19"/>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14"/>
    <col collapsed="false" customWidth="true" hidden="false" outlineLevel="0" max="8" min="8" style="0" width="11.57"/>
    <col collapsed="false" customWidth="true" hidden="false" outlineLevel="0" max="9" min="9" style="0" width="12.57"/>
    <col collapsed="false" customWidth="true" hidden="false" outlineLevel="0" max="1025" min="10" style="0" width="11.57"/>
  </cols>
  <sheetData>
    <row r="1" customFormat="false" ht="18.75" hidden="false" customHeight="false" outlineLevel="0" collapsed="false">
      <c r="A1" s="24" t="s">
        <v>147</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row>
    <row r="5" customFormat="false" ht="15" hidden="false" customHeight="false" outlineLevel="0" collapsed="false">
      <c r="A5" s="0" t="s">
        <v>72</v>
      </c>
      <c r="B5" s="46" t="n">
        <v>1</v>
      </c>
      <c r="C5" s="12" t="n">
        <v>0.206666666666666</v>
      </c>
      <c r="D5" s="12" t="n">
        <f aca="false">+SUM($C$5:C5)</f>
        <v>0.206666666666666</v>
      </c>
      <c r="E5" s="12" t="n">
        <f aca="false">+Summary!E27</f>
        <v>1.5</v>
      </c>
      <c r="F5" s="12" t="n">
        <f aca="false">+C5*E5</f>
        <v>0.309999999999999</v>
      </c>
    </row>
    <row r="6" customFormat="false" ht="15" hidden="false" customHeight="false" outlineLevel="0" collapsed="false">
      <c r="B6" s="46" t="n">
        <v>2</v>
      </c>
      <c r="C6" s="12" t="n">
        <v>0.206666666666666</v>
      </c>
      <c r="D6" s="12" t="n">
        <f aca="false">+SUM($C$5:C6)</f>
        <v>0.413333333333332</v>
      </c>
      <c r="E6" s="12" t="n">
        <f aca="false">+Summary!E28</f>
        <v>1.5</v>
      </c>
      <c r="F6" s="12" t="n">
        <f aca="false">+C6*E6</f>
        <v>0.309999999999999</v>
      </c>
    </row>
    <row r="7" customFormat="false" ht="15" hidden="false" customHeight="false" outlineLevel="0" collapsed="false">
      <c r="B7" s="46" t="n">
        <v>3</v>
      </c>
      <c r="C7" s="12" t="n">
        <v>0.04</v>
      </c>
      <c r="D7" s="12" t="n">
        <f aca="false">+SUM($C$5:C7)</f>
        <v>0.453333333333332</v>
      </c>
      <c r="E7" s="12" t="n">
        <f aca="false">+Summary!E29</f>
        <v>3</v>
      </c>
      <c r="F7" s="12" t="n">
        <f aca="false">+C7*E7</f>
        <v>0.12</v>
      </c>
    </row>
    <row r="8" customFormat="false" ht="15" hidden="false" customHeight="false" outlineLevel="0" collapsed="false">
      <c r="B8" s="46" t="s">
        <v>73</v>
      </c>
      <c r="C8" s="12" t="n">
        <v>0.02</v>
      </c>
      <c r="D8" s="12" t="n">
        <f aca="false">+SUM($C$5:C8)</f>
        <v>0.473333333333332</v>
      </c>
      <c r="E8" s="12" t="n">
        <f aca="false">+E5+E6</f>
        <v>3</v>
      </c>
      <c r="F8" s="12" t="n">
        <f aca="false">+C8*E8</f>
        <v>0.06</v>
      </c>
    </row>
    <row r="9" customFormat="false" ht="15" hidden="false" customHeight="false" outlineLevel="0" collapsed="false">
      <c r="B9" s="46" t="s">
        <v>74</v>
      </c>
      <c r="C9" s="12" t="n">
        <v>0.01</v>
      </c>
      <c r="D9" s="12" t="n">
        <f aca="false">+SUM($C$5:C9)</f>
        <v>0.483333333333332</v>
      </c>
      <c r="E9" s="12" t="n">
        <f aca="false">+E5+E7</f>
        <v>4.5</v>
      </c>
      <c r="F9" s="12" t="n">
        <f aca="false">+C9*E9</f>
        <v>0.045</v>
      </c>
    </row>
    <row r="10" customFormat="false" ht="15" hidden="false" customHeight="false" outlineLevel="0" collapsed="false">
      <c r="B10" s="46" t="s">
        <v>75</v>
      </c>
      <c r="C10" s="12" t="n">
        <v>0.01</v>
      </c>
      <c r="D10" s="12" t="n">
        <f aca="false">+SUM($C$5:C10)</f>
        <v>0.493333333333332</v>
      </c>
      <c r="E10" s="12" t="n">
        <f aca="false">+E6+E7</f>
        <v>4.5</v>
      </c>
      <c r="F10" s="12" t="n">
        <f aca="false">+C10*E10</f>
        <v>0.045</v>
      </c>
    </row>
    <row r="11" customFormat="false" ht="15" hidden="false" customHeight="false" outlineLevel="0" collapsed="false">
      <c r="B11" s="46" t="s">
        <v>76</v>
      </c>
      <c r="C11" s="12" t="n">
        <v>0.01</v>
      </c>
      <c r="D11" s="12" t="n">
        <f aca="false">+SUM($C$5:C11)</f>
        <v>0.503333333333332</v>
      </c>
      <c r="E11" s="12" t="n">
        <f aca="false">+E5+E6+E7</f>
        <v>6</v>
      </c>
      <c r="F11" s="12" t="n">
        <f aca="false">+C11*E11</f>
        <v>0.06</v>
      </c>
      <c r="G11" s="0" t="s">
        <v>77</v>
      </c>
    </row>
    <row r="12" customFormat="false" ht="15" hidden="false" customHeight="false" outlineLevel="0" collapsed="false">
      <c r="B12" s="34" t="s">
        <v>78</v>
      </c>
      <c r="C12" s="34" t="n">
        <f aca="false">+SUM(C5:C11)</f>
        <v>0.503333333333332</v>
      </c>
      <c r="D12" s="34"/>
      <c r="E12" s="34"/>
      <c r="F12" s="54" t="n">
        <f aca="false">+SUM(F5:F11)</f>
        <v>0.949999999999998</v>
      </c>
    </row>
    <row r="13" customFormat="false" ht="15" hidden="false" customHeight="false" outlineLevel="0" collapsed="false">
      <c r="B13" s="6" t="s">
        <v>91</v>
      </c>
    </row>
    <row r="15" customFormat="false" ht="15" hidden="false" customHeight="false" outlineLevel="0" collapsed="false">
      <c r="A15" s="8" t="s">
        <v>80</v>
      </c>
      <c r="B15" s="1" t="s">
        <v>22</v>
      </c>
      <c r="C15" s="1" t="s">
        <v>5</v>
      </c>
      <c r="D15" s="1" t="s">
        <v>69</v>
      </c>
      <c r="E15" s="1" t="s">
        <v>70</v>
      </c>
      <c r="F15" s="1" t="s">
        <v>3</v>
      </c>
    </row>
    <row r="16" customFormat="false" ht="15" hidden="false" customHeight="false" outlineLevel="0" collapsed="false">
      <c r="A16" s="0" t="s">
        <v>81</v>
      </c>
      <c r="B16" s="29" t="n">
        <v>2</v>
      </c>
      <c r="C16" s="2" t="n">
        <v>0.393333333333333</v>
      </c>
      <c r="D16" s="2" t="n">
        <f aca="false">+SUM(C16:$C$16)</f>
        <v>0.393333333333333</v>
      </c>
      <c r="E16" s="2" t="n">
        <f aca="false">+E6</f>
        <v>1.5</v>
      </c>
      <c r="F16" s="2" t="n">
        <f aca="false">+C16*E16</f>
        <v>0.589999999999999</v>
      </c>
    </row>
    <row r="17" customFormat="false" ht="15" hidden="false" customHeight="false" outlineLevel="0" collapsed="false">
      <c r="A17" s="0" t="s">
        <v>82</v>
      </c>
      <c r="B17" s="29" t="n">
        <v>3</v>
      </c>
      <c r="C17" s="2" t="n">
        <v>0.06</v>
      </c>
      <c r="D17" s="2" t="n">
        <f aca="false">+SUM(C$16:$C17)</f>
        <v>0.453333333333333</v>
      </c>
      <c r="E17" s="2" t="n">
        <f aca="false">+E7</f>
        <v>3</v>
      </c>
      <c r="F17" s="2" t="n">
        <f aca="false">+C17*E17</f>
        <v>0.18</v>
      </c>
    </row>
    <row r="18" customFormat="false" ht="15" hidden="false" customHeight="false" outlineLevel="0" collapsed="false">
      <c r="B18" s="29" t="s">
        <v>75</v>
      </c>
      <c r="C18" s="2" t="n">
        <v>0.04</v>
      </c>
      <c r="D18" s="2" t="n">
        <f aca="false">+SUM(C$16:$C18)</f>
        <v>0.493333333333333</v>
      </c>
      <c r="E18" s="2" t="n">
        <f aca="false">+E16+E17</f>
        <v>4.5</v>
      </c>
      <c r="F18" s="2" t="n">
        <f aca="false">+C18*E18</f>
        <v>0.18</v>
      </c>
      <c r="G18" s="0" t="s">
        <v>77</v>
      </c>
    </row>
    <row r="19" customFormat="false" ht="15" hidden="false" customHeight="false" outlineLevel="0" collapsed="false">
      <c r="B19" s="34" t="s">
        <v>14</v>
      </c>
      <c r="C19" s="34" t="n">
        <f aca="false">+SUM(C16:C18)</f>
        <v>0.493333333333333</v>
      </c>
      <c r="D19" s="34"/>
      <c r="E19" s="34"/>
      <c r="F19" s="39" t="n">
        <f aca="false">+SUM(F16:F18)</f>
        <v>0.949999999999999</v>
      </c>
    </row>
    <row r="20" customFormat="false" ht="15" hidden="false" customHeight="false" outlineLevel="0" collapsed="false">
      <c r="B20" s="41"/>
      <c r="C20" s="41"/>
      <c r="D20" s="41"/>
      <c r="E20" s="41"/>
      <c r="F20" s="42"/>
    </row>
    <row r="21" customFormat="false" ht="15" hidden="false" customHeight="false" outlineLevel="0" collapsed="false">
      <c r="B21" s="41"/>
      <c r="C21" s="41"/>
      <c r="D21" s="41"/>
      <c r="E21" s="41"/>
      <c r="F21" s="42"/>
    </row>
    <row r="22" customFormat="false" ht="15" hidden="false" customHeight="false" outlineLevel="0" collapsed="false">
      <c r="A22" s="8" t="s">
        <v>83</v>
      </c>
      <c r="B22" s="1" t="s">
        <v>22</v>
      </c>
      <c r="C22" s="1" t="s">
        <v>5</v>
      </c>
      <c r="D22" s="1" t="s">
        <v>69</v>
      </c>
      <c r="E22" s="1" t="s">
        <v>70</v>
      </c>
      <c r="F22" s="1" t="s">
        <v>3</v>
      </c>
    </row>
    <row r="23" customFormat="false" ht="15" hidden="false" customHeight="false" outlineLevel="0" collapsed="false">
      <c r="A23" s="0" t="s">
        <v>81</v>
      </c>
      <c r="B23" s="29" t="n">
        <v>1</v>
      </c>
      <c r="C23" s="2" t="n">
        <v>0.393333333333333</v>
      </c>
      <c r="D23" s="2" t="n">
        <f aca="false">+SUM(C23:$C$23)</f>
        <v>0.393333333333333</v>
      </c>
      <c r="E23" s="2" t="n">
        <f aca="false">+E5</f>
        <v>1.5</v>
      </c>
      <c r="F23" s="2" t="n">
        <f aca="false">+C23*E23</f>
        <v>0.589999999999999</v>
      </c>
    </row>
    <row r="24" customFormat="false" ht="15" hidden="false" customHeight="false" outlineLevel="0" collapsed="false">
      <c r="A24" s="0" t="s">
        <v>84</v>
      </c>
      <c r="B24" s="29" t="n">
        <v>3</v>
      </c>
      <c r="C24" s="2" t="n">
        <v>0.06</v>
      </c>
      <c r="D24" s="2" t="n">
        <f aca="false">+SUM(C$23:$C24)</f>
        <v>0.453333333333333</v>
      </c>
      <c r="E24" s="2" t="n">
        <f aca="false">+E7</f>
        <v>3</v>
      </c>
      <c r="F24" s="2" t="n">
        <f aca="false">+C24*E24</f>
        <v>0.18</v>
      </c>
    </row>
    <row r="25" customFormat="false" ht="15" hidden="false" customHeight="false" outlineLevel="0" collapsed="false">
      <c r="B25" s="29" t="s">
        <v>74</v>
      </c>
      <c r="C25" s="2" t="n">
        <v>0.04</v>
      </c>
      <c r="D25" s="2" t="n">
        <f aca="false">+SUM(C$23:$C25)</f>
        <v>0.493333333333333</v>
      </c>
      <c r="E25" s="2" t="n">
        <f aca="false">+E23+E24</f>
        <v>4.5</v>
      </c>
      <c r="F25" s="2" t="n">
        <f aca="false">+C25*E25</f>
        <v>0.18</v>
      </c>
      <c r="G25" s="0" t="s">
        <v>77</v>
      </c>
      <c r="I25" s="48"/>
    </row>
    <row r="26" customFormat="false" ht="15" hidden="false" customHeight="false" outlineLevel="0" collapsed="false">
      <c r="B26" s="34" t="s">
        <v>14</v>
      </c>
      <c r="C26" s="34" t="n">
        <f aca="false">+SUM(C23:C25)</f>
        <v>0.493333333333333</v>
      </c>
      <c r="D26" s="34"/>
      <c r="E26" s="34"/>
      <c r="F26" s="39" t="n">
        <f aca="false">+SUM(F23:F25)</f>
        <v>0.949999999999999</v>
      </c>
    </row>
    <row r="27" customFormat="false" ht="15" hidden="false" customHeight="false" outlineLevel="0" collapsed="false">
      <c r="B27" s="41"/>
      <c r="C27" s="41"/>
      <c r="D27" s="41"/>
      <c r="E27" s="41"/>
      <c r="F27" s="42"/>
    </row>
    <row r="29" customFormat="false" ht="15" hidden="false" customHeight="false" outlineLevel="0" collapsed="false">
      <c r="A29" s="8" t="s">
        <v>85</v>
      </c>
      <c r="B29" s="1" t="s">
        <v>22</v>
      </c>
      <c r="C29" s="1" t="s">
        <v>5</v>
      </c>
      <c r="D29" s="1" t="s">
        <v>69</v>
      </c>
      <c r="E29" s="1" t="s">
        <v>70</v>
      </c>
      <c r="F29" s="1" t="s">
        <v>3</v>
      </c>
    </row>
    <row r="30" customFormat="false" ht="15" hidden="false" customHeight="false" outlineLevel="0" collapsed="false">
      <c r="A30" s="0" t="s">
        <v>81</v>
      </c>
      <c r="B30" s="29" t="n">
        <v>3</v>
      </c>
      <c r="C30" s="2" t="n">
        <v>0.316666666666667</v>
      </c>
      <c r="D30" s="2" t="n">
        <f aca="false">+SUM(C30:$C$30)</f>
        <v>0.316666666666667</v>
      </c>
      <c r="E30" s="2" t="n">
        <f aca="false">+E7</f>
        <v>3</v>
      </c>
      <c r="F30" s="2" t="n">
        <f aca="false">+C30*E30</f>
        <v>0.95</v>
      </c>
      <c r="G30" s="0" t="s">
        <v>77</v>
      </c>
    </row>
    <row r="31" customFormat="false" ht="15" hidden="false" customHeight="false" outlineLevel="0" collapsed="false">
      <c r="A31" s="0" t="s">
        <v>82</v>
      </c>
      <c r="B31" s="34" t="s">
        <v>14</v>
      </c>
      <c r="C31" s="34" t="n">
        <f aca="false">+SUM(C30:C30)</f>
        <v>0.316666666666667</v>
      </c>
      <c r="D31" s="34"/>
      <c r="E31" s="34"/>
      <c r="F31" s="39" t="n">
        <f aca="false">+SUM(F30:F30)</f>
        <v>0.95</v>
      </c>
    </row>
    <row r="32" customFormat="false" ht="15" hidden="false" customHeight="false" outlineLevel="0" collapsed="false">
      <c r="A32" s="0" t="s">
        <v>84</v>
      </c>
    </row>
    <row r="34" customFormat="false" ht="15" hidden="false" customHeight="false" outlineLevel="0" collapsed="false">
      <c r="A34" s="8" t="s">
        <v>86</v>
      </c>
      <c r="B34" s="1" t="s">
        <v>22</v>
      </c>
      <c r="C34" s="1" t="s">
        <v>5</v>
      </c>
      <c r="D34" s="1" t="s">
        <v>69</v>
      </c>
      <c r="E34" s="1" t="s">
        <v>70</v>
      </c>
      <c r="F34" s="1" t="s">
        <v>3</v>
      </c>
    </row>
    <row r="35" customFormat="false" ht="15" hidden="false" customHeight="false" outlineLevel="0" collapsed="false">
      <c r="A35" s="0" t="s">
        <v>81</v>
      </c>
      <c r="B35" s="29" t="n">
        <v>1</v>
      </c>
      <c r="C35" s="2" t="n">
        <v>0.25</v>
      </c>
      <c r="D35" s="2" t="n">
        <f aca="false">+SUM(C35:$C$35)</f>
        <v>0.25</v>
      </c>
      <c r="E35" s="2" t="n">
        <f aca="false">+E5</f>
        <v>1.5</v>
      </c>
      <c r="F35" s="2" t="n">
        <f aca="false">+C35*E35</f>
        <v>0.375</v>
      </c>
    </row>
    <row r="36" customFormat="false" ht="15" hidden="false" customHeight="false" outlineLevel="0" collapsed="false">
      <c r="A36" s="0" t="s">
        <v>87</v>
      </c>
      <c r="B36" s="29" t="n">
        <v>2</v>
      </c>
      <c r="C36" s="2" t="n">
        <v>0.25</v>
      </c>
      <c r="D36" s="2" t="n">
        <f aca="false">+SUM(C$35:$C36)</f>
        <v>0.5</v>
      </c>
      <c r="E36" s="2" t="n">
        <f aca="false">+E6</f>
        <v>1.5</v>
      </c>
      <c r="F36" s="2" t="n">
        <f aca="false">+C36*E36</f>
        <v>0.375</v>
      </c>
    </row>
    <row r="37" customFormat="false" ht="15" hidden="false" customHeight="false" outlineLevel="0" collapsed="false">
      <c r="B37" s="29" t="s">
        <v>73</v>
      </c>
      <c r="C37" s="2" t="n">
        <v>0.0666666666666666</v>
      </c>
      <c r="D37" s="2" t="n">
        <f aca="false">+SUM(C$35:$C37)</f>
        <v>0.566666666666667</v>
      </c>
      <c r="E37" s="2" t="n">
        <f aca="false">+E35+E36</f>
        <v>3</v>
      </c>
      <c r="F37" s="2" t="n">
        <f aca="false">+C37*E37</f>
        <v>0.2</v>
      </c>
      <c r="G37" s="0" t="s">
        <v>77</v>
      </c>
    </row>
    <row r="38" customFormat="false" ht="15" hidden="false" customHeight="false" outlineLevel="0" collapsed="false">
      <c r="A38" s="44"/>
      <c r="B38" s="34" t="s">
        <v>14</v>
      </c>
      <c r="C38" s="34" t="n">
        <f aca="false">+SUM(C35:C37)</f>
        <v>0.566666666666667</v>
      </c>
      <c r="D38" s="34"/>
      <c r="E38" s="34"/>
      <c r="F38" s="39" t="n">
        <f aca="false">+SUM(F35:F37)</f>
        <v>0.95</v>
      </c>
    </row>
    <row r="39" customFormat="false" ht="15" hidden="false" customHeight="false" outlineLevel="0" collapsed="false">
      <c r="A39" s="44"/>
    </row>
    <row r="41" customFormat="false" ht="15" hidden="false" customHeight="false" outlineLevel="0" collapsed="false">
      <c r="A41" s="8" t="s">
        <v>88</v>
      </c>
      <c r="B41" s="1" t="s">
        <v>22</v>
      </c>
      <c r="C41" s="1" t="s">
        <v>5</v>
      </c>
      <c r="D41" s="1" t="s">
        <v>69</v>
      </c>
      <c r="E41" s="1" t="s">
        <v>70</v>
      </c>
      <c r="F41" s="1" t="s">
        <v>3</v>
      </c>
    </row>
    <row r="42" customFormat="false" ht="15" hidden="false" customHeight="false" outlineLevel="0" collapsed="false">
      <c r="A42" s="0" t="s">
        <v>81</v>
      </c>
      <c r="B42" s="29" t="n">
        <v>1</v>
      </c>
      <c r="C42" s="2" t="n">
        <v>0.633333333333333</v>
      </c>
      <c r="D42" s="2" t="n">
        <f aca="false">+SUM(C42:$C$42)</f>
        <v>0.633333333333333</v>
      </c>
      <c r="E42" s="2" t="n">
        <f aca="false">+E5</f>
        <v>1.5</v>
      </c>
      <c r="F42" s="2" t="n">
        <f aca="false">+E42*C42</f>
        <v>0.95</v>
      </c>
      <c r="G42" s="0" t="s">
        <v>77</v>
      </c>
    </row>
    <row r="43" customFormat="false" ht="15" hidden="false" customHeight="false" outlineLevel="0" collapsed="false">
      <c r="A43" s="0" t="s">
        <v>84</v>
      </c>
      <c r="B43" s="34" t="s">
        <v>14</v>
      </c>
      <c r="C43" s="34" t="n">
        <f aca="false">+SUM(C42:C42)</f>
        <v>0.633333333333333</v>
      </c>
      <c r="D43" s="34"/>
      <c r="E43" s="34"/>
      <c r="F43" s="39" t="n">
        <f aca="false">+SUM(F42:F42)</f>
        <v>0.95</v>
      </c>
    </row>
    <row r="44" customFormat="false" ht="15" hidden="false" customHeight="false" outlineLevel="0" collapsed="false">
      <c r="A44" s="0" t="s">
        <v>87</v>
      </c>
    </row>
    <row r="46" customFormat="false" ht="15" hidden="false" customHeight="false" outlineLevel="0" collapsed="false">
      <c r="A46" s="8" t="s">
        <v>89</v>
      </c>
      <c r="B46" s="1" t="s">
        <v>22</v>
      </c>
      <c r="C46" s="1" t="s">
        <v>5</v>
      </c>
      <c r="D46" s="1" t="s">
        <v>69</v>
      </c>
      <c r="E46" s="1" t="s">
        <v>70</v>
      </c>
      <c r="F46" s="1" t="s">
        <v>3</v>
      </c>
    </row>
    <row r="47" customFormat="false" ht="15" hidden="false" customHeight="false" outlineLevel="0" collapsed="false">
      <c r="A47" s="0" t="s">
        <v>81</v>
      </c>
      <c r="B47" s="29" t="n">
        <v>2</v>
      </c>
      <c r="C47" s="2" t="n">
        <v>0.633333333333333</v>
      </c>
      <c r="D47" s="2" t="n">
        <f aca="false">+SUM(C$47:$C47)</f>
        <v>0.633333333333333</v>
      </c>
      <c r="E47" s="2" t="n">
        <f aca="false">+E6</f>
        <v>1.5</v>
      </c>
      <c r="F47" s="2" t="n">
        <f aca="false">+E47*C47</f>
        <v>0.95</v>
      </c>
      <c r="G47" s="0" t="s">
        <v>77</v>
      </c>
    </row>
    <row r="48" customFormat="false" ht="15" hidden="false" customHeight="false" outlineLevel="0" collapsed="false">
      <c r="A48" s="0" t="s">
        <v>82</v>
      </c>
      <c r="B48" s="34" t="s">
        <v>14</v>
      </c>
      <c r="C48" s="34" t="n">
        <f aca="false">+SUM(C47:C47)</f>
        <v>0.633333333333333</v>
      </c>
      <c r="D48" s="34"/>
      <c r="E48" s="34"/>
      <c r="F48" s="39" t="n">
        <f aca="false">+SUM(F47:F47)</f>
        <v>0.95</v>
      </c>
    </row>
    <row r="49" customFormat="false" ht="15" hidden="false" customHeight="false" outlineLevel="0" collapsed="false">
      <c r="A49" s="0" t="s">
        <v>87</v>
      </c>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14"/>
    <col collapsed="false" customWidth="true" hidden="false" outlineLevel="0" max="8" min="8" style="0" width="11.57"/>
    <col collapsed="false" customWidth="true" hidden="false" outlineLevel="0" max="9" min="9" style="0" width="12.57"/>
    <col collapsed="false" customWidth="true" hidden="false" outlineLevel="0" max="1025" min="10" style="0" width="11.57"/>
  </cols>
  <sheetData>
    <row r="1" customFormat="false" ht="18.75" hidden="false" customHeight="false" outlineLevel="0" collapsed="false">
      <c r="A1" s="24" t="s">
        <v>148</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row>
    <row r="5" customFormat="false" ht="15" hidden="false" customHeight="false" outlineLevel="0" collapsed="false">
      <c r="A5" s="0" t="s">
        <v>72</v>
      </c>
      <c r="B5" s="46" t="n">
        <v>1</v>
      </c>
      <c r="C5" s="12" t="n">
        <v>0.175</v>
      </c>
      <c r="D5" s="12" t="n">
        <f aca="false">+SUM($C$5:C5)</f>
        <v>0.175</v>
      </c>
      <c r="E5" s="12" t="n">
        <f aca="false">+Summary!H27</f>
        <v>2</v>
      </c>
      <c r="F5" s="12" t="n">
        <f aca="false">+C5*E5</f>
        <v>0.35</v>
      </c>
    </row>
    <row r="6" customFormat="false" ht="15" hidden="false" customHeight="false" outlineLevel="0" collapsed="false">
      <c r="B6" s="46" t="n">
        <v>2</v>
      </c>
      <c r="C6" s="12" t="n">
        <v>0.175</v>
      </c>
      <c r="D6" s="12" t="n">
        <f aca="false">+SUM($C$5:C6)</f>
        <v>0.35</v>
      </c>
      <c r="E6" s="12" t="n">
        <f aca="false">+Summary!H28</f>
        <v>2</v>
      </c>
      <c r="F6" s="12" t="n">
        <f aca="false">+C6*E6</f>
        <v>0.35</v>
      </c>
    </row>
    <row r="7" customFormat="false" ht="15" hidden="false" customHeight="false" outlineLevel="0" collapsed="false">
      <c r="B7" s="46" t="n">
        <v>3</v>
      </c>
      <c r="C7" s="12" t="n">
        <v>0.0105</v>
      </c>
      <c r="D7" s="12" t="n">
        <f aca="false">+SUM($C$5:C7)</f>
        <v>0.3605</v>
      </c>
      <c r="E7" s="12" t="n">
        <f aca="false">+Summary!H29</f>
        <v>4</v>
      </c>
      <c r="F7" s="12" t="n">
        <f aca="false">+C7*E7</f>
        <v>0.042</v>
      </c>
    </row>
    <row r="8" customFormat="false" ht="15" hidden="false" customHeight="false" outlineLevel="0" collapsed="false">
      <c r="B8" s="46" t="s">
        <v>73</v>
      </c>
      <c r="C8" s="12" t="n">
        <v>0.02</v>
      </c>
      <c r="D8" s="12" t="n">
        <f aca="false">+SUM($C$5:C8)</f>
        <v>0.3805</v>
      </c>
      <c r="E8" s="12" t="n">
        <f aca="false">+E5+E6</f>
        <v>4</v>
      </c>
      <c r="F8" s="12" t="n">
        <f aca="false">+C8*E8</f>
        <v>0.08</v>
      </c>
    </row>
    <row r="9" customFormat="false" ht="15" hidden="false" customHeight="false" outlineLevel="0" collapsed="false">
      <c r="B9" s="46" t="s">
        <v>74</v>
      </c>
      <c r="C9" s="12" t="n">
        <v>0.004</v>
      </c>
      <c r="D9" s="12" t="n">
        <f aca="false">+SUM($C$5:C9)</f>
        <v>0.3845</v>
      </c>
      <c r="E9" s="12" t="n">
        <f aca="false">+E5+E7</f>
        <v>6</v>
      </c>
      <c r="F9" s="12" t="n">
        <f aca="false">+C9*E9</f>
        <v>0.024</v>
      </c>
    </row>
    <row r="10" customFormat="false" ht="15" hidden="false" customHeight="false" outlineLevel="0" collapsed="false">
      <c r="B10" s="46" t="s">
        <v>75</v>
      </c>
      <c r="C10" s="12" t="n">
        <v>0.004</v>
      </c>
      <c r="D10" s="12" t="n">
        <f aca="false">+SUM($C$5:C10)</f>
        <v>0.3885</v>
      </c>
      <c r="E10" s="12" t="n">
        <f aca="false">+E6+E7</f>
        <v>6</v>
      </c>
      <c r="F10" s="12" t="n">
        <f aca="false">+C10*E10</f>
        <v>0.024</v>
      </c>
    </row>
    <row r="11" customFormat="false" ht="15" hidden="false" customHeight="false" outlineLevel="0" collapsed="false">
      <c r="B11" s="46" t="s">
        <v>76</v>
      </c>
      <c r="C11" s="12" t="n">
        <v>0.01</v>
      </c>
      <c r="D11" s="12" t="n">
        <f aca="false">+SUM($C$5:C11)</f>
        <v>0.3985</v>
      </c>
      <c r="E11" s="12" t="n">
        <f aca="false">+E5+E6+E7</f>
        <v>8</v>
      </c>
      <c r="F11" s="12" t="n">
        <f aca="false">+C11*E11</f>
        <v>0.08</v>
      </c>
      <c r="G11" s="0" t="s">
        <v>77</v>
      </c>
    </row>
    <row r="12" customFormat="false" ht="15" hidden="false" customHeight="false" outlineLevel="0" collapsed="false">
      <c r="B12" s="34" t="s">
        <v>78</v>
      </c>
      <c r="C12" s="34" t="n">
        <f aca="false">+SUM(C5:C11)</f>
        <v>0.3985</v>
      </c>
      <c r="D12" s="34"/>
      <c r="E12" s="34"/>
      <c r="F12" s="54" t="n">
        <f aca="false">+SUM(F5:F11)</f>
        <v>0.95</v>
      </c>
    </row>
    <row r="13" customFormat="false" ht="15" hidden="false" customHeight="false" outlineLevel="0" collapsed="false">
      <c r="B13" s="6" t="s">
        <v>91</v>
      </c>
    </row>
    <row r="15" customFormat="false" ht="15" hidden="false" customHeight="false" outlineLevel="0" collapsed="false">
      <c r="A15" s="8" t="s">
        <v>80</v>
      </c>
      <c r="B15" s="1" t="s">
        <v>22</v>
      </c>
      <c r="C15" s="1" t="s">
        <v>5</v>
      </c>
      <c r="D15" s="1" t="s">
        <v>69</v>
      </c>
      <c r="E15" s="1" t="s">
        <v>70</v>
      </c>
      <c r="F15" s="1" t="s">
        <v>3</v>
      </c>
    </row>
    <row r="16" customFormat="false" ht="15" hidden="false" customHeight="false" outlineLevel="0" collapsed="false">
      <c r="A16" s="0" t="s">
        <v>81</v>
      </c>
      <c r="B16" s="29" t="n">
        <v>2</v>
      </c>
      <c r="C16" s="2" t="n">
        <v>0.405</v>
      </c>
      <c r="D16" s="2" t="n">
        <f aca="false">+SUM(C16:$C$16)</f>
        <v>0.405</v>
      </c>
      <c r="E16" s="2" t="n">
        <f aca="false">+E6</f>
        <v>2</v>
      </c>
      <c r="F16" s="2" t="n">
        <f aca="false">+C16*E16</f>
        <v>0.81</v>
      </c>
    </row>
    <row r="17" customFormat="false" ht="15" hidden="false" customHeight="false" outlineLevel="0" collapsed="false">
      <c r="A17" s="0" t="s">
        <v>82</v>
      </c>
      <c r="B17" s="29" t="n">
        <v>3</v>
      </c>
      <c r="C17" s="2" t="n">
        <v>0.02</v>
      </c>
      <c r="D17" s="2" t="n">
        <f aca="false">+SUM(C$16:$C17)</f>
        <v>0.425</v>
      </c>
      <c r="E17" s="2" t="n">
        <f aca="false">+E7</f>
        <v>4</v>
      </c>
      <c r="F17" s="2" t="n">
        <f aca="false">+C17*E17</f>
        <v>0.08</v>
      </c>
    </row>
    <row r="18" customFormat="false" ht="15" hidden="false" customHeight="false" outlineLevel="0" collapsed="false">
      <c r="B18" s="29" t="s">
        <v>75</v>
      </c>
      <c r="C18" s="2" t="n">
        <v>0.01</v>
      </c>
      <c r="D18" s="2" t="n">
        <f aca="false">+SUM(C$16:$C18)</f>
        <v>0.435</v>
      </c>
      <c r="E18" s="2" t="n">
        <f aca="false">+E16+E17</f>
        <v>6</v>
      </c>
      <c r="F18" s="2" t="n">
        <f aca="false">+C18*E18</f>
        <v>0.06</v>
      </c>
      <c r="G18" s="0" t="s">
        <v>77</v>
      </c>
    </row>
    <row r="19" customFormat="false" ht="15" hidden="false" customHeight="false" outlineLevel="0" collapsed="false">
      <c r="B19" s="34" t="s">
        <v>14</v>
      </c>
      <c r="C19" s="34" t="n">
        <f aca="false">+SUM(C16:C18)</f>
        <v>0.435</v>
      </c>
      <c r="D19" s="34"/>
      <c r="E19" s="34"/>
      <c r="F19" s="39" t="n">
        <f aca="false">+SUM(F16:F18)</f>
        <v>0.95</v>
      </c>
    </row>
    <row r="20" customFormat="false" ht="15" hidden="false" customHeight="false" outlineLevel="0" collapsed="false">
      <c r="B20" s="41"/>
      <c r="C20" s="41"/>
      <c r="D20" s="41"/>
      <c r="E20" s="41"/>
      <c r="F20" s="42"/>
    </row>
    <row r="21" customFormat="false" ht="15" hidden="false" customHeight="false" outlineLevel="0" collapsed="false">
      <c r="B21" s="41"/>
      <c r="C21" s="41"/>
      <c r="D21" s="41"/>
      <c r="E21" s="41"/>
      <c r="F21" s="42"/>
    </row>
    <row r="22" customFormat="false" ht="15" hidden="false" customHeight="false" outlineLevel="0" collapsed="false">
      <c r="A22" s="8" t="s">
        <v>83</v>
      </c>
      <c r="B22" s="1" t="s">
        <v>22</v>
      </c>
      <c r="C22" s="1" t="s">
        <v>5</v>
      </c>
      <c r="D22" s="1" t="s">
        <v>69</v>
      </c>
      <c r="E22" s="1" t="s">
        <v>70</v>
      </c>
      <c r="F22" s="1" t="s">
        <v>3</v>
      </c>
    </row>
    <row r="23" customFormat="false" ht="15" hidden="false" customHeight="false" outlineLevel="0" collapsed="false">
      <c r="A23" s="0" t="s">
        <v>81</v>
      </c>
      <c r="B23" s="29" t="n">
        <v>1</v>
      </c>
      <c r="C23" s="2" t="n">
        <v>0.405</v>
      </c>
      <c r="D23" s="2" t="n">
        <f aca="false">+SUM(C23:$C$23)</f>
        <v>0.405</v>
      </c>
      <c r="E23" s="2" t="n">
        <f aca="false">+E5</f>
        <v>2</v>
      </c>
      <c r="F23" s="2" t="n">
        <f aca="false">+C23*E23</f>
        <v>0.81</v>
      </c>
    </row>
    <row r="24" customFormat="false" ht="15" hidden="false" customHeight="false" outlineLevel="0" collapsed="false">
      <c r="A24" s="0" t="s">
        <v>84</v>
      </c>
      <c r="B24" s="29" t="n">
        <v>3</v>
      </c>
      <c r="C24" s="2" t="n">
        <v>0.02</v>
      </c>
      <c r="D24" s="2" t="n">
        <f aca="false">+SUM(C$23:$C24)</f>
        <v>0.425</v>
      </c>
      <c r="E24" s="2" t="n">
        <f aca="false">+E7</f>
        <v>4</v>
      </c>
      <c r="F24" s="2" t="n">
        <f aca="false">+C24*E24</f>
        <v>0.08</v>
      </c>
    </row>
    <row r="25" customFormat="false" ht="15" hidden="false" customHeight="false" outlineLevel="0" collapsed="false">
      <c r="B25" s="29" t="s">
        <v>74</v>
      </c>
      <c r="C25" s="2" t="n">
        <v>0.01</v>
      </c>
      <c r="D25" s="2" t="n">
        <f aca="false">+SUM(C$23:$C25)</f>
        <v>0.435</v>
      </c>
      <c r="E25" s="2" t="n">
        <f aca="false">+E23+E24</f>
        <v>6</v>
      </c>
      <c r="F25" s="2" t="n">
        <f aca="false">+C25*E25</f>
        <v>0.06</v>
      </c>
      <c r="G25" s="0" t="s">
        <v>77</v>
      </c>
      <c r="I25" s="48"/>
    </row>
    <row r="26" customFormat="false" ht="15" hidden="false" customHeight="false" outlineLevel="0" collapsed="false">
      <c r="B26" s="34" t="s">
        <v>14</v>
      </c>
      <c r="C26" s="34" t="n">
        <f aca="false">+SUM(C23:C25)</f>
        <v>0.435</v>
      </c>
      <c r="D26" s="34"/>
      <c r="E26" s="34"/>
      <c r="F26" s="39" t="n">
        <f aca="false">+SUM(F23:F25)</f>
        <v>0.95</v>
      </c>
    </row>
    <row r="27" customFormat="false" ht="15" hidden="false" customHeight="false" outlineLevel="0" collapsed="false">
      <c r="B27" s="41"/>
      <c r="C27" s="41"/>
      <c r="D27" s="41"/>
      <c r="E27" s="41"/>
      <c r="F27" s="42"/>
    </row>
    <row r="29" customFormat="false" ht="15" hidden="false" customHeight="false" outlineLevel="0" collapsed="false">
      <c r="A29" s="8" t="s">
        <v>85</v>
      </c>
      <c r="B29" s="1" t="s">
        <v>22</v>
      </c>
      <c r="C29" s="1" t="s">
        <v>5</v>
      </c>
      <c r="D29" s="1" t="s">
        <v>69</v>
      </c>
      <c r="E29" s="1" t="s">
        <v>70</v>
      </c>
      <c r="F29" s="1" t="s">
        <v>3</v>
      </c>
    </row>
    <row r="30" customFormat="false" ht="15" hidden="false" customHeight="false" outlineLevel="0" collapsed="false">
      <c r="A30" s="0" t="s">
        <v>81</v>
      </c>
      <c r="B30" s="29" t="n">
        <v>3</v>
      </c>
      <c r="C30" s="2" t="n">
        <v>0.2375</v>
      </c>
      <c r="D30" s="2" t="n">
        <f aca="false">+SUM(C30:$C$30)</f>
        <v>0.2375</v>
      </c>
      <c r="E30" s="2" t="n">
        <f aca="false">+E7</f>
        <v>4</v>
      </c>
      <c r="F30" s="2" t="n">
        <f aca="false">+C30*E30</f>
        <v>0.95</v>
      </c>
      <c r="G30" s="0" t="s">
        <v>77</v>
      </c>
    </row>
    <row r="31" customFormat="false" ht="15" hidden="false" customHeight="false" outlineLevel="0" collapsed="false">
      <c r="A31" s="0" t="s">
        <v>82</v>
      </c>
      <c r="B31" s="34" t="s">
        <v>14</v>
      </c>
      <c r="C31" s="34" t="n">
        <f aca="false">+SUM(C30:C30)</f>
        <v>0.2375</v>
      </c>
      <c r="D31" s="34"/>
      <c r="E31" s="34"/>
      <c r="F31" s="39" t="n">
        <f aca="false">+SUM(F30:F30)</f>
        <v>0.95</v>
      </c>
    </row>
    <row r="32" customFormat="false" ht="15" hidden="false" customHeight="false" outlineLevel="0" collapsed="false">
      <c r="A32" s="0" t="s">
        <v>84</v>
      </c>
    </row>
    <row r="34" customFormat="false" ht="15" hidden="false" customHeight="false" outlineLevel="0" collapsed="false">
      <c r="A34" s="8" t="s">
        <v>86</v>
      </c>
      <c r="B34" s="1" t="s">
        <v>22</v>
      </c>
      <c r="C34" s="1" t="s">
        <v>5</v>
      </c>
      <c r="D34" s="1" t="s">
        <v>69</v>
      </c>
      <c r="E34" s="1" t="s">
        <v>70</v>
      </c>
      <c r="F34" s="1" t="s">
        <v>3</v>
      </c>
    </row>
    <row r="35" customFormat="false" ht="15" hidden="false" customHeight="false" outlineLevel="0" collapsed="false">
      <c r="A35" s="0" t="s">
        <v>81</v>
      </c>
      <c r="B35" s="29" t="n">
        <v>1</v>
      </c>
      <c r="C35" s="2" t="n">
        <v>0.2</v>
      </c>
      <c r="D35" s="2" t="n">
        <f aca="false">+SUM(C35:$C$35)</f>
        <v>0.2</v>
      </c>
      <c r="E35" s="2" t="n">
        <f aca="false">+E5</f>
        <v>2</v>
      </c>
      <c r="F35" s="2" t="n">
        <f aca="false">+C35*E35</f>
        <v>0.4</v>
      </c>
    </row>
    <row r="36" customFormat="false" ht="15" hidden="false" customHeight="false" outlineLevel="0" collapsed="false">
      <c r="A36" s="0" t="s">
        <v>87</v>
      </c>
      <c r="B36" s="29" t="n">
        <v>2</v>
      </c>
      <c r="C36" s="2" t="n">
        <v>0.2</v>
      </c>
      <c r="D36" s="2" t="n">
        <f aca="false">+SUM(C$35:$C36)</f>
        <v>0.4</v>
      </c>
      <c r="E36" s="2" t="n">
        <f aca="false">+E6</f>
        <v>2</v>
      </c>
      <c r="F36" s="2" t="n">
        <f aca="false">+C36*E36</f>
        <v>0.4</v>
      </c>
    </row>
    <row r="37" customFormat="false" ht="15" hidden="false" customHeight="false" outlineLevel="0" collapsed="false">
      <c r="B37" s="29" t="s">
        <v>73</v>
      </c>
      <c r="C37" s="2" t="n">
        <v>0.0375</v>
      </c>
      <c r="D37" s="2" t="n">
        <f aca="false">+SUM(C$35:$C37)</f>
        <v>0.4375</v>
      </c>
      <c r="E37" s="2" t="n">
        <f aca="false">+E35+E36</f>
        <v>4</v>
      </c>
      <c r="F37" s="2" t="n">
        <f aca="false">+C37*E37</f>
        <v>0.15</v>
      </c>
      <c r="G37" s="0" t="s">
        <v>77</v>
      </c>
    </row>
    <row r="38" customFormat="false" ht="15" hidden="false" customHeight="false" outlineLevel="0" collapsed="false">
      <c r="A38" s="44"/>
      <c r="B38" s="34" t="s">
        <v>14</v>
      </c>
      <c r="C38" s="34" t="n">
        <f aca="false">+SUM(C35:C37)</f>
        <v>0.4375</v>
      </c>
      <c r="D38" s="34"/>
      <c r="E38" s="34"/>
      <c r="F38" s="39" t="n">
        <f aca="false">+SUM(F35:F37)</f>
        <v>0.95</v>
      </c>
    </row>
    <row r="39" customFormat="false" ht="15" hidden="false" customHeight="false" outlineLevel="0" collapsed="false">
      <c r="A39" s="44"/>
    </row>
    <row r="41" customFormat="false" ht="15" hidden="false" customHeight="false" outlineLevel="0" collapsed="false">
      <c r="A41" s="8" t="s">
        <v>88</v>
      </c>
      <c r="B41" s="1" t="s">
        <v>22</v>
      </c>
      <c r="C41" s="1" t="s">
        <v>5</v>
      </c>
      <c r="D41" s="1" t="s">
        <v>69</v>
      </c>
      <c r="E41" s="1" t="s">
        <v>70</v>
      </c>
      <c r="F41" s="1" t="s">
        <v>3</v>
      </c>
    </row>
    <row r="42" customFormat="false" ht="15" hidden="false" customHeight="false" outlineLevel="0" collapsed="false">
      <c r="A42" s="0" t="s">
        <v>81</v>
      </c>
      <c r="B42" s="29" t="n">
        <v>1</v>
      </c>
      <c r="C42" s="2" t="n">
        <v>0.475</v>
      </c>
      <c r="D42" s="2" t="n">
        <f aca="false">+SUM(C42:$C$42)</f>
        <v>0.475</v>
      </c>
      <c r="E42" s="2" t="n">
        <f aca="false">+E5</f>
        <v>2</v>
      </c>
      <c r="F42" s="2" t="n">
        <f aca="false">+E42*C42</f>
        <v>0.95</v>
      </c>
      <c r="G42" s="0" t="s">
        <v>77</v>
      </c>
    </row>
    <row r="43" customFormat="false" ht="15" hidden="false" customHeight="false" outlineLevel="0" collapsed="false">
      <c r="A43" s="0" t="s">
        <v>84</v>
      </c>
      <c r="B43" s="34" t="s">
        <v>14</v>
      </c>
      <c r="C43" s="34" t="n">
        <f aca="false">+SUM(C42:C42)</f>
        <v>0.475</v>
      </c>
      <c r="D43" s="34"/>
      <c r="E43" s="34"/>
      <c r="F43" s="39" t="n">
        <f aca="false">+SUM(F42:F42)</f>
        <v>0.95</v>
      </c>
    </row>
    <row r="44" customFormat="false" ht="15" hidden="false" customHeight="false" outlineLevel="0" collapsed="false">
      <c r="A44" s="0" t="s">
        <v>87</v>
      </c>
    </row>
    <row r="46" customFormat="false" ht="15" hidden="false" customHeight="false" outlineLevel="0" collapsed="false">
      <c r="A46" s="8" t="s">
        <v>89</v>
      </c>
      <c r="B46" s="1" t="s">
        <v>22</v>
      </c>
      <c r="C46" s="1" t="s">
        <v>5</v>
      </c>
      <c r="D46" s="1" t="s">
        <v>69</v>
      </c>
      <c r="E46" s="1" t="s">
        <v>70</v>
      </c>
      <c r="F46" s="1" t="s">
        <v>3</v>
      </c>
    </row>
    <row r="47" customFormat="false" ht="15" hidden="false" customHeight="false" outlineLevel="0" collapsed="false">
      <c r="A47" s="0" t="s">
        <v>81</v>
      </c>
      <c r="B47" s="29" t="n">
        <v>2</v>
      </c>
      <c r="C47" s="2" t="n">
        <v>0.475</v>
      </c>
      <c r="D47" s="2" t="n">
        <f aca="false">+SUM(C$47:$C47)</f>
        <v>0.475</v>
      </c>
      <c r="E47" s="2" t="n">
        <f aca="false">+E6</f>
        <v>2</v>
      </c>
      <c r="F47" s="2" t="n">
        <f aca="false">+E47*C47</f>
        <v>0.95</v>
      </c>
      <c r="G47" s="0" t="s">
        <v>77</v>
      </c>
    </row>
    <row r="48" customFormat="false" ht="15" hidden="false" customHeight="false" outlineLevel="0" collapsed="false">
      <c r="A48" s="0" t="s">
        <v>82</v>
      </c>
      <c r="B48" s="34" t="s">
        <v>14</v>
      </c>
      <c r="C48" s="34" t="n">
        <f aca="false">+SUM(C47:C47)</f>
        <v>0.475</v>
      </c>
      <c r="D48" s="34"/>
      <c r="E48" s="34"/>
      <c r="F48" s="39" t="n">
        <f aca="false">+SUM(F47:F47)</f>
        <v>0.95</v>
      </c>
    </row>
    <row r="49" customFormat="false" ht="15" hidden="false" customHeight="false" outlineLevel="0" collapsed="false">
      <c r="A49" s="0" t="s">
        <v>87</v>
      </c>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sheetPr filterMode="false">
    <pageSetUpPr fitToPage="false"/>
  </sheetPr>
  <dimension ref="A1:I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14"/>
    <col collapsed="false" customWidth="true" hidden="false" outlineLevel="0" max="8" min="8" style="0" width="11.57"/>
    <col collapsed="false" customWidth="true" hidden="false" outlineLevel="0" max="9" min="9" style="0" width="12.57"/>
    <col collapsed="false" customWidth="true" hidden="false" outlineLevel="0" max="1025" min="10" style="0" width="11.57"/>
  </cols>
  <sheetData>
    <row r="1" customFormat="false" ht="18.75" hidden="false" customHeight="false" outlineLevel="0" collapsed="false">
      <c r="A1" s="24" t="s">
        <v>149</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row>
    <row r="5" customFormat="false" ht="15" hidden="false" customHeight="false" outlineLevel="0" collapsed="false">
      <c r="A5" s="0" t="s">
        <v>72</v>
      </c>
      <c r="B5" s="46" t="n">
        <v>1</v>
      </c>
      <c r="C5" s="12" t="n">
        <v>0.103333333333333</v>
      </c>
      <c r="D5" s="12" t="n">
        <f aca="false">+SUM($C$5:C5)</f>
        <v>0.103333333333333</v>
      </c>
      <c r="E5" s="12" t="n">
        <f aca="false">+Summary!K27</f>
        <v>3</v>
      </c>
      <c r="F5" s="12" t="n">
        <f aca="false">+C5*E5</f>
        <v>0.309999999999999</v>
      </c>
    </row>
    <row r="6" customFormat="false" ht="15" hidden="false" customHeight="false" outlineLevel="0" collapsed="false">
      <c r="B6" s="46" t="n">
        <v>2</v>
      </c>
      <c r="C6" s="12" t="n">
        <v>0.103333333333333</v>
      </c>
      <c r="D6" s="12" t="n">
        <f aca="false">+SUM($C$5:C6)</f>
        <v>0.206666666666666</v>
      </c>
      <c r="E6" s="12" t="n">
        <f aca="false">+Summary!K28</f>
        <v>3</v>
      </c>
      <c r="F6" s="12" t="n">
        <f aca="false">+C6*E6</f>
        <v>0.309999999999999</v>
      </c>
    </row>
    <row r="7" customFormat="false" ht="15" hidden="false" customHeight="false" outlineLevel="0" collapsed="false">
      <c r="B7" s="46" t="n">
        <v>3</v>
      </c>
      <c r="C7" s="12" t="n">
        <v>0.01</v>
      </c>
      <c r="D7" s="12" t="n">
        <f aca="false">+SUM($C$5:C7)</f>
        <v>0.216666666666666</v>
      </c>
      <c r="E7" s="12" t="n">
        <f aca="false">+Summary!K29</f>
        <v>6</v>
      </c>
      <c r="F7" s="12" t="n">
        <f aca="false">+C7*E7</f>
        <v>0.06</v>
      </c>
    </row>
    <row r="8" customFormat="false" ht="15" hidden="false" customHeight="false" outlineLevel="0" collapsed="false">
      <c r="B8" s="46" t="s">
        <v>73</v>
      </c>
      <c r="C8" s="12" t="n">
        <v>0.01</v>
      </c>
      <c r="D8" s="12" t="n">
        <f aca="false">+SUM($C$5:C8)</f>
        <v>0.226666666666666</v>
      </c>
      <c r="E8" s="12" t="n">
        <f aca="false">+E5+E6</f>
        <v>6</v>
      </c>
      <c r="F8" s="12" t="n">
        <f aca="false">+C8*E8</f>
        <v>0.06</v>
      </c>
    </row>
    <row r="9" customFormat="false" ht="15" hidden="false" customHeight="false" outlineLevel="0" collapsed="false">
      <c r="B9" s="46" t="s">
        <v>74</v>
      </c>
      <c r="C9" s="12" t="n">
        <v>0.005</v>
      </c>
      <c r="D9" s="12" t="n">
        <f aca="false">+SUM($C$5:C9)</f>
        <v>0.231666666666666</v>
      </c>
      <c r="E9" s="12" t="n">
        <f aca="false">+E5+E7</f>
        <v>9</v>
      </c>
      <c r="F9" s="12" t="n">
        <f aca="false">+C9*E9</f>
        <v>0.045</v>
      </c>
    </row>
    <row r="10" customFormat="false" ht="15" hidden="false" customHeight="false" outlineLevel="0" collapsed="false">
      <c r="B10" s="46" t="s">
        <v>75</v>
      </c>
      <c r="C10" s="12" t="n">
        <v>0.005</v>
      </c>
      <c r="D10" s="12" t="n">
        <f aca="false">+SUM($C$5:C10)</f>
        <v>0.236666666666666</v>
      </c>
      <c r="E10" s="12" t="n">
        <f aca="false">+E6+E7</f>
        <v>9</v>
      </c>
      <c r="F10" s="12" t="n">
        <f aca="false">+C10*E10</f>
        <v>0.045</v>
      </c>
    </row>
    <row r="11" customFormat="false" ht="15" hidden="false" customHeight="false" outlineLevel="0" collapsed="false">
      <c r="B11" s="46" t="s">
        <v>76</v>
      </c>
      <c r="C11" s="12" t="n">
        <v>0.01</v>
      </c>
      <c r="D11" s="12" t="n">
        <f aca="false">+SUM($C$5:C11)</f>
        <v>0.246666666666666</v>
      </c>
      <c r="E11" s="12" t="n">
        <f aca="false">+E5+E6+E7</f>
        <v>12</v>
      </c>
      <c r="F11" s="12" t="n">
        <f aca="false">+C11*E11</f>
        <v>0.12</v>
      </c>
      <c r="G11" s="0" t="s">
        <v>77</v>
      </c>
    </row>
    <row r="12" customFormat="false" ht="15" hidden="false" customHeight="false" outlineLevel="0" collapsed="false">
      <c r="B12" s="34" t="s">
        <v>78</v>
      </c>
      <c r="C12" s="34" t="n">
        <f aca="false">+SUM(C5:C11)</f>
        <v>0.246666666666666</v>
      </c>
      <c r="D12" s="34"/>
      <c r="E12" s="34"/>
      <c r="F12" s="54" t="n">
        <f aca="false">+SUM(F5:F11)</f>
        <v>0.949999999999998</v>
      </c>
    </row>
    <row r="13" customFormat="false" ht="15" hidden="false" customHeight="false" outlineLevel="0" collapsed="false">
      <c r="B13" s="6" t="s">
        <v>91</v>
      </c>
    </row>
    <row r="15" customFormat="false" ht="15" hidden="false" customHeight="false" outlineLevel="0" collapsed="false">
      <c r="A15" s="8" t="s">
        <v>80</v>
      </c>
      <c r="B15" s="1" t="s">
        <v>22</v>
      </c>
      <c r="C15" s="1" t="s">
        <v>5</v>
      </c>
      <c r="D15" s="1" t="s">
        <v>69</v>
      </c>
      <c r="E15" s="1" t="s">
        <v>70</v>
      </c>
      <c r="F15" s="1" t="s">
        <v>3</v>
      </c>
    </row>
    <row r="16" customFormat="false" ht="15" hidden="false" customHeight="false" outlineLevel="0" collapsed="false">
      <c r="A16" s="0" t="s">
        <v>81</v>
      </c>
      <c r="B16" s="29" t="n">
        <v>2</v>
      </c>
      <c r="C16" s="2" t="n">
        <v>0.246666666666666</v>
      </c>
      <c r="D16" s="2" t="n">
        <f aca="false">+SUM(C16:$C$16)</f>
        <v>0.246666666666666</v>
      </c>
      <c r="E16" s="2" t="n">
        <f aca="false">+E6</f>
        <v>3</v>
      </c>
      <c r="F16" s="2" t="n">
        <f aca="false">+C16*E16</f>
        <v>0.739999999999998</v>
      </c>
    </row>
    <row r="17" customFormat="false" ht="15" hidden="false" customHeight="false" outlineLevel="0" collapsed="false">
      <c r="A17" s="0" t="s">
        <v>82</v>
      </c>
      <c r="B17" s="29" t="n">
        <v>3</v>
      </c>
      <c r="C17" s="2" t="n">
        <v>0.02</v>
      </c>
      <c r="D17" s="2" t="n">
        <f aca="false">+SUM(C$16:$C17)</f>
        <v>0.266666666666666</v>
      </c>
      <c r="E17" s="2" t="n">
        <f aca="false">+E7</f>
        <v>6</v>
      </c>
      <c r="F17" s="2" t="n">
        <f aca="false">+C17*E17</f>
        <v>0.12</v>
      </c>
    </row>
    <row r="18" customFormat="false" ht="15" hidden="false" customHeight="false" outlineLevel="0" collapsed="false">
      <c r="B18" s="29" t="s">
        <v>75</v>
      </c>
      <c r="C18" s="2" t="n">
        <v>0.01</v>
      </c>
      <c r="D18" s="2" t="n">
        <f aca="false">+SUM(C$16:$C18)</f>
        <v>0.276666666666666</v>
      </c>
      <c r="E18" s="2" t="n">
        <f aca="false">+E16+E17</f>
        <v>9</v>
      </c>
      <c r="F18" s="2" t="n">
        <f aca="false">+C18*E18</f>
        <v>0.09</v>
      </c>
      <c r="G18" s="0" t="s">
        <v>77</v>
      </c>
    </row>
    <row r="19" customFormat="false" ht="15" hidden="false" customHeight="false" outlineLevel="0" collapsed="false">
      <c r="B19" s="34" t="s">
        <v>14</v>
      </c>
      <c r="C19" s="34" t="n">
        <f aca="false">+SUM(C16:C18)</f>
        <v>0.276666666666666</v>
      </c>
      <c r="D19" s="34"/>
      <c r="E19" s="34"/>
      <c r="F19" s="39" t="n">
        <f aca="false">+SUM(F16:F18)</f>
        <v>0.949999999999998</v>
      </c>
    </row>
    <row r="20" customFormat="false" ht="15" hidden="false" customHeight="false" outlineLevel="0" collapsed="false">
      <c r="B20" s="41"/>
      <c r="C20" s="41"/>
      <c r="D20" s="41"/>
      <c r="E20" s="41"/>
      <c r="F20" s="42"/>
    </row>
    <row r="21" customFormat="false" ht="15" hidden="false" customHeight="false" outlineLevel="0" collapsed="false">
      <c r="B21" s="41"/>
      <c r="C21" s="41"/>
      <c r="D21" s="41"/>
      <c r="E21" s="41"/>
      <c r="F21" s="42"/>
    </row>
    <row r="22" customFormat="false" ht="15" hidden="false" customHeight="false" outlineLevel="0" collapsed="false">
      <c r="A22" s="8" t="s">
        <v>83</v>
      </c>
      <c r="B22" s="1" t="s">
        <v>22</v>
      </c>
      <c r="C22" s="1" t="s">
        <v>5</v>
      </c>
      <c r="D22" s="1" t="s">
        <v>69</v>
      </c>
      <c r="E22" s="1" t="s">
        <v>70</v>
      </c>
      <c r="F22" s="1" t="s">
        <v>3</v>
      </c>
    </row>
    <row r="23" customFormat="false" ht="15" hidden="false" customHeight="false" outlineLevel="0" collapsed="false">
      <c r="A23" s="0" t="s">
        <v>81</v>
      </c>
      <c r="B23" s="29" t="n">
        <v>1</v>
      </c>
      <c r="C23" s="2" t="n">
        <v>0.246666666666666</v>
      </c>
      <c r="D23" s="2" t="n">
        <f aca="false">+SUM(C23:$C$23)</f>
        <v>0.246666666666666</v>
      </c>
      <c r="E23" s="2" t="n">
        <f aca="false">+E5</f>
        <v>3</v>
      </c>
      <c r="F23" s="2" t="n">
        <f aca="false">+C23*E23</f>
        <v>0.739999999999998</v>
      </c>
    </row>
    <row r="24" customFormat="false" ht="15" hidden="false" customHeight="false" outlineLevel="0" collapsed="false">
      <c r="A24" s="0" t="s">
        <v>84</v>
      </c>
      <c r="B24" s="29" t="n">
        <v>3</v>
      </c>
      <c r="C24" s="2" t="n">
        <v>0.02</v>
      </c>
      <c r="D24" s="2" t="n">
        <f aca="false">+SUM(C$23:$C24)</f>
        <v>0.266666666666666</v>
      </c>
      <c r="E24" s="2" t="n">
        <f aca="false">+E7</f>
        <v>6</v>
      </c>
      <c r="F24" s="2" t="n">
        <f aca="false">+C24*E24</f>
        <v>0.12</v>
      </c>
    </row>
    <row r="25" customFormat="false" ht="15" hidden="false" customHeight="false" outlineLevel="0" collapsed="false">
      <c r="B25" s="29" t="s">
        <v>74</v>
      </c>
      <c r="C25" s="2" t="n">
        <v>0.01</v>
      </c>
      <c r="D25" s="2" t="n">
        <f aca="false">+SUM(C$23:$C25)</f>
        <v>0.276666666666666</v>
      </c>
      <c r="E25" s="2" t="n">
        <f aca="false">+E23+E24</f>
        <v>9</v>
      </c>
      <c r="F25" s="2" t="n">
        <f aca="false">+C25*E25</f>
        <v>0.09</v>
      </c>
      <c r="G25" s="0" t="s">
        <v>77</v>
      </c>
      <c r="I25" s="48"/>
    </row>
    <row r="26" customFormat="false" ht="15" hidden="false" customHeight="false" outlineLevel="0" collapsed="false">
      <c r="B26" s="34" t="s">
        <v>14</v>
      </c>
      <c r="C26" s="34" t="n">
        <f aca="false">+SUM(C23:C25)</f>
        <v>0.276666666666666</v>
      </c>
      <c r="D26" s="34"/>
      <c r="E26" s="34"/>
      <c r="F26" s="39" t="n">
        <f aca="false">+SUM(F23:F25)</f>
        <v>0.949999999999998</v>
      </c>
    </row>
    <row r="27" customFormat="false" ht="15" hidden="false" customHeight="false" outlineLevel="0" collapsed="false">
      <c r="B27" s="41"/>
      <c r="C27" s="41"/>
      <c r="D27" s="41"/>
      <c r="E27" s="41"/>
      <c r="F27" s="42"/>
    </row>
    <row r="29" customFormat="false" ht="15" hidden="false" customHeight="false" outlineLevel="0" collapsed="false">
      <c r="A29" s="8" t="s">
        <v>85</v>
      </c>
      <c r="B29" s="1" t="s">
        <v>22</v>
      </c>
      <c r="C29" s="1" t="s">
        <v>5</v>
      </c>
      <c r="D29" s="1" t="s">
        <v>69</v>
      </c>
      <c r="E29" s="1" t="s">
        <v>70</v>
      </c>
      <c r="F29" s="1" t="s">
        <v>3</v>
      </c>
    </row>
    <row r="30" customFormat="false" ht="15" hidden="false" customHeight="false" outlineLevel="0" collapsed="false">
      <c r="A30" s="0" t="s">
        <v>81</v>
      </c>
      <c r="B30" s="29" t="n">
        <v>3</v>
      </c>
      <c r="C30" s="2" t="n">
        <v>0.158333333333333</v>
      </c>
      <c r="D30" s="2" t="n">
        <f aca="false">+SUM(C30:$C$30)</f>
        <v>0.158333333333333</v>
      </c>
      <c r="E30" s="2" t="n">
        <f aca="false">+E7</f>
        <v>6</v>
      </c>
      <c r="F30" s="2" t="n">
        <f aca="false">+C30*E30</f>
        <v>0.95</v>
      </c>
      <c r="G30" s="0" t="s">
        <v>77</v>
      </c>
    </row>
    <row r="31" customFormat="false" ht="15" hidden="false" customHeight="false" outlineLevel="0" collapsed="false">
      <c r="A31" s="0" t="s">
        <v>82</v>
      </c>
      <c r="B31" s="34" t="s">
        <v>14</v>
      </c>
      <c r="C31" s="34" t="n">
        <f aca="false">+SUM(C30:C30)</f>
        <v>0.158333333333333</v>
      </c>
      <c r="D31" s="34"/>
      <c r="E31" s="34"/>
      <c r="F31" s="39" t="n">
        <f aca="false">+SUM(F30:F30)</f>
        <v>0.95</v>
      </c>
    </row>
    <row r="32" customFormat="false" ht="15" hidden="false" customHeight="false" outlineLevel="0" collapsed="false">
      <c r="A32" s="0" t="s">
        <v>84</v>
      </c>
    </row>
    <row r="34" customFormat="false" ht="15" hidden="false" customHeight="false" outlineLevel="0" collapsed="false">
      <c r="A34" s="8" t="s">
        <v>86</v>
      </c>
      <c r="B34" s="1" t="s">
        <v>22</v>
      </c>
      <c r="C34" s="1" t="s">
        <v>5</v>
      </c>
      <c r="D34" s="1" t="s">
        <v>69</v>
      </c>
      <c r="E34" s="1" t="s">
        <v>70</v>
      </c>
      <c r="F34" s="1" t="s">
        <v>3</v>
      </c>
    </row>
    <row r="35" customFormat="false" ht="15" hidden="false" customHeight="false" outlineLevel="0" collapsed="false">
      <c r="A35" s="0" t="s">
        <v>81</v>
      </c>
      <c r="B35" s="29" t="n">
        <v>1</v>
      </c>
      <c r="C35" s="2" t="n">
        <v>0.128333333333333</v>
      </c>
      <c r="D35" s="2" t="n">
        <f aca="false">+SUM(C35:$C$35)</f>
        <v>0.128333333333333</v>
      </c>
      <c r="E35" s="2" t="n">
        <f aca="false">+E5</f>
        <v>3</v>
      </c>
      <c r="F35" s="2" t="n">
        <f aca="false">+C35*E35</f>
        <v>0.384999999999999</v>
      </c>
    </row>
    <row r="36" customFormat="false" ht="15" hidden="false" customHeight="false" outlineLevel="0" collapsed="false">
      <c r="A36" s="0" t="s">
        <v>87</v>
      </c>
      <c r="B36" s="29" t="n">
        <v>2</v>
      </c>
      <c r="C36" s="2" t="n">
        <v>0.128333333333333</v>
      </c>
      <c r="D36" s="2" t="n">
        <f aca="false">+SUM(C$35:$C36)</f>
        <v>0.256666666666666</v>
      </c>
      <c r="E36" s="2" t="n">
        <f aca="false">+E6</f>
        <v>3</v>
      </c>
      <c r="F36" s="2" t="n">
        <f aca="false">+C36*E36</f>
        <v>0.384999999999999</v>
      </c>
    </row>
    <row r="37" customFormat="false" ht="15" hidden="false" customHeight="false" outlineLevel="0" collapsed="false">
      <c r="B37" s="29" t="s">
        <v>73</v>
      </c>
      <c r="C37" s="2" t="n">
        <v>0.03</v>
      </c>
      <c r="D37" s="2" t="n">
        <f aca="false">+SUM(C$35:$C37)</f>
        <v>0.286666666666666</v>
      </c>
      <c r="E37" s="2" t="n">
        <f aca="false">+E35+E36</f>
        <v>6</v>
      </c>
      <c r="F37" s="2" t="n">
        <f aca="false">+C37*E37</f>
        <v>0.18</v>
      </c>
      <c r="G37" s="0" t="s">
        <v>77</v>
      </c>
    </row>
    <row r="38" customFormat="false" ht="15" hidden="false" customHeight="false" outlineLevel="0" collapsed="false">
      <c r="A38" s="44"/>
      <c r="B38" s="34" t="s">
        <v>14</v>
      </c>
      <c r="C38" s="34" t="n">
        <f aca="false">+SUM(C35:C37)</f>
        <v>0.286666666666666</v>
      </c>
      <c r="D38" s="34"/>
      <c r="E38" s="34"/>
      <c r="F38" s="39" t="n">
        <f aca="false">+SUM(F35:F37)</f>
        <v>0.949999999999998</v>
      </c>
    </row>
    <row r="39" customFormat="false" ht="15" hidden="false" customHeight="false" outlineLevel="0" collapsed="false">
      <c r="A39" s="44"/>
    </row>
    <row r="41" customFormat="false" ht="15" hidden="false" customHeight="false" outlineLevel="0" collapsed="false">
      <c r="A41" s="8" t="s">
        <v>88</v>
      </c>
      <c r="B41" s="1" t="s">
        <v>22</v>
      </c>
      <c r="C41" s="1" t="s">
        <v>5</v>
      </c>
      <c r="D41" s="1" t="s">
        <v>69</v>
      </c>
      <c r="E41" s="1" t="s">
        <v>70</v>
      </c>
      <c r="F41" s="1" t="s">
        <v>3</v>
      </c>
    </row>
    <row r="42" customFormat="false" ht="15" hidden="false" customHeight="false" outlineLevel="0" collapsed="false">
      <c r="A42" s="0" t="s">
        <v>81</v>
      </c>
      <c r="B42" s="29" t="n">
        <v>1</v>
      </c>
      <c r="C42" s="2" t="n">
        <v>0.316666666666667</v>
      </c>
      <c r="D42" s="2" t="n">
        <f aca="false">+SUM(C42:$C$42)</f>
        <v>0.316666666666667</v>
      </c>
      <c r="E42" s="2" t="n">
        <f aca="false">+E5</f>
        <v>3</v>
      </c>
      <c r="F42" s="2" t="n">
        <f aca="false">+E42*C42</f>
        <v>0.95</v>
      </c>
      <c r="G42" s="0" t="s">
        <v>77</v>
      </c>
    </row>
    <row r="43" customFormat="false" ht="15" hidden="false" customHeight="false" outlineLevel="0" collapsed="false">
      <c r="A43" s="0" t="s">
        <v>84</v>
      </c>
      <c r="B43" s="34" t="s">
        <v>14</v>
      </c>
      <c r="C43" s="34" t="n">
        <f aca="false">+SUM(C42:C42)</f>
        <v>0.316666666666667</v>
      </c>
      <c r="D43" s="34"/>
      <c r="E43" s="34"/>
      <c r="F43" s="39" t="n">
        <f aca="false">+SUM(F42:F42)</f>
        <v>0.95</v>
      </c>
    </row>
    <row r="44" customFormat="false" ht="15" hidden="false" customHeight="false" outlineLevel="0" collapsed="false">
      <c r="A44" s="0" t="s">
        <v>87</v>
      </c>
    </row>
    <row r="46" customFormat="false" ht="15" hidden="false" customHeight="false" outlineLevel="0" collapsed="false">
      <c r="A46" s="8" t="s">
        <v>89</v>
      </c>
      <c r="B46" s="1" t="s">
        <v>22</v>
      </c>
      <c r="C46" s="1" t="s">
        <v>5</v>
      </c>
      <c r="D46" s="1" t="s">
        <v>69</v>
      </c>
      <c r="E46" s="1" t="s">
        <v>70</v>
      </c>
      <c r="F46" s="1" t="s">
        <v>3</v>
      </c>
    </row>
    <row r="47" customFormat="false" ht="15" hidden="false" customHeight="false" outlineLevel="0" collapsed="false">
      <c r="A47" s="0" t="s">
        <v>81</v>
      </c>
      <c r="B47" s="29" t="n">
        <v>2</v>
      </c>
      <c r="C47" s="2" t="n">
        <v>0.316666666666667</v>
      </c>
      <c r="D47" s="2" t="n">
        <f aca="false">+SUM(C$47:$C47)</f>
        <v>0.316666666666667</v>
      </c>
      <c r="E47" s="2" t="n">
        <f aca="false">+E6</f>
        <v>3</v>
      </c>
      <c r="F47" s="2" t="n">
        <f aca="false">+E47*C47</f>
        <v>0.95</v>
      </c>
      <c r="G47" s="0" t="s">
        <v>77</v>
      </c>
    </row>
    <row r="48" customFormat="false" ht="15" hidden="false" customHeight="false" outlineLevel="0" collapsed="false">
      <c r="A48" s="0" t="s">
        <v>82</v>
      </c>
      <c r="B48" s="34" t="s">
        <v>14</v>
      </c>
      <c r="C48" s="34" t="n">
        <f aca="false">+SUM(C47:C47)</f>
        <v>0.316666666666667</v>
      </c>
      <c r="D48" s="34"/>
      <c r="E48" s="34"/>
      <c r="F48" s="39" t="n">
        <f aca="false">+SUM(F47:F47)</f>
        <v>0.95</v>
      </c>
    </row>
    <row r="49" customFormat="false" ht="15" hidden="false" customHeight="false" outlineLevel="0" collapsed="false">
      <c r="A49" s="0" t="s">
        <v>87</v>
      </c>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85"/>
    <col collapsed="false" customWidth="true" hidden="false" outlineLevel="0" max="8" min="8" style="0" width="12"/>
    <col collapsed="false" customWidth="true" hidden="false" outlineLevel="0" max="1025" min="9" style="0" width="11.57"/>
  </cols>
  <sheetData>
    <row r="1" customFormat="false" ht="18.75" hidden="false" customHeight="false" outlineLevel="0" collapsed="false">
      <c r="A1" s="24" t="s">
        <v>150</v>
      </c>
      <c r="B1" s="24"/>
      <c r="C1" s="24"/>
      <c r="D1" s="24"/>
      <c r="E1" s="24"/>
    </row>
    <row r="2" customFormat="false" ht="15" hidden="false" customHeight="false" outlineLevel="0" collapsed="false">
      <c r="A2" s="25" t="s">
        <v>52</v>
      </c>
    </row>
    <row r="4" customFormat="false" ht="15" hidden="false" customHeight="false" outlineLevel="0" collapsed="false">
      <c r="A4" s="8" t="s">
        <v>68</v>
      </c>
      <c r="B4" s="1" t="s">
        <v>22</v>
      </c>
      <c r="C4" s="1" t="s">
        <v>5</v>
      </c>
      <c r="D4" s="1" t="s">
        <v>69</v>
      </c>
      <c r="E4" s="1" t="s">
        <v>70</v>
      </c>
      <c r="F4" s="1" t="s">
        <v>3</v>
      </c>
    </row>
    <row r="5" customFormat="false" ht="15" hidden="false" customHeight="false" outlineLevel="0" collapsed="false">
      <c r="A5" s="0" t="s">
        <v>72</v>
      </c>
      <c r="B5" s="46" t="n">
        <v>1</v>
      </c>
      <c r="C5" s="30" t="n">
        <v>0.25</v>
      </c>
      <c r="D5" s="12" t="n">
        <f aca="false">+SUM($C$5:C5)</f>
        <v>0.25</v>
      </c>
      <c r="E5" s="12" t="n">
        <f aca="false">+Summary!B27</f>
        <v>2</v>
      </c>
      <c r="F5" s="12" t="n">
        <f aca="false">+C5*E5</f>
        <v>0.5</v>
      </c>
    </row>
    <row r="6" customFormat="false" ht="15" hidden="false" customHeight="false" outlineLevel="0" collapsed="false">
      <c r="B6" s="46" t="n">
        <v>2</v>
      </c>
      <c r="C6" s="30" t="n">
        <v>0.1</v>
      </c>
      <c r="D6" s="12" t="n">
        <f aca="false">+SUM($C$5:C6)</f>
        <v>0.35</v>
      </c>
      <c r="E6" s="12" t="n">
        <f aca="false">+Summary!B28</f>
        <v>3</v>
      </c>
      <c r="F6" s="12" t="n">
        <f aca="false">+C6*E6</f>
        <v>0.3</v>
      </c>
    </row>
    <row r="7" customFormat="false" ht="15" hidden="false" customHeight="false" outlineLevel="0" collapsed="false">
      <c r="B7" s="46" t="s">
        <v>73</v>
      </c>
      <c r="C7" s="30" t="n">
        <v>0.03</v>
      </c>
      <c r="D7" s="12" t="n">
        <f aca="false">+SUM($C$5:C7)</f>
        <v>0.38</v>
      </c>
      <c r="E7" s="12" t="n">
        <f aca="false">+E5+E6</f>
        <v>5</v>
      </c>
      <c r="F7" s="12" t="n">
        <f aca="false">+C7*E7</f>
        <v>0.15</v>
      </c>
      <c r="G7" s="0" t="s">
        <v>77</v>
      </c>
      <c r="H7" s="50"/>
    </row>
    <row r="8" customFormat="false" ht="15" hidden="false" customHeight="false" outlineLevel="0" collapsed="false">
      <c r="B8" s="34" t="s">
        <v>78</v>
      </c>
      <c r="C8" s="34" t="n">
        <f aca="false">+SUM(C5:C7)</f>
        <v>0.38</v>
      </c>
      <c r="D8" s="34"/>
      <c r="E8" s="34"/>
      <c r="F8" s="35" t="n">
        <f aca="false">+SUM(F5:F7)</f>
        <v>0.95</v>
      </c>
    </row>
    <row r="9" customFormat="false" ht="15" hidden="false" customHeight="false" outlineLevel="0" collapsed="false">
      <c r="B9" s="6" t="s">
        <v>91</v>
      </c>
    </row>
    <row r="12" customFormat="false" ht="15" hidden="false" customHeight="false" outlineLevel="0" collapsed="false">
      <c r="A12" s="8" t="s">
        <v>88</v>
      </c>
      <c r="B12" s="1" t="s">
        <v>22</v>
      </c>
      <c r="C12" s="1" t="s">
        <v>5</v>
      </c>
      <c r="D12" s="1" t="s">
        <v>69</v>
      </c>
      <c r="E12" s="1" t="s">
        <v>70</v>
      </c>
      <c r="F12" s="1" t="s">
        <v>3</v>
      </c>
    </row>
    <row r="13" customFormat="false" ht="15" hidden="false" customHeight="false" outlineLevel="0" collapsed="false">
      <c r="A13" s="0" t="s">
        <v>81</v>
      </c>
      <c r="B13" s="29" t="n">
        <v>1</v>
      </c>
      <c r="C13" s="2" t="n">
        <v>0.475</v>
      </c>
      <c r="D13" s="2" t="n">
        <f aca="false">+SUM(C13:$C$13)</f>
        <v>0.475</v>
      </c>
      <c r="E13" s="2" t="n">
        <f aca="false">+E5</f>
        <v>2</v>
      </c>
      <c r="F13" s="2" t="n">
        <f aca="false">+E13*C13</f>
        <v>0.95</v>
      </c>
      <c r="G13" s="0" t="s">
        <v>77</v>
      </c>
    </row>
    <row r="14" customFormat="false" ht="15" hidden="false" customHeight="false" outlineLevel="0" collapsed="false">
      <c r="A14" s="0" t="s">
        <v>84</v>
      </c>
      <c r="B14" s="34" t="s">
        <v>14</v>
      </c>
      <c r="C14" s="34" t="n">
        <f aca="false">+SUM(C13:C13)</f>
        <v>0.475</v>
      </c>
      <c r="D14" s="34"/>
      <c r="E14" s="34"/>
      <c r="F14" s="39" t="n">
        <f aca="false">+SUM(F13:F13)</f>
        <v>0.95</v>
      </c>
    </row>
    <row r="17" customFormat="false" ht="15" hidden="false" customHeight="false" outlineLevel="0" collapsed="false">
      <c r="A17" s="8" t="s">
        <v>89</v>
      </c>
      <c r="B17" s="1" t="s">
        <v>22</v>
      </c>
      <c r="C17" s="1" t="s">
        <v>5</v>
      </c>
      <c r="D17" s="1" t="s">
        <v>69</v>
      </c>
      <c r="E17" s="1" t="s">
        <v>70</v>
      </c>
      <c r="F17" s="1" t="s">
        <v>3</v>
      </c>
    </row>
    <row r="18" customFormat="false" ht="15" hidden="false" customHeight="false" outlineLevel="0" collapsed="false">
      <c r="A18" s="0" t="s">
        <v>81</v>
      </c>
      <c r="B18" s="29" t="n">
        <v>2</v>
      </c>
      <c r="C18" s="2" t="n">
        <v>0.316666666666666</v>
      </c>
      <c r="D18" s="2" t="n">
        <f aca="false">+SUM(C$18:$C18)</f>
        <v>0.316666666666666</v>
      </c>
      <c r="E18" s="2" t="n">
        <f aca="false">+E6</f>
        <v>3</v>
      </c>
      <c r="F18" s="2" t="n">
        <f aca="false">+E18*C18</f>
        <v>0.949999999999998</v>
      </c>
      <c r="G18" s="0" t="s">
        <v>77</v>
      </c>
    </row>
    <row r="19" customFormat="false" ht="15" hidden="false" customHeight="false" outlineLevel="0" collapsed="false">
      <c r="A19" s="0" t="s">
        <v>82</v>
      </c>
      <c r="B19" s="34" t="s">
        <v>14</v>
      </c>
      <c r="C19" s="34" t="n">
        <f aca="false">+SUM(C18:C18)</f>
        <v>0.316666666666666</v>
      </c>
      <c r="D19" s="34"/>
      <c r="E19" s="34"/>
      <c r="F19" s="39" t="n">
        <f aca="false">+SUM(F18:F18)</f>
        <v>0.949999999999998</v>
      </c>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0.71"/>
    <col collapsed="false" customWidth="true" hidden="false" outlineLevel="0" max="2" min="2" style="0" width="25.28"/>
    <col collapsed="false" customWidth="true" hidden="false" outlineLevel="0" max="3" min="3" style="0" width="11.57"/>
    <col collapsed="false" customWidth="true" hidden="false" outlineLevel="0" max="4" min="4" style="0" width="15.57"/>
    <col collapsed="false" customWidth="true" hidden="false" outlineLevel="0" max="5" min="5" style="0" width="11.57"/>
    <col collapsed="false" customWidth="true" hidden="false" outlineLevel="0" max="6" min="6" style="0" width="13.28"/>
    <col collapsed="false" customWidth="true" hidden="false" outlineLevel="0" max="7" min="7" style="0" width="15.28"/>
    <col collapsed="false" customWidth="true" hidden="false" outlineLevel="0" max="8" min="8" style="0" width="15.14"/>
    <col collapsed="false" customWidth="true" hidden="false" outlineLevel="0" max="9" min="9" style="0" width="11.57"/>
    <col collapsed="false" customWidth="true" hidden="false" outlineLevel="0" max="10" min="10" style="0" width="12.57"/>
    <col collapsed="false" customWidth="true" hidden="false" outlineLevel="0" max="1025" min="11" style="0" width="11.57"/>
  </cols>
  <sheetData>
    <row r="1" customFormat="false" ht="18.75" hidden="false" customHeight="false" outlineLevel="0" collapsed="false">
      <c r="A1" s="24" t="s">
        <v>151</v>
      </c>
      <c r="B1" s="24"/>
      <c r="C1" s="24"/>
      <c r="D1" s="24"/>
      <c r="E1" s="24"/>
    </row>
    <row r="2" customFormat="false" ht="15" hidden="false" customHeight="false" outlineLevel="0" collapsed="false">
      <c r="A2" s="25"/>
    </row>
    <row r="4" customFormat="false" ht="15" hidden="false" customHeight="false" outlineLevel="0" collapsed="false">
      <c r="A4" s="8" t="s">
        <v>19</v>
      </c>
      <c r="B4" s="1" t="s">
        <v>22</v>
      </c>
      <c r="C4" s="1" t="s">
        <v>5</v>
      </c>
      <c r="D4" s="1" t="s">
        <v>69</v>
      </c>
      <c r="E4" s="1" t="s">
        <v>70</v>
      </c>
      <c r="F4" s="1" t="s">
        <v>3</v>
      </c>
      <c r="G4" s="1" t="s">
        <v>71</v>
      </c>
    </row>
    <row r="5" customFormat="false" ht="15" hidden="false" customHeight="false" outlineLevel="0" collapsed="false">
      <c r="B5" s="29" t="n">
        <v>1</v>
      </c>
      <c r="C5" s="2" t="n">
        <v>0.475</v>
      </c>
      <c r="D5" s="2" t="n">
        <f aca="false">+SUM(C5:$C$5)</f>
        <v>0.475</v>
      </c>
      <c r="E5" s="2" t="n">
        <f aca="false">+Summary!B21</f>
        <v>2</v>
      </c>
      <c r="F5" s="2" t="n">
        <f aca="false">+E5*C5</f>
        <v>0.95</v>
      </c>
      <c r="G5" s="31" t="n">
        <v>0.02</v>
      </c>
      <c r="H5" s="0" t="s">
        <v>77</v>
      </c>
    </row>
    <row r="6" customFormat="false" ht="15" hidden="false" customHeight="false" outlineLevel="0" collapsed="false">
      <c r="B6" s="34" t="s">
        <v>14</v>
      </c>
      <c r="C6" s="34" t="n">
        <f aca="false">+SUM(C5:C5)</f>
        <v>0.475</v>
      </c>
      <c r="D6" s="34"/>
      <c r="E6" s="34"/>
      <c r="F6" s="39" t="n">
        <f aca="false">+SUM(F5:F5)</f>
        <v>0.95</v>
      </c>
      <c r="G6" s="40"/>
    </row>
    <row r="7" customFormat="false" ht="15" hidden="false" customHeight="false" outlineLevel="0" collapsed="false">
      <c r="G7" s="37"/>
    </row>
    <row r="8" customFormat="false" ht="15" hidden="false" customHeight="false" outlineLevel="0" collapsed="false">
      <c r="G8" s="37"/>
    </row>
    <row r="9" customFormat="false" ht="15" hidden="false" customHeight="false" outlineLevel="0" collapsed="false">
      <c r="A9" s="8" t="s">
        <v>20</v>
      </c>
      <c r="B9" s="1" t="s">
        <v>22</v>
      </c>
      <c r="C9" s="1" t="s">
        <v>5</v>
      </c>
      <c r="D9" s="1" t="s">
        <v>69</v>
      </c>
      <c r="E9" s="1" t="s">
        <v>70</v>
      </c>
      <c r="F9" s="1" t="s">
        <v>3</v>
      </c>
      <c r="G9" s="1" t="s">
        <v>71</v>
      </c>
    </row>
    <row r="10" customFormat="false" ht="15" hidden="false" customHeight="false" outlineLevel="0" collapsed="false">
      <c r="B10" s="29" t="n">
        <v>1</v>
      </c>
      <c r="C10" s="2" t="n">
        <v>0.316666666666666</v>
      </c>
      <c r="D10" s="2" t="n">
        <f aca="false">1/6</f>
        <v>0.166666666666667</v>
      </c>
      <c r="E10" s="2" t="n">
        <f aca="false">+Summary!E21</f>
        <v>3</v>
      </c>
      <c r="F10" s="2" t="n">
        <f aca="false">+E10*C10</f>
        <v>0.949999999999998</v>
      </c>
      <c r="G10" s="31" t="n">
        <v>0.03</v>
      </c>
      <c r="H10" s="0" t="s">
        <v>77</v>
      </c>
    </row>
    <row r="11" customFormat="false" ht="15" hidden="false" customHeight="false" outlineLevel="0" collapsed="false">
      <c r="B11" s="34" t="s">
        <v>14</v>
      </c>
      <c r="C11" s="34" t="n">
        <f aca="false">+SUM(C10:C10)</f>
        <v>0.316666666666666</v>
      </c>
      <c r="D11" s="34"/>
      <c r="E11" s="34"/>
      <c r="F11" s="39" t="n">
        <f aca="false">+SUM(F10:F10)</f>
        <v>0.949999999999998</v>
      </c>
      <c r="G11" s="40"/>
    </row>
    <row r="12" customFormat="false" ht="15" hidden="false" customHeight="false" outlineLevel="0" collapsed="false">
      <c r="G12" s="45"/>
    </row>
    <row r="13" customFormat="false" ht="15" hidden="false" customHeight="false" outlineLevel="0" collapsed="false">
      <c r="G13" s="45"/>
    </row>
    <row r="14" customFormat="false" ht="15" hidden="false" customHeight="false" outlineLevel="0" collapsed="false">
      <c r="A14" s="8" t="s">
        <v>21</v>
      </c>
      <c r="B14" s="1" t="s">
        <v>22</v>
      </c>
      <c r="C14" s="1" t="s">
        <v>5</v>
      </c>
      <c r="D14" s="1" t="s">
        <v>69</v>
      </c>
      <c r="E14" s="1" t="s">
        <v>70</v>
      </c>
      <c r="F14" s="1" t="s">
        <v>3</v>
      </c>
      <c r="G14" s="1" t="s">
        <v>71</v>
      </c>
    </row>
    <row r="15" customFormat="false" ht="15" hidden="false" customHeight="false" outlineLevel="0" collapsed="false">
      <c r="B15" s="29" t="n">
        <v>1</v>
      </c>
      <c r="C15" s="2" t="n">
        <v>0.2375</v>
      </c>
      <c r="D15" s="2" t="n">
        <f aca="false">+SUM(C$15:$C15)</f>
        <v>0.2375</v>
      </c>
      <c r="E15" s="2" t="n">
        <f aca="false">+Summary!H21</f>
        <v>4</v>
      </c>
      <c r="F15" s="2" t="n">
        <f aca="false">+E15*C15</f>
        <v>0.95</v>
      </c>
      <c r="G15" s="31" t="n">
        <v>0.04</v>
      </c>
      <c r="H15" s="0" t="s">
        <v>77</v>
      </c>
    </row>
    <row r="16" customFormat="false" ht="15" hidden="false" customHeight="false" outlineLevel="0" collapsed="false">
      <c r="B16" s="34" t="s">
        <v>14</v>
      </c>
      <c r="C16" s="34" t="n">
        <f aca="false">+SUM(C15:C15)</f>
        <v>0.2375</v>
      </c>
      <c r="D16" s="34"/>
      <c r="E16" s="34"/>
      <c r="F16" s="39" t="n">
        <f aca="false">+SUM(F15:F15)</f>
        <v>0.95</v>
      </c>
      <c r="G16" s="40"/>
    </row>
  </sheetData>
  <mergeCells count="1">
    <mergeCell ref="A1:E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LibreOffice/5.4.1.2$Linux_X86_64 LibreOffice_project/40m0$Build-2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2006-09-12T12:46:56Z</dcterms:created>
  <dc:creator/>
  <dc:description/>
  <dc:language>ru-RU</dc:language>
  <cp:lastModifiedBy/>
  <dcterms:modified xsi:type="dcterms:W3CDTF">2017-11-07T18:56:23Z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