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7E998C4-C9E5-D4B9-71C8-EB1FF731991C}"/>
  <workbookPr codeName="ThisWorkbook1" defaultThemeVersion="124226"/>
  <mc:AlternateContent xmlns:mc="http://schemas.openxmlformats.org/markup-compatibility/2006">
    <mc:Choice Requires="x15">
      <x15ac:absPath xmlns:x15ac="http://schemas.microsoft.com/office/spreadsheetml/2010/11/ac" url="H:\Web\animate\!Doc\!TODO\Pirates\!Doc\!Math\"/>
    </mc:Choice>
  </mc:AlternateContent>
  <bookViews>
    <workbookView minimized="1" xWindow="0" yWindow="0" windowWidth="16380" windowHeight="8190" tabRatio="500"/>
  </bookViews>
  <sheets>
    <sheet name="Summary" sheetId="1" r:id="rId1"/>
    <sheet name="Special weapon" sheetId="2" r:id="rId2"/>
    <sheet name="Buying Special weapons" sheetId="3" r:id="rId3"/>
    <sheet name="Boss round (4 or more players)" sheetId="4" r:id="rId4"/>
    <sheet name="Boss round (1,2,or 3 players)" sheetId="5" r:id="rId5"/>
    <sheet name="Scarab Black" sheetId="6" r:id="rId6"/>
    <sheet name="Scarab Gold" sheetId="18" r:id="rId7"/>
    <sheet name="Scarab Gem Covered" sheetId="19" r:id="rId8"/>
    <sheet name="Standard Mummy" sheetId="20" r:id="rId9"/>
    <sheet name="Mummy A" sheetId="21" r:id="rId10"/>
    <sheet name="Mummy B" sheetId="22" r:id="rId11"/>
    <sheet name="Mummy C" sheetId="23" r:id="rId12"/>
    <sheet name="Pharaoh A" sheetId="24" r:id="rId13"/>
    <sheet name="Pharaoh B" sheetId="25" r:id="rId14"/>
    <sheet name="HV Scarab" sheetId="26" r:id="rId15"/>
    <sheet name="HV enemy" sheetId="27" r:id="rId16"/>
  </sheets>
  <externalReferences>
    <externalReference r:id="rId17"/>
  </externalReferences>
  <calcPr calcId="152511"/>
</workbook>
</file>

<file path=xl/calcChain.xml><?xml version="1.0" encoding="utf-8"?>
<calcChain xmlns="http://schemas.openxmlformats.org/spreadsheetml/2006/main">
  <c r="D118" i="2" l="1"/>
  <c r="D124" i="2" s="1"/>
  <c r="D102" i="2"/>
  <c r="BP18" i="4"/>
  <c r="BK18" i="4"/>
  <c r="BA18" i="4"/>
  <c r="AV18" i="4"/>
  <c r="BR17" i="4"/>
  <c r="BQ17" i="4"/>
  <c r="BM17" i="4"/>
  <c r="BL17" i="4"/>
  <c r="BH17" i="4"/>
  <c r="BE17" i="4"/>
  <c r="BB17" i="4"/>
  <c r="AZ17" i="4"/>
  <c r="BC17" i="4" s="1"/>
  <c r="AX17" i="4"/>
  <c r="AW17" i="4"/>
  <c r="BR16" i="4"/>
  <c r="BQ16" i="4"/>
  <c r="BM16" i="4"/>
  <c r="BL16" i="4"/>
  <c r="BH16" i="4"/>
  <c r="BE16" i="4"/>
  <c r="BB16" i="4"/>
  <c r="AZ16" i="4"/>
  <c r="BC16" i="4" s="1"/>
  <c r="AX16" i="4"/>
  <c r="AW16" i="4"/>
  <c r="BR15" i="4"/>
  <c r="BQ15" i="4"/>
  <c r="BM15" i="4"/>
  <c r="BL15" i="4"/>
  <c r="BH15" i="4"/>
  <c r="BF15" i="4"/>
  <c r="BF18" i="4" s="1"/>
  <c r="BE15" i="4"/>
  <c r="BC15" i="4"/>
  <c r="BB15" i="4"/>
  <c r="AZ15" i="4"/>
  <c r="AX15" i="4"/>
  <c r="AW15" i="4"/>
  <c r="BR14" i="4"/>
  <c r="BQ14" i="4"/>
  <c r="BM14" i="4"/>
  <c r="BL14" i="4"/>
  <c r="BH14" i="4"/>
  <c r="BG14" i="4"/>
  <c r="BE14" i="4"/>
  <c r="BC14" i="4"/>
  <c r="BB14" i="4"/>
  <c r="AZ14" i="4"/>
  <c r="AX14" i="4"/>
  <c r="AW14" i="4"/>
  <c r="BR13" i="4"/>
  <c r="BQ13" i="4"/>
  <c r="BM13" i="4"/>
  <c r="BL13" i="4"/>
  <c r="BH13" i="4"/>
  <c r="BG13" i="4"/>
  <c r="BE13" i="4"/>
  <c r="BC13" i="4"/>
  <c r="BB13" i="4"/>
  <c r="AZ13" i="4"/>
  <c r="AX13" i="4"/>
  <c r="AW13" i="4"/>
  <c r="BR12" i="4"/>
  <c r="BQ12" i="4"/>
  <c r="BM12" i="4"/>
  <c r="BL12" i="4"/>
  <c r="BH12" i="4"/>
  <c r="BG12" i="4"/>
  <c r="BE12" i="4"/>
  <c r="BC12" i="4"/>
  <c r="BB12" i="4"/>
  <c r="AZ12" i="4"/>
  <c r="AX12" i="4"/>
  <c r="AW12" i="4"/>
  <c r="BG12" i="5"/>
  <c r="BF15" i="5"/>
  <c r="BH16" i="5"/>
  <c r="BB17" i="5"/>
  <c r="BQ13" i="5"/>
  <c r="BQ14" i="5"/>
  <c r="BQ15" i="5"/>
  <c r="BQ16" i="5"/>
  <c r="BQ17" i="5"/>
  <c r="BQ12" i="5"/>
  <c r="BL13" i="5"/>
  <c r="BL14" i="5"/>
  <c r="BL15" i="5"/>
  <c r="BL16" i="5"/>
  <c r="BL17" i="5"/>
  <c r="BL12" i="5"/>
  <c r="AW13" i="5"/>
  <c r="AW14" i="5"/>
  <c r="AW15" i="5"/>
  <c r="AW16" i="5"/>
  <c r="AW17" i="5"/>
  <c r="AW12" i="5"/>
  <c r="AR13" i="5"/>
  <c r="AR14" i="5"/>
  <c r="AR15" i="5"/>
  <c r="AR16" i="5"/>
  <c r="AR17" i="5"/>
  <c r="AR12" i="5"/>
  <c r="AM13" i="5"/>
  <c r="AM14" i="5"/>
  <c r="AM15" i="5"/>
  <c r="AM16" i="5"/>
  <c r="AM17" i="5"/>
  <c r="AM12" i="5"/>
  <c r="AH13" i="5"/>
  <c r="AH14" i="5"/>
  <c r="AH15" i="5"/>
  <c r="AH16" i="5"/>
  <c r="AH17" i="5"/>
  <c r="AH12" i="5"/>
  <c r="AC13" i="5"/>
  <c r="AC14" i="5"/>
  <c r="AC15" i="5"/>
  <c r="AC16" i="5"/>
  <c r="AC17" i="5"/>
  <c r="AC12" i="5"/>
  <c r="N12" i="5"/>
  <c r="AS12" i="5"/>
  <c r="AZ13" i="5"/>
  <c r="BC13" i="5" s="1"/>
  <c r="AZ14" i="5"/>
  <c r="BC14" i="5" s="1"/>
  <c r="AZ15" i="5"/>
  <c r="AZ16" i="5"/>
  <c r="AZ17" i="5"/>
  <c r="AZ12" i="5"/>
  <c r="BE13" i="5"/>
  <c r="BH13" i="5" s="1"/>
  <c r="BE14" i="5"/>
  <c r="BE15" i="5"/>
  <c r="BH15" i="5" s="1"/>
  <c r="BE16" i="5"/>
  <c r="BE17" i="5"/>
  <c r="BH17" i="5" s="1"/>
  <c r="BE12" i="5"/>
  <c r="BP18" i="5"/>
  <c r="BK18" i="5"/>
  <c r="BR17" i="5"/>
  <c r="BM17" i="5"/>
  <c r="BC17" i="5"/>
  <c r="BR16" i="5"/>
  <c r="BM16" i="5"/>
  <c r="BR15" i="5"/>
  <c r="BM15" i="5"/>
  <c r="BC15" i="5"/>
  <c r="BR14" i="5"/>
  <c r="BM14" i="5"/>
  <c r="BR13" i="5"/>
  <c r="BM13" i="5"/>
  <c r="BR12" i="5"/>
  <c r="BM12" i="5"/>
  <c r="T47" i="3"/>
  <c r="R48" i="3"/>
  <c r="T48" i="3" s="1"/>
  <c r="R47" i="3"/>
  <c r="R46" i="3"/>
  <c r="T46" i="3" s="1"/>
  <c r="R45" i="3"/>
  <c r="T45" i="3" s="1"/>
  <c r="R44" i="3"/>
  <c r="T44" i="3" s="1"/>
  <c r="R43" i="3"/>
  <c r="T43" i="3" s="1"/>
  <c r="R42" i="3"/>
  <c r="T42" i="3" s="1"/>
  <c r="R41" i="3"/>
  <c r="T41" i="3" s="1"/>
  <c r="R40" i="3"/>
  <c r="T40" i="3" s="1"/>
  <c r="K48" i="3"/>
  <c r="M48" i="3" s="1"/>
  <c r="K47" i="3"/>
  <c r="M47" i="3" s="1"/>
  <c r="K46" i="3"/>
  <c r="M46" i="3" s="1"/>
  <c r="K45" i="3"/>
  <c r="M45" i="3" s="1"/>
  <c r="K44" i="3"/>
  <c r="M44" i="3" s="1"/>
  <c r="K43" i="3"/>
  <c r="M43" i="3" s="1"/>
  <c r="K42" i="3"/>
  <c r="M42" i="3" s="1"/>
  <c r="K41" i="3"/>
  <c r="M41" i="3" s="1"/>
  <c r="K40" i="3"/>
  <c r="M40" i="3" s="1"/>
  <c r="D40" i="3"/>
  <c r="F40" i="3" s="1"/>
  <c r="F45" i="3"/>
  <c r="F41" i="3"/>
  <c r="D48" i="3"/>
  <c r="F48" i="3" s="1"/>
  <c r="D47" i="3"/>
  <c r="F47" i="3" s="1"/>
  <c r="D46" i="3"/>
  <c r="F46" i="3" s="1"/>
  <c r="D45" i="3"/>
  <c r="D44" i="3"/>
  <c r="F44" i="3" s="1"/>
  <c r="D43" i="3"/>
  <c r="F43" i="3" s="1"/>
  <c r="D42" i="3"/>
  <c r="F42" i="3" s="1"/>
  <c r="D41" i="3"/>
  <c r="C10" i="1"/>
  <c r="B10" i="1" s="1"/>
  <c r="I10" i="1"/>
  <c r="H10" i="1" s="1"/>
  <c r="E14" i="27"/>
  <c r="E15" i="27" s="1"/>
  <c r="DC6" i="26"/>
  <c r="E14" i="26"/>
  <c r="E14" i="25"/>
  <c r="E14" i="24"/>
  <c r="E14" i="23"/>
  <c r="E14" i="22"/>
  <c r="E14" i="21"/>
  <c r="E15" i="20"/>
  <c r="E14" i="20"/>
  <c r="D8" i="1"/>
  <c r="DD9" i="27"/>
  <c r="DB9" i="27"/>
  <c r="DC9" i="27" s="1"/>
  <c r="CW9" i="27"/>
  <c r="CP9" i="27"/>
  <c r="DD8" i="27"/>
  <c r="DE8" i="27" s="1"/>
  <c r="DC8" i="27"/>
  <c r="CW8" i="27"/>
  <c r="CU8" i="27"/>
  <c r="CX8" i="27" s="1"/>
  <c r="CP8" i="27"/>
  <c r="CN8" i="27"/>
  <c r="CQ8" i="27" s="1"/>
  <c r="DE7" i="27"/>
  <c r="DD7" i="27"/>
  <c r="DC7" i="27"/>
  <c r="CW7" i="27"/>
  <c r="CU7" i="27"/>
  <c r="CP7" i="27"/>
  <c r="CN7" i="27"/>
  <c r="CQ7" i="27" s="1"/>
  <c r="DD6" i="27"/>
  <c r="DE6" i="27" s="1"/>
  <c r="DC6" i="27"/>
  <c r="CW6" i="27"/>
  <c r="CU6" i="27"/>
  <c r="CP6" i="27"/>
  <c r="CQ6" i="27" s="1"/>
  <c r="CN6" i="27"/>
  <c r="DD5" i="27"/>
  <c r="DE5" i="27" s="1"/>
  <c r="DC5" i="27"/>
  <c r="CW5" i="27"/>
  <c r="CU5" i="27"/>
  <c r="CQ5" i="27"/>
  <c r="CP5" i="27"/>
  <c r="CN5" i="27"/>
  <c r="DD4" i="27"/>
  <c r="DE4" i="27" s="1"/>
  <c r="DC4" i="27"/>
  <c r="CW4" i="27"/>
  <c r="CU4" i="27"/>
  <c r="CX4" i="27" s="1"/>
  <c r="CP4" i="27"/>
  <c r="CN4" i="27"/>
  <c r="DD3" i="27"/>
  <c r="DE3" i="27" s="1"/>
  <c r="DC3" i="27"/>
  <c r="CW3" i="27"/>
  <c r="CU3" i="27"/>
  <c r="CP3" i="27"/>
  <c r="CO3" i="27"/>
  <c r="CN3" i="27"/>
  <c r="CO4" i="27" s="1"/>
  <c r="DD9" i="26"/>
  <c r="DB9" i="26"/>
  <c r="DC9" i="26" s="1"/>
  <c r="CW9" i="26"/>
  <c r="CP9" i="26"/>
  <c r="DD8" i="26"/>
  <c r="DE8" i="26" s="1"/>
  <c r="DC8" i="26"/>
  <c r="CW8" i="26"/>
  <c r="CX8" i="26" s="1"/>
  <c r="CU8" i="26"/>
  <c r="CP8" i="26"/>
  <c r="CN8" i="26"/>
  <c r="DD7" i="26"/>
  <c r="DE7" i="26" s="1"/>
  <c r="DC7" i="26"/>
  <c r="CW7" i="26"/>
  <c r="CX7" i="26" s="1"/>
  <c r="CU7" i="26"/>
  <c r="CP7" i="26"/>
  <c r="CN7" i="26"/>
  <c r="DE6" i="26"/>
  <c r="DD6" i="26"/>
  <c r="CW6" i="26"/>
  <c r="CU6" i="26"/>
  <c r="CP6" i="26"/>
  <c r="CN6" i="26"/>
  <c r="DD5" i="26"/>
  <c r="DE5" i="26" s="1"/>
  <c r="DC5" i="26"/>
  <c r="CW5" i="26"/>
  <c r="CU5" i="26"/>
  <c r="CP5" i="26"/>
  <c r="CN5" i="26"/>
  <c r="CQ5" i="26" s="1"/>
  <c r="DE4" i="26"/>
  <c r="DD4" i="26"/>
  <c r="DC4" i="26"/>
  <c r="CW4" i="26"/>
  <c r="CU4" i="26"/>
  <c r="CV8" i="26" s="1"/>
  <c r="CP4" i="26"/>
  <c r="CQ4" i="26" s="1"/>
  <c r="CN4" i="26"/>
  <c r="DD3" i="26"/>
  <c r="DE3" i="26" s="1"/>
  <c r="DC3" i="26"/>
  <c r="CW3" i="26"/>
  <c r="CV3" i="26"/>
  <c r="CU3" i="26"/>
  <c r="CP3" i="26"/>
  <c r="CN3" i="26"/>
  <c r="DD9" i="25"/>
  <c r="DC9" i="25"/>
  <c r="DB9" i="25"/>
  <c r="CW9" i="25"/>
  <c r="CP9" i="25"/>
  <c r="DE8" i="25"/>
  <c r="DD8" i="25"/>
  <c r="DC8" i="25"/>
  <c r="CW8" i="25"/>
  <c r="CU8" i="25"/>
  <c r="CP8" i="25"/>
  <c r="CN8" i="25"/>
  <c r="CQ8" i="25" s="1"/>
  <c r="DE7" i="25"/>
  <c r="DD7" i="25"/>
  <c r="DC7" i="25"/>
  <c r="CX7" i="25"/>
  <c r="CW7" i="25"/>
  <c r="CU7" i="25"/>
  <c r="CP7" i="25"/>
  <c r="CN7" i="25"/>
  <c r="DE6" i="25"/>
  <c r="DD6" i="25"/>
  <c r="DC6" i="25"/>
  <c r="CW6" i="25"/>
  <c r="CU6" i="25"/>
  <c r="CP6" i="25"/>
  <c r="CN6" i="25"/>
  <c r="DD5" i="25"/>
  <c r="DE5" i="25" s="1"/>
  <c r="DC5" i="25"/>
  <c r="CW5" i="25"/>
  <c r="CU5" i="25"/>
  <c r="CX5" i="25" s="1"/>
  <c r="CP5" i="25"/>
  <c r="CN5" i="25"/>
  <c r="DD4" i="25"/>
  <c r="DE4" i="25" s="1"/>
  <c r="DC4" i="25"/>
  <c r="CW4" i="25"/>
  <c r="CU4" i="25"/>
  <c r="CP4" i="25"/>
  <c r="CN4" i="25"/>
  <c r="CQ4" i="25" s="1"/>
  <c r="DE3" i="25"/>
  <c r="DD3" i="25"/>
  <c r="DC3" i="25"/>
  <c r="CX3" i="25"/>
  <c r="CW3" i="25"/>
  <c r="CV3" i="25"/>
  <c r="CU3" i="25"/>
  <c r="CQ3" i="25"/>
  <c r="CP3" i="25"/>
  <c r="CN3" i="25"/>
  <c r="DD9" i="24"/>
  <c r="DB9" i="24"/>
  <c r="DC9" i="24" s="1"/>
  <c r="CW9" i="24"/>
  <c r="CP9" i="24"/>
  <c r="DD8" i="24"/>
  <c r="DE8" i="24" s="1"/>
  <c r="DC8" i="24"/>
  <c r="CW8" i="24"/>
  <c r="CU8" i="24"/>
  <c r="CP8" i="24"/>
  <c r="CN8" i="24"/>
  <c r="CQ8" i="24" s="1"/>
  <c r="DE7" i="24"/>
  <c r="DD7" i="24"/>
  <c r="DC7" i="24"/>
  <c r="CX7" i="24"/>
  <c r="CW7" i="24"/>
  <c r="CU7" i="24"/>
  <c r="CP7" i="24"/>
  <c r="CQ7" i="24" s="1"/>
  <c r="CN7" i="24"/>
  <c r="DD6" i="24"/>
  <c r="DE6" i="24" s="1"/>
  <c r="DC6" i="24"/>
  <c r="CW6" i="24"/>
  <c r="CX6" i="24" s="1"/>
  <c r="CU6" i="24"/>
  <c r="CP6" i="24"/>
  <c r="CN6" i="24"/>
  <c r="DE5" i="24"/>
  <c r="DD5" i="24"/>
  <c r="DC5" i="24"/>
  <c r="CW5" i="24"/>
  <c r="CU5" i="24"/>
  <c r="CX5" i="24" s="1"/>
  <c r="CP5" i="24"/>
  <c r="CQ5" i="24" s="1"/>
  <c r="CN5" i="24"/>
  <c r="DD4" i="24"/>
  <c r="DE4" i="24" s="1"/>
  <c r="DC4" i="24"/>
  <c r="CW4" i="24"/>
  <c r="CU4" i="24"/>
  <c r="CP4" i="24"/>
  <c r="CN4" i="24"/>
  <c r="CO5" i="24" s="1"/>
  <c r="DD3" i="24"/>
  <c r="DE3" i="24" s="1"/>
  <c r="DC3" i="24"/>
  <c r="CW3" i="24"/>
  <c r="CV3" i="24"/>
  <c r="CU3" i="24"/>
  <c r="CP3" i="24"/>
  <c r="CN3" i="24"/>
  <c r="DD9" i="23"/>
  <c r="DB9" i="23"/>
  <c r="DC9" i="23" s="1"/>
  <c r="CW9" i="23"/>
  <c r="CP9" i="23"/>
  <c r="DE8" i="23"/>
  <c r="DD8" i="23"/>
  <c r="DC8" i="23"/>
  <c r="CW8" i="23"/>
  <c r="CU8" i="23"/>
  <c r="CP8" i="23"/>
  <c r="CN8" i="23"/>
  <c r="CQ8" i="23" s="1"/>
  <c r="DE7" i="23"/>
  <c r="DD7" i="23"/>
  <c r="DC7" i="23"/>
  <c r="CW7" i="23"/>
  <c r="CX7" i="23" s="1"/>
  <c r="CU7" i="23"/>
  <c r="CP7" i="23"/>
  <c r="CN7" i="23"/>
  <c r="CQ7" i="23" s="1"/>
  <c r="DD6" i="23"/>
  <c r="DE6" i="23" s="1"/>
  <c r="DC6" i="23"/>
  <c r="CW6" i="23"/>
  <c r="CU6" i="23"/>
  <c r="CX6" i="23" s="1"/>
  <c r="CP6" i="23"/>
  <c r="CN6" i="23"/>
  <c r="DD5" i="23"/>
  <c r="DE5" i="23" s="1"/>
  <c r="DC5" i="23"/>
  <c r="CW5" i="23"/>
  <c r="CU5" i="23"/>
  <c r="CP5" i="23"/>
  <c r="CN5" i="23"/>
  <c r="DE4" i="23"/>
  <c r="DD4" i="23"/>
  <c r="DC4" i="23"/>
  <c r="CX4" i="23"/>
  <c r="CW4" i="23"/>
  <c r="CU4" i="23"/>
  <c r="CP4" i="23"/>
  <c r="CN4" i="23"/>
  <c r="DD3" i="23"/>
  <c r="DE3" i="23" s="1"/>
  <c r="DC3" i="23"/>
  <c r="CW3" i="23"/>
  <c r="CX3" i="23" s="1"/>
  <c r="CV3" i="23"/>
  <c r="CU3" i="23"/>
  <c r="CV4" i="23" s="1"/>
  <c r="CP3" i="23"/>
  <c r="CO3" i="23"/>
  <c r="CN3" i="23"/>
  <c r="CO4" i="23" s="1"/>
  <c r="DD9" i="22"/>
  <c r="DB9" i="22"/>
  <c r="DC9" i="22" s="1"/>
  <c r="CW9" i="22"/>
  <c r="CP9" i="22"/>
  <c r="DE8" i="22"/>
  <c r="DD8" i="22"/>
  <c r="DC8" i="22"/>
  <c r="CW8" i="22"/>
  <c r="CU8" i="22"/>
  <c r="CP8" i="22"/>
  <c r="CN8" i="22"/>
  <c r="CQ8" i="22" s="1"/>
  <c r="DD7" i="22"/>
  <c r="DE7" i="22" s="1"/>
  <c r="DC7" i="22"/>
  <c r="CW7" i="22"/>
  <c r="CU7" i="22"/>
  <c r="CP7" i="22"/>
  <c r="CN7" i="22"/>
  <c r="CQ7" i="22" s="1"/>
  <c r="DD6" i="22"/>
  <c r="DE6" i="22" s="1"/>
  <c r="DC6" i="22"/>
  <c r="CW6" i="22"/>
  <c r="CU6" i="22"/>
  <c r="CP6" i="22"/>
  <c r="CN6" i="22"/>
  <c r="DE5" i="22"/>
  <c r="DD5" i="22"/>
  <c r="DC5" i="22"/>
  <c r="CW5" i="22"/>
  <c r="CU5" i="22"/>
  <c r="CP5" i="22"/>
  <c r="CN5" i="22"/>
  <c r="CQ5" i="22" s="1"/>
  <c r="DE4" i="22"/>
  <c r="DD4" i="22"/>
  <c r="DC4" i="22"/>
  <c r="CW4" i="22"/>
  <c r="CU4" i="22"/>
  <c r="CP4" i="22"/>
  <c r="CN4" i="22"/>
  <c r="DD3" i="22"/>
  <c r="DE3" i="22" s="1"/>
  <c r="DC3" i="22"/>
  <c r="CW3" i="22"/>
  <c r="CU3" i="22"/>
  <c r="CV7" i="22" s="1"/>
  <c r="CP3" i="22"/>
  <c r="CN3" i="22"/>
  <c r="CO4" i="22" s="1"/>
  <c r="DD9" i="21"/>
  <c r="DC9" i="21"/>
  <c r="DB9" i="21"/>
  <c r="CW9" i="21"/>
  <c r="CP9" i="21"/>
  <c r="DD8" i="21"/>
  <c r="DE8" i="21" s="1"/>
  <c r="DC8" i="21"/>
  <c r="CW8" i="21"/>
  <c r="CU8" i="21"/>
  <c r="CX8" i="21" s="1"/>
  <c r="CP8" i="21"/>
  <c r="CN8" i="21"/>
  <c r="DD7" i="21"/>
  <c r="DE7" i="21" s="1"/>
  <c r="DC7" i="21"/>
  <c r="CX7" i="21"/>
  <c r="CW7" i="21"/>
  <c r="CU7" i="21"/>
  <c r="CP7" i="21"/>
  <c r="CQ7" i="21" s="1"/>
  <c r="CN7" i="21"/>
  <c r="DD6" i="21"/>
  <c r="DE6" i="21" s="1"/>
  <c r="DC6" i="21"/>
  <c r="CW6" i="21"/>
  <c r="CU6" i="21"/>
  <c r="CP6" i="21"/>
  <c r="CQ6" i="21" s="1"/>
  <c r="CN6" i="21"/>
  <c r="DD5" i="21"/>
  <c r="DE5" i="21" s="1"/>
  <c r="DC5" i="21"/>
  <c r="CW5" i="21"/>
  <c r="CU5" i="21"/>
  <c r="CP5" i="21"/>
  <c r="CO5" i="21"/>
  <c r="CN5" i="21"/>
  <c r="CQ5" i="21" s="1"/>
  <c r="DD4" i="21"/>
  <c r="DE4" i="21" s="1"/>
  <c r="DC4" i="21"/>
  <c r="CW4" i="21"/>
  <c r="CU4" i="21"/>
  <c r="CP4" i="21"/>
  <c r="CN4" i="21"/>
  <c r="DD3" i="21"/>
  <c r="DE3" i="21" s="1"/>
  <c r="DC3" i="21"/>
  <c r="CW3" i="21"/>
  <c r="CU3" i="21"/>
  <c r="CQ3" i="21"/>
  <c r="CP3" i="21"/>
  <c r="CN3" i="21"/>
  <c r="DD9" i="20"/>
  <c r="DB9" i="20"/>
  <c r="DC9" i="20" s="1"/>
  <c r="CW9" i="20"/>
  <c r="CP9" i="20"/>
  <c r="DE8" i="20"/>
  <c r="DD8" i="20"/>
  <c r="DC8" i="20"/>
  <c r="CW8" i="20"/>
  <c r="CU8" i="20"/>
  <c r="CX8" i="20" s="1"/>
  <c r="CP8" i="20"/>
  <c r="CN8" i="20"/>
  <c r="CQ8" i="20" s="1"/>
  <c r="DD7" i="20"/>
  <c r="DE7" i="20" s="1"/>
  <c r="DC7" i="20"/>
  <c r="CW7" i="20"/>
  <c r="CU7" i="20"/>
  <c r="CP7" i="20"/>
  <c r="CN7" i="20"/>
  <c r="CQ7" i="20" s="1"/>
  <c r="DE6" i="20"/>
  <c r="DD6" i="20"/>
  <c r="DC6" i="20"/>
  <c r="CW6" i="20"/>
  <c r="CU6" i="20"/>
  <c r="CP6" i="20"/>
  <c r="CQ6" i="20" s="1"/>
  <c r="CN6" i="20"/>
  <c r="DE5" i="20"/>
  <c r="DD5" i="20"/>
  <c r="DC5" i="20"/>
  <c r="CW5" i="20"/>
  <c r="CU5" i="20"/>
  <c r="CX5" i="20" s="1"/>
  <c r="CQ5" i="20"/>
  <c r="CP5" i="20"/>
  <c r="CN5" i="20"/>
  <c r="DD4" i="20"/>
  <c r="DE4" i="20" s="1"/>
  <c r="DC4" i="20"/>
  <c r="CW4" i="20"/>
  <c r="CU4" i="20"/>
  <c r="CP4" i="20"/>
  <c r="CN4" i="20"/>
  <c r="DE3" i="20"/>
  <c r="DD3" i="20"/>
  <c r="DC3" i="20"/>
  <c r="CW3" i="20"/>
  <c r="CX3" i="20" s="1"/>
  <c r="CV3" i="20"/>
  <c r="CU3" i="20"/>
  <c r="CV4" i="20" s="1"/>
  <c r="CQ3" i="20"/>
  <c r="CP3" i="20"/>
  <c r="CO3" i="20"/>
  <c r="CN3" i="20"/>
  <c r="DD9" i="19"/>
  <c r="DB9" i="19"/>
  <c r="DC9" i="19" s="1"/>
  <c r="CW9" i="19"/>
  <c r="CP9" i="19"/>
  <c r="DE8" i="19"/>
  <c r="DD8" i="19"/>
  <c r="DC8" i="19"/>
  <c r="CW8" i="19"/>
  <c r="CU8" i="19"/>
  <c r="CX8" i="19" s="1"/>
  <c r="CP8" i="19"/>
  <c r="CN8" i="19"/>
  <c r="DD7" i="19"/>
  <c r="DE7" i="19" s="1"/>
  <c r="DC7" i="19"/>
  <c r="CW7" i="19"/>
  <c r="CX7" i="19" s="1"/>
  <c r="CU7" i="19"/>
  <c r="CP7" i="19"/>
  <c r="CQ7" i="19" s="1"/>
  <c r="CN7" i="19"/>
  <c r="DD6" i="19"/>
  <c r="DE6" i="19" s="1"/>
  <c r="DC6" i="19"/>
  <c r="CW6" i="19"/>
  <c r="CU6" i="19"/>
  <c r="CP6" i="19"/>
  <c r="CN6" i="19"/>
  <c r="CQ6" i="19" s="1"/>
  <c r="DD5" i="19"/>
  <c r="DE5" i="19" s="1"/>
  <c r="DC5" i="19"/>
  <c r="CW5" i="19"/>
  <c r="CU5" i="19"/>
  <c r="CQ5" i="19"/>
  <c r="CP5" i="19"/>
  <c r="CN5" i="19"/>
  <c r="DD4" i="19"/>
  <c r="DE4" i="19" s="1"/>
  <c r="DC4" i="19"/>
  <c r="CW4" i="19"/>
  <c r="CU4" i="19"/>
  <c r="CP4" i="19"/>
  <c r="CN4" i="19"/>
  <c r="DD3" i="19"/>
  <c r="DE3" i="19" s="1"/>
  <c r="DC3" i="19"/>
  <c r="CW3" i="19"/>
  <c r="CU3" i="19"/>
  <c r="CP3" i="19"/>
  <c r="CQ3" i="19" s="1"/>
  <c r="CO3" i="19"/>
  <c r="CN3" i="19"/>
  <c r="CO4" i="19" s="1"/>
  <c r="CU4" i="6"/>
  <c r="CU5" i="6"/>
  <c r="CU6" i="6"/>
  <c r="CU7" i="6"/>
  <c r="CU8" i="6"/>
  <c r="CU3" i="6"/>
  <c r="CU4" i="18"/>
  <c r="CU5" i="18"/>
  <c r="CU6" i="18"/>
  <c r="CU7" i="18"/>
  <c r="CU8" i="18"/>
  <c r="CU3" i="18"/>
  <c r="E15" i="19"/>
  <c r="E14" i="19"/>
  <c r="CW3" i="18"/>
  <c r="CN4" i="18"/>
  <c r="CN5" i="18"/>
  <c r="CN6" i="18"/>
  <c r="CN7" i="18"/>
  <c r="CQ7" i="18" s="1"/>
  <c r="CN8" i="18"/>
  <c r="CQ8" i="18"/>
  <c r="CN3" i="18"/>
  <c r="DD9" i="18"/>
  <c r="DB9" i="18"/>
  <c r="CW9" i="18"/>
  <c r="CP9" i="18"/>
  <c r="DE8" i="18"/>
  <c r="DD8" i="18"/>
  <c r="DC8" i="18"/>
  <c r="CW8" i="18"/>
  <c r="CP8" i="18"/>
  <c r="DD7" i="18"/>
  <c r="DE7" i="18" s="1"/>
  <c r="DC7" i="18"/>
  <c r="CX7" i="18"/>
  <c r="CW7" i="18"/>
  <c r="CP7" i="18"/>
  <c r="DE6" i="18"/>
  <c r="DD6" i="18"/>
  <c r="DC6" i="18"/>
  <c r="CW6" i="18"/>
  <c r="CP6" i="18"/>
  <c r="DE5" i="18"/>
  <c r="DD5" i="18"/>
  <c r="DC5" i="18"/>
  <c r="CX5" i="18"/>
  <c r="CW5" i="18"/>
  <c r="CP5" i="18"/>
  <c r="DD4" i="18"/>
  <c r="DE4" i="18" s="1"/>
  <c r="DC4" i="18"/>
  <c r="CW4" i="18"/>
  <c r="CP4" i="18"/>
  <c r="CQ4" i="18" s="1"/>
  <c r="DD3" i="18"/>
  <c r="DE3" i="18" s="1"/>
  <c r="DC3" i="18"/>
  <c r="CP3" i="18"/>
  <c r="E14" i="18"/>
  <c r="E15" i="6"/>
  <c r="E14" i="6"/>
  <c r="DC4" i="6"/>
  <c r="DC5" i="6"/>
  <c r="DC6" i="6"/>
  <c r="DC7" i="6"/>
  <c r="DC8" i="6"/>
  <c r="DC3" i="6"/>
  <c r="CO4" i="6"/>
  <c r="CO5" i="6"/>
  <c r="CO6" i="6"/>
  <c r="CO7" i="6"/>
  <c r="CO8" i="6"/>
  <c r="CO3" i="6"/>
  <c r="CP4" i="6"/>
  <c r="CQ4" i="6" s="1"/>
  <c r="CP5" i="6"/>
  <c r="CQ5" i="6" s="1"/>
  <c r="CP6" i="6"/>
  <c r="CP7" i="6"/>
  <c r="CQ7" i="6" s="1"/>
  <c r="CP8" i="6"/>
  <c r="CQ8" i="6" s="1"/>
  <c r="CP9" i="6"/>
  <c r="CP3" i="6"/>
  <c r="CW4" i="6"/>
  <c r="CW5" i="6"/>
  <c r="CW6" i="6"/>
  <c r="CW7" i="6"/>
  <c r="CW8" i="6"/>
  <c r="CX8" i="6" s="1"/>
  <c r="CW9" i="6"/>
  <c r="CW3" i="6"/>
  <c r="DD4" i="6"/>
  <c r="DD5" i="6"/>
  <c r="DE5" i="6" s="1"/>
  <c r="DD6" i="6"/>
  <c r="DE6" i="6" s="1"/>
  <c r="DD7" i="6"/>
  <c r="DE7" i="6" s="1"/>
  <c r="DD8" i="6"/>
  <c r="DE8" i="6" s="1"/>
  <c r="DD9" i="6"/>
  <c r="DD3" i="6"/>
  <c r="DE3" i="6" s="1"/>
  <c r="DB9" i="6"/>
  <c r="DC9" i="6" s="1"/>
  <c r="DE4" i="6"/>
  <c r="CX7" i="6"/>
  <c r="CX6" i="6"/>
  <c r="CN9" i="6"/>
  <c r="CO9" i="6" s="1"/>
  <c r="CQ6" i="6"/>
  <c r="C31" i="2"/>
  <c r="C44" i="2" s="1"/>
  <c r="D44" i="2" s="1"/>
  <c r="C32" i="2"/>
  <c r="C45" i="2" s="1"/>
  <c r="D45" i="2" s="1"/>
  <c r="C33" i="2"/>
  <c r="C46" i="2" s="1"/>
  <c r="D46" i="2" s="1"/>
  <c r="D20" i="2"/>
  <c r="D19" i="2"/>
  <c r="D18" i="2"/>
  <c r="E48" i="2"/>
  <c r="K4" i="6"/>
  <c r="D93" i="2"/>
  <c r="AQ6" i="27"/>
  <c r="AR8" i="27" s="1"/>
  <c r="AQ6" i="26"/>
  <c r="AQ10" i="26" s="1"/>
  <c r="AJ9" i="25"/>
  <c r="AK9" i="25" s="1"/>
  <c r="AQ6" i="25"/>
  <c r="AR8" i="25" s="1"/>
  <c r="AQ6" i="24"/>
  <c r="AR6" i="24" s="1"/>
  <c r="AQ6" i="23"/>
  <c r="AR6" i="23" s="1"/>
  <c r="AQ6" i="22"/>
  <c r="AR6" i="22" s="1"/>
  <c r="AJ9" i="21"/>
  <c r="AK9" i="21" s="1"/>
  <c r="AQ6" i="21"/>
  <c r="AQ10" i="21" s="1"/>
  <c r="AQ6" i="20"/>
  <c r="AR7" i="20" s="1"/>
  <c r="AQ6" i="19"/>
  <c r="AQ6" i="18"/>
  <c r="AQ6" i="6"/>
  <c r="E13" i="27"/>
  <c r="E13" i="26"/>
  <c r="E13" i="25"/>
  <c r="E13" i="24"/>
  <c r="E13" i="23"/>
  <c r="E13" i="22"/>
  <c r="E13" i="21"/>
  <c r="E13" i="20"/>
  <c r="E13" i="19"/>
  <c r="E13" i="18"/>
  <c r="E13" i="6"/>
  <c r="AV18" i="5"/>
  <c r="AQ18" i="5"/>
  <c r="AL18" i="5"/>
  <c r="AG18" i="5"/>
  <c r="AB18" i="5"/>
  <c r="W18" i="5"/>
  <c r="R18" i="5"/>
  <c r="M18" i="5"/>
  <c r="H18" i="5"/>
  <c r="C18" i="5"/>
  <c r="AX17" i="5"/>
  <c r="AS17" i="5"/>
  <c r="AN17" i="5"/>
  <c r="AI17" i="5"/>
  <c r="AD17" i="5"/>
  <c r="Y17" i="5"/>
  <c r="X17" i="5"/>
  <c r="T17" i="5"/>
  <c r="S17" i="5"/>
  <c r="O17" i="5"/>
  <c r="N17" i="5"/>
  <c r="J17" i="5"/>
  <c r="I17" i="5"/>
  <c r="E17" i="5"/>
  <c r="D17" i="5"/>
  <c r="AX16" i="5"/>
  <c r="AS16" i="5"/>
  <c r="AN16" i="5"/>
  <c r="AI16" i="5"/>
  <c r="AD16" i="5"/>
  <c r="Y16" i="5"/>
  <c r="X16" i="5"/>
  <c r="T16" i="5"/>
  <c r="S16" i="5"/>
  <c r="O16" i="5"/>
  <c r="N16" i="5"/>
  <c r="J16" i="5"/>
  <c r="I16" i="5"/>
  <c r="E16" i="5"/>
  <c r="D16" i="5"/>
  <c r="AX15" i="5"/>
  <c r="AS15" i="5"/>
  <c r="AN15" i="5"/>
  <c r="AI15" i="5"/>
  <c r="AD15" i="5"/>
  <c r="Y15" i="5"/>
  <c r="X15" i="5"/>
  <c r="T15" i="5"/>
  <c r="S15" i="5"/>
  <c r="O15" i="5"/>
  <c r="N15" i="5"/>
  <c r="J15" i="5"/>
  <c r="I15" i="5"/>
  <c r="E15" i="5"/>
  <c r="D15" i="5"/>
  <c r="AX14" i="5"/>
  <c r="AS14" i="5"/>
  <c r="AS18" i="5" s="1"/>
  <c r="AN14" i="5"/>
  <c r="AI14" i="5"/>
  <c r="AD14" i="5"/>
  <c r="Y14" i="5"/>
  <c r="X14" i="5"/>
  <c r="T14" i="5"/>
  <c r="S14" i="5"/>
  <c r="O14" i="5"/>
  <c r="N14" i="5"/>
  <c r="J14" i="5"/>
  <c r="I14" i="5"/>
  <c r="E14" i="5"/>
  <c r="D14" i="5"/>
  <c r="AX13" i="5"/>
  <c r="AS13" i="5"/>
  <c r="AN13" i="5"/>
  <c r="AI13" i="5"/>
  <c r="AD13" i="5"/>
  <c r="Y13" i="5"/>
  <c r="X13" i="5"/>
  <c r="T13" i="5"/>
  <c r="S13" i="5"/>
  <c r="O13" i="5"/>
  <c r="N13" i="5"/>
  <c r="J13" i="5"/>
  <c r="I13" i="5"/>
  <c r="E13" i="5"/>
  <c r="D13" i="5"/>
  <c r="AX12" i="5"/>
  <c r="AN12" i="5"/>
  <c r="AI12" i="5"/>
  <c r="AI18" i="5" s="1"/>
  <c r="AD12" i="5"/>
  <c r="AD18" i="5" s="1"/>
  <c r="Y12" i="5"/>
  <c r="X12" i="5"/>
  <c r="T12" i="5"/>
  <c r="T18" i="5" s="1"/>
  <c r="S12" i="5"/>
  <c r="O12" i="5"/>
  <c r="J12" i="5"/>
  <c r="I12" i="5"/>
  <c r="E12" i="5"/>
  <c r="E18" i="5" s="1"/>
  <c r="D12" i="5"/>
  <c r="AS17" i="4"/>
  <c r="AS16" i="4"/>
  <c r="AS15" i="4"/>
  <c r="AS14" i="4"/>
  <c r="AS13" i="4"/>
  <c r="AS12" i="4"/>
  <c r="AS18" i="4" s="1"/>
  <c r="AN17" i="4"/>
  <c r="AN16" i="4"/>
  <c r="AN15" i="4"/>
  <c r="AN14" i="4"/>
  <c r="AN13" i="4"/>
  <c r="AN12" i="4"/>
  <c r="AI17" i="4"/>
  <c r="AI16" i="4"/>
  <c r="AI15" i="4"/>
  <c r="AI14" i="4"/>
  <c r="AI13" i="4"/>
  <c r="AI12" i="4"/>
  <c r="AD17" i="4"/>
  <c r="AD16" i="4"/>
  <c r="AD15" i="4"/>
  <c r="AD14" i="4"/>
  <c r="AD13" i="4"/>
  <c r="AD12" i="4"/>
  <c r="AQ18" i="4"/>
  <c r="AL18" i="4"/>
  <c r="AG18" i="4"/>
  <c r="AB18" i="4"/>
  <c r="X13" i="4"/>
  <c r="K51" i="1"/>
  <c r="H51" i="1"/>
  <c r="E51" i="1"/>
  <c r="B51" i="1"/>
  <c r="K50" i="1"/>
  <c r="H50" i="1"/>
  <c r="E50" i="1"/>
  <c r="B50" i="1"/>
  <c r="K49" i="1"/>
  <c r="H49" i="1"/>
  <c r="E49" i="1"/>
  <c r="B49" i="1"/>
  <c r="K48" i="1"/>
  <c r="H48" i="1"/>
  <c r="E48" i="1"/>
  <c r="B48" i="1"/>
  <c r="K47" i="1"/>
  <c r="H47" i="1"/>
  <c r="E47" i="1"/>
  <c r="B47" i="1"/>
  <c r="K46" i="1"/>
  <c r="H46" i="1"/>
  <c r="E46" i="1"/>
  <c r="B46" i="1"/>
  <c r="K45" i="1"/>
  <c r="H45" i="1"/>
  <c r="E45" i="1"/>
  <c r="B45" i="1"/>
  <c r="K40" i="1"/>
  <c r="H40" i="1"/>
  <c r="E40" i="1"/>
  <c r="B40" i="1"/>
  <c r="K39" i="1"/>
  <c r="H39" i="1"/>
  <c r="E39" i="1"/>
  <c r="B39" i="1"/>
  <c r="K38" i="1"/>
  <c r="H38" i="1"/>
  <c r="E38" i="1"/>
  <c r="B38" i="1"/>
  <c r="K37" i="1"/>
  <c r="H37" i="1"/>
  <c r="E37" i="1"/>
  <c r="B37" i="1"/>
  <c r="K36" i="1"/>
  <c r="H36" i="1"/>
  <c r="E36" i="1"/>
  <c r="B36" i="1"/>
  <c r="K35" i="1"/>
  <c r="H35" i="1"/>
  <c r="E35" i="1"/>
  <c r="B35" i="1"/>
  <c r="K34" i="1"/>
  <c r="H34" i="1"/>
  <c r="E34" i="1"/>
  <c r="B34" i="1"/>
  <c r="CH4" i="27"/>
  <c r="CH5" i="27"/>
  <c r="CH6" i="27"/>
  <c r="CH7" i="27"/>
  <c r="CH8" i="27"/>
  <c r="CH9" i="27"/>
  <c r="CH3" i="27"/>
  <c r="CG9" i="27"/>
  <c r="CI3" i="27"/>
  <c r="CJ3" i="27" s="1"/>
  <c r="AE9" i="27"/>
  <c r="AZ9" i="27" s="1"/>
  <c r="AC9" i="27"/>
  <c r="AD9" i="27" s="1"/>
  <c r="X9" i="27"/>
  <c r="AS9" i="27" s="1"/>
  <c r="BN9" i="27" s="1"/>
  <c r="V9" i="27"/>
  <c r="Q9" i="27"/>
  <c r="AL9" i="27" s="1"/>
  <c r="O9" i="27"/>
  <c r="P9" i="27" s="1"/>
  <c r="K9" i="27"/>
  <c r="I9" i="27"/>
  <c r="H9" i="27"/>
  <c r="H10" i="27" s="1"/>
  <c r="AE8" i="27"/>
  <c r="AF8" i="27" s="1"/>
  <c r="AD8" i="27"/>
  <c r="X8" i="27"/>
  <c r="Y8" i="27" s="1"/>
  <c r="W8" i="27"/>
  <c r="Q8" i="27"/>
  <c r="P8" i="27"/>
  <c r="K8" i="27"/>
  <c r="I8" i="27"/>
  <c r="AE7" i="27"/>
  <c r="AF7" i="27" s="1"/>
  <c r="AD7" i="27"/>
  <c r="X7" i="27"/>
  <c r="Y7" i="27" s="1"/>
  <c r="W7" i="27"/>
  <c r="Q7" i="27"/>
  <c r="AL7" i="27" s="1"/>
  <c r="P7" i="27"/>
  <c r="K7" i="27"/>
  <c r="I7" i="27"/>
  <c r="AE6" i="27"/>
  <c r="AF6" i="27" s="1"/>
  <c r="AD6" i="27"/>
  <c r="X6" i="27"/>
  <c r="W6" i="27"/>
  <c r="R6" i="27"/>
  <c r="Q6" i="27"/>
  <c r="AL6" i="27" s="1"/>
  <c r="P6" i="27"/>
  <c r="K6" i="27"/>
  <c r="I6" i="27"/>
  <c r="AE5" i="27"/>
  <c r="AF5" i="27" s="1"/>
  <c r="AD5" i="27"/>
  <c r="X5" i="27"/>
  <c r="Y5" i="27" s="1"/>
  <c r="W5" i="27"/>
  <c r="Q5" i="27"/>
  <c r="R5" i="27" s="1"/>
  <c r="P5" i="27"/>
  <c r="K5" i="27"/>
  <c r="I5" i="27"/>
  <c r="AE4" i="27"/>
  <c r="AZ4" i="27" s="1"/>
  <c r="BU4" i="27" s="1"/>
  <c r="BV4" i="27" s="1"/>
  <c r="AD4" i="27"/>
  <c r="X4" i="27"/>
  <c r="Y4" i="27" s="1"/>
  <c r="W4" i="27"/>
  <c r="R4" i="27"/>
  <c r="Q4" i="27"/>
  <c r="P4" i="27"/>
  <c r="K4" i="27"/>
  <c r="I4" i="27"/>
  <c r="AE3" i="27"/>
  <c r="AD3" i="27"/>
  <c r="X3" i="27"/>
  <c r="W3" i="27"/>
  <c r="R3" i="27"/>
  <c r="Q3" i="27"/>
  <c r="P3" i="27"/>
  <c r="K3" i="27"/>
  <c r="I3" i="27"/>
  <c r="B18" i="27"/>
  <c r="BZ9" i="27"/>
  <c r="CA9" i="27" s="1"/>
  <c r="BS9" i="27"/>
  <c r="BT9" i="27" s="1"/>
  <c r="BL9" i="27"/>
  <c r="BL10" i="27" s="1"/>
  <c r="BE9" i="27"/>
  <c r="BE10" i="27" s="1"/>
  <c r="AX9" i="27"/>
  <c r="AY9" i="27" s="1"/>
  <c r="AJ9" i="27"/>
  <c r="AK9" i="27" s="1"/>
  <c r="CA8" i="27"/>
  <c r="BT8" i="27"/>
  <c r="BM8" i="27"/>
  <c r="BF8" i="27"/>
  <c r="AY8" i="27"/>
  <c r="AK8" i="27"/>
  <c r="AS8" i="27"/>
  <c r="CA7" i="27"/>
  <c r="BT7" i="27"/>
  <c r="BM7" i="27"/>
  <c r="BF7" i="27"/>
  <c r="AY7" i="27"/>
  <c r="AS7" i="27"/>
  <c r="BN7" i="27" s="1"/>
  <c r="BO7" i="27" s="1"/>
  <c r="AK7" i="27"/>
  <c r="CA6" i="27"/>
  <c r="BT6" i="27"/>
  <c r="BM6" i="27"/>
  <c r="BF6" i="27"/>
  <c r="AY6" i="27"/>
  <c r="AK6" i="27"/>
  <c r="CA5" i="27"/>
  <c r="BT5" i="27"/>
  <c r="BM5" i="27"/>
  <c r="BF5" i="27"/>
  <c r="AY5" i="27"/>
  <c r="AR5" i="27"/>
  <c r="AK5" i="27"/>
  <c r="CA4" i="27"/>
  <c r="BT4" i="27"/>
  <c r="BM4" i="27"/>
  <c r="BF4" i="27"/>
  <c r="AY4" i="27"/>
  <c r="AR4" i="27"/>
  <c r="AK4" i="27"/>
  <c r="AS4" i="27"/>
  <c r="AL4" i="27"/>
  <c r="CA3" i="27"/>
  <c r="BT3" i="27"/>
  <c r="BM3" i="27"/>
  <c r="BF3" i="27"/>
  <c r="AY3" i="27"/>
  <c r="AR3" i="27"/>
  <c r="AL3" i="27"/>
  <c r="BG3" i="27" s="1"/>
  <c r="AK3" i="27"/>
  <c r="CH4" i="26"/>
  <c r="CH5" i="26"/>
  <c r="CH6" i="26"/>
  <c r="CH7" i="26"/>
  <c r="CH8" i="26"/>
  <c r="CH3" i="26"/>
  <c r="CG9" i="26"/>
  <c r="O10" i="26"/>
  <c r="AE9" i="26"/>
  <c r="AZ9" i="26" s="1"/>
  <c r="AD9" i="26"/>
  <c r="AC9" i="26"/>
  <c r="Y9" i="26"/>
  <c r="X9" i="26"/>
  <c r="AS9" i="26" s="1"/>
  <c r="BN9" i="26" s="1"/>
  <c r="W9" i="26"/>
  <c r="V9" i="26"/>
  <c r="V10" i="26" s="1"/>
  <c r="R9" i="26"/>
  <c r="Q9" i="26"/>
  <c r="P9" i="26"/>
  <c r="O9" i="26"/>
  <c r="H9" i="26"/>
  <c r="I9" i="26" s="1"/>
  <c r="AE8" i="26"/>
  <c r="AF8" i="26" s="1"/>
  <c r="AD8" i="26"/>
  <c r="X8" i="26"/>
  <c r="W8" i="26"/>
  <c r="Q8" i="26"/>
  <c r="R8" i="26" s="1"/>
  <c r="P8" i="26"/>
  <c r="K8" i="26"/>
  <c r="I8" i="26"/>
  <c r="AF7" i="26"/>
  <c r="AE7" i="26"/>
  <c r="AD7" i="26"/>
  <c r="X7" i="26"/>
  <c r="AS7" i="26" s="1"/>
  <c r="W7" i="26"/>
  <c r="Q7" i="26"/>
  <c r="R7" i="26" s="1"/>
  <c r="P7" i="26"/>
  <c r="K7" i="26"/>
  <c r="I7" i="26"/>
  <c r="AE6" i="26"/>
  <c r="AF6" i="26" s="1"/>
  <c r="AD6" i="26"/>
  <c r="Y6" i="26"/>
  <c r="X6" i="26"/>
  <c r="AS6" i="26" s="1"/>
  <c r="W6" i="26"/>
  <c r="Q6" i="26"/>
  <c r="R6" i="26" s="1"/>
  <c r="P6" i="26"/>
  <c r="K6" i="26"/>
  <c r="I6" i="26"/>
  <c r="AE5" i="26"/>
  <c r="AF5" i="26" s="1"/>
  <c r="AD5" i="26"/>
  <c r="X5" i="26"/>
  <c r="Y5" i="26" s="1"/>
  <c r="W5" i="26"/>
  <c r="R5" i="26"/>
  <c r="Q5" i="26"/>
  <c r="P5" i="26"/>
  <c r="K5" i="26"/>
  <c r="I5" i="26"/>
  <c r="AE4" i="26"/>
  <c r="AF4" i="26" s="1"/>
  <c r="AD4" i="26"/>
  <c r="Y4" i="26"/>
  <c r="X4" i="26"/>
  <c r="W4" i="26"/>
  <c r="Q4" i="26"/>
  <c r="AL4" i="26" s="1"/>
  <c r="P4" i="26"/>
  <c r="K4" i="26"/>
  <c r="I4" i="26"/>
  <c r="AF3" i="26"/>
  <c r="AE3" i="26"/>
  <c r="AD3" i="26"/>
  <c r="X3" i="26"/>
  <c r="Y3" i="26" s="1"/>
  <c r="W3" i="26"/>
  <c r="R3" i="26"/>
  <c r="Q3" i="26"/>
  <c r="P3" i="26"/>
  <c r="K3" i="26"/>
  <c r="I3" i="26"/>
  <c r="B18" i="26"/>
  <c r="BZ9" i="26"/>
  <c r="CA9" i="26" s="1"/>
  <c r="BS9" i="26"/>
  <c r="BT9" i="26" s="1"/>
  <c r="BL9" i="26"/>
  <c r="BL10" i="26" s="1"/>
  <c r="BE9" i="26"/>
  <c r="BE10" i="26" s="1"/>
  <c r="AX9" i="26"/>
  <c r="AY9" i="26" s="1"/>
  <c r="AJ9" i="26"/>
  <c r="AK9" i="26" s="1"/>
  <c r="AL9" i="26"/>
  <c r="CA8" i="26"/>
  <c r="BT8" i="26"/>
  <c r="BM8" i="26"/>
  <c r="BF8" i="26"/>
  <c r="AY8" i="26"/>
  <c r="AK8" i="26"/>
  <c r="CA7" i="26"/>
  <c r="BT7" i="26"/>
  <c r="BM7" i="26"/>
  <c r="BF7" i="26"/>
  <c r="AZ7" i="26"/>
  <c r="BU7" i="26" s="1"/>
  <c r="BV7" i="26" s="1"/>
  <c r="AY7" i="26"/>
  <c r="AK7" i="26"/>
  <c r="CA6" i="26"/>
  <c r="BT6" i="26"/>
  <c r="BM6" i="26"/>
  <c r="BF6" i="26"/>
  <c r="AY6" i="26"/>
  <c r="AK6" i="26"/>
  <c r="CA5" i="26"/>
  <c r="BT5" i="26"/>
  <c r="BM5" i="26"/>
  <c r="BF5" i="26"/>
  <c r="AY5" i="26"/>
  <c r="AR5" i="26"/>
  <c r="AK5" i="26"/>
  <c r="CA4" i="26"/>
  <c r="BT4" i="26"/>
  <c r="BM4" i="26"/>
  <c r="BF4" i="26"/>
  <c r="AY4" i="26"/>
  <c r="AR4" i="26"/>
  <c r="AK4" i="26"/>
  <c r="AZ4" i="26"/>
  <c r="AS4" i="26"/>
  <c r="CA3" i="26"/>
  <c r="BT3" i="26"/>
  <c r="BM3" i="26"/>
  <c r="BF3" i="26"/>
  <c r="AY3" i="26"/>
  <c r="AR3" i="26"/>
  <c r="AL3" i="26"/>
  <c r="BG3" i="26" s="1"/>
  <c r="CI3" i="26" s="1"/>
  <c r="CJ3" i="26" s="1"/>
  <c r="AK3" i="26"/>
  <c r="AZ3" i="26"/>
  <c r="CH4" i="25"/>
  <c r="CH5" i="25"/>
  <c r="CH6" i="25"/>
  <c r="CH7" i="25"/>
  <c r="CH8" i="25"/>
  <c r="CH3" i="25"/>
  <c r="CG9" i="25"/>
  <c r="H10" i="25"/>
  <c r="AE9" i="25"/>
  <c r="AC9" i="25"/>
  <c r="AC10" i="25" s="1"/>
  <c r="X9" i="25"/>
  <c r="V9" i="25"/>
  <c r="V10" i="25" s="1"/>
  <c r="Q9" i="25"/>
  <c r="AL9" i="25" s="1"/>
  <c r="BG9" i="25" s="1"/>
  <c r="CI9" i="25" s="1"/>
  <c r="O9" i="25"/>
  <c r="P9" i="25" s="1"/>
  <c r="K9" i="25"/>
  <c r="I9" i="25"/>
  <c r="H9" i="25"/>
  <c r="AF8" i="25"/>
  <c r="AE8" i="25"/>
  <c r="AD8" i="25"/>
  <c r="X8" i="25"/>
  <c r="AS8" i="25" s="1"/>
  <c r="BN8" i="25" s="1"/>
  <c r="BO8" i="25" s="1"/>
  <c r="W8" i="25"/>
  <c r="Q8" i="25"/>
  <c r="R8" i="25" s="1"/>
  <c r="P8" i="25"/>
  <c r="K8" i="25"/>
  <c r="I8" i="25"/>
  <c r="AF7" i="25"/>
  <c r="AE7" i="25"/>
  <c r="AZ7" i="25" s="1"/>
  <c r="BU7" i="25" s="1"/>
  <c r="BV7" i="25" s="1"/>
  <c r="AD7" i="25"/>
  <c r="X7" i="25"/>
  <c r="Y7" i="25" s="1"/>
  <c r="W7" i="25"/>
  <c r="R7" i="25"/>
  <c r="Q7" i="25"/>
  <c r="AL7" i="25" s="1"/>
  <c r="P7" i="25"/>
  <c r="K7" i="25"/>
  <c r="I7" i="25"/>
  <c r="AE6" i="25"/>
  <c r="AF6" i="25" s="1"/>
  <c r="AD6" i="25"/>
  <c r="X6" i="25"/>
  <c r="Y6" i="25" s="1"/>
  <c r="W6" i="25"/>
  <c r="R6" i="25"/>
  <c r="Q6" i="25"/>
  <c r="P6" i="25"/>
  <c r="K6" i="25"/>
  <c r="I6" i="25"/>
  <c r="AE5" i="25"/>
  <c r="AF5" i="25" s="1"/>
  <c r="AD5" i="25"/>
  <c r="X5" i="25"/>
  <c r="Y5" i="25" s="1"/>
  <c r="W5" i="25"/>
  <c r="Q5" i="25"/>
  <c r="AL5" i="25" s="1"/>
  <c r="P5" i="25"/>
  <c r="K5" i="25"/>
  <c r="I5" i="25"/>
  <c r="AF4" i="25"/>
  <c r="AE4" i="25"/>
  <c r="AD4" i="25"/>
  <c r="Y4" i="25"/>
  <c r="X4" i="25"/>
  <c r="AS4" i="25" s="1"/>
  <c r="W4" i="25"/>
  <c r="Q4" i="25"/>
  <c r="R4" i="25" s="1"/>
  <c r="P4" i="25"/>
  <c r="K4" i="25"/>
  <c r="I4" i="25"/>
  <c r="AE3" i="25"/>
  <c r="AF3" i="25" s="1"/>
  <c r="AD3" i="25"/>
  <c r="Y3" i="25"/>
  <c r="X3" i="25"/>
  <c r="W3" i="25"/>
  <c r="Q3" i="25"/>
  <c r="R3" i="25" s="1"/>
  <c r="P3" i="25"/>
  <c r="K3" i="25"/>
  <c r="I3" i="25"/>
  <c r="AS9" i="25"/>
  <c r="BN9" i="25" s="1"/>
  <c r="AZ9" i="25"/>
  <c r="AS6" i="25"/>
  <c r="B18" i="25"/>
  <c r="BZ9" i="25"/>
  <c r="CA9" i="25" s="1"/>
  <c r="BS9" i="25"/>
  <c r="BS10" i="25" s="1"/>
  <c r="BL9" i="25"/>
  <c r="BL10" i="25" s="1"/>
  <c r="BE9" i="25"/>
  <c r="BE10" i="25" s="1"/>
  <c r="AX9" i="25"/>
  <c r="AX10" i="25" s="1"/>
  <c r="AQ10" i="25"/>
  <c r="CA8" i="25"/>
  <c r="BT8" i="25"/>
  <c r="BM8" i="25"/>
  <c r="BF8" i="25"/>
  <c r="AY8" i="25"/>
  <c r="AK8" i="25"/>
  <c r="CA7" i="25"/>
  <c r="BT7" i="25"/>
  <c r="BM7" i="25"/>
  <c r="BF7" i="25"/>
  <c r="AY7" i="25"/>
  <c r="AR7" i="25"/>
  <c r="AK7" i="25"/>
  <c r="CA6" i="25"/>
  <c r="BT6" i="25"/>
  <c r="BM6" i="25"/>
  <c r="BF6" i="25"/>
  <c r="AY6" i="25"/>
  <c r="AR6" i="25"/>
  <c r="AK6" i="25"/>
  <c r="AL6" i="25"/>
  <c r="CA5" i="25"/>
  <c r="BT5" i="25"/>
  <c r="BM5" i="25"/>
  <c r="BF5" i="25"/>
  <c r="AY5" i="25"/>
  <c r="AR5" i="25"/>
  <c r="AK5" i="25"/>
  <c r="CA4" i="25"/>
  <c r="BT4" i="25"/>
  <c r="BM4" i="25"/>
  <c r="BF4" i="25"/>
  <c r="AY4" i="25"/>
  <c r="AR4" i="25"/>
  <c r="AK4" i="25"/>
  <c r="CA3" i="25"/>
  <c r="BT3" i="25"/>
  <c r="BM3" i="25"/>
  <c r="BF3" i="25"/>
  <c r="AY3" i="25"/>
  <c r="AR3" i="25"/>
  <c r="AK3" i="25"/>
  <c r="CH4" i="24"/>
  <c r="CH5" i="24"/>
  <c r="CH6" i="24"/>
  <c r="CH7" i="24"/>
  <c r="CH8" i="24"/>
  <c r="CH3" i="24"/>
  <c r="CG9" i="24"/>
  <c r="CG10" i="24" s="1"/>
  <c r="AC10" i="24"/>
  <c r="AE9" i="24"/>
  <c r="AD9" i="24"/>
  <c r="AC9" i="24"/>
  <c r="Y9" i="24"/>
  <c r="X9" i="24"/>
  <c r="AS9" i="24" s="1"/>
  <c r="BN9" i="24" s="1"/>
  <c r="W9" i="24"/>
  <c r="V9" i="24"/>
  <c r="V10" i="24" s="1"/>
  <c r="Q9" i="24"/>
  <c r="AL9" i="24" s="1"/>
  <c r="BG9" i="24" s="1"/>
  <c r="CI9" i="24" s="1"/>
  <c r="CJ9" i="24" s="1"/>
  <c r="O9" i="24"/>
  <c r="P9" i="24" s="1"/>
  <c r="H9" i="24"/>
  <c r="I9" i="24" s="1"/>
  <c r="AE8" i="24"/>
  <c r="AF8" i="24" s="1"/>
  <c r="AD8" i="24"/>
  <c r="Y8" i="24"/>
  <c r="X8" i="24"/>
  <c r="W8" i="24"/>
  <c r="R8" i="24"/>
  <c r="Q8" i="24"/>
  <c r="AL8" i="24" s="1"/>
  <c r="P8" i="24"/>
  <c r="K8" i="24"/>
  <c r="I8" i="24"/>
  <c r="AF7" i="24"/>
  <c r="AE7" i="24"/>
  <c r="AD7" i="24"/>
  <c r="Y7" i="24"/>
  <c r="X7" i="24"/>
  <c r="AS7" i="24" s="1"/>
  <c r="BN7" i="24" s="1"/>
  <c r="BO7" i="24" s="1"/>
  <c r="W7" i="24"/>
  <c r="Q7" i="24"/>
  <c r="R7" i="24" s="1"/>
  <c r="P7" i="24"/>
  <c r="K7" i="24"/>
  <c r="I7" i="24"/>
  <c r="AE6" i="24"/>
  <c r="AF6" i="24" s="1"/>
  <c r="AD6" i="24"/>
  <c r="Y6" i="24"/>
  <c r="X6" i="24"/>
  <c r="AS6" i="24" s="1"/>
  <c r="W6" i="24"/>
  <c r="Q6" i="24"/>
  <c r="AL6" i="24" s="1"/>
  <c r="P6" i="24"/>
  <c r="K6" i="24"/>
  <c r="I6" i="24"/>
  <c r="AE5" i="24"/>
  <c r="AF5" i="24" s="1"/>
  <c r="AD5" i="24"/>
  <c r="X5" i="24"/>
  <c r="Y5" i="24" s="1"/>
  <c r="W5" i="24"/>
  <c r="R5" i="24"/>
  <c r="Q5" i="24"/>
  <c r="P5" i="24"/>
  <c r="K5" i="24"/>
  <c r="I5" i="24"/>
  <c r="AF4" i="24"/>
  <c r="AE4" i="24"/>
  <c r="AD4" i="24"/>
  <c r="Y4" i="24"/>
  <c r="X4" i="24"/>
  <c r="AS4" i="24" s="1"/>
  <c r="W4" i="24"/>
  <c r="R4" i="24"/>
  <c r="Q4" i="24"/>
  <c r="AL4" i="24" s="1"/>
  <c r="P4" i="24"/>
  <c r="K4" i="24"/>
  <c r="I4" i="24"/>
  <c r="AE3" i="24"/>
  <c r="AF3" i="24" s="1"/>
  <c r="AD3" i="24"/>
  <c r="X3" i="24"/>
  <c r="Y3" i="24" s="1"/>
  <c r="W3" i="24"/>
  <c r="R3" i="24"/>
  <c r="Q3" i="24"/>
  <c r="AL3" i="24" s="1"/>
  <c r="P3" i="24"/>
  <c r="K3" i="24"/>
  <c r="I3" i="24"/>
  <c r="B18" i="24"/>
  <c r="AQ10" i="24"/>
  <c r="BZ9" i="24"/>
  <c r="CA9" i="24" s="1"/>
  <c r="BS9" i="24"/>
  <c r="BT9" i="24" s="1"/>
  <c r="BL9" i="24"/>
  <c r="BL10" i="24" s="1"/>
  <c r="BE9" i="24"/>
  <c r="BE10" i="24" s="1"/>
  <c r="AX9" i="24"/>
  <c r="AY9" i="24" s="1"/>
  <c r="AJ9" i="24"/>
  <c r="AK9" i="24" s="1"/>
  <c r="AZ9" i="24"/>
  <c r="CA8" i="24"/>
  <c r="BT8" i="24"/>
  <c r="BM8" i="24"/>
  <c r="BF8" i="24"/>
  <c r="AY8" i="24"/>
  <c r="AK8" i="24"/>
  <c r="AS8" i="24"/>
  <c r="CA7" i="24"/>
  <c r="BT7" i="24"/>
  <c r="BM7" i="24"/>
  <c r="BF7" i="24"/>
  <c r="AZ7" i="24"/>
  <c r="BU7" i="24" s="1"/>
  <c r="BV7" i="24" s="1"/>
  <c r="AY7" i="24"/>
  <c r="AK7" i="24"/>
  <c r="CA6" i="24"/>
  <c r="BT6" i="24"/>
  <c r="BM6" i="24"/>
  <c r="BF6" i="24"/>
  <c r="AY6" i="24"/>
  <c r="AK6" i="24"/>
  <c r="CA5" i="24"/>
  <c r="BT5" i="24"/>
  <c r="BM5" i="24"/>
  <c r="BF5" i="24"/>
  <c r="AY5" i="24"/>
  <c r="AR5" i="24"/>
  <c r="AK5" i="24"/>
  <c r="AZ5" i="24"/>
  <c r="AL5" i="24"/>
  <c r="CA4" i="24"/>
  <c r="BT4" i="24"/>
  <c r="BM4" i="24"/>
  <c r="BF4" i="24"/>
  <c r="AZ4" i="24"/>
  <c r="BU4" i="24" s="1"/>
  <c r="BV4" i="24" s="1"/>
  <c r="AY4" i="24"/>
  <c r="AR4" i="24"/>
  <c r="AK4" i="24"/>
  <c r="CA3" i="24"/>
  <c r="BT3" i="24"/>
  <c r="BM3" i="24"/>
  <c r="BF3" i="24"/>
  <c r="AY3" i="24"/>
  <c r="AR3" i="24"/>
  <c r="AK3" i="24"/>
  <c r="CH4" i="23"/>
  <c r="CH5" i="23"/>
  <c r="CH6" i="23"/>
  <c r="CH7" i="23"/>
  <c r="CH8" i="23"/>
  <c r="CH3" i="23"/>
  <c r="CG9" i="23"/>
  <c r="CH9" i="23" s="1"/>
  <c r="AE9" i="23"/>
  <c r="AD9" i="23"/>
  <c r="AC9" i="23"/>
  <c r="AC10" i="23" s="1"/>
  <c r="X9" i="23"/>
  <c r="AS9" i="23" s="1"/>
  <c r="BN9" i="23" s="1"/>
  <c r="W9" i="23"/>
  <c r="V9" i="23"/>
  <c r="V10" i="23" s="1"/>
  <c r="Q9" i="23"/>
  <c r="O9" i="23"/>
  <c r="P9" i="23" s="1"/>
  <c r="H9" i="23"/>
  <c r="I9" i="23" s="1"/>
  <c r="AE8" i="23"/>
  <c r="AF8" i="23" s="1"/>
  <c r="AD8" i="23"/>
  <c r="Y8" i="23"/>
  <c r="X8" i="23"/>
  <c r="AS8" i="23" s="1"/>
  <c r="W8" i="23"/>
  <c r="Q8" i="23"/>
  <c r="AL8" i="23" s="1"/>
  <c r="P8" i="23"/>
  <c r="K8" i="23"/>
  <c r="I8" i="23"/>
  <c r="AF7" i="23"/>
  <c r="AE7" i="23"/>
  <c r="AZ7" i="23" s="1"/>
  <c r="BU7" i="23" s="1"/>
  <c r="BV7" i="23" s="1"/>
  <c r="AD7" i="23"/>
  <c r="X7" i="23"/>
  <c r="AS7" i="23" s="1"/>
  <c r="W7" i="23"/>
  <c r="R7" i="23"/>
  <c r="Q7" i="23"/>
  <c r="P7" i="23"/>
  <c r="K7" i="23"/>
  <c r="I7" i="23"/>
  <c r="AE6" i="23"/>
  <c r="AF6" i="23" s="1"/>
  <c r="AD6" i="23"/>
  <c r="Y6" i="23"/>
  <c r="X6" i="23"/>
  <c r="W6" i="23"/>
  <c r="Q6" i="23"/>
  <c r="R6" i="23" s="1"/>
  <c r="P6" i="23"/>
  <c r="K6" i="23"/>
  <c r="I6" i="23"/>
  <c r="AE5" i="23"/>
  <c r="AZ5" i="23" s="1"/>
  <c r="AD5" i="23"/>
  <c r="X5" i="23"/>
  <c r="Y5" i="23" s="1"/>
  <c r="W5" i="23"/>
  <c r="R5" i="23"/>
  <c r="Q5" i="23"/>
  <c r="P5" i="23"/>
  <c r="K5" i="23"/>
  <c r="I5" i="23"/>
  <c r="AE4" i="23"/>
  <c r="AF4" i="23" s="1"/>
  <c r="AD4" i="23"/>
  <c r="X4" i="23"/>
  <c r="AS4" i="23" s="1"/>
  <c r="W4" i="23"/>
  <c r="Q4" i="23"/>
  <c r="AL4" i="23" s="1"/>
  <c r="P4" i="23"/>
  <c r="K4" i="23"/>
  <c r="I4" i="23"/>
  <c r="AE3" i="23"/>
  <c r="AF3" i="23" s="1"/>
  <c r="AD3" i="23"/>
  <c r="X3" i="23"/>
  <c r="Y3" i="23" s="1"/>
  <c r="W3" i="23"/>
  <c r="R3" i="23"/>
  <c r="Q3" i="23"/>
  <c r="AL3" i="23" s="1"/>
  <c r="P3" i="23"/>
  <c r="K3" i="23"/>
  <c r="I3" i="23"/>
  <c r="B18" i="23"/>
  <c r="BZ9" i="23"/>
  <c r="CA9" i="23" s="1"/>
  <c r="BS9" i="23"/>
  <c r="BS10" i="23" s="1"/>
  <c r="BL9" i="23"/>
  <c r="BL10" i="23" s="1"/>
  <c r="BE9" i="23"/>
  <c r="BE10" i="23" s="1"/>
  <c r="AX9" i="23"/>
  <c r="AX10" i="23" s="1"/>
  <c r="AJ9" i="23"/>
  <c r="AK9" i="23" s="1"/>
  <c r="AZ9" i="23"/>
  <c r="AL9" i="23"/>
  <c r="CA8" i="23"/>
  <c r="BT8" i="23"/>
  <c r="BM8" i="23"/>
  <c r="BF8" i="23"/>
  <c r="AY8" i="23"/>
  <c r="AK8" i="23"/>
  <c r="CA7" i="23"/>
  <c r="BT7" i="23"/>
  <c r="BM7" i="23"/>
  <c r="BF7" i="23"/>
  <c r="AY7" i="23"/>
  <c r="AK7" i="23"/>
  <c r="AL7" i="23"/>
  <c r="CA6" i="23"/>
  <c r="BT6" i="23"/>
  <c r="BM6" i="23"/>
  <c r="BF6" i="23"/>
  <c r="AY6" i="23"/>
  <c r="AK6" i="23"/>
  <c r="AS6" i="23"/>
  <c r="CA5" i="23"/>
  <c r="BT5" i="23"/>
  <c r="BM5" i="23"/>
  <c r="BF5" i="23"/>
  <c r="AY5" i="23"/>
  <c r="AR5" i="23"/>
  <c r="AK5" i="23"/>
  <c r="AL5" i="23"/>
  <c r="CA4" i="23"/>
  <c r="BT4" i="23"/>
  <c r="BM4" i="23"/>
  <c r="BF4" i="23"/>
  <c r="AY4" i="23"/>
  <c r="AR4" i="23"/>
  <c r="AK4" i="23"/>
  <c r="CA3" i="23"/>
  <c r="BT3" i="23"/>
  <c r="BM3" i="23"/>
  <c r="BF3" i="23"/>
  <c r="AY3" i="23"/>
  <c r="AR3" i="23"/>
  <c r="AK3" i="23"/>
  <c r="AZ3" i="23"/>
  <c r="AF9" i="22"/>
  <c r="AE9" i="22"/>
  <c r="AZ9" i="22" s="1"/>
  <c r="AD9" i="22"/>
  <c r="AC9" i="22"/>
  <c r="AC10" i="22" s="1"/>
  <c r="X9" i="22"/>
  <c r="AS9" i="22" s="1"/>
  <c r="BN9" i="22" s="1"/>
  <c r="V9" i="22"/>
  <c r="V10" i="22" s="1"/>
  <c r="Q9" i="22"/>
  <c r="AL9" i="22" s="1"/>
  <c r="O9" i="22"/>
  <c r="P9" i="22" s="1"/>
  <c r="K9" i="22"/>
  <c r="I9" i="22"/>
  <c r="H9" i="22"/>
  <c r="H10" i="22" s="1"/>
  <c r="AF8" i="22"/>
  <c r="AE8" i="22"/>
  <c r="AD8" i="22"/>
  <c r="X8" i="22"/>
  <c r="AS8" i="22" s="1"/>
  <c r="AT8" i="22" s="1"/>
  <c r="W8" i="22"/>
  <c r="R8" i="22"/>
  <c r="Q8" i="22"/>
  <c r="P8" i="22"/>
  <c r="K8" i="22"/>
  <c r="I8" i="22"/>
  <c r="AF7" i="22"/>
  <c r="AE7" i="22"/>
  <c r="AD7" i="22"/>
  <c r="X7" i="22"/>
  <c r="Y7" i="22" s="1"/>
  <c r="W7" i="22"/>
  <c r="Q7" i="22"/>
  <c r="R7" i="22" s="1"/>
  <c r="P7" i="22"/>
  <c r="K7" i="22"/>
  <c r="I7" i="22"/>
  <c r="AF6" i="22"/>
  <c r="AE6" i="22"/>
  <c r="AZ6" i="22" s="1"/>
  <c r="AD6" i="22"/>
  <c r="X6" i="22"/>
  <c r="Y6" i="22" s="1"/>
  <c r="W6" i="22"/>
  <c r="Q6" i="22"/>
  <c r="R6" i="22" s="1"/>
  <c r="P6" i="22"/>
  <c r="K6" i="22"/>
  <c r="I6" i="22"/>
  <c r="AF5" i="22"/>
  <c r="AE5" i="22"/>
  <c r="AD5" i="22"/>
  <c r="Y5" i="22"/>
  <c r="X5" i="22"/>
  <c r="W5" i="22"/>
  <c r="Q5" i="22"/>
  <c r="AL5" i="22" s="1"/>
  <c r="AM5" i="22" s="1"/>
  <c r="P5" i="22"/>
  <c r="K5" i="22"/>
  <c r="I5" i="22"/>
  <c r="AE4" i="22"/>
  <c r="AF4" i="22" s="1"/>
  <c r="AD4" i="22"/>
  <c r="Y4" i="22"/>
  <c r="X4" i="22"/>
  <c r="W4" i="22"/>
  <c r="Q4" i="22"/>
  <c r="R4" i="22" s="1"/>
  <c r="P4" i="22"/>
  <c r="K4" i="22"/>
  <c r="I4" i="22"/>
  <c r="AE3" i="22"/>
  <c r="AF3" i="22" s="1"/>
  <c r="AD3" i="22"/>
  <c r="X3" i="22"/>
  <c r="AS3" i="22" s="1"/>
  <c r="W3" i="22"/>
  <c r="Q3" i="22"/>
  <c r="R3" i="22" s="1"/>
  <c r="P3" i="22"/>
  <c r="K3" i="22"/>
  <c r="K10" i="22" s="1"/>
  <c r="I3" i="22"/>
  <c r="AS6" i="22"/>
  <c r="B18" i="22"/>
  <c r="AX10" i="22"/>
  <c r="CH9" i="22"/>
  <c r="CG9" i="22"/>
  <c r="CG10" i="22" s="1"/>
  <c r="BZ9" i="22"/>
  <c r="CA9" i="22" s="1"/>
  <c r="BT9" i="22"/>
  <c r="BS9" i="22"/>
  <c r="BS10" i="22" s="1"/>
  <c r="BL9" i="22"/>
  <c r="BM9" i="22" s="1"/>
  <c r="BE9" i="22"/>
  <c r="BE10" i="22" s="1"/>
  <c r="AY9" i="22"/>
  <c r="AX9" i="22"/>
  <c r="AJ9" i="22"/>
  <c r="AK9" i="22" s="1"/>
  <c r="CH8" i="22"/>
  <c r="CA8" i="22"/>
  <c r="BT8" i="22"/>
  <c r="BM8" i="22"/>
  <c r="BF8" i="22"/>
  <c r="AY8" i="22"/>
  <c r="AK8" i="22"/>
  <c r="AL8" i="22"/>
  <c r="CH7" i="22"/>
  <c r="CA7" i="22"/>
  <c r="BT7" i="22"/>
  <c r="BM7" i="22"/>
  <c r="BF7" i="22"/>
  <c r="AY7" i="22"/>
  <c r="AK7" i="22"/>
  <c r="AZ7" i="22"/>
  <c r="CH6" i="22"/>
  <c r="CA6" i="22"/>
  <c r="BT6" i="22"/>
  <c r="BM6" i="22"/>
  <c r="BF6" i="22"/>
  <c r="AY6" i="22"/>
  <c r="AK6" i="22"/>
  <c r="CH5" i="22"/>
  <c r="CA5" i="22"/>
  <c r="BT5" i="22"/>
  <c r="BM5" i="22"/>
  <c r="BF5" i="22"/>
  <c r="AY5" i="22"/>
  <c r="AR5" i="22"/>
  <c r="AK5" i="22"/>
  <c r="CH4" i="22"/>
  <c r="CA4" i="22"/>
  <c r="BT4" i="22"/>
  <c r="BM4" i="22"/>
  <c r="BF4" i="22"/>
  <c r="AY4" i="22"/>
  <c r="AR4" i="22"/>
  <c r="AK4" i="22"/>
  <c r="AS4" i="22"/>
  <c r="CH3" i="22"/>
  <c r="CA3" i="22"/>
  <c r="BT3" i="22"/>
  <c r="BM3" i="22"/>
  <c r="BF3" i="22"/>
  <c r="AY3" i="22"/>
  <c r="AR3" i="22"/>
  <c r="AK3" i="22"/>
  <c r="CG9" i="21"/>
  <c r="H29" i="1"/>
  <c r="E29" i="1"/>
  <c r="B29" i="1"/>
  <c r="H28" i="1"/>
  <c r="E28" i="1"/>
  <c r="B28" i="1"/>
  <c r="H27" i="1"/>
  <c r="E27" i="1"/>
  <c r="B27" i="1"/>
  <c r="H26" i="1"/>
  <c r="E26" i="1"/>
  <c r="B26" i="1"/>
  <c r="H25" i="1"/>
  <c r="E25" i="1"/>
  <c r="B25" i="1"/>
  <c r="H24" i="1"/>
  <c r="E24" i="1"/>
  <c r="B24" i="1"/>
  <c r="H23" i="1"/>
  <c r="E23" i="1"/>
  <c r="B23" i="1"/>
  <c r="AF9" i="21"/>
  <c r="AE9" i="21"/>
  <c r="AD9" i="21"/>
  <c r="AC9" i="21"/>
  <c r="AC10" i="21" s="1"/>
  <c r="Y9" i="21"/>
  <c r="X9" i="21"/>
  <c r="AS9" i="21" s="1"/>
  <c r="BN9" i="21" s="1"/>
  <c r="V9" i="21"/>
  <c r="V10" i="21" s="1"/>
  <c r="Q9" i="21"/>
  <c r="O9" i="21"/>
  <c r="P9" i="21" s="1"/>
  <c r="K9" i="21"/>
  <c r="H9" i="21"/>
  <c r="I9" i="21" s="1"/>
  <c r="AE8" i="21"/>
  <c r="AF8" i="21" s="1"/>
  <c r="AD8" i="21"/>
  <c r="X8" i="21"/>
  <c r="Y8" i="21" s="1"/>
  <c r="W8" i="21"/>
  <c r="Q8" i="21"/>
  <c r="R8" i="21" s="1"/>
  <c r="P8" i="21"/>
  <c r="K8" i="21"/>
  <c r="I8" i="21"/>
  <c r="AF7" i="21"/>
  <c r="AE7" i="21"/>
  <c r="AZ7" i="21" s="1"/>
  <c r="AD7" i="21"/>
  <c r="X7" i="21"/>
  <c r="Y7" i="21" s="1"/>
  <c r="W7" i="21"/>
  <c r="R7" i="21"/>
  <c r="Q7" i="21"/>
  <c r="P7" i="21"/>
  <c r="K7" i="21"/>
  <c r="I7" i="21"/>
  <c r="AE6" i="21"/>
  <c r="AF6" i="21" s="1"/>
  <c r="AD6" i="21"/>
  <c r="X6" i="21"/>
  <c r="Y6" i="21" s="1"/>
  <c r="W6" i="21"/>
  <c r="Q6" i="21"/>
  <c r="R6" i="21" s="1"/>
  <c r="P6" i="21"/>
  <c r="K6" i="21"/>
  <c r="I6" i="21"/>
  <c r="AF5" i="21"/>
  <c r="AE5" i="21"/>
  <c r="AD5" i="21"/>
  <c r="X5" i="21"/>
  <c r="Y5" i="21" s="1"/>
  <c r="W5" i="21"/>
  <c r="Q5" i="21"/>
  <c r="R5" i="21" s="1"/>
  <c r="P5" i="21"/>
  <c r="K5" i="21"/>
  <c r="I5" i="21"/>
  <c r="AE4" i="21"/>
  <c r="AF4" i="21" s="1"/>
  <c r="AD4" i="21"/>
  <c r="X4" i="21"/>
  <c r="Y4" i="21" s="1"/>
  <c r="W4" i="21"/>
  <c r="R4" i="21"/>
  <c r="Q4" i="21"/>
  <c r="P4" i="21"/>
  <c r="K4" i="21"/>
  <c r="I4" i="21"/>
  <c r="AE3" i="21"/>
  <c r="AF3" i="21" s="1"/>
  <c r="AD3" i="21"/>
  <c r="X3" i="21"/>
  <c r="Y3" i="21" s="1"/>
  <c r="W3" i="21"/>
  <c r="Q3" i="21"/>
  <c r="R3" i="21" s="1"/>
  <c r="P3" i="21"/>
  <c r="K3" i="21"/>
  <c r="I3" i="21"/>
  <c r="B18" i="21"/>
  <c r="CG10" i="21"/>
  <c r="BZ9" i="21"/>
  <c r="CA9" i="21" s="1"/>
  <c r="BS9" i="21"/>
  <c r="BS10" i="21" s="1"/>
  <c r="BL9" i="21"/>
  <c r="BL10" i="21" s="1"/>
  <c r="BE9" i="21"/>
  <c r="BE10" i="21" s="1"/>
  <c r="AY9" i="21"/>
  <c r="AX9" i="21"/>
  <c r="AX10" i="21" s="1"/>
  <c r="AZ9" i="21"/>
  <c r="AL9" i="21"/>
  <c r="CH8" i="21"/>
  <c r="CA8" i="21"/>
  <c r="BT8" i="21"/>
  <c r="BM8" i="21"/>
  <c r="BF8" i="21"/>
  <c r="AY8" i="21"/>
  <c r="AR8" i="21"/>
  <c r="AK8" i="21"/>
  <c r="AS8" i="21"/>
  <c r="CH7" i="21"/>
  <c r="CA7" i="21"/>
  <c r="BT7" i="21"/>
  <c r="BM7" i="21"/>
  <c r="BF7" i="21"/>
  <c r="AY7" i="21"/>
  <c r="AS7" i="21"/>
  <c r="BN7" i="21" s="1"/>
  <c r="BO7" i="21" s="1"/>
  <c r="AK7" i="21"/>
  <c r="AL7" i="21"/>
  <c r="CH6" i="21"/>
  <c r="CA6" i="21"/>
  <c r="BT6" i="21"/>
  <c r="BM6" i="21"/>
  <c r="BF6" i="21"/>
  <c r="AY6" i="21"/>
  <c r="AK6" i="21"/>
  <c r="AZ6" i="21"/>
  <c r="AL6" i="21"/>
  <c r="CH5" i="21"/>
  <c r="CA5" i="21"/>
  <c r="BT5" i="21"/>
  <c r="BM5" i="21"/>
  <c r="BF5" i="21"/>
  <c r="AY5" i="21"/>
  <c r="AR5" i="21"/>
  <c r="AK5" i="21"/>
  <c r="AZ5" i="21"/>
  <c r="AL5" i="21"/>
  <c r="CH4" i="21"/>
  <c r="CA4" i="21"/>
  <c r="BT4" i="21"/>
  <c r="BM4" i="21"/>
  <c r="BF4" i="21"/>
  <c r="AY4" i="21"/>
  <c r="AR4" i="21"/>
  <c r="AK4" i="21"/>
  <c r="AL4" i="21"/>
  <c r="CH3" i="21"/>
  <c r="CA3" i="21"/>
  <c r="BT3" i="21"/>
  <c r="BM3" i="21"/>
  <c r="BF3" i="21"/>
  <c r="AY3" i="21"/>
  <c r="AR3" i="21"/>
  <c r="AL3" i="21"/>
  <c r="BG3" i="21" s="1"/>
  <c r="AK3" i="21"/>
  <c r="CG9" i="20"/>
  <c r="CH4" i="20"/>
  <c r="CH5" i="20"/>
  <c r="CH6" i="20"/>
  <c r="CH7" i="20"/>
  <c r="CH8" i="20"/>
  <c r="CH9" i="20"/>
  <c r="CH3" i="20"/>
  <c r="CG10" i="20"/>
  <c r="AE9" i="20"/>
  <c r="AF9" i="20" s="1"/>
  <c r="AD9" i="20"/>
  <c r="AC9" i="20"/>
  <c r="AC10" i="20" s="1"/>
  <c r="X9" i="20"/>
  <c r="V9" i="20"/>
  <c r="V10" i="20" s="1"/>
  <c r="Q9" i="20"/>
  <c r="O9" i="20"/>
  <c r="P9" i="20" s="1"/>
  <c r="I9" i="20"/>
  <c r="H9" i="20"/>
  <c r="K9" i="20" s="1"/>
  <c r="AE8" i="20"/>
  <c r="AF8" i="20" s="1"/>
  <c r="AD8" i="20"/>
  <c r="X8" i="20"/>
  <c r="AS8" i="20" s="1"/>
  <c r="W8" i="20"/>
  <c r="Q8" i="20"/>
  <c r="AL8" i="20" s="1"/>
  <c r="BG8" i="20" s="1"/>
  <c r="P8" i="20"/>
  <c r="K8" i="20"/>
  <c r="I8" i="20"/>
  <c r="AF7" i="20"/>
  <c r="AE7" i="20"/>
  <c r="AD7" i="20"/>
  <c r="X7" i="20"/>
  <c r="Y7" i="20" s="1"/>
  <c r="W7" i="20"/>
  <c r="R7" i="20"/>
  <c r="Q7" i="20"/>
  <c r="P7" i="20"/>
  <c r="K7" i="20"/>
  <c r="I7" i="20"/>
  <c r="AE6" i="20"/>
  <c r="AZ6" i="20" s="1"/>
  <c r="AD6" i="20"/>
  <c r="Y6" i="20"/>
  <c r="X6" i="20"/>
  <c r="AS6" i="20" s="1"/>
  <c r="W6" i="20"/>
  <c r="Q6" i="20"/>
  <c r="AL6" i="20" s="1"/>
  <c r="AM6" i="20" s="1"/>
  <c r="P6" i="20"/>
  <c r="K6" i="20"/>
  <c r="I6" i="20"/>
  <c r="AE5" i="20"/>
  <c r="AF5" i="20" s="1"/>
  <c r="AD5" i="20"/>
  <c r="X5" i="20"/>
  <c r="Y5" i="20" s="1"/>
  <c r="W5" i="20"/>
  <c r="Q5" i="20"/>
  <c r="AL5" i="20" s="1"/>
  <c r="P5" i="20"/>
  <c r="K5" i="20"/>
  <c r="I5" i="20"/>
  <c r="AE4" i="20"/>
  <c r="AF4" i="20" s="1"/>
  <c r="AD4" i="20"/>
  <c r="X4" i="20"/>
  <c r="Y4" i="20" s="1"/>
  <c r="W4" i="20"/>
  <c r="R4" i="20"/>
  <c r="Q4" i="20"/>
  <c r="P4" i="20"/>
  <c r="K4" i="20"/>
  <c r="I4" i="20"/>
  <c r="AE3" i="20"/>
  <c r="AF3" i="20" s="1"/>
  <c r="AD3" i="20"/>
  <c r="Y3" i="20"/>
  <c r="X3" i="20"/>
  <c r="W3" i="20"/>
  <c r="R3" i="20"/>
  <c r="Q3" i="20"/>
  <c r="P3" i="20"/>
  <c r="K3" i="20"/>
  <c r="I3" i="20"/>
  <c r="CG9" i="19"/>
  <c r="CH9" i="19" s="1"/>
  <c r="CH4" i="18"/>
  <c r="CH5" i="18"/>
  <c r="CH6" i="18"/>
  <c r="CH7" i="18"/>
  <c r="CH8" i="18"/>
  <c r="CH3" i="18"/>
  <c r="CH4" i="19"/>
  <c r="CH5" i="19"/>
  <c r="CH6" i="19"/>
  <c r="CH7" i="19"/>
  <c r="CH8" i="19"/>
  <c r="CH3" i="19"/>
  <c r="B18" i="20"/>
  <c r="BZ9" i="20"/>
  <c r="CA9" i="20" s="1"/>
  <c r="BS9" i="20"/>
  <c r="BT9" i="20" s="1"/>
  <c r="BL9" i="20"/>
  <c r="BM9" i="20" s="1"/>
  <c r="BE9" i="20"/>
  <c r="BE10" i="20" s="1"/>
  <c r="AX9" i="20"/>
  <c r="AX10" i="20" s="1"/>
  <c r="AJ9" i="20"/>
  <c r="AJ10" i="20" s="1"/>
  <c r="AL9" i="20"/>
  <c r="BG9" i="20" s="1"/>
  <c r="CA8" i="20"/>
  <c r="BT8" i="20"/>
  <c r="BM8" i="20"/>
  <c r="BF8" i="20"/>
  <c r="AY8" i="20"/>
  <c r="AK8" i="20"/>
  <c r="CA7" i="20"/>
  <c r="BT7" i="20"/>
  <c r="BM7" i="20"/>
  <c r="BF7" i="20"/>
  <c r="AZ7" i="20"/>
  <c r="BU7" i="20" s="1"/>
  <c r="BV7" i="20" s="1"/>
  <c r="AY7" i="20"/>
  <c r="AL7" i="20"/>
  <c r="BG7" i="20" s="1"/>
  <c r="AK7" i="20"/>
  <c r="CA6" i="20"/>
  <c r="BT6" i="20"/>
  <c r="BM6" i="20"/>
  <c r="BF6" i="20"/>
  <c r="AY6" i="20"/>
  <c r="AK6" i="20"/>
  <c r="CA5" i="20"/>
  <c r="BT5" i="20"/>
  <c r="BM5" i="20"/>
  <c r="BF5" i="20"/>
  <c r="AY5" i="20"/>
  <c r="AR5" i="20"/>
  <c r="AK5" i="20"/>
  <c r="AZ5" i="20"/>
  <c r="CA4" i="20"/>
  <c r="BT4" i="20"/>
  <c r="BM4" i="20"/>
  <c r="BF4" i="20"/>
  <c r="AY4" i="20"/>
  <c r="AR4" i="20"/>
  <c r="AK4" i="20"/>
  <c r="AL4" i="20"/>
  <c r="CA3" i="20"/>
  <c r="BT3" i="20"/>
  <c r="BM3" i="20"/>
  <c r="BF3" i="20"/>
  <c r="AZ3" i="20"/>
  <c r="BA3" i="20" s="1"/>
  <c r="AY3" i="20"/>
  <c r="AS3" i="20"/>
  <c r="AT3" i="20" s="1"/>
  <c r="AR3" i="20"/>
  <c r="AK3" i="20"/>
  <c r="P3" i="19"/>
  <c r="AE9" i="19"/>
  <c r="AC9" i="19"/>
  <c r="AD9" i="19" s="1"/>
  <c r="Y9" i="19"/>
  <c r="X9" i="19"/>
  <c r="V9" i="19"/>
  <c r="V10" i="19" s="1"/>
  <c r="Q9" i="19"/>
  <c r="R9" i="19" s="1"/>
  <c r="P9" i="19"/>
  <c r="O9" i="19"/>
  <c r="O10" i="19" s="1"/>
  <c r="H9" i="19"/>
  <c r="I9" i="19" s="1"/>
  <c r="AE8" i="19"/>
  <c r="AF8" i="19" s="1"/>
  <c r="AD8" i="19"/>
  <c r="X8" i="19"/>
  <c r="Y8" i="19" s="1"/>
  <c r="W8" i="19"/>
  <c r="Q8" i="19"/>
  <c r="R8" i="19" s="1"/>
  <c r="P8" i="19"/>
  <c r="K8" i="19"/>
  <c r="I8" i="19"/>
  <c r="AF7" i="19"/>
  <c r="AE7" i="19"/>
  <c r="AD7" i="19"/>
  <c r="X7" i="19"/>
  <c r="Y7" i="19" s="1"/>
  <c r="W7" i="19"/>
  <c r="Q7" i="19"/>
  <c r="R7" i="19" s="1"/>
  <c r="P7" i="19"/>
  <c r="K7" i="19"/>
  <c r="I7" i="19"/>
  <c r="AE6" i="19"/>
  <c r="AF6" i="19" s="1"/>
  <c r="AD6" i="19"/>
  <c r="Y6" i="19"/>
  <c r="X6" i="19"/>
  <c r="W6" i="19"/>
  <c r="Q6" i="19"/>
  <c r="R6" i="19" s="1"/>
  <c r="P6" i="19"/>
  <c r="K6" i="19"/>
  <c r="I6" i="19"/>
  <c r="AE5" i="19"/>
  <c r="AF5" i="19" s="1"/>
  <c r="AD5" i="19"/>
  <c r="X5" i="19"/>
  <c r="Y5" i="19" s="1"/>
  <c r="W5" i="19"/>
  <c r="Q5" i="19"/>
  <c r="R5" i="19" s="1"/>
  <c r="P5" i="19"/>
  <c r="K5" i="19"/>
  <c r="I5" i="19"/>
  <c r="AE4" i="19"/>
  <c r="AF4" i="19" s="1"/>
  <c r="AD4" i="19"/>
  <c r="Y4" i="19"/>
  <c r="X4" i="19"/>
  <c r="W4" i="19"/>
  <c r="Q4" i="19"/>
  <c r="R4" i="19" s="1"/>
  <c r="P4" i="19"/>
  <c r="K4" i="19"/>
  <c r="I4" i="19"/>
  <c r="AF3" i="19"/>
  <c r="AE3" i="19"/>
  <c r="AD3" i="19"/>
  <c r="X3" i="19"/>
  <c r="Y3" i="19" s="1"/>
  <c r="W3" i="19"/>
  <c r="Q3" i="19"/>
  <c r="R3" i="19" s="1"/>
  <c r="K3" i="19"/>
  <c r="I3" i="19"/>
  <c r="BU5" i="23" l="1"/>
  <c r="BV5" i="23" s="1"/>
  <c r="BA5" i="23"/>
  <c r="BU3" i="20"/>
  <c r="BV3" i="20" s="1"/>
  <c r="BL10" i="22"/>
  <c r="AS4" i="20"/>
  <c r="BN4" i="20" s="1"/>
  <c r="BO4" i="20" s="1"/>
  <c r="AS7" i="20"/>
  <c r="BN7" i="20" s="1"/>
  <c r="BO7" i="20" s="1"/>
  <c r="BF9" i="20"/>
  <c r="AF6" i="20"/>
  <c r="AF10" i="20" s="1"/>
  <c r="D6" i="20" s="1"/>
  <c r="B6" i="20" s="1"/>
  <c r="R8" i="20"/>
  <c r="Y9" i="20"/>
  <c r="AS4" i="21"/>
  <c r="AS6" i="21"/>
  <c r="AF10" i="21"/>
  <c r="R9" i="21"/>
  <c r="AS7" i="22"/>
  <c r="BN7" i="22" s="1"/>
  <c r="BO7" i="22" s="1"/>
  <c r="AL6" i="22"/>
  <c r="Y3" i="22"/>
  <c r="Y4" i="23"/>
  <c r="AF5" i="23"/>
  <c r="R8" i="23"/>
  <c r="AL7" i="24"/>
  <c r="BG7" i="24" s="1"/>
  <c r="CI7" i="24" s="1"/>
  <c r="CJ7" i="24" s="1"/>
  <c r="Y10" i="24"/>
  <c r="AF9" i="24"/>
  <c r="AL4" i="25"/>
  <c r="AZ6" i="25"/>
  <c r="BU6" i="25" s="1"/>
  <c r="BV6" i="25" s="1"/>
  <c r="K10" i="25"/>
  <c r="AD9" i="25"/>
  <c r="AL7" i="26"/>
  <c r="AL8" i="26"/>
  <c r="AM8" i="26" s="1"/>
  <c r="AS8" i="26"/>
  <c r="BN8" i="26" s="1"/>
  <c r="BO8" i="26" s="1"/>
  <c r="Y8" i="26"/>
  <c r="AZ5" i="27"/>
  <c r="AZ6" i="27"/>
  <c r="BU6" i="27" s="1"/>
  <c r="BV6" i="27" s="1"/>
  <c r="AF3" i="27"/>
  <c r="AZ3" i="27"/>
  <c r="AS6" i="27"/>
  <c r="Y6" i="27"/>
  <c r="Y10" i="27" s="1"/>
  <c r="D5" i="27" s="1"/>
  <c r="B5" i="27" s="1"/>
  <c r="V10" i="27"/>
  <c r="Y9" i="27"/>
  <c r="AF9" i="27"/>
  <c r="CV8" i="19"/>
  <c r="CX4" i="19"/>
  <c r="CV7" i="19"/>
  <c r="CO4" i="21"/>
  <c r="CO3" i="21"/>
  <c r="CX5" i="21"/>
  <c r="CV3" i="22"/>
  <c r="CX4" i="22"/>
  <c r="CO4" i="24"/>
  <c r="CQ3" i="24"/>
  <c r="CV4" i="26"/>
  <c r="CX3" i="26"/>
  <c r="B14" i="21"/>
  <c r="C14" i="21" s="1"/>
  <c r="BR18" i="4"/>
  <c r="CH9" i="24"/>
  <c r="CJ9" i="25"/>
  <c r="CV8" i="22"/>
  <c r="R9" i="20"/>
  <c r="AL4" i="22"/>
  <c r="AM4" i="22" s="1"/>
  <c r="R9" i="22"/>
  <c r="R9" i="23"/>
  <c r="Y9" i="23"/>
  <c r="AF9" i="23"/>
  <c r="AF10" i="23" s="1"/>
  <c r="AS7" i="25"/>
  <c r="AZ5" i="26"/>
  <c r="BU5" i="26" s="1"/>
  <c r="BV5" i="26" s="1"/>
  <c r="CH9" i="26"/>
  <c r="K10" i="27"/>
  <c r="D3" i="27" s="1"/>
  <c r="B3" i="27" s="1"/>
  <c r="C3" i="27" s="1"/>
  <c r="CQ6" i="18"/>
  <c r="CX7" i="20"/>
  <c r="CV5" i="21"/>
  <c r="CX6" i="22"/>
  <c r="CX7" i="27"/>
  <c r="B14" i="25"/>
  <c r="C14" i="25" s="1"/>
  <c r="BC18" i="4"/>
  <c r="CV8" i="21"/>
  <c r="CX3" i="21"/>
  <c r="K10" i="21"/>
  <c r="D3" i="21" s="1"/>
  <c r="B3" i="21" s="1"/>
  <c r="C3" i="21" s="1"/>
  <c r="O10" i="23"/>
  <c r="AF9" i="25"/>
  <c r="CH9" i="25"/>
  <c r="Y3" i="27"/>
  <c r="AS3" i="27"/>
  <c r="AL8" i="27"/>
  <c r="R8" i="27"/>
  <c r="CX4" i="6"/>
  <c r="CV4" i="19"/>
  <c r="CV3" i="19"/>
  <c r="CQ4" i="20"/>
  <c r="CX6" i="20"/>
  <c r="CX5" i="22"/>
  <c r="CQ4" i="23"/>
  <c r="CQ5" i="23"/>
  <c r="CQ7" i="25"/>
  <c r="CO4" i="26"/>
  <c r="CO3" i="26"/>
  <c r="CV6" i="26"/>
  <c r="CQ6" i="26"/>
  <c r="CQ8" i="26"/>
  <c r="CX6" i="27"/>
  <c r="AN18" i="4"/>
  <c r="J18" i="5"/>
  <c r="AN18" i="5"/>
  <c r="CX6" i="18"/>
  <c r="DE9" i="18"/>
  <c r="CQ4" i="19"/>
  <c r="CO4" i="20"/>
  <c r="CV8" i="20"/>
  <c r="CQ4" i="21"/>
  <c r="CX6" i="21"/>
  <c r="CX3" i="22"/>
  <c r="CQ4" i="22"/>
  <c r="CO5" i="22"/>
  <c r="CQ6" i="22"/>
  <c r="CQ3" i="23"/>
  <c r="CV8" i="23"/>
  <c r="CV8" i="24"/>
  <c r="CQ6" i="24"/>
  <c r="CX8" i="24"/>
  <c r="CV7" i="25"/>
  <c r="CQ6" i="25"/>
  <c r="DE9" i="25"/>
  <c r="DE10" i="25" s="1"/>
  <c r="D16" i="25" s="1"/>
  <c r="B16" i="25" s="1"/>
  <c r="CV7" i="26"/>
  <c r="CQ7" i="26"/>
  <c r="CV8" i="27"/>
  <c r="CX5" i="27"/>
  <c r="AX18" i="4"/>
  <c r="BM18" i="4"/>
  <c r="AF9" i="26"/>
  <c r="O10" i="27"/>
  <c r="O18" i="5"/>
  <c r="Y18" i="5"/>
  <c r="CQ5" i="18"/>
  <c r="CX8" i="18"/>
  <c r="CX4" i="18"/>
  <c r="CX3" i="19"/>
  <c r="CX6" i="19"/>
  <c r="CQ8" i="19"/>
  <c r="CQ10" i="19" s="1"/>
  <c r="D14" i="19" s="1"/>
  <c r="B14" i="19" s="1"/>
  <c r="C14" i="19" s="1"/>
  <c r="CQ8" i="21"/>
  <c r="DE9" i="21"/>
  <c r="DE10" i="21" s="1"/>
  <c r="D16" i="21" s="1"/>
  <c r="B16" i="21" s="1"/>
  <c r="CX8" i="22"/>
  <c r="CV7" i="23"/>
  <c r="CQ6" i="23"/>
  <c r="CX8" i="23"/>
  <c r="CV7" i="24"/>
  <c r="CO4" i="25"/>
  <c r="CV8" i="25"/>
  <c r="CQ5" i="25"/>
  <c r="CX6" i="25"/>
  <c r="CX8" i="25"/>
  <c r="CQ3" i="26"/>
  <c r="CQ4" i="27"/>
  <c r="BR18" i="5"/>
  <c r="BH18" i="4"/>
  <c r="BG15" i="4"/>
  <c r="BG16" i="4"/>
  <c r="BG17" i="4"/>
  <c r="D108" i="2"/>
  <c r="D31" i="2"/>
  <c r="D32" i="2"/>
  <c r="D33" i="2"/>
  <c r="BB12" i="5"/>
  <c r="BB13" i="5"/>
  <c r="BB14" i="5"/>
  <c r="BB15" i="5"/>
  <c r="BB16" i="5"/>
  <c r="BH14" i="5"/>
  <c r="BH12" i="5"/>
  <c r="BG14" i="5"/>
  <c r="BG13" i="5"/>
  <c r="BG15" i="5"/>
  <c r="BG16" i="5"/>
  <c r="BF18" i="5"/>
  <c r="BG17" i="5"/>
  <c r="AX18" i="5"/>
  <c r="BM18" i="5"/>
  <c r="BA18" i="5"/>
  <c r="BC16" i="5"/>
  <c r="BC12" i="5"/>
  <c r="E15" i="26"/>
  <c r="E15" i="25"/>
  <c r="E15" i="24"/>
  <c r="E15" i="23"/>
  <c r="DB10" i="22"/>
  <c r="DE9" i="22"/>
  <c r="DE10" i="22" s="1"/>
  <c r="D16" i="22" s="1"/>
  <c r="B16" i="22" s="1"/>
  <c r="E15" i="22"/>
  <c r="E15" i="21"/>
  <c r="CO6" i="27"/>
  <c r="CU9" i="27"/>
  <c r="DB10" i="27"/>
  <c r="CO7" i="27"/>
  <c r="CO8" i="27"/>
  <c r="CX3" i="27"/>
  <c r="CN9" i="27"/>
  <c r="CQ9" i="27" s="1"/>
  <c r="CV3" i="27"/>
  <c r="DE9" i="27"/>
  <c r="DE10" i="27" s="1"/>
  <c r="D16" i="27" s="1"/>
  <c r="B16" i="27" s="1"/>
  <c r="CO5" i="27"/>
  <c r="CV4" i="27"/>
  <c r="CQ3" i="27"/>
  <c r="CV5" i="27"/>
  <c r="CV6" i="27"/>
  <c r="CV7" i="27"/>
  <c r="CO5" i="26"/>
  <c r="CO6" i="26"/>
  <c r="CU9" i="26"/>
  <c r="CX9" i="26" s="1"/>
  <c r="DB10" i="26"/>
  <c r="CO7" i="26"/>
  <c r="CO8" i="26"/>
  <c r="CU10" i="26"/>
  <c r="CO9" i="26"/>
  <c r="CX4" i="26"/>
  <c r="CN9" i="26"/>
  <c r="CQ9" i="26" s="1"/>
  <c r="CQ10" i="26" s="1"/>
  <c r="D14" i="26" s="1"/>
  <c r="B14" i="26" s="1"/>
  <c r="C14" i="26" s="1"/>
  <c r="CX5" i="26"/>
  <c r="DE9" i="26"/>
  <c r="DE10" i="26" s="1"/>
  <c r="D16" i="26" s="1"/>
  <c r="B16" i="26" s="1"/>
  <c r="CX6" i="26"/>
  <c r="CV5" i="26"/>
  <c r="CO6" i="25"/>
  <c r="CU9" i="25"/>
  <c r="CX9" i="25" s="1"/>
  <c r="DB10" i="25"/>
  <c r="CO5" i="25"/>
  <c r="CO7" i="25"/>
  <c r="CO8" i="25"/>
  <c r="CX4" i="25"/>
  <c r="CN9" i="25"/>
  <c r="CQ9" i="25" s="1"/>
  <c r="CQ10" i="25" s="1"/>
  <c r="D14" i="25" s="1"/>
  <c r="CV4" i="25"/>
  <c r="CV5" i="25"/>
  <c r="CV6" i="25"/>
  <c r="CO3" i="25"/>
  <c r="DE10" i="24"/>
  <c r="D16" i="24" s="1"/>
  <c r="B16" i="24" s="1"/>
  <c r="CO6" i="24"/>
  <c r="CU9" i="24"/>
  <c r="DB10" i="24"/>
  <c r="CO7" i="24"/>
  <c r="CO8" i="24"/>
  <c r="CU10" i="24"/>
  <c r="CX3" i="24"/>
  <c r="CO9" i="24"/>
  <c r="CX4" i="24"/>
  <c r="CN9" i="24"/>
  <c r="CQ9" i="24" s="1"/>
  <c r="DE9" i="24"/>
  <c r="CV4" i="24"/>
  <c r="CV5" i="24"/>
  <c r="CQ4" i="24"/>
  <c r="CQ10" i="24" s="1"/>
  <c r="D14" i="24" s="1"/>
  <c r="B14" i="24" s="1"/>
  <c r="C14" i="24" s="1"/>
  <c r="CV6" i="24"/>
  <c r="CO3" i="24"/>
  <c r="CO6" i="23"/>
  <c r="CU9" i="23"/>
  <c r="DB10" i="23"/>
  <c r="CO5" i="23"/>
  <c r="CO7" i="23"/>
  <c r="CO8" i="23"/>
  <c r="CN9" i="23"/>
  <c r="CQ9" i="23" s="1"/>
  <c r="CX5" i="23"/>
  <c r="DE9" i="23"/>
  <c r="DE10" i="23" s="1"/>
  <c r="D16" i="23" s="1"/>
  <c r="B16" i="23" s="1"/>
  <c r="CV5" i="23"/>
  <c r="CV6" i="23"/>
  <c r="CX10" i="22"/>
  <c r="D15" i="22" s="1"/>
  <c r="CO6" i="22"/>
  <c r="CU9" i="22"/>
  <c r="CX9" i="22" s="1"/>
  <c r="CO7" i="22"/>
  <c r="CO8" i="22"/>
  <c r="CU10" i="22"/>
  <c r="CV9" i="22"/>
  <c r="CN9" i="22"/>
  <c r="CQ9" i="22" s="1"/>
  <c r="CV4" i="22"/>
  <c r="CQ3" i="22"/>
  <c r="CV5" i="22"/>
  <c r="CX7" i="22"/>
  <c r="CV6" i="22"/>
  <c r="CO3" i="22"/>
  <c r="CO6" i="21"/>
  <c r="CU9" i="21"/>
  <c r="DB10" i="21"/>
  <c r="CO7" i="21"/>
  <c r="CO8" i="21"/>
  <c r="CX4" i="21"/>
  <c r="CN9" i="21"/>
  <c r="CQ9" i="21" s="1"/>
  <c r="CQ10" i="21" s="1"/>
  <c r="D14" i="21" s="1"/>
  <c r="CV3" i="21"/>
  <c r="CV4" i="21"/>
  <c r="CV6" i="21"/>
  <c r="CV7" i="21"/>
  <c r="CO6" i="20"/>
  <c r="CU9" i="20"/>
  <c r="DB10" i="20"/>
  <c r="CO7" i="20"/>
  <c r="CO8" i="20"/>
  <c r="CU10" i="20"/>
  <c r="CO5" i="20"/>
  <c r="CX4" i="20"/>
  <c r="CN9" i="20"/>
  <c r="CQ9" i="20" s="1"/>
  <c r="CQ10" i="20" s="1"/>
  <c r="D14" i="20" s="1"/>
  <c r="B14" i="20" s="1"/>
  <c r="C14" i="20" s="1"/>
  <c r="DE9" i="20"/>
  <c r="DE10" i="20" s="1"/>
  <c r="D16" i="20" s="1"/>
  <c r="B16" i="20" s="1"/>
  <c r="CV5" i="20"/>
  <c r="CV6" i="20"/>
  <c r="CV7" i="20"/>
  <c r="CO6" i="19"/>
  <c r="CU9" i="19"/>
  <c r="CX9" i="19" s="1"/>
  <c r="DB10" i="19"/>
  <c r="CO7" i="19"/>
  <c r="CO8" i="19"/>
  <c r="CU10" i="19"/>
  <c r="CV9" i="19"/>
  <c r="CO9" i="19"/>
  <c r="CN9" i="19"/>
  <c r="CQ9" i="19" s="1"/>
  <c r="CO5" i="19"/>
  <c r="CX5" i="19"/>
  <c r="CX10" i="19" s="1"/>
  <c r="D15" i="19" s="1"/>
  <c r="B15" i="19" s="1"/>
  <c r="C15" i="19" s="1"/>
  <c r="DE9" i="19"/>
  <c r="DE10" i="19" s="1"/>
  <c r="D16" i="19" s="1"/>
  <c r="B16" i="19" s="1"/>
  <c r="CV5" i="19"/>
  <c r="CV6" i="19"/>
  <c r="CV7" i="6"/>
  <c r="CX5" i="6"/>
  <c r="CV6" i="6"/>
  <c r="CV8" i="6"/>
  <c r="CU9" i="6"/>
  <c r="CX9" i="6" s="1"/>
  <c r="CV3" i="6"/>
  <c r="CV4" i="6"/>
  <c r="CV5" i="6"/>
  <c r="CV8" i="18"/>
  <c r="CV4" i="18"/>
  <c r="CU9" i="18"/>
  <c r="CV9" i="18" s="1"/>
  <c r="CV7" i="18"/>
  <c r="CX3" i="18"/>
  <c r="CV5" i="18"/>
  <c r="CV3" i="18"/>
  <c r="CV6" i="18"/>
  <c r="DC9" i="18"/>
  <c r="CN9" i="18"/>
  <c r="CN10" i="18" s="1"/>
  <c r="CO3" i="18"/>
  <c r="CO6" i="18"/>
  <c r="CO7" i="18"/>
  <c r="CO4" i="18"/>
  <c r="CO5" i="18"/>
  <c r="CO8" i="18"/>
  <c r="CQ3" i="18"/>
  <c r="DE10" i="18"/>
  <c r="D16" i="18" s="1"/>
  <c r="B16" i="18" s="1"/>
  <c r="DB10" i="18"/>
  <c r="CQ9" i="18"/>
  <c r="CQ10" i="18" s="1"/>
  <c r="D14" i="18" s="1"/>
  <c r="E15" i="18"/>
  <c r="CQ9" i="6"/>
  <c r="CQ3" i="6"/>
  <c r="CX3" i="6"/>
  <c r="DB10" i="6"/>
  <c r="DE9" i="6"/>
  <c r="DE10" i="6" s="1"/>
  <c r="D16" i="6" s="1"/>
  <c r="B16" i="6" s="1"/>
  <c r="CN10" i="6"/>
  <c r="AR6" i="27"/>
  <c r="AR7" i="27"/>
  <c r="AQ10" i="27"/>
  <c r="AR8" i="26"/>
  <c r="AR6" i="26"/>
  <c r="AR7" i="26"/>
  <c r="AR7" i="24"/>
  <c r="AR8" i="24"/>
  <c r="AR7" i="23"/>
  <c r="AR8" i="23"/>
  <c r="AQ10" i="23"/>
  <c r="AR7" i="22"/>
  <c r="AR8" i="22"/>
  <c r="AR9" i="22"/>
  <c r="AQ10" i="22"/>
  <c r="AR7" i="21"/>
  <c r="AR6" i="21"/>
  <c r="AR8" i="20"/>
  <c r="AQ10" i="20"/>
  <c r="AR6" i="20"/>
  <c r="AI18" i="4"/>
  <c r="AD18" i="4"/>
  <c r="CG10" i="27"/>
  <c r="AZ8" i="27"/>
  <c r="BU8" i="27" s="1"/>
  <c r="BV8" i="27" s="1"/>
  <c r="AC10" i="27"/>
  <c r="AS5" i="27"/>
  <c r="AT5" i="27" s="1"/>
  <c r="AZ7" i="27"/>
  <c r="W9" i="27"/>
  <c r="BO9" i="27"/>
  <c r="R7" i="27"/>
  <c r="R10" i="27" s="1"/>
  <c r="D4" i="27" s="1"/>
  <c r="B4" i="27" s="1"/>
  <c r="R9" i="27"/>
  <c r="AF4" i="27"/>
  <c r="AF10" i="27" s="1"/>
  <c r="BA6" i="27"/>
  <c r="AM7" i="27"/>
  <c r="BG7" i="27"/>
  <c r="CI7" i="27" s="1"/>
  <c r="CJ7" i="27" s="1"/>
  <c r="BN8" i="27"/>
  <c r="BO8" i="27" s="1"/>
  <c r="AT8" i="27"/>
  <c r="AT6" i="27"/>
  <c r="BN6" i="27"/>
  <c r="BO6" i="27" s="1"/>
  <c r="AT9" i="27"/>
  <c r="BU9" i="27"/>
  <c r="BV9" i="27" s="1"/>
  <c r="BA9" i="27"/>
  <c r="AT4" i="27"/>
  <c r="BN4" i="27"/>
  <c r="BO4" i="27" s="1"/>
  <c r="AM8" i="27"/>
  <c r="BG8" i="27"/>
  <c r="CI8" i="27" s="1"/>
  <c r="CJ8" i="27" s="1"/>
  <c r="CB3" i="27"/>
  <c r="CC3" i="27" s="1"/>
  <c r="BH3" i="27"/>
  <c r="AM6" i="27"/>
  <c r="BG6" i="27"/>
  <c r="CI6" i="27" s="1"/>
  <c r="CJ6" i="27" s="1"/>
  <c r="BG4" i="27"/>
  <c r="CI4" i="27" s="1"/>
  <c r="CJ4" i="27" s="1"/>
  <c r="AM4" i="27"/>
  <c r="BU5" i="27"/>
  <c r="BV5" i="27" s="1"/>
  <c r="BA5" i="27"/>
  <c r="BA3" i="27"/>
  <c r="BU3" i="27"/>
  <c r="BV3" i="27" s="1"/>
  <c r="BG9" i="27"/>
  <c r="CI9" i="27" s="1"/>
  <c r="CJ9" i="27" s="1"/>
  <c r="AM9" i="27"/>
  <c r="AT3" i="27"/>
  <c r="BN3" i="27"/>
  <c r="BO3" i="27" s="1"/>
  <c r="AJ10" i="27"/>
  <c r="BZ10" i="27"/>
  <c r="AL5" i="27"/>
  <c r="AR9" i="27"/>
  <c r="BM9" i="27"/>
  <c r="AM3" i="27"/>
  <c r="BS10" i="27"/>
  <c r="BA8" i="27"/>
  <c r="BF9" i="27"/>
  <c r="BA4" i="27"/>
  <c r="AT7" i="27"/>
  <c r="AX10" i="27"/>
  <c r="CG10" i="26"/>
  <c r="AF10" i="26"/>
  <c r="K10" i="26"/>
  <c r="D3" i="26" s="1"/>
  <c r="B3" i="26" s="1"/>
  <c r="C3" i="26" s="1"/>
  <c r="R4" i="26"/>
  <c r="R10" i="26" s="1"/>
  <c r="D4" i="26" s="1"/>
  <c r="B4" i="26" s="1"/>
  <c r="Y7" i="26"/>
  <c r="Y10" i="26" s="1"/>
  <c r="D5" i="26" s="1"/>
  <c r="B5" i="26" s="1"/>
  <c r="AC10" i="26"/>
  <c r="AZ8" i="26"/>
  <c r="AS5" i="26"/>
  <c r="BN5" i="26" s="1"/>
  <c r="BO5" i="26" s="1"/>
  <c r="AZ6" i="26"/>
  <c r="BA6" i="26" s="1"/>
  <c r="BO9" i="26"/>
  <c r="H10" i="26"/>
  <c r="K9" i="26"/>
  <c r="BU4" i="26"/>
  <c r="BV4" i="26" s="1"/>
  <c r="BA4" i="26"/>
  <c r="BN4" i="26"/>
  <c r="BO4" i="26" s="1"/>
  <c r="AT4" i="26"/>
  <c r="AT9" i="26"/>
  <c r="AT6" i="26"/>
  <c r="BN6" i="26"/>
  <c r="BO6" i="26" s="1"/>
  <c r="CB3" i="26"/>
  <c r="CC3" i="26" s="1"/>
  <c r="BH3" i="26"/>
  <c r="BU9" i="26"/>
  <c r="BV9" i="26" s="1"/>
  <c r="BA9" i="26"/>
  <c r="BG4" i="26"/>
  <c r="CI4" i="26" s="1"/>
  <c r="CJ4" i="26" s="1"/>
  <c r="AM4" i="26"/>
  <c r="BA3" i="26"/>
  <c r="BU3" i="26"/>
  <c r="BV3" i="26" s="1"/>
  <c r="BG9" i="26"/>
  <c r="CI9" i="26" s="1"/>
  <c r="CJ9" i="26" s="1"/>
  <c r="AM9" i="26"/>
  <c r="BN7" i="26"/>
  <c r="BO7" i="26" s="1"/>
  <c r="AT7" i="26"/>
  <c r="AM7" i="26"/>
  <c r="BG7" i="26"/>
  <c r="CI7" i="26" s="1"/>
  <c r="CJ7" i="26" s="1"/>
  <c r="AS3" i="26"/>
  <c r="AL6" i="26"/>
  <c r="AJ10" i="26"/>
  <c r="BZ10" i="26"/>
  <c r="AL5" i="26"/>
  <c r="AR9" i="26"/>
  <c r="BM9" i="26"/>
  <c r="AM3" i="26"/>
  <c r="BS10" i="26"/>
  <c r="BA7" i="26"/>
  <c r="BF9" i="26"/>
  <c r="BA5" i="26"/>
  <c r="AT8" i="26"/>
  <c r="AX10" i="26"/>
  <c r="BT9" i="25"/>
  <c r="AY9" i="25"/>
  <c r="CG10" i="25"/>
  <c r="AF10" i="25"/>
  <c r="D6" i="25" s="1"/>
  <c r="B6" i="25" s="1"/>
  <c r="Y9" i="25"/>
  <c r="AZ5" i="25"/>
  <c r="BA5" i="25" s="1"/>
  <c r="R5" i="25"/>
  <c r="R10" i="25" s="1"/>
  <c r="D4" i="25" s="1"/>
  <c r="B4" i="25" s="1"/>
  <c r="Y8" i="25"/>
  <c r="Y10" i="25" s="1"/>
  <c r="D5" i="25" s="1"/>
  <c r="B5" i="25" s="1"/>
  <c r="W9" i="25"/>
  <c r="R9" i="25"/>
  <c r="O10" i="25"/>
  <c r="AL8" i="25"/>
  <c r="BG8" i="25" s="1"/>
  <c r="CI8" i="25" s="1"/>
  <c r="CJ8" i="25" s="1"/>
  <c r="AZ4" i="25"/>
  <c r="AL3" i="25"/>
  <c r="AM3" i="25" s="1"/>
  <c r="BA7" i="25"/>
  <c r="BU5" i="25"/>
  <c r="BV5" i="25" s="1"/>
  <c r="D3" i="25"/>
  <c r="B3" i="25" s="1"/>
  <c r="C3" i="25" s="1"/>
  <c r="AZ3" i="25"/>
  <c r="BU3" i="25" s="1"/>
  <c r="BV3" i="25" s="1"/>
  <c r="AS5" i="25"/>
  <c r="AT5" i="25" s="1"/>
  <c r="AS3" i="25"/>
  <c r="AT3" i="25" s="1"/>
  <c r="AZ8" i="25"/>
  <c r="AT8" i="25"/>
  <c r="CB9" i="25"/>
  <c r="BG4" i="25"/>
  <c r="CI4" i="25" s="1"/>
  <c r="CJ4" i="25" s="1"/>
  <c r="AM4" i="25"/>
  <c r="BN5" i="25"/>
  <c r="BO5" i="25" s="1"/>
  <c r="BG7" i="25"/>
  <c r="CI7" i="25" s="1"/>
  <c r="CJ7" i="25" s="1"/>
  <c r="AM7" i="25"/>
  <c r="AT4" i="25"/>
  <c r="BN4" i="25"/>
  <c r="BO4" i="25" s="1"/>
  <c r="BO9" i="25"/>
  <c r="AT9" i="25"/>
  <c r="BG5" i="25"/>
  <c r="CI5" i="25" s="1"/>
  <c r="CJ5" i="25" s="1"/>
  <c r="AM5" i="25"/>
  <c r="AT6" i="25"/>
  <c r="BN6" i="25"/>
  <c r="BO6" i="25" s="1"/>
  <c r="BU9" i="25"/>
  <c r="BV9" i="25" s="1"/>
  <c r="BA9" i="25"/>
  <c r="AM6" i="25"/>
  <c r="BG6" i="25"/>
  <c r="CI6" i="25" s="1"/>
  <c r="CJ6" i="25" s="1"/>
  <c r="AJ10" i="25"/>
  <c r="BZ10" i="25"/>
  <c r="AR9" i="25"/>
  <c r="BM9" i="25"/>
  <c r="AM9" i="25"/>
  <c r="BH9" i="25"/>
  <c r="CC9" i="25"/>
  <c r="BF9" i="25"/>
  <c r="AX10" i="24"/>
  <c r="AF10" i="24"/>
  <c r="AM3" i="24"/>
  <c r="BG3" i="24"/>
  <c r="AZ6" i="24"/>
  <c r="BU6" i="24" s="1"/>
  <c r="BV6" i="24" s="1"/>
  <c r="BA7" i="24"/>
  <c r="AZ8" i="24"/>
  <c r="BU8" i="24" s="1"/>
  <c r="BV8" i="24" s="1"/>
  <c r="R6" i="24"/>
  <c r="R9" i="24"/>
  <c r="R10" i="24" s="1"/>
  <c r="D4" i="24" s="1"/>
  <c r="B4" i="24" s="1"/>
  <c r="AZ3" i="24"/>
  <c r="BU3" i="24" s="1"/>
  <c r="BV3" i="24" s="1"/>
  <c r="O10" i="24"/>
  <c r="AS3" i="24"/>
  <c r="AS5" i="24"/>
  <c r="BN5" i="24" s="1"/>
  <c r="BO5" i="24" s="1"/>
  <c r="H10" i="24"/>
  <c r="K9" i="24"/>
  <c r="K10" i="24" s="1"/>
  <c r="D3" i="24" s="1"/>
  <c r="BO9" i="24"/>
  <c r="BG4" i="24"/>
  <c r="CI4" i="24" s="1"/>
  <c r="CJ4" i="24" s="1"/>
  <c r="AM4" i="24"/>
  <c r="AT3" i="24"/>
  <c r="BN3" i="24"/>
  <c r="BO3" i="24" s="1"/>
  <c r="BG5" i="24"/>
  <c r="CI5" i="24" s="1"/>
  <c r="CJ5" i="24" s="1"/>
  <c r="AM5" i="24"/>
  <c r="AM7" i="24"/>
  <c r="AT8" i="24"/>
  <c r="BN8" i="24"/>
  <c r="BO8" i="24" s="1"/>
  <c r="AT9" i="24"/>
  <c r="CB9" i="24"/>
  <c r="CC9" i="24" s="1"/>
  <c r="BU9" i="24"/>
  <c r="BV9" i="24" s="1"/>
  <c r="BA9" i="24"/>
  <c r="AT6" i="24"/>
  <c r="BN6" i="24"/>
  <c r="BO6" i="24" s="1"/>
  <c r="AM8" i="24"/>
  <c r="BG8" i="24"/>
  <c r="CI8" i="24" s="1"/>
  <c r="CJ8" i="24" s="1"/>
  <c r="BN4" i="24"/>
  <c r="BO4" i="24" s="1"/>
  <c r="AT4" i="24"/>
  <c r="BU5" i="24"/>
  <c r="BV5" i="24" s="1"/>
  <c r="BA5" i="24"/>
  <c r="AM6" i="24"/>
  <c r="BG6" i="24"/>
  <c r="CI6" i="24" s="1"/>
  <c r="CJ6" i="24" s="1"/>
  <c r="AJ10" i="24"/>
  <c r="BZ10" i="24"/>
  <c r="AR9" i="24"/>
  <c r="BM9" i="24"/>
  <c r="BS10" i="24"/>
  <c r="BA8" i="24"/>
  <c r="AM9" i="24"/>
  <c r="BH9" i="24"/>
  <c r="BF9" i="24"/>
  <c r="D5" i="24"/>
  <c r="B5" i="24" s="1"/>
  <c r="BA4" i="24"/>
  <c r="AT7" i="24"/>
  <c r="BT9" i="23"/>
  <c r="AY9" i="23"/>
  <c r="CG10" i="23"/>
  <c r="BN8" i="23"/>
  <c r="BO8" i="23" s="1"/>
  <c r="AT8" i="23"/>
  <c r="AM3" i="23"/>
  <c r="BG3" i="23"/>
  <c r="R4" i="23"/>
  <c r="R10" i="23" s="1"/>
  <c r="D4" i="23" s="1"/>
  <c r="B4" i="23" s="1"/>
  <c r="Y7" i="23"/>
  <c r="Y10" i="23" s="1"/>
  <c r="D5" i="23" s="1"/>
  <c r="B5" i="23" s="1"/>
  <c r="AZ6" i="23"/>
  <c r="BU6" i="23" s="1"/>
  <c r="BV6" i="23" s="1"/>
  <c r="AZ8" i="23"/>
  <c r="AZ4" i="23"/>
  <c r="BA4" i="23" s="1"/>
  <c r="H10" i="23"/>
  <c r="K9" i="23"/>
  <c r="K10" i="23" s="1"/>
  <c r="D3" i="23" s="1"/>
  <c r="B3" i="23" s="1"/>
  <c r="C3" i="23" s="1"/>
  <c r="AS5" i="23"/>
  <c r="BN5" i="23" s="1"/>
  <c r="BO5" i="23" s="1"/>
  <c r="BG4" i="23"/>
  <c r="CI4" i="23" s="1"/>
  <c r="CJ4" i="23" s="1"/>
  <c r="AM4" i="23"/>
  <c r="BO9" i="23"/>
  <c r="BN4" i="23"/>
  <c r="BO4" i="23" s="1"/>
  <c r="AT4" i="23"/>
  <c r="AM8" i="23"/>
  <c r="BG8" i="23"/>
  <c r="CI8" i="23" s="1"/>
  <c r="CJ8" i="23" s="1"/>
  <c r="BG9" i="23"/>
  <c r="CI9" i="23" s="1"/>
  <c r="CJ9" i="23" s="1"/>
  <c r="AM9" i="23"/>
  <c r="BN7" i="23"/>
  <c r="BO7" i="23" s="1"/>
  <c r="AT7" i="23"/>
  <c r="BA3" i="23"/>
  <c r="BU3" i="23"/>
  <c r="BV3" i="23" s="1"/>
  <c r="AT9" i="23"/>
  <c r="BG7" i="23"/>
  <c r="CI7" i="23" s="1"/>
  <c r="CJ7" i="23" s="1"/>
  <c r="AM7" i="23"/>
  <c r="BU9" i="23"/>
  <c r="BV9" i="23" s="1"/>
  <c r="BA9" i="23"/>
  <c r="BG5" i="23"/>
  <c r="CI5" i="23" s="1"/>
  <c r="CJ5" i="23" s="1"/>
  <c r="AM5" i="23"/>
  <c r="AT6" i="23"/>
  <c r="BN6" i="23"/>
  <c r="BO6" i="23" s="1"/>
  <c r="AS3" i="23"/>
  <c r="AL6" i="23"/>
  <c r="AJ10" i="23"/>
  <c r="BZ10" i="23"/>
  <c r="AR9" i="23"/>
  <c r="BM9" i="23"/>
  <c r="BA7" i="23"/>
  <c r="BH3" i="23"/>
  <c r="BA6" i="23"/>
  <c r="BF9" i="23"/>
  <c r="AF10" i="22"/>
  <c r="Y9" i="22"/>
  <c r="AZ4" i="22"/>
  <c r="BU4" i="22" s="1"/>
  <c r="BV4" i="22" s="1"/>
  <c r="AZ3" i="22"/>
  <c r="BA3" i="22" s="1"/>
  <c r="R5" i="22"/>
  <c r="R10" i="22" s="1"/>
  <c r="D4" i="22" s="1"/>
  <c r="B4" i="22" s="1"/>
  <c r="Y8" i="22"/>
  <c r="W9" i="22"/>
  <c r="O10" i="22"/>
  <c r="AL3" i="22"/>
  <c r="BG3" i="22" s="1"/>
  <c r="CI3" i="22" s="1"/>
  <c r="CJ3" i="22" s="1"/>
  <c r="AZ5" i="22"/>
  <c r="BA5" i="22" s="1"/>
  <c r="D3" i="22"/>
  <c r="B3" i="22" s="1"/>
  <c r="C3" i="22" s="1"/>
  <c r="AL7" i="22"/>
  <c r="AM7" i="22" s="1"/>
  <c r="AS5" i="22"/>
  <c r="BN5" i="22" s="1"/>
  <c r="BO5" i="22" s="1"/>
  <c r="BO9" i="22"/>
  <c r="BG5" i="22"/>
  <c r="AZ8" i="22"/>
  <c r="BG4" i="22"/>
  <c r="BU3" i="22"/>
  <c r="BV3" i="22" s="1"/>
  <c r="BU6" i="22"/>
  <c r="BV6" i="22" s="1"/>
  <c r="BA6" i="22"/>
  <c r="AT6" i="22"/>
  <c r="BN6" i="22"/>
  <c r="BO6" i="22" s="1"/>
  <c r="AT3" i="22"/>
  <c r="BN3" i="22"/>
  <c r="BO3" i="22" s="1"/>
  <c r="AM6" i="22"/>
  <c r="BG6" i="22"/>
  <c r="AM8" i="22"/>
  <c r="BG8" i="22"/>
  <c r="BU7" i="22"/>
  <c r="BV7" i="22" s="1"/>
  <c r="BA7" i="22"/>
  <c r="BG9" i="22"/>
  <c r="AM9" i="22"/>
  <c r="AT4" i="22"/>
  <c r="BN4" i="22"/>
  <c r="BO4" i="22" s="1"/>
  <c r="AT9" i="22"/>
  <c r="BU9" i="22"/>
  <c r="BV9" i="22" s="1"/>
  <c r="BA9" i="22"/>
  <c r="BU5" i="22"/>
  <c r="BV5" i="22" s="1"/>
  <c r="BN8" i="22"/>
  <c r="BO8" i="22" s="1"/>
  <c r="AJ10" i="22"/>
  <c r="BZ10" i="22"/>
  <c r="AM3" i="22"/>
  <c r="BF9" i="22"/>
  <c r="AT7" i="22"/>
  <c r="BT9" i="21"/>
  <c r="Y10" i="21"/>
  <c r="D5" i="21" s="1"/>
  <c r="B5" i="21" s="1"/>
  <c r="R10" i="21"/>
  <c r="D4" i="21" s="1"/>
  <c r="B4" i="21" s="1"/>
  <c r="BU7" i="21"/>
  <c r="BV7" i="21" s="1"/>
  <c r="BA7" i="21"/>
  <c r="AZ4" i="21"/>
  <c r="W9" i="21"/>
  <c r="AZ8" i="21"/>
  <c r="BU8" i="21" s="1"/>
  <c r="BV8" i="21" s="1"/>
  <c r="AS3" i="21"/>
  <c r="BN3" i="21" s="1"/>
  <c r="BO3" i="21" s="1"/>
  <c r="O10" i="21"/>
  <c r="AT9" i="21"/>
  <c r="H10" i="21"/>
  <c r="BG9" i="21"/>
  <c r="AM9" i="21"/>
  <c r="BG5" i="21"/>
  <c r="AM5" i="21"/>
  <c r="BO9" i="21"/>
  <c r="BG4" i="21"/>
  <c r="AM4" i="21"/>
  <c r="CB3" i="21"/>
  <c r="CC3" i="21" s="1"/>
  <c r="CI3" i="21"/>
  <c r="CJ3" i="21" s="1"/>
  <c r="BH3" i="21"/>
  <c r="BA6" i="21"/>
  <c r="BU6" i="21"/>
  <c r="BV6" i="21" s="1"/>
  <c r="AM7" i="21"/>
  <c r="BG7" i="21"/>
  <c r="BN8" i="21"/>
  <c r="BO8" i="21" s="1"/>
  <c r="AT8" i="21"/>
  <c r="AT6" i="21"/>
  <c r="BN6" i="21"/>
  <c r="BO6" i="21" s="1"/>
  <c r="BU9" i="21"/>
  <c r="BV9" i="21" s="1"/>
  <c r="BA9" i="21"/>
  <c r="BN4" i="21"/>
  <c r="BO4" i="21" s="1"/>
  <c r="AT4" i="21"/>
  <c r="BA5" i="21"/>
  <c r="BU5" i="21"/>
  <c r="BV5" i="21" s="1"/>
  <c r="AM6" i="21"/>
  <c r="BG6" i="21"/>
  <c r="AZ3" i="21"/>
  <c r="AJ10" i="21"/>
  <c r="BZ10" i="21"/>
  <c r="AR9" i="21"/>
  <c r="BM9" i="21"/>
  <c r="CH9" i="21"/>
  <c r="AS5" i="21"/>
  <c r="AL8" i="21"/>
  <c r="AM3" i="21"/>
  <c r="D6" i="21"/>
  <c r="B6" i="21" s="1"/>
  <c r="BF9" i="21"/>
  <c r="AT7" i="21"/>
  <c r="BZ10" i="20"/>
  <c r="BL10" i="20"/>
  <c r="AY9" i="20"/>
  <c r="AR9" i="20"/>
  <c r="AK9" i="20"/>
  <c r="AT6" i="20"/>
  <c r="BN6" i="20"/>
  <c r="BO6" i="20" s="1"/>
  <c r="CB8" i="20"/>
  <c r="CC8" i="20" s="1"/>
  <c r="BH8" i="20"/>
  <c r="CI8" i="20"/>
  <c r="CJ8" i="20" s="1"/>
  <c r="K10" i="20"/>
  <c r="BA6" i="20"/>
  <c r="BU6" i="20"/>
  <c r="BV6" i="20" s="1"/>
  <c r="BG5" i="20"/>
  <c r="CI5" i="20" s="1"/>
  <c r="CJ5" i="20" s="1"/>
  <c r="AM5" i="20"/>
  <c r="AM9" i="20"/>
  <c r="R5" i="20"/>
  <c r="Y8" i="20"/>
  <c r="Y10" i="20" s="1"/>
  <c r="D5" i="20" s="1"/>
  <c r="B5" i="20" s="1"/>
  <c r="W9" i="20"/>
  <c r="AT4" i="20"/>
  <c r="AM7" i="20"/>
  <c r="AM8" i="20"/>
  <c r="AZ9" i="20"/>
  <c r="BU9" i="20" s="1"/>
  <c r="R6" i="20"/>
  <c r="AS5" i="20"/>
  <c r="O10" i="20"/>
  <c r="AZ8" i="20"/>
  <c r="BU8" i="20" s="1"/>
  <c r="BV8" i="20" s="1"/>
  <c r="AZ4" i="20"/>
  <c r="BA4" i="20" s="1"/>
  <c r="H10" i="20"/>
  <c r="BU5" i="20"/>
  <c r="BV5" i="20" s="1"/>
  <c r="BA5" i="20"/>
  <c r="BH7" i="20"/>
  <c r="CB7" i="20"/>
  <c r="CC7" i="20" s="1"/>
  <c r="CI7" i="20"/>
  <c r="CJ7" i="20" s="1"/>
  <c r="AM4" i="20"/>
  <c r="BG4" i="20"/>
  <c r="CB9" i="20"/>
  <c r="CC9" i="20" s="1"/>
  <c r="CI9" i="20"/>
  <c r="CJ9" i="20" s="1"/>
  <c r="D3" i="20"/>
  <c r="B3" i="20" s="1"/>
  <c r="C3" i="20" s="1"/>
  <c r="BH5" i="20"/>
  <c r="BN8" i="20"/>
  <c r="BO8" i="20" s="1"/>
  <c r="AT8" i="20"/>
  <c r="AS9" i="20"/>
  <c r="BS10" i="20"/>
  <c r="AL3" i="20"/>
  <c r="BN3" i="20"/>
  <c r="BO3" i="20" s="1"/>
  <c r="BG6" i="20"/>
  <c r="BH9" i="20"/>
  <c r="BA7" i="20"/>
  <c r="BV9" i="20"/>
  <c r="R10" i="19"/>
  <c r="Y10" i="19"/>
  <c r="AC10" i="19"/>
  <c r="W9" i="19"/>
  <c r="H10" i="19"/>
  <c r="K9" i="19"/>
  <c r="K10" i="19" s="1"/>
  <c r="AF9" i="19"/>
  <c r="AF10" i="19" s="1"/>
  <c r="BA9" i="20" l="1"/>
  <c r="AT7" i="20"/>
  <c r="R10" i="20"/>
  <c r="D4" i="20" s="1"/>
  <c r="B4" i="20" s="1"/>
  <c r="CB3" i="23"/>
  <c r="CC3" i="23" s="1"/>
  <c r="CI3" i="23"/>
  <c r="CJ3" i="23" s="1"/>
  <c r="AT5" i="24"/>
  <c r="AT10" i="24" s="1"/>
  <c r="D8" i="24" s="1"/>
  <c r="B8" i="24" s="1"/>
  <c r="CB3" i="24"/>
  <c r="CC3" i="24" s="1"/>
  <c r="CI3" i="24"/>
  <c r="CJ3" i="24" s="1"/>
  <c r="CJ10" i="24" s="1"/>
  <c r="BG8" i="26"/>
  <c r="CI8" i="26" s="1"/>
  <c r="CJ8" i="26" s="1"/>
  <c r="CQ10" i="22"/>
  <c r="D14" i="22" s="1"/>
  <c r="B14" i="22" s="1"/>
  <c r="C14" i="22" s="1"/>
  <c r="CQ10" i="23"/>
  <c r="D14" i="23" s="1"/>
  <c r="B14" i="23" s="1"/>
  <c r="C14" i="23" s="1"/>
  <c r="CO9" i="27"/>
  <c r="B15" i="22"/>
  <c r="C15" i="22" s="1"/>
  <c r="AT3" i="21"/>
  <c r="AT5" i="22"/>
  <c r="BA6" i="24"/>
  <c r="C3" i="24"/>
  <c r="B3" i="24"/>
  <c r="CO9" i="22"/>
  <c r="CX10" i="25"/>
  <c r="D15" i="25" s="1"/>
  <c r="CV9" i="26"/>
  <c r="BN7" i="25"/>
  <c r="BO7" i="25" s="1"/>
  <c r="AT7" i="25"/>
  <c r="B15" i="21"/>
  <c r="C15" i="21" s="1"/>
  <c r="Y10" i="22"/>
  <c r="D5" i="22" s="1"/>
  <c r="B5" i="22" s="1"/>
  <c r="BA6" i="25"/>
  <c r="CO9" i="20"/>
  <c r="CN10" i="22"/>
  <c r="B15" i="25"/>
  <c r="C15" i="25" s="1"/>
  <c r="BH18" i="5"/>
  <c r="BC18" i="5"/>
  <c r="CX9" i="27"/>
  <c r="CX10" i="27" s="1"/>
  <c r="D15" i="27" s="1"/>
  <c r="B15" i="27" s="1"/>
  <c r="C15" i="27" s="1"/>
  <c r="CV9" i="27"/>
  <c r="CQ10" i="27"/>
  <c r="D14" i="27" s="1"/>
  <c r="B14" i="27" s="1"/>
  <c r="C14" i="27" s="1"/>
  <c r="CU10" i="27"/>
  <c r="CN10" i="27"/>
  <c r="CX10" i="26"/>
  <c r="D15" i="26" s="1"/>
  <c r="B15" i="26" s="1"/>
  <c r="C15" i="26" s="1"/>
  <c r="CN10" i="26"/>
  <c r="CN10" i="25"/>
  <c r="CV9" i="25"/>
  <c r="CU10" i="25"/>
  <c r="CO9" i="25"/>
  <c r="CN10" i="24"/>
  <c r="CX9" i="24"/>
  <c r="CX10" i="24" s="1"/>
  <c r="D15" i="24" s="1"/>
  <c r="B15" i="24" s="1"/>
  <c r="C15" i="24" s="1"/>
  <c r="CV9" i="24"/>
  <c r="CN10" i="23"/>
  <c r="CX9" i="23"/>
  <c r="CX10" i="23" s="1"/>
  <c r="D15" i="23" s="1"/>
  <c r="B15" i="23" s="1"/>
  <c r="C15" i="23" s="1"/>
  <c r="CV9" i="23"/>
  <c r="CU10" i="23"/>
  <c r="CO9" i="23"/>
  <c r="CX10" i="21"/>
  <c r="D15" i="21" s="1"/>
  <c r="CN10" i="21"/>
  <c r="CX9" i="21"/>
  <c r="CV9" i="21"/>
  <c r="CU10" i="21"/>
  <c r="CO9" i="21"/>
  <c r="CN10" i="20"/>
  <c r="CX9" i="20"/>
  <c r="CX10" i="20" s="1"/>
  <c r="D15" i="20" s="1"/>
  <c r="B15" i="20" s="1"/>
  <c r="C15" i="20" s="1"/>
  <c r="CV9" i="20"/>
  <c r="CN10" i="19"/>
  <c r="CV9" i="6"/>
  <c r="CX10" i="6"/>
  <c r="D15" i="6" s="1"/>
  <c r="B15" i="6" s="1"/>
  <c r="C15" i="6" s="1"/>
  <c r="CU10" i="6"/>
  <c r="CU10" i="18"/>
  <c r="CX9" i="18"/>
  <c r="CX10" i="18" s="1"/>
  <c r="D15" i="18" s="1"/>
  <c r="B15" i="18" s="1"/>
  <c r="C15" i="18" s="1"/>
  <c r="CO9" i="18"/>
  <c r="B14" i="18"/>
  <c r="C14" i="18" s="1"/>
  <c r="CQ10" i="6"/>
  <c r="D14" i="6" s="1"/>
  <c r="B14" i="6" s="1"/>
  <c r="C14" i="6" s="1"/>
  <c r="BU7" i="27"/>
  <c r="BV7" i="27" s="1"/>
  <c r="BV10" i="27" s="1"/>
  <c r="D12" i="27" s="1"/>
  <c r="B12" i="27" s="1"/>
  <c r="BA7" i="27"/>
  <c r="BA10" i="27" s="1"/>
  <c r="D9" i="27" s="1"/>
  <c r="B9" i="27" s="1"/>
  <c r="BN5" i="27"/>
  <c r="BO5" i="27" s="1"/>
  <c r="BO10" i="27" s="1"/>
  <c r="D11" i="27" s="1"/>
  <c r="B11" i="27" s="1"/>
  <c r="CB7" i="27"/>
  <c r="CC7" i="27" s="1"/>
  <c r="BH7" i="27"/>
  <c r="AT10" i="27"/>
  <c r="D8" i="27" s="1"/>
  <c r="B8" i="27" s="1"/>
  <c r="CB4" i="27"/>
  <c r="CC4" i="27" s="1"/>
  <c r="BH4" i="27"/>
  <c r="D6" i="27"/>
  <c r="B6" i="27" s="1"/>
  <c r="CB8" i="27"/>
  <c r="CC8" i="27" s="1"/>
  <c r="BH8" i="27"/>
  <c r="CB9" i="27"/>
  <c r="CC9" i="27" s="1"/>
  <c r="BH9" i="27"/>
  <c r="CB6" i="27"/>
  <c r="CC6" i="27" s="1"/>
  <c r="BH6" i="27"/>
  <c r="BG5" i="27"/>
  <c r="CI5" i="27" s="1"/>
  <c r="CJ5" i="27" s="1"/>
  <c r="CJ10" i="27" s="1"/>
  <c r="AM5" i="27"/>
  <c r="AT5" i="26"/>
  <c r="BU6" i="26"/>
  <c r="BV6" i="26" s="1"/>
  <c r="BU8" i="26"/>
  <c r="BV8" i="26" s="1"/>
  <c r="BA8" i="26"/>
  <c r="BA10" i="26" s="1"/>
  <c r="D9" i="26" s="1"/>
  <c r="B9" i="26" s="1"/>
  <c r="CB9" i="26"/>
  <c r="CC9" i="26" s="1"/>
  <c r="BH9" i="26"/>
  <c r="CB4" i="26"/>
  <c r="CC4" i="26" s="1"/>
  <c r="BH4" i="26"/>
  <c r="CB7" i="26"/>
  <c r="CC7" i="26" s="1"/>
  <c r="BH7" i="26"/>
  <c r="AT3" i="26"/>
  <c r="AT10" i="26" s="1"/>
  <c r="D8" i="26" s="1"/>
  <c r="B8" i="26" s="1"/>
  <c r="BN3" i="26"/>
  <c r="BO3" i="26" s="1"/>
  <c r="BO10" i="26" s="1"/>
  <c r="D11" i="26" s="1"/>
  <c r="B11" i="26" s="1"/>
  <c r="AM6" i="26"/>
  <c r="BG6" i="26"/>
  <c r="CI6" i="26" s="1"/>
  <c r="CJ6" i="26" s="1"/>
  <c r="CB8" i="26"/>
  <c r="CC8" i="26" s="1"/>
  <c r="BH8" i="26"/>
  <c r="BG5" i="26"/>
  <c r="CI5" i="26" s="1"/>
  <c r="CJ5" i="26" s="1"/>
  <c r="AM5" i="26"/>
  <c r="D6" i="26"/>
  <c r="B6" i="26" s="1"/>
  <c r="AM8" i="25"/>
  <c r="AM10" i="25" s="1"/>
  <c r="D7" i="25" s="1"/>
  <c r="B7" i="25" s="1"/>
  <c r="BG3" i="25"/>
  <c r="CI3" i="25" s="1"/>
  <c r="CJ3" i="25" s="1"/>
  <c r="CJ10" i="25" s="1"/>
  <c r="BU4" i="25"/>
  <c r="BV4" i="25" s="1"/>
  <c r="BA4" i="25"/>
  <c r="BA3" i="25"/>
  <c r="BN3" i="25"/>
  <c r="BO3" i="25" s="1"/>
  <c r="BO10" i="25" s="1"/>
  <c r="D11" i="25" s="1"/>
  <c r="B11" i="25" s="1"/>
  <c r="BA8" i="25"/>
  <c r="BU8" i="25"/>
  <c r="BV8" i="25" s="1"/>
  <c r="BH3" i="25"/>
  <c r="CB4" i="25"/>
  <c r="CC4" i="25" s="1"/>
  <c r="BH4" i="25"/>
  <c r="CB6" i="25"/>
  <c r="CC6" i="25" s="1"/>
  <c r="BH6" i="25"/>
  <c r="CB5" i="25"/>
  <c r="CC5" i="25" s="1"/>
  <c r="BH5" i="25"/>
  <c r="CB7" i="25"/>
  <c r="CC7" i="25" s="1"/>
  <c r="BH7" i="25"/>
  <c r="CB8" i="25"/>
  <c r="CC8" i="25" s="1"/>
  <c r="BH8" i="25"/>
  <c r="AT10" i="25"/>
  <c r="D8" i="25" s="1"/>
  <c r="B8" i="25" s="1"/>
  <c r="AM10" i="24"/>
  <c r="D7" i="24" s="1"/>
  <c r="B7" i="24" s="1"/>
  <c r="BA3" i="24"/>
  <c r="BH3" i="24"/>
  <c r="BA10" i="24"/>
  <c r="D9" i="24" s="1"/>
  <c r="B9" i="24" s="1"/>
  <c r="CB8" i="24"/>
  <c r="CC8" i="24" s="1"/>
  <c r="BH8" i="24"/>
  <c r="CB7" i="24"/>
  <c r="CC7" i="24" s="1"/>
  <c r="BH7" i="24"/>
  <c r="D6" i="24"/>
  <c r="B6" i="24" s="1"/>
  <c r="BV10" i="24"/>
  <c r="D12" i="24" s="1"/>
  <c r="B12" i="24" s="1"/>
  <c r="BO10" i="24"/>
  <c r="D11" i="24" s="1"/>
  <c r="B11" i="24" s="1"/>
  <c r="CB4" i="24"/>
  <c r="CC4" i="24" s="1"/>
  <c r="BH4" i="24"/>
  <c r="CB6" i="24"/>
  <c r="CC6" i="24" s="1"/>
  <c r="BH6" i="24"/>
  <c r="CB5" i="24"/>
  <c r="CC5" i="24" s="1"/>
  <c r="BH5" i="24"/>
  <c r="BU4" i="23"/>
  <c r="BV4" i="23" s="1"/>
  <c r="BA8" i="23"/>
  <c r="BA10" i="23" s="1"/>
  <c r="D9" i="23" s="1"/>
  <c r="B9" i="23" s="1"/>
  <c r="BU8" i="23"/>
  <c r="BV8" i="23" s="1"/>
  <c r="AT5" i="23"/>
  <c r="CB4" i="23"/>
  <c r="CC4" i="23" s="1"/>
  <c r="BH4" i="23"/>
  <c r="CB5" i="23"/>
  <c r="CC5" i="23" s="1"/>
  <c r="BH5" i="23"/>
  <c r="CB7" i="23"/>
  <c r="CC7" i="23" s="1"/>
  <c r="BH7" i="23"/>
  <c r="AT3" i="23"/>
  <c r="BN3" i="23"/>
  <c r="BO3" i="23" s="1"/>
  <c r="BO10" i="23" s="1"/>
  <c r="D11" i="23" s="1"/>
  <c r="B11" i="23" s="1"/>
  <c r="D6" i="23"/>
  <c r="B6" i="23" s="1"/>
  <c r="AM6" i="23"/>
  <c r="AM10" i="23" s="1"/>
  <c r="D7" i="23" s="1"/>
  <c r="B7" i="23" s="1"/>
  <c r="BG6" i="23"/>
  <c r="CI6" i="23" s="1"/>
  <c r="CJ6" i="23" s="1"/>
  <c r="CB8" i="23"/>
  <c r="CC8" i="23" s="1"/>
  <c r="BH8" i="23"/>
  <c r="CB9" i="23"/>
  <c r="CC9" i="23" s="1"/>
  <c r="BH9" i="23"/>
  <c r="BG7" i="22"/>
  <c r="CB7" i="22" s="1"/>
  <c r="CC7" i="22" s="1"/>
  <c r="BA4" i="22"/>
  <c r="CB3" i="22"/>
  <c r="CC3" i="22" s="1"/>
  <c r="BH3" i="22"/>
  <c r="BA8" i="22"/>
  <c r="BA10" i="22" s="1"/>
  <c r="D9" i="22" s="1"/>
  <c r="B9" i="22" s="1"/>
  <c r="BU8" i="22"/>
  <c r="BV8" i="22" s="1"/>
  <c r="BV10" i="22" s="1"/>
  <c r="D12" i="22" s="1"/>
  <c r="B12" i="22" s="1"/>
  <c r="CI5" i="22"/>
  <c r="CJ5" i="22" s="1"/>
  <c r="BH5" i="22"/>
  <c r="CB5" i="22"/>
  <c r="CC5" i="22" s="1"/>
  <c r="CI7" i="22"/>
  <c r="CJ7" i="22" s="1"/>
  <c r="BH7" i="22"/>
  <c r="CB4" i="22"/>
  <c r="CC4" i="22" s="1"/>
  <c r="CI4" i="22"/>
  <c r="CJ4" i="22" s="1"/>
  <c r="BH4" i="22"/>
  <c r="D6" i="22"/>
  <c r="B6" i="22" s="1"/>
  <c r="AT10" i="22"/>
  <c r="D8" i="22" s="1"/>
  <c r="B8" i="22" s="1"/>
  <c r="CB6" i="22"/>
  <c r="CC6" i="22" s="1"/>
  <c r="CI6" i="22"/>
  <c r="CJ6" i="22" s="1"/>
  <c r="BH6" i="22"/>
  <c r="CB8" i="22"/>
  <c r="CC8" i="22" s="1"/>
  <c r="CI8" i="22"/>
  <c r="CJ8" i="22" s="1"/>
  <c r="BH8" i="22"/>
  <c r="CB9" i="22"/>
  <c r="CC9" i="22" s="1"/>
  <c r="BH9" i="22"/>
  <c r="CI9" i="22"/>
  <c r="CJ9" i="22" s="1"/>
  <c r="AM10" i="22"/>
  <c r="D7" i="22" s="1"/>
  <c r="B7" i="22" s="1"/>
  <c r="BO10" i="22"/>
  <c r="D11" i="22" s="1"/>
  <c r="B11" i="22" s="1"/>
  <c r="BU4" i="21"/>
  <c r="BV4" i="21" s="1"/>
  <c r="BA4" i="21"/>
  <c r="BA8" i="21"/>
  <c r="CB9" i="21"/>
  <c r="CC9" i="21" s="1"/>
  <c r="BH9" i="21"/>
  <c r="CI9" i="21"/>
  <c r="CJ9" i="21" s="1"/>
  <c r="CB7" i="21"/>
  <c r="CC7" i="21" s="1"/>
  <c r="CI7" i="21"/>
  <c r="CJ7" i="21" s="1"/>
  <c r="BH7" i="21"/>
  <c r="CB5" i="21"/>
  <c r="CC5" i="21" s="1"/>
  <c r="CI5" i="21"/>
  <c r="CJ5" i="21" s="1"/>
  <c r="BH5" i="21"/>
  <c r="BG8" i="21"/>
  <c r="AM8" i="21"/>
  <c r="AM10" i="21" s="1"/>
  <c r="D7" i="21" s="1"/>
  <c r="B7" i="21" s="1"/>
  <c r="CB6" i="21"/>
  <c r="CC6" i="21" s="1"/>
  <c r="CI6" i="21"/>
  <c r="CJ6" i="21" s="1"/>
  <c r="BH6" i="21"/>
  <c r="BA3" i="21"/>
  <c r="BU3" i="21"/>
  <c r="BV3" i="21" s="1"/>
  <c r="BV10" i="21" s="1"/>
  <c r="D12" i="21" s="1"/>
  <c r="B12" i="21" s="1"/>
  <c r="BO10" i="21"/>
  <c r="D11" i="21" s="1"/>
  <c r="B11" i="21" s="1"/>
  <c r="BN5" i="21"/>
  <c r="BO5" i="21" s="1"/>
  <c r="AT5" i="21"/>
  <c r="AT10" i="21" s="1"/>
  <c r="D8" i="21" s="1"/>
  <c r="B8" i="21" s="1"/>
  <c r="CB4" i="21"/>
  <c r="CC4" i="21" s="1"/>
  <c r="CI4" i="21"/>
  <c r="CJ4" i="21" s="1"/>
  <c r="BH4" i="21"/>
  <c r="BN5" i="20"/>
  <c r="BO5" i="20" s="1"/>
  <c r="AT5" i="20"/>
  <c r="BU4" i="20"/>
  <c r="BV4" i="20" s="1"/>
  <c r="BV10" i="20" s="1"/>
  <c r="D12" i="20" s="1"/>
  <c r="B12" i="20" s="1"/>
  <c r="BA10" i="20"/>
  <c r="D9" i="20" s="1"/>
  <c r="B9" i="20" s="1"/>
  <c r="BA8" i="20"/>
  <c r="CB5" i="20"/>
  <c r="CC5" i="20" s="1"/>
  <c r="AT9" i="20"/>
  <c r="BN9" i="20"/>
  <c r="BO9" i="20" s="1"/>
  <c r="BG3" i="20"/>
  <c r="AM3" i="20"/>
  <c r="CB4" i="20"/>
  <c r="CC4" i="20" s="1"/>
  <c r="CI4" i="20"/>
  <c r="CJ4" i="20" s="1"/>
  <c r="BH4" i="20"/>
  <c r="CB6" i="20"/>
  <c r="CC6" i="20" s="1"/>
  <c r="CI6" i="20"/>
  <c r="CJ6" i="20" s="1"/>
  <c r="BH6" i="20"/>
  <c r="BA10" i="21" l="1"/>
  <c r="D9" i="21" s="1"/>
  <c r="B9" i="21" s="1"/>
  <c r="BV10" i="26"/>
  <c r="D12" i="26" s="1"/>
  <c r="B12" i="26" s="1"/>
  <c r="CJ10" i="23"/>
  <c r="D17" i="23" s="1"/>
  <c r="B17" i="23" s="1"/>
  <c r="CJ10" i="26"/>
  <c r="AM10" i="27"/>
  <c r="D7" i="27" s="1"/>
  <c r="B7" i="27" s="1"/>
  <c r="CB5" i="27"/>
  <c r="CC5" i="27" s="1"/>
  <c r="CC10" i="27" s="1"/>
  <c r="D13" i="27" s="1"/>
  <c r="B13" i="27" s="1"/>
  <c r="C13" i="27" s="1"/>
  <c r="D17" i="27"/>
  <c r="B17" i="27" s="1"/>
  <c r="BH5" i="27"/>
  <c r="BH10" i="27" s="1"/>
  <c r="D10" i="27" s="1"/>
  <c r="B10" i="27" s="1"/>
  <c r="AM10" i="26"/>
  <c r="D7" i="26" s="1"/>
  <c r="B7" i="26" s="1"/>
  <c r="CB6" i="26"/>
  <c r="CC6" i="26" s="1"/>
  <c r="BH6" i="26"/>
  <c r="CB5" i="26"/>
  <c r="CC5" i="26" s="1"/>
  <c r="D17" i="26"/>
  <c r="B17" i="26" s="1"/>
  <c r="BH5" i="26"/>
  <c r="BV10" i="25"/>
  <c r="D12" i="25" s="1"/>
  <c r="B12" i="25" s="1"/>
  <c r="CB3" i="25"/>
  <c r="CC3" i="25" s="1"/>
  <c r="CC10" i="25" s="1"/>
  <c r="D13" i="25" s="1"/>
  <c r="B13" i="25" s="1"/>
  <c r="C13" i="25" s="1"/>
  <c r="D17" i="25"/>
  <c r="B17" i="25" s="1"/>
  <c r="BA10" i="25"/>
  <c r="D9" i="25" s="1"/>
  <c r="B9" i="25" s="1"/>
  <c r="BH10" i="25"/>
  <c r="D10" i="25" s="1"/>
  <c r="B10" i="25" s="1"/>
  <c r="D17" i="24"/>
  <c r="B17" i="24" s="1"/>
  <c r="BH10" i="24"/>
  <c r="D10" i="24" s="1"/>
  <c r="B10" i="24" s="1"/>
  <c r="CC10" i="24"/>
  <c r="D13" i="24" s="1"/>
  <c r="B13" i="24" s="1"/>
  <c r="C13" i="24" s="1"/>
  <c r="BV10" i="23"/>
  <c r="D12" i="23" s="1"/>
  <c r="B12" i="23" s="1"/>
  <c r="AT10" i="23"/>
  <c r="D8" i="23" s="1"/>
  <c r="B8" i="23" s="1"/>
  <c r="CB6" i="23"/>
  <c r="CC6" i="23" s="1"/>
  <c r="CC10" i="23" s="1"/>
  <c r="D13" i="23" s="1"/>
  <c r="B13" i="23" s="1"/>
  <c r="C13" i="23" s="1"/>
  <c r="BH6" i="23"/>
  <c r="BH10" i="23" s="1"/>
  <c r="D10" i="23" s="1"/>
  <c r="B10" i="23" s="1"/>
  <c r="CJ10" i="22"/>
  <c r="D17" i="22" s="1"/>
  <c r="B17" i="22" s="1"/>
  <c r="CC10" i="22"/>
  <c r="D13" i="22" s="1"/>
  <c r="B13" i="22" s="1"/>
  <c r="C13" i="22" s="1"/>
  <c r="BH10" i="22"/>
  <c r="D10" i="22" s="1"/>
  <c r="B10" i="22" s="1"/>
  <c r="CC10" i="21"/>
  <c r="D13" i="21" s="1"/>
  <c r="B13" i="21" s="1"/>
  <c r="C13" i="21" s="1"/>
  <c r="CB8" i="21"/>
  <c r="CC8" i="21" s="1"/>
  <c r="CI8" i="21"/>
  <c r="CJ8" i="21" s="1"/>
  <c r="CJ10" i="21" s="1"/>
  <c r="D17" i="21" s="1"/>
  <c r="B17" i="21" s="1"/>
  <c r="BH8" i="21"/>
  <c r="BH10" i="21" s="1"/>
  <c r="D10" i="21" s="1"/>
  <c r="B10" i="21" s="1"/>
  <c r="BO10" i="20"/>
  <c r="D11" i="20" s="1"/>
  <c r="B11" i="20" s="1"/>
  <c r="AT10" i="20"/>
  <c r="D8" i="20" s="1"/>
  <c r="B8" i="20" s="1"/>
  <c r="AM10" i="20"/>
  <c r="D7" i="20" s="1"/>
  <c r="B7" i="20" s="1"/>
  <c r="CB3" i="20"/>
  <c r="CC3" i="20" s="1"/>
  <c r="CC10" i="20" s="1"/>
  <c r="D13" i="20" s="1"/>
  <c r="B13" i="20" s="1"/>
  <c r="C13" i="20" s="1"/>
  <c r="CI3" i="20"/>
  <c r="CJ3" i="20" s="1"/>
  <c r="CJ10" i="20" s="1"/>
  <c r="D17" i="20" s="1"/>
  <c r="B17" i="20" s="1"/>
  <c r="BH3" i="20"/>
  <c r="B18" i="19"/>
  <c r="CG10" i="19"/>
  <c r="AQ10" i="19"/>
  <c r="BZ9" i="19"/>
  <c r="BZ10" i="19" s="1"/>
  <c r="BT9" i="19"/>
  <c r="BS9" i="19"/>
  <c r="BL9" i="19"/>
  <c r="BL10" i="19" s="1"/>
  <c r="BE9" i="19"/>
  <c r="BF9" i="19" s="1"/>
  <c r="AX9" i="19"/>
  <c r="AX10" i="19" s="1"/>
  <c r="AR9" i="19"/>
  <c r="AJ9" i="19"/>
  <c r="AJ10" i="19" s="1"/>
  <c r="CA8" i="19"/>
  <c r="BT8" i="19"/>
  <c r="BM8" i="19"/>
  <c r="BF8" i="19"/>
  <c r="BA8" i="19"/>
  <c r="AZ8" i="19"/>
  <c r="AY8" i="19"/>
  <c r="AR8" i="19"/>
  <c r="AK8" i="19"/>
  <c r="CC10" i="26" l="1"/>
  <c r="D13" i="26" s="1"/>
  <c r="B13" i="26" s="1"/>
  <c r="C13" i="26" s="1"/>
  <c r="BH10" i="26"/>
  <c r="D10" i="26" s="1"/>
  <c r="B10" i="26" s="1"/>
  <c r="BH10" i="20"/>
  <c r="D10" i="20" s="1"/>
  <c r="B10" i="20" s="1"/>
  <c r="BM9" i="19"/>
  <c r="AY9" i="19"/>
  <c r="CA7" i="19"/>
  <c r="BT7" i="19"/>
  <c r="BM7" i="19"/>
  <c r="BF7" i="19"/>
  <c r="AZ7" i="19"/>
  <c r="BU7" i="19" s="1"/>
  <c r="AY7" i="19"/>
  <c r="AS7" i="19"/>
  <c r="AT7" i="19" s="1"/>
  <c r="AR7" i="19"/>
  <c r="AK7" i="19"/>
  <c r="CA6" i="19"/>
  <c r="BT6" i="19"/>
  <c r="BM6" i="19"/>
  <c r="BF6" i="19"/>
  <c r="AZ6" i="19"/>
  <c r="BA6" i="19" s="1"/>
  <c r="AY6" i="19"/>
  <c r="AR6" i="19"/>
  <c r="AK6" i="19"/>
  <c r="D6" i="19"/>
  <c r="B6" i="19" s="1"/>
  <c r="BA7" i="19" l="1"/>
  <c r="BV7" i="19"/>
  <c r="CA5" i="19"/>
  <c r="BT5" i="19"/>
  <c r="BM5" i="19"/>
  <c r="BF5" i="19" l="1"/>
  <c r="AY5" i="19"/>
  <c r="AR5" i="19"/>
  <c r="AK5" i="19"/>
  <c r="D5" i="19"/>
  <c r="B5" i="19" s="1"/>
  <c r="CA4" i="19"/>
  <c r="BT4" i="19"/>
  <c r="BM4" i="19"/>
  <c r="BF4" i="19"/>
  <c r="AZ4" i="19"/>
  <c r="BU4" i="19" s="1"/>
  <c r="AY4" i="19"/>
  <c r="AR4" i="19"/>
  <c r="AK4" i="19"/>
  <c r="D4" i="19"/>
  <c r="B4" i="19" s="1"/>
  <c r="CA3" i="19"/>
  <c r="BT3" i="19"/>
  <c r="BM3" i="19"/>
  <c r="BF3" i="19"/>
  <c r="AY3" i="19"/>
  <c r="AR3" i="19"/>
  <c r="AL3" i="19"/>
  <c r="BG3" i="19" s="1"/>
  <c r="AK3" i="19"/>
  <c r="D3" i="19"/>
  <c r="B18" i="18"/>
  <c r="BS10" i="18"/>
  <c r="AQ10" i="18"/>
  <c r="AJ10" i="18"/>
  <c r="H10" i="18"/>
  <c r="CG9" i="18"/>
  <c r="CH9" i="18" s="1"/>
  <c r="CA9" i="18"/>
  <c r="BZ9" i="18"/>
  <c r="BS9" i="18"/>
  <c r="BM9" i="18"/>
  <c r="BL9" i="18"/>
  <c r="BL10" i="18" s="1"/>
  <c r="BF9" i="18"/>
  <c r="BE9" i="18"/>
  <c r="AZ9" i="18"/>
  <c r="AX9" i="18"/>
  <c r="BA9" i="18" s="1"/>
  <c r="AR9" i="18"/>
  <c r="AJ9" i="18"/>
  <c r="AE9" i="18"/>
  <c r="AC9" i="18"/>
  <c r="AD9" i="18" s="1"/>
  <c r="X9" i="18"/>
  <c r="AS9" i="18" s="1"/>
  <c r="AT9" i="18" s="1"/>
  <c r="V9" i="18"/>
  <c r="W9" i="18" s="1"/>
  <c r="Q9" i="18"/>
  <c r="O9" i="18"/>
  <c r="K9" i="18" s="1"/>
  <c r="I9" i="18"/>
  <c r="H9" i="18"/>
  <c r="CA8" i="18"/>
  <c r="BT8" i="18"/>
  <c r="BM8" i="18"/>
  <c r="BF8" i="18"/>
  <c r="AZ8" i="18"/>
  <c r="BA8" i="18" s="1"/>
  <c r="AY8" i="18"/>
  <c r="AR8" i="18"/>
  <c r="AL8" i="18"/>
  <c r="BG8" i="18" s="1"/>
  <c r="AK8" i="18"/>
  <c r="AF8" i="18" s="1"/>
  <c r="AE8" i="18"/>
  <c r="AD8" i="18"/>
  <c r="X8" i="18"/>
  <c r="AS8" i="18" s="1"/>
  <c r="W8" i="18"/>
  <c r="Q8" i="18"/>
  <c r="R8" i="18" s="1"/>
  <c r="P8" i="18"/>
  <c r="K8" i="18"/>
  <c r="I8" i="18"/>
  <c r="CA7" i="18"/>
  <c r="BT7" i="18"/>
  <c r="BM7" i="18"/>
  <c r="BF7" i="18"/>
  <c r="AY7" i="18"/>
  <c r="AR7" i="18"/>
  <c r="AK7" i="18"/>
  <c r="AE7" i="18"/>
  <c r="AF7" i="18" s="1"/>
  <c r="AD7" i="18"/>
  <c r="X7" i="18"/>
  <c r="AS7" i="18" s="1"/>
  <c r="W7" i="18"/>
  <c r="R7" i="18" s="1"/>
  <c r="Q7" i="18"/>
  <c r="AL7" i="18" s="1"/>
  <c r="AM7" i="18" s="1"/>
  <c r="P7" i="18"/>
  <c r="K7" i="18"/>
  <c r="I7" i="18"/>
  <c r="CA6" i="18"/>
  <c r="BT6" i="18"/>
  <c r="BM6" i="18"/>
  <c r="BF6" i="18"/>
  <c r="AY6" i="18"/>
  <c r="AR6" i="18"/>
  <c r="AK6" i="18"/>
  <c r="AE6" i="18"/>
  <c r="AF6" i="18" s="1"/>
  <c r="AD6" i="18"/>
  <c r="X6" i="18"/>
  <c r="Y6" i="18" s="1"/>
  <c r="W6" i="18"/>
  <c r="R6" i="18" s="1"/>
  <c r="Q6" i="18"/>
  <c r="AL6" i="18" s="1"/>
  <c r="BG6" i="18" s="1"/>
  <c r="P6" i="18"/>
  <c r="K6" i="18"/>
  <c r="I6" i="18"/>
  <c r="CA5" i="18"/>
  <c r="BT5" i="18"/>
  <c r="BM5" i="18"/>
  <c r="BF5" i="18"/>
  <c r="AY5" i="18"/>
  <c r="AS5" i="18"/>
  <c r="BN5" i="18" s="1"/>
  <c r="AR5" i="18"/>
  <c r="AL5" i="18"/>
  <c r="AM5" i="18" s="1"/>
  <c r="AK5" i="18"/>
  <c r="AF5" i="18" s="1"/>
  <c r="AE5" i="18"/>
  <c r="AZ5" i="18" s="1"/>
  <c r="AD5" i="18"/>
  <c r="X5" i="18"/>
  <c r="W5" i="18"/>
  <c r="R5" i="18" s="1"/>
  <c r="Q5" i="18"/>
  <c r="P5" i="18"/>
  <c r="K5" i="18"/>
  <c r="I5" i="18"/>
  <c r="CA4" i="18"/>
  <c r="BT4" i="18"/>
  <c r="BM4" i="18"/>
  <c r="BF4" i="18"/>
  <c r="AY4" i="18"/>
  <c r="AR4" i="18"/>
  <c r="AK4" i="18"/>
  <c r="AE4" i="18"/>
  <c r="AZ4" i="18" s="1"/>
  <c r="AD4" i="18"/>
  <c r="X4" i="18"/>
  <c r="Y4" i="18" s="1"/>
  <c r="W4" i="18"/>
  <c r="R4" i="18" s="1"/>
  <c r="Q4" i="18"/>
  <c r="AL4" i="18" s="1"/>
  <c r="AM4" i="18" s="1"/>
  <c r="P4" i="18"/>
  <c r="K4" i="18"/>
  <c r="I4" i="18"/>
  <c r="CB6" i="18" l="1"/>
  <c r="CC6" i="18" s="1"/>
  <c r="CI6" i="18"/>
  <c r="BH6" i="18"/>
  <c r="CI8" i="18"/>
  <c r="CB8" i="18"/>
  <c r="CC8" i="18" s="1"/>
  <c r="BH8" i="18"/>
  <c r="BN7" i="18"/>
  <c r="BO7" i="18" s="1"/>
  <c r="AT7" i="18"/>
  <c r="BA4" i="18"/>
  <c r="BU4" i="18"/>
  <c r="BN8" i="18"/>
  <c r="BO8" i="18" s="1"/>
  <c r="AT8" i="18"/>
  <c r="BU5" i="18"/>
  <c r="BA5" i="18"/>
  <c r="CB3" i="19"/>
  <c r="BH3" i="19"/>
  <c r="AF4" i="18"/>
  <c r="BG5" i="18"/>
  <c r="Y8" i="18"/>
  <c r="P9" i="18"/>
  <c r="BV5" i="18"/>
  <c r="R9" i="18"/>
  <c r="Y9" i="18"/>
  <c r="AF9" i="18"/>
  <c r="AX10" i="18"/>
  <c r="AM6" i="18"/>
  <c r="AS4" i="18"/>
  <c r="AT5" i="18"/>
  <c r="AZ7" i="18"/>
  <c r="AM8" i="18"/>
  <c r="AY9" i="18"/>
  <c r="BV4" i="18"/>
  <c r="BO5" i="18"/>
  <c r="AS6" i="18"/>
  <c r="BU8" i="18"/>
  <c r="BV8" i="18" s="1"/>
  <c r="Y5" i="18"/>
  <c r="Y7" i="18"/>
  <c r="O10" i="18"/>
  <c r="CG10" i="18"/>
  <c r="BA4" i="19"/>
  <c r="BV4" i="19"/>
  <c r="AM3" i="19"/>
  <c r="CA3" i="18"/>
  <c r="BT3" i="18"/>
  <c r="BM3" i="18"/>
  <c r="BF3" i="18"/>
  <c r="AY3" i="18"/>
  <c r="AR3" i="18"/>
  <c r="AK3" i="18"/>
  <c r="AE3" i="18"/>
  <c r="AF3" i="18" s="1"/>
  <c r="AF10" i="18" s="1"/>
  <c r="AD3" i="18"/>
  <c r="X3" i="18"/>
  <c r="Y3" i="18" s="1"/>
  <c r="Y10" i="18" s="1"/>
  <c r="W3" i="18"/>
  <c r="R3" i="18"/>
  <c r="Q3" i="18"/>
  <c r="AL3" i="18" s="1"/>
  <c r="P3" i="18"/>
  <c r="K3" i="18"/>
  <c r="I3" i="18"/>
  <c r="B18" i="6"/>
  <c r="BG3" i="18" l="1"/>
  <c r="AM3" i="18"/>
  <c r="V10" i="18"/>
  <c r="R10" i="18" s="1"/>
  <c r="D4" i="18" s="1"/>
  <c r="B4" i="18" s="1"/>
  <c r="D5" i="18"/>
  <c r="B5" i="18" s="1"/>
  <c r="AC10" i="18"/>
  <c r="D6" i="18"/>
  <c r="B6" i="18" s="1"/>
  <c r="AZ3" i="18"/>
  <c r="AT4" i="18"/>
  <c r="BN4" i="18"/>
  <c r="BO4" i="18" s="1"/>
  <c r="CI5" i="18"/>
  <c r="CJ5" i="18" s="1"/>
  <c r="BH5" i="18"/>
  <c r="CB5" i="18"/>
  <c r="CC5" i="18" s="1"/>
  <c r="AT6" i="18"/>
  <c r="BN6" i="18"/>
  <c r="BO6" i="18" s="1"/>
  <c r="BA7" i="18"/>
  <c r="BU7" i="18"/>
  <c r="BV7" i="18" s="1"/>
  <c r="K10" i="18"/>
  <c r="D3" i="18" s="1"/>
  <c r="AS3" i="18"/>
  <c r="BZ10" i="6"/>
  <c r="BL10" i="6"/>
  <c r="AQ10" i="6"/>
  <c r="AJ10" i="6"/>
  <c r="V10" i="6"/>
  <c r="H10" i="6"/>
  <c r="CJ9" i="6"/>
  <c r="CI9" i="6"/>
  <c r="CG9" i="6"/>
  <c r="CA9" i="6"/>
  <c r="BZ9" i="6"/>
  <c r="BS9" i="6"/>
  <c r="BM9" i="6"/>
  <c r="BL9" i="6"/>
  <c r="BE9" i="6"/>
  <c r="AX9" i="6"/>
  <c r="AX10" i="6" s="1"/>
  <c r="AR9" i="6"/>
  <c r="AJ9" i="6"/>
  <c r="AK9" i="6" s="1"/>
  <c r="AE9" i="6"/>
  <c r="AC9" i="6"/>
  <c r="X9" i="6"/>
  <c r="V9" i="6"/>
  <c r="W9" i="6" s="1"/>
  <c r="Q9" i="6"/>
  <c r="O9" i="6"/>
  <c r="K9" i="6" s="1"/>
  <c r="I9" i="6"/>
  <c r="H9" i="6"/>
  <c r="CI8" i="6"/>
  <c r="CJ8" i="6" s="1"/>
  <c r="CH8" i="6"/>
  <c r="CA8" i="6"/>
  <c r="BT8" i="6"/>
  <c r="BM8" i="6"/>
  <c r="BF8" i="6"/>
  <c r="AY8" i="6"/>
  <c r="AR8" i="6"/>
  <c r="AL8" i="6"/>
  <c r="AM8" i="6" s="1"/>
  <c r="AK8" i="6"/>
  <c r="AE8" i="6"/>
  <c r="AF8" i="6" s="1"/>
  <c r="AD8" i="6"/>
  <c r="Y8" i="6"/>
  <c r="X8" i="6"/>
  <c r="W8" i="6"/>
  <c r="R8" i="6"/>
  <c r="Q8" i="6"/>
  <c r="P8" i="6"/>
  <c r="K8" i="6"/>
  <c r="I8" i="6"/>
  <c r="CI7" i="6"/>
  <c r="CH7" i="6"/>
  <c r="CA7" i="6"/>
  <c r="BT7" i="6"/>
  <c r="BM7" i="6"/>
  <c r="BF7" i="6"/>
  <c r="AY7" i="6"/>
  <c r="AS7" i="6"/>
  <c r="AR7" i="6"/>
  <c r="AK7" i="6"/>
  <c r="AF7" i="6"/>
  <c r="AE7" i="6"/>
  <c r="AZ7" i="6" s="1"/>
  <c r="BU7" i="6" s="1"/>
  <c r="AD7" i="6"/>
  <c r="X7" i="6"/>
  <c r="Y7" i="6" s="1"/>
  <c r="W7" i="6"/>
  <c r="Q7" i="6"/>
  <c r="R7" i="6" s="1"/>
  <c r="P7" i="6"/>
  <c r="K7" i="6"/>
  <c r="I7" i="6"/>
  <c r="CI6" i="6"/>
  <c r="CH6" i="6"/>
  <c r="CA6" i="6"/>
  <c r="BT6" i="6"/>
  <c r="BM6" i="6"/>
  <c r="BG6" i="6"/>
  <c r="BF6" i="6"/>
  <c r="AY6" i="6"/>
  <c r="AR6" i="6"/>
  <c r="AM6" i="6"/>
  <c r="AL6" i="6"/>
  <c r="AK6" i="6"/>
  <c r="AE6" i="6"/>
  <c r="AD6" i="6"/>
  <c r="X6" i="6"/>
  <c r="AS6" i="6" s="1"/>
  <c r="W6" i="6"/>
  <c r="R6" i="6"/>
  <c r="Q6" i="6"/>
  <c r="P6" i="6"/>
  <c r="K6" i="6"/>
  <c r="I6" i="6"/>
  <c r="CI5" i="6"/>
  <c r="CH5" i="6"/>
  <c r="CA5" i="6"/>
  <c r="BT5" i="6"/>
  <c r="BM5" i="6"/>
  <c r="BF5" i="6"/>
  <c r="AY5" i="6"/>
  <c r="AR5" i="6"/>
  <c r="AK5" i="6"/>
  <c r="AF5" i="6"/>
  <c r="AE5" i="6"/>
  <c r="AZ5" i="6" s="1"/>
  <c r="AD5" i="6"/>
  <c r="Y5" i="6"/>
  <c r="X5" i="6"/>
  <c r="AS5" i="6" s="1"/>
  <c r="BN5" i="6" s="1"/>
  <c r="W5" i="6"/>
  <c r="Q5" i="6"/>
  <c r="R5" i="6" s="1"/>
  <c r="P5" i="6"/>
  <c r="K5" i="6"/>
  <c r="I5" i="6"/>
  <c r="CI4" i="6"/>
  <c r="CH4" i="6"/>
  <c r="CA4" i="6"/>
  <c r="BT4" i="6"/>
  <c r="BM4" i="6"/>
  <c r="BH4" i="6"/>
  <c r="BF4" i="6"/>
  <c r="AY4" i="6"/>
  <c r="AR4" i="6"/>
  <c r="AM4" i="6"/>
  <c r="AL4" i="6"/>
  <c r="BG4" i="6" s="1"/>
  <c r="CB4" i="6" s="1"/>
  <c r="AK4" i="6"/>
  <c r="AE4" i="6"/>
  <c r="AF4" i="6" s="1"/>
  <c r="AD4" i="6"/>
  <c r="X4" i="6"/>
  <c r="AS4" i="6" s="1"/>
  <c r="W4" i="6"/>
  <c r="R4" i="6"/>
  <c r="Q4" i="6"/>
  <c r="P4" i="6"/>
  <c r="I4" i="6"/>
  <c r="CI3" i="6"/>
  <c r="CH3" i="6"/>
  <c r="CA3" i="6"/>
  <c r="BT3" i="6"/>
  <c r="BN3" i="6"/>
  <c r="BM3" i="6"/>
  <c r="BF3" i="6"/>
  <c r="AY3" i="6"/>
  <c r="AT3" i="6"/>
  <c r="AS3" i="6"/>
  <c r="AR3" i="6"/>
  <c r="AL3" i="6"/>
  <c r="BG3" i="6" s="1"/>
  <c r="BH3" i="6" s="1"/>
  <c r="AK3" i="6"/>
  <c r="AE3" i="6"/>
  <c r="AD3" i="6"/>
  <c r="Y3" i="6"/>
  <c r="X3" i="6"/>
  <c r="W3" i="6"/>
  <c r="R3" i="6"/>
  <c r="Q3" i="6"/>
  <c r="P3" i="6"/>
  <c r="K3" i="6"/>
  <c r="K10" i="6" s="1"/>
  <c r="D3" i="6" s="1"/>
  <c r="B3" i="6" s="1"/>
  <c r="C3" i="6" s="1"/>
  <c r="I3" i="6"/>
  <c r="C69" i="5"/>
  <c r="E68" i="5"/>
  <c r="F68" i="5" s="1"/>
  <c r="D68" i="5"/>
  <c r="D67" i="5"/>
  <c r="D66" i="5"/>
  <c r="E66" i="5" s="1"/>
  <c r="D65" i="5"/>
  <c r="E64" i="5"/>
  <c r="F64" i="5" s="1"/>
  <c r="D64" i="5"/>
  <c r="C60" i="5"/>
  <c r="D59" i="5"/>
  <c r="D58" i="5"/>
  <c r="E57" i="5"/>
  <c r="F57" i="5" s="1"/>
  <c r="D57" i="5"/>
  <c r="D56" i="5"/>
  <c r="D55" i="5"/>
  <c r="D43" i="5"/>
  <c r="C43" i="5"/>
  <c r="C38" i="5"/>
  <c r="D37" i="5"/>
  <c r="D36" i="5"/>
  <c r="D35" i="5"/>
  <c r="D34" i="5"/>
  <c r="D33" i="5"/>
  <c r="G32" i="5"/>
  <c r="B23" i="5"/>
  <c r="A3" i="5"/>
  <c r="C69" i="4"/>
  <c r="D68" i="4"/>
  <c r="D67" i="4"/>
  <c r="E67" i="4" s="1"/>
  <c r="D66" i="4"/>
  <c r="D65" i="4"/>
  <c r="E65" i="4" s="1"/>
  <c r="D64" i="4"/>
  <c r="C60" i="4"/>
  <c r="D59" i="4"/>
  <c r="E58" i="4"/>
  <c r="D58" i="4"/>
  <c r="D57" i="4"/>
  <c r="D56" i="4"/>
  <c r="E56" i="4" s="1"/>
  <c r="D55" i="4"/>
  <c r="C38" i="4"/>
  <c r="D37" i="4"/>
  <c r="D36" i="4"/>
  <c r="D35" i="4"/>
  <c r="D34" i="4"/>
  <c r="D33" i="4"/>
  <c r="G32" i="4"/>
  <c r="B23" i="4"/>
  <c r="W18" i="4"/>
  <c r="R18" i="4"/>
  <c r="M18" i="4"/>
  <c r="H18" i="4"/>
  <c r="C18" i="4"/>
  <c r="Y17" i="4"/>
  <c r="X17" i="4"/>
  <c r="T17" i="4"/>
  <c r="S17" i="4"/>
  <c r="O17" i="4"/>
  <c r="N17" i="4"/>
  <c r="J17" i="4"/>
  <c r="I17" i="4"/>
  <c r="E17" i="4"/>
  <c r="D17" i="4"/>
  <c r="Y16" i="4"/>
  <c r="X16" i="4"/>
  <c r="T16" i="4"/>
  <c r="S16" i="4"/>
  <c r="O16" i="4"/>
  <c r="N16" i="4"/>
  <c r="J16" i="4"/>
  <c r="I16" i="4"/>
  <c r="E16" i="4"/>
  <c r="D16" i="4"/>
  <c r="Y15" i="4"/>
  <c r="X15" i="4"/>
  <c r="T15" i="4"/>
  <c r="S15" i="4"/>
  <c r="O15" i="4"/>
  <c r="N15" i="4"/>
  <c r="J15" i="4"/>
  <c r="I15" i="4"/>
  <c r="E15" i="4"/>
  <c r="D15" i="4"/>
  <c r="Y14" i="4"/>
  <c r="X14" i="4"/>
  <c r="T14" i="4"/>
  <c r="S14" i="4"/>
  <c r="O14" i="4"/>
  <c r="N14" i="4"/>
  <c r="J14" i="4"/>
  <c r="I14" i="4"/>
  <c r="E14" i="4"/>
  <c r="D14" i="4"/>
  <c r="Y13" i="4"/>
  <c r="T13" i="4"/>
  <c r="S13" i="4"/>
  <c r="O13" i="4"/>
  <c r="N13" i="4"/>
  <c r="J13" i="4"/>
  <c r="I13" i="4"/>
  <c r="E13" i="4"/>
  <c r="D13" i="4"/>
  <c r="Y12" i="4"/>
  <c r="X12" i="4"/>
  <c r="T12" i="4"/>
  <c r="S12" i="4"/>
  <c r="O12" i="4"/>
  <c r="N12" i="4"/>
  <c r="J12" i="4"/>
  <c r="I12" i="4"/>
  <c r="E12" i="4"/>
  <c r="D12" i="4"/>
  <c r="A3" i="4"/>
  <c r="S52" i="3"/>
  <c r="L52" i="3"/>
  <c r="E52" i="3"/>
  <c r="T51" i="3"/>
  <c r="R51" i="3"/>
  <c r="K51" i="3"/>
  <c r="M51" i="3" s="1"/>
  <c r="F51" i="3"/>
  <c r="D51" i="3"/>
  <c r="R50" i="3"/>
  <c r="K50" i="3"/>
  <c r="D50" i="3"/>
  <c r="T49" i="3" s="1"/>
  <c r="R49" i="3"/>
  <c r="K49" i="3"/>
  <c r="D49" i="3"/>
  <c r="R39" i="3"/>
  <c r="K39" i="3"/>
  <c r="M39" i="3" s="1"/>
  <c r="D39" i="3"/>
  <c r="R38" i="3"/>
  <c r="K38" i="3"/>
  <c r="M38" i="3" s="1"/>
  <c r="D38" i="3"/>
  <c r="R37" i="3"/>
  <c r="M37" i="3" s="1"/>
  <c r="K37" i="3"/>
  <c r="D37" i="3"/>
  <c r="F37" i="3" s="1"/>
  <c r="T36" i="3"/>
  <c r="R36" i="3"/>
  <c r="K36" i="3"/>
  <c r="D36" i="3"/>
  <c r="T35" i="3" s="1"/>
  <c r="R35" i="3"/>
  <c r="K35" i="3"/>
  <c r="D35" i="3"/>
  <c r="T34" i="3" s="1"/>
  <c r="R34" i="3"/>
  <c r="K34" i="3"/>
  <c r="D34" i="3"/>
  <c r="T33" i="3" s="1"/>
  <c r="R33" i="3"/>
  <c r="K33" i="3"/>
  <c r="D33" i="3"/>
  <c r="T32" i="3"/>
  <c r="R32" i="3"/>
  <c r="K32" i="3"/>
  <c r="D32" i="3"/>
  <c r="T31" i="3"/>
  <c r="R31" i="3"/>
  <c r="K31" i="3"/>
  <c r="D31" i="3"/>
  <c r="T30" i="3"/>
  <c r="R30" i="3"/>
  <c r="K30" i="3"/>
  <c r="D30" i="3"/>
  <c r="T29" i="3" s="1"/>
  <c r="R29" i="3"/>
  <c r="K29" i="3"/>
  <c r="D29" i="3"/>
  <c r="T28" i="3" s="1"/>
  <c r="R28" i="3"/>
  <c r="K28" i="3"/>
  <c r="D28" i="3"/>
  <c r="R27" i="3"/>
  <c r="M27" i="3" s="1"/>
  <c r="K27" i="3"/>
  <c r="D27" i="3"/>
  <c r="F27" i="3" s="1"/>
  <c r="T26" i="3"/>
  <c r="R26" i="3"/>
  <c r="K26" i="3"/>
  <c r="F26" i="3"/>
  <c r="D26" i="3"/>
  <c r="R25" i="3"/>
  <c r="T25" i="3" s="1"/>
  <c r="K25" i="3"/>
  <c r="M25" i="3" s="1"/>
  <c r="D25" i="3"/>
  <c r="F25" i="3" s="1"/>
  <c r="R24" i="3"/>
  <c r="M24" i="3" s="1"/>
  <c r="K24" i="3"/>
  <c r="F24" i="3" s="1"/>
  <c r="D24" i="3"/>
  <c r="R23" i="3"/>
  <c r="K23" i="3"/>
  <c r="F23" i="3" s="1"/>
  <c r="D23" i="3"/>
  <c r="R22" i="3"/>
  <c r="T22" i="3" s="1"/>
  <c r="K22" i="3"/>
  <c r="F22" i="3" s="1"/>
  <c r="D22" i="3"/>
  <c r="R21" i="3"/>
  <c r="K21" i="3"/>
  <c r="D21" i="3"/>
  <c r="T20" i="3" s="1"/>
  <c r="R20" i="3"/>
  <c r="K20" i="3"/>
  <c r="M20" i="3" s="1"/>
  <c r="F20" i="3"/>
  <c r="D20" i="3"/>
  <c r="R19" i="3"/>
  <c r="K19" i="3"/>
  <c r="F19" i="3" s="1"/>
  <c r="D19" i="3"/>
  <c r="T18" i="3" s="1"/>
  <c r="R18" i="3"/>
  <c r="K18" i="3"/>
  <c r="M18" i="3" s="1"/>
  <c r="F18" i="3"/>
  <c r="D18" i="3"/>
  <c r="R17" i="3"/>
  <c r="K17" i="3"/>
  <c r="D17" i="3"/>
  <c r="T16" i="3" s="1"/>
  <c r="R16" i="3"/>
  <c r="K16" i="3"/>
  <c r="D16" i="3"/>
  <c r="T15" i="3" s="1"/>
  <c r="R15" i="3"/>
  <c r="K15" i="3"/>
  <c r="D15" i="3"/>
  <c r="R14" i="3"/>
  <c r="K14" i="3"/>
  <c r="M14" i="3" s="1"/>
  <c r="F14" i="3"/>
  <c r="D14" i="3"/>
  <c r="T13" i="3" s="1"/>
  <c r="R13" i="3"/>
  <c r="K13" i="3"/>
  <c r="D13" i="3"/>
  <c r="T12" i="3" s="1"/>
  <c r="R12" i="3"/>
  <c r="K12" i="3"/>
  <c r="M12" i="3" s="1"/>
  <c r="D12" i="3"/>
  <c r="T11" i="3" s="1"/>
  <c r="R11" i="3"/>
  <c r="K11" i="3"/>
  <c r="D11" i="3"/>
  <c r="R10" i="3"/>
  <c r="M10" i="3" s="1"/>
  <c r="K10" i="3"/>
  <c r="D10" i="3"/>
  <c r="C34" i="2"/>
  <c r="C30" i="2"/>
  <c r="C29" i="2"/>
  <c r="C28" i="2"/>
  <c r="C27" i="2"/>
  <c r="C40" i="2" s="1"/>
  <c r="C26" i="2"/>
  <c r="D26" i="2" s="1"/>
  <c r="C25" i="2"/>
  <c r="D25" i="2" s="1"/>
  <c r="C24" i="2"/>
  <c r="C37" i="2" s="1"/>
  <c r="C23" i="2"/>
  <c r="D23" i="2" s="1"/>
  <c r="C22" i="2"/>
  <c r="C35" i="2" s="1"/>
  <c r="D35" i="2" s="1"/>
  <c r="D21" i="2"/>
  <c r="D17" i="2"/>
  <c r="D16" i="2"/>
  <c r="D15" i="2"/>
  <c r="D14" i="2"/>
  <c r="D13" i="2"/>
  <c r="D12" i="2"/>
  <c r="D11" i="2"/>
  <c r="D10" i="2"/>
  <c r="D9" i="2"/>
  <c r="A2" i="2"/>
  <c r="A14" i="1"/>
  <c r="J8" i="1"/>
  <c r="D7" i="1"/>
  <c r="B7" i="1"/>
  <c r="CB6" i="6" l="1"/>
  <c r="CC6" i="6" s="1"/>
  <c r="BH6" i="6"/>
  <c r="D52" i="3"/>
  <c r="B54" i="3" s="1"/>
  <c r="F10" i="3"/>
  <c r="F35" i="3"/>
  <c r="M35" i="3"/>
  <c r="T38" i="3"/>
  <c r="F39" i="3"/>
  <c r="K52" i="3"/>
  <c r="T14" i="3"/>
  <c r="F16" i="3"/>
  <c r="F17" i="3"/>
  <c r="F34" i="3"/>
  <c r="M34" i="3"/>
  <c r="T37" i="3"/>
  <c r="AH13" i="4"/>
  <c r="AM13" i="4" s="1"/>
  <c r="AC17" i="4"/>
  <c r="AC15" i="4"/>
  <c r="AC13" i="4"/>
  <c r="AC12" i="4"/>
  <c r="AH17" i="4" s="1"/>
  <c r="AC14" i="4"/>
  <c r="AC16" i="4"/>
  <c r="AH16" i="4" s="1"/>
  <c r="AH12" i="4"/>
  <c r="F58" i="4"/>
  <c r="D44" i="5"/>
  <c r="C44" i="5" s="1"/>
  <c r="E55" i="5"/>
  <c r="CB3" i="6"/>
  <c r="BN4" i="6"/>
  <c r="AT4" i="6"/>
  <c r="BU5" i="6"/>
  <c r="BA5" i="6"/>
  <c r="AT5" i="6"/>
  <c r="BN6" i="6"/>
  <c r="AT6" i="6"/>
  <c r="BA7" i="6"/>
  <c r="BV7" i="6"/>
  <c r="BE10" i="6"/>
  <c r="BF9" i="6"/>
  <c r="BN3" i="18"/>
  <c r="BO3" i="18" s="1"/>
  <c r="AT3" i="18"/>
  <c r="AT10" i="18" s="1"/>
  <c r="D8" i="18" s="1"/>
  <c r="B8" i="18" s="1"/>
  <c r="T10" i="3"/>
  <c r="F12" i="3"/>
  <c r="F21" i="3"/>
  <c r="M22" i="3"/>
  <c r="T27" i="3"/>
  <c r="F29" i="3"/>
  <c r="M29" i="3"/>
  <c r="F36" i="3"/>
  <c r="M36" i="3"/>
  <c r="T39" i="3"/>
  <c r="F50" i="3"/>
  <c r="E59" i="5"/>
  <c r="AM3" i="6"/>
  <c r="AZ6" i="6"/>
  <c r="AF6" i="6"/>
  <c r="BN7" i="6"/>
  <c r="AT7" i="6"/>
  <c r="BG8" i="6"/>
  <c r="F30" i="3"/>
  <c r="M30" i="3"/>
  <c r="R52" i="3"/>
  <c r="AZ3" i="6"/>
  <c r="AF3" i="6"/>
  <c r="BO6" i="6"/>
  <c r="AD9" i="6"/>
  <c r="AF9" i="6"/>
  <c r="BO3" i="6"/>
  <c r="BO5" i="6"/>
  <c r="F11" i="3"/>
  <c r="F13" i="3"/>
  <c r="M11" i="3"/>
  <c r="M13" i="3"/>
  <c r="M15" i="3"/>
  <c r="M16" i="3"/>
  <c r="T17" i="3"/>
  <c r="T19" i="3"/>
  <c r="T21" i="3"/>
  <c r="T23" i="3"/>
  <c r="M26" i="3"/>
  <c r="M28" i="3"/>
  <c r="M31" i="3"/>
  <c r="M32" i="3"/>
  <c r="M33" i="3"/>
  <c r="M49" i="3"/>
  <c r="T50" i="3"/>
  <c r="E18" i="4"/>
  <c r="G33" i="5"/>
  <c r="D38" i="5"/>
  <c r="F55" i="5"/>
  <c r="BO4" i="6"/>
  <c r="CC4" i="6"/>
  <c r="BV5" i="6"/>
  <c r="R9" i="6"/>
  <c r="R10" i="6" s="1"/>
  <c r="D4" i="6" s="1"/>
  <c r="B4" i="6" s="1"/>
  <c r="CJ3" i="6" s="1"/>
  <c r="Y9" i="6"/>
  <c r="BS10" i="6"/>
  <c r="BA3" i="18"/>
  <c r="BU3" i="18"/>
  <c r="BV3" i="18" s="1"/>
  <c r="CC3" i="6"/>
  <c r="AZ8" i="6"/>
  <c r="F15" i="3"/>
  <c r="M17" i="3"/>
  <c r="M19" i="3"/>
  <c r="M21" i="3"/>
  <c r="M23" i="3"/>
  <c r="T24" i="3"/>
  <c r="F28" i="3"/>
  <c r="F31" i="3"/>
  <c r="F32" i="3"/>
  <c r="F33" i="3"/>
  <c r="F38" i="3"/>
  <c r="F49" i="3"/>
  <c r="M50" i="3"/>
  <c r="J18" i="4"/>
  <c r="T18" i="4"/>
  <c r="F65" i="4"/>
  <c r="F59" i="5"/>
  <c r="F66" i="5"/>
  <c r="Y4" i="6"/>
  <c r="Y10" i="6" s="1"/>
  <c r="D5" i="6" s="1"/>
  <c r="B5" i="6" s="1"/>
  <c r="CJ4" i="6" s="1"/>
  <c r="Y6" i="6"/>
  <c r="BO7" i="6"/>
  <c r="P9" i="6"/>
  <c r="AY9" i="6"/>
  <c r="BT9" i="6"/>
  <c r="CH9" i="6"/>
  <c r="O10" i="6"/>
  <c r="AC10" i="6"/>
  <c r="CI3" i="18"/>
  <c r="CJ3" i="18" s="1"/>
  <c r="CB3" i="18"/>
  <c r="CC3" i="18" s="1"/>
  <c r="BH3" i="18"/>
  <c r="D24" i="2"/>
  <c r="D28" i="2"/>
  <c r="P54" i="3"/>
  <c r="D30" i="2"/>
  <c r="D27" i="2"/>
  <c r="D22" i="2"/>
  <c r="D29" i="2"/>
  <c r="C36" i="2"/>
  <c r="D36" i="2" s="1"/>
  <c r="D34" i="2"/>
  <c r="C43" i="2"/>
  <c r="C42" i="2"/>
  <c r="C41" i="2"/>
  <c r="D40" i="2" s="1"/>
  <c r="O18" i="4"/>
  <c r="Y18" i="4"/>
  <c r="F67" i="4"/>
  <c r="F56" i="4"/>
  <c r="G33" i="4"/>
  <c r="I54" i="3" l="1"/>
  <c r="BU3" i="6"/>
  <c r="BV3" i="6" s="1"/>
  <c r="BA3" i="6"/>
  <c r="CB8" i="6"/>
  <c r="CC8" i="6" s="1"/>
  <c r="BH8" i="6"/>
  <c r="BA6" i="6"/>
  <c r="BU6" i="6"/>
  <c r="BV6" i="6" s="1"/>
  <c r="AH14" i="4"/>
  <c r="AM14" i="4" s="1"/>
  <c r="AM16" i="4"/>
  <c r="AM12" i="4"/>
  <c r="AH15" i="4"/>
  <c r="BA8" i="6"/>
  <c r="BU8" i="6"/>
  <c r="BV8" i="6" s="1"/>
  <c r="AF10" i="6"/>
  <c r="D6" i="6" s="1"/>
  <c r="B6" i="6" s="1"/>
  <c r="CJ5" i="6" s="1"/>
  <c r="AM17" i="4"/>
  <c r="D42" i="2"/>
  <c r="D41" i="2"/>
  <c r="AL4" i="19"/>
  <c r="BG4" i="19" s="1"/>
  <c r="AM4" i="19"/>
  <c r="AL5" i="19"/>
  <c r="AM5" i="19" s="1"/>
  <c r="AL6" i="19"/>
  <c r="BG6" i="19" s="1"/>
  <c r="AM6" i="19"/>
  <c r="AL7" i="19"/>
  <c r="AM7" i="19" s="1"/>
  <c r="AL8" i="19"/>
  <c r="BG8" i="19" s="1"/>
  <c r="AM8" i="19"/>
  <c r="AL9" i="19"/>
  <c r="AM9" i="19" s="1"/>
  <c r="AS3" i="19"/>
  <c r="AT3" i="19" s="1"/>
  <c r="BN3" i="19"/>
  <c r="BO3" i="19"/>
  <c r="AS4" i="19"/>
  <c r="BN4" i="19"/>
  <c r="BO4" i="19"/>
  <c r="AZ3" i="19"/>
  <c r="BU3" i="19"/>
  <c r="BV3" i="19"/>
  <c r="CI3" i="19"/>
  <c r="CJ3" i="19" s="1"/>
  <c r="B3" i="19"/>
  <c r="C3" i="19"/>
  <c r="AZ5" i="19"/>
  <c r="BU5" i="19"/>
  <c r="BV5" i="19"/>
  <c r="AS5" i="19"/>
  <c r="BN5" i="19"/>
  <c r="BO5" i="19"/>
  <c r="AT4" i="19"/>
  <c r="BA3" i="19"/>
  <c r="CC3" i="19"/>
  <c r="AT5" i="19"/>
  <c r="BA5" i="19"/>
  <c r="AS6" i="19"/>
  <c r="AT6" i="19"/>
  <c r="BN6" i="19"/>
  <c r="BO6" i="19" s="1"/>
  <c r="BU6" i="19"/>
  <c r="BV6" i="19"/>
  <c r="BN7" i="19"/>
  <c r="BO7" i="19"/>
  <c r="AS8" i="19"/>
  <c r="AT8" i="19"/>
  <c r="BN8" i="19"/>
  <c r="BO8" i="19" s="1"/>
  <c r="BU8" i="19"/>
  <c r="BV8" i="19"/>
  <c r="AS9" i="19"/>
  <c r="AT9" i="19"/>
  <c r="AZ9" i="19"/>
  <c r="BA9" i="19" s="1"/>
  <c r="BN9" i="19"/>
  <c r="BO9" i="19"/>
  <c r="CA9" i="19"/>
  <c r="BS10" i="19"/>
  <c r="AK9" i="19"/>
  <c r="BE10" i="19"/>
  <c r="CI8" i="19" l="1"/>
  <c r="CJ8" i="19" s="1"/>
  <c r="BH8" i="19"/>
  <c r="CB8" i="19"/>
  <c r="CC8" i="19" s="1"/>
  <c r="CI4" i="19"/>
  <c r="CJ4" i="19" s="1"/>
  <c r="CB4" i="19"/>
  <c r="CC4" i="19" s="1"/>
  <c r="BH4" i="19"/>
  <c r="CI6" i="19"/>
  <c r="CJ6" i="19" s="1"/>
  <c r="BH6" i="19"/>
  <c r="CB6" i="19"/>
  <c r="CC6" i="19" s="1"/>
  <c r="BU9" i="19"/>
  <c r="BV9" i="19" s="1"/>
  <c r="BV10" i="19" s="1"/>
  <c r="D12" i="19" s="1"/>
  <c r="B12" i="19" s="1"/>
  <c r="BG9" i="19"/>
  <c r="BG7" i="19"/>
  <c r="BG5" i="19"/>
  <c r="AR13" i="4"/>
  <c r="AR14" i="4"/>
  <c r="AR17" i="4"/>
  <c r="AM15" i="4"/>
  <c r="AR16" i="4" s="1"/>
  <c r="AR12" i="4"/>
  <c r="BO10" i="19"/>
  <c r="D11" i="19" s="1"/>
  <c r="B11" i="19" s="1"/>
  <c r="AR15" i="4"/>
  <c r="AT10" i="19"/>
  <c r="D8" i="19" s="1"/>
  <c r="B8" i="19" s="1"/>
  <c r="AM10" i="19"/>
  <c r="D7" i="19" s="1"/>
  <c r="B7" i="19" s="1"/>
  <c r="BA10" i="19"/>
  <c r="D9" i="19" s="1"/>
  <c r="B9" i="19" s="1"/>
  <c r="CB9" i="19" l="1"/>
  <c r="CC9" i="19" s="1"/>
  <c r="BH9" i="19"/>
  <c r="CI9" i="19"/>
  <c r="CJ9" i="19" s="1"/>
  <c r="BH7" i="19"/>
  <c r="CB7" i="19"/>
  <c r="CC7" i="19" s="1"/>
  <c r="CI7" i="19"/>
  <c r="CJ7" i="19" s="1"/>
  <c r="BH5" i="19"/>
  <c r="BH10" i="19" s="1"/>
  <c r="D10" i="19" s="1"/>
  <c r="B10" i="19" s="1"/>
  <c r="CB5" i="19"/>
  <c r="CC5" i="19" s="1"/>
  <c r="CI5" i="19"/>
  <c r="CJ5" i="19" s="1"/>
  <c r="CJ10" i="19" s="1"/>
  <c r="D17" i="19" s="1"/>
  <c r="B17" i="19" s="1"/>
  <c r="E57" i="4"/>
  <c r="F57" i="4" s="1"/>
  <c r="E64" i="4"/>
  <c r="F64" i="4"/>
  <c r="E66" i="4"/>
  <c r="F66" i="4" s="1"/>
  <c r="F69" i="4" s="1"/>
  <c r="E68" i="4"/>
  <c r="F68" i="4"/>
  <c r="E55" i="4"/>
  <c r="F55" i="4"/>
  <c r="F60" i="4" s="1"/>
  <c r="E59" i="4"/>
  <c r="F59" i="4"/>
  <c r="D38" i="4"/>
  <c r="C43" i="4"/>
  <c r="D43" i="4"/>
  <c r="D44" i="4" s="1"/>
  <c r="C44" i="4"/>
  <c r="E60" i="4" l="1"/>
  <c r="CC10" i="19"/>
  <c r="D13" i="19" s="1"/>
  <c r="B13" i="19" s="1"/>
  <c r="C13" i="19" s="1"/>
  <c r="E69" i="4"/>
  <c r="D37" i="2"/>
  <c r="D50" i="2" s="1"/>
  <c r="E8" i="1" s="1"/>
  <c r="C38" i="2"/>
  <c r="D38" i="2" s="1"/>
  <c r="C39" i="2"/>
  <c r="D39" i="2" s="1"/>
  <c r="D43" i="2"/>
  <c r="C47" i="2"/>
  <c r="D47" i="2" s="1"/>
  <c r="B8" i="1" l="1"/>
  <c r="B12" i="1" s="1"/>
  <c r="K8" i="1"/>
  <c r="H8" i="1" s="1"/>
  <c r="H12" i="1" s="1"/>
  <c r="AZ4" i="6"/>
  <c r="BU4" i="6"/>
  <c r="BV4" i="6"/>
  <c r="AZ9" i="6"/>
  <c r="BU9" i="6"/>
  <c r="BV9" i="6"/>
  <c r="BV10" i="6"/>
  <c r="BG4" i="18"/>
  <c r="BH4" i="18"/>
  <c r="BG7" i="18"/>
  <c r="BH7" i="18"/>
  <c r="AL9" i="18"/>
  <c r="BG9" i="18"/>
  <c r="BH9" i="18"/>
  <c r="BH10" i="18"/>
  <c r="AZ6" i="18"/>
  <c r="BA6" i="18"/>
  <c r="BA10" i="18"/>
  <c r="CI4" i="18"/>
  <c r="CJ4" i="18"/>
  <c r="CJ6" i="18"/>
  <c r="CI7" i="18"/>
  <c r="CJ7" i="18"/>
  <c r="CJ8" i="18"/>
  <c r="CI9" i="18"/>
  <c r="CJ9" i="18"/>
  <c r="CJ10" i="18"/>
  <c r="AS8" i="6"/>
  <c r="BN8" i="6"/>
  <c r="BO8" i="6"/>
  <c r="AS9" i="6"/>
  <c r="BN9" i="6"/>
  <c r="BO9" i="6"/>
  <c r="BO10" i="6"/>
  <c r="AL5" i="6"/>
  <c r="BG5" i="6"/>
  <c r="CB5" i="6"/>
  <c r="CC5" i="6"/>
  <c r="AL7" i="6"/>
  <c r="BG7" i="6"/>
  <c r="CB7" i="6"/>
  <c r="CC7" i="6"/>
  <c r="AL9" i="6"/>
  <c r="BG9" i="6"/>
  <c r="CB9" i="6"/>
  <c r="CC9" i="6"/>
  <c r="CC10" i="6"/>
  <c r="AT8" i="6"/>
  <c r="AT9" i="6"/>
  <c r="AT10" i="6"/>
  <c r="D8" i="6"/>
  <c r="B8" i="6"/>
  <c r="CJ7" i="6"/>
  <c r="AM5" i="6"/>
  <c r="AM7" i="6"/>
  <c r="AM9" i="6"/>
  <c r="AM10" i="6"/>
  <c r="D7" i="6"/>
  <c r="B7" i="6"/>
  <c r="CJ6" i="6"/>
  <c r="BA4" i="6"/>
  <c r="BA9" i="6"/>
  <c r="BA10" i="6"/>
  <c r="BN9" i="18"/>
  <c r="BO9" i="18"/>
  <c r="BO10" i="18"/>
  <c r="CB4" i="18"/>
  <c r="CC4" i="18"/>
  <c r="CB7" i="18"/>
  <c r="CC7" i="18"/>
  <c r="CB9" i="18"/>
  <c r="CC9" i="18"/>
  <c r="CC10" i="18"/>
  <c r="BZ10" i="18"/>
  <c r="BU6" i="18"/>
  <c r="BV6" i="18"/>
  <c r="BU9" i="18"/>
  <c r="BV9" i="18"/>
  <c r="BV10" i="18"/>
  <c r="E56" i="5"/>
  <c r="F56" i="5"/>
  <c r="E58" i="5"/>
  <c r="F58" i="5"/>
  <c r="F60" i="5"/>
  <c r="AM9" i="18"/>
  <c r="AM10" i="18"/>
  <c r="D7" i="18"/>
  <c r="B7" i="18"/>
  <c r="E67" i="5"/>
  <c r="F67" i="5"/>
  <c r="E60" i="5"/>
  <c r="BH9" i="6"/>
  <c r="E65" i="5"/>
  <c r="F65" i="5"/>
  <c r="D9" i="6"/>
  <c r="B9" i="6"/>
  <c r="BH5" i="6"/>
  <c r="BH7" i="6"/>
  <c r="BH10" i="6"/>
  <c r="D10" i="6"/>
  <c r="B10" i="6"/>
  <c r="B3" i="18"/>
  <c r="C3" i="18"/>
  <c r="F69" i="5"/>
  <c r="E69" i="5"/>
  <c r="D12" i="6"/>
  <c r="B12" i="6"/>
  <c r="D11" i="6"/>
  <c r="B11" i="6"/>
  <c r="CJ10" i="6"/>
  <c r="D17" i="6"/>
  <c r="CG10" i="6"/>
  <c r="D10" i="18"/>
  <c r="B10" i="18"/>
  <c r="BE10" i="18"/>
  <c r="D9" i="18"/>
  <c r="B9" i="18"/>
  <c r="B17" i="6"/>
  <c r="D13" i="6"/>
  <c r="B13" i="6"/>
  <c r="BT9" i="18"/>
  <c r="D17" i="18"/>
  <c r="B17" i="18"/>
  <c r="D13" i="18"/>
  <c r="B13" i="18"/>
  <c r="AK9" i="18"/>
  <c r="C13" i="18"/>
  <c r="D12" i="18"/>
  <c r="B12" i="18"/>
  <c r="D11" i="18"/>
  <c r="B11" i="18"/>
  <c r="C13" i="6"/>
</calcChain>
</file>

<file path=xl/comments1.xml><?xml version="1.0" encoding="utf-8"?>
<comments xmlns="http://schemas.openxmlformats.org/spreadsheetml/2006/main">
  <authors>
    <author/>
  </authors>
  <commentList>
    <comment ref="C2" authorId="0" shapeId="0">
      <text>
        <r>
          <rPr>
            <b/>
            <sz val="9"/>
            <color rgb="FF000000"/>
            <rFont val="Tahoma"/>
            <family val="2"/>
            <charset val="1"/>
          </rPr>
          <t xml:space="preserve">Only in base round. During boss round this probability is 0.
</t>
        </r>
      </text>
    </comment>
  </commentList>
</comments>
</file>

<file path=xl/comments2.xml><?xml version="1.0" encoding="utf-8"?>
<comments xmlns="http://schemas.openxmlformats.org/spreadsheetml/2006/main">
  <authors>
    <author/>
  </authors>
  <commentList>
    <comment ref="C2" authorId="0" shapeId="0">
      <text>
        <r>
          <rPr>
            <b/>
            <sz val="9"/>
            <color rgb="FF000000"/>
            <rFont val="Tahoma"/>
            <family val="2"/>
            <charset val="1"/>
          </rPr>
          <t xml:space="preserve">Only in base round. During boss round this probability is 0.
</t>
        </r>
      </text>
    </comment>
  </commentList>
</comments>
</file>

<file path=xl/comments3.xml><?xml version="1.0" encoding="utf-8"?>
<comments xmlns="http://schemas.openxmlformats.org/spreadsheetml/2006/main">
  <authors>
    <author/>
  </authors>
  <commentList>
    <comment ref="C2" authorId="0" shapeId="0">
      <text>
        <r>
          <rPr>
            <b/>
            <sz val="9"/>
            <color rgb="FF000000"/>
            <rFont val="Tahoma"/>
            <family val="2"/>
            <charset val="1"/>
          </rPr>
          <t xml:space="preserve">Only in base round. During boss round this probability is 0.
</t>
        </r>
      </text>
    </comment>
  </commentList>
</comments>
</file>

<file path=xl/comments4.xml><?xml version="1.0" encoding="utf-8"?>
<comments xmlns="http://schemas.openxmlformats.org/spreadsheetml/2006/main">
  <authors>
    <author/>
  </authors>
  <commentList>
    <comment ref="C2" authorId="0" shapeId="0">
      <text>
        <r>
          <rPr>
            <b/>
            <sz val="9"/>
            <color rgb="FF000000"/>
            <rFont val="Tahoma"/>
            <family val="2"/>
            <charset val="1"/>
          </rPr>
          <t xml:space="preserve">Only in base round. During boss round this probability is 0.
</t>
        </r>
      </text>
    </comment>
  </commentList>
</comments>
</file>

<file path=xl/comments5.xml><?xml version="1.0" encoding="utf-8"?>
<comments xmlns="http://schemas.openxmlformats.org/spreadsheetml/2006/main">
  <authors>
    <author/>
  </authors>
  <commentList>
    <comment ref="C2" authorId="0" shapeId="0">
      <text>
        <r>
          <rPr>
            <b/>
            <sz val="9"/>
            <color rgb="FF000000"/>
            <rFont val="Tahoma"/>
            <family val="2"/>
            <charset val="1"/>
          </rPr>
          <t xml:space="preserve">Only in base round. During boss round this probability is 0.
</t>
        </r>
      </text>
    </comment>
  </commentList>
</comments>
</file>

<file path=xl/comments6.xml><?xml version="1.0" encoding="utf-8"?>
<comments xmlns="http://schemas.openxmlformats.org/spreadsheetml/2006/main">
  <authors>
    <author/>
  </authors>
  <commentList>
    <comment ref="C2" authorId="0" shapeId="0">
      <text>
        <r>
          <rPr>
            <b/>
            <sz val="9"/>
            <color rgb="FF000000"/>
            <rFont val="Tahoma"/>
            <family val="2"/>
            <charset val="1"/>
          </rPr>
          <t xml:space="preserve">Only in base round. During boss round this probability is 0.
</t>
        </r>
      </text>
    </comment>
  </commentList>
</comments>
</file>

<file path=xl/comments7.xml><?xml version="1.0" encoding="utf-8"?>
<comments xmlns="http://schemas.openxmlformats.org/spreadsheetml/2006/main">
  <authors>
    <author/>
  </authors>
  <commentList>
    <comment ref="C2" authorId="0" shapeId="0">
      <text>
        <r>
          <rPr>
            <b/>
            <sz val="9"/>
            <color rgb="FF000000"/>
            <rFont val="Tahoma"/>
            <family val="2"/>
            <charset val="1"/>
          </rPr>
          <t xml:space="preserve">Only in base round. During boss round this probability is 0.
</t>
        </r>
      </text>
    </comment>
  </commentList>
</comments>
</file>

<file path=xl/comments8.xml><?xml version="1.0" encoding="utf-8"?>
<comments xmlns="http://schemas.openxmlformats.org/spreadsheetml/2006/main">
  <authors>
    <author/>
  </authors>
  <commentList>
    <comment ref="C2" authorId="0" shapeId="0">
      <text>
        <r>
          <rPr>
            <b/>
            <sz val="9"/>
            <color rgb="FF000000"/>
            <rFont val="Tahoma"/>
            <family val="2"/>
            <charset val="1"/>
          </rPr>
          <t xml:space="preserve">Only in base round. During boss round this probability is 0.
</t>
        </r>
      </text>
    </comment>
  </commentList>
</comments>
</file>

<file path=xl/comments9.xml><?xml version="1.0" encoding="utf-8"?>
<comments xmlns="http://schemas.openxmlformats.org/spreadsheetml/2006/main">
  <authors>
    <author/>
  </authors>
  <commentList>
    <comment ref="C2" authorId="0" shapeId="0">
      <text>
        <r>
          <rPr>
            <b/>
            <sz val="9"/>
            <color rgb="FF000000"/>
            <rFont val="Tahoma"/>
            <family val="2"/>
            <charset val="1"/>
          </rPr>
          <t xml:space="preserve">Only in base round. During boss round this probability is 0.
</t>
        </r>
      </text>
    </comment>
  </commentList>
</comments>
</file>

<file path=xl/comments10.xml><?xml version="1.0" encoding="utf-8"?>
<comments xmlns="http://schemas.openxmlformats.org/spreadsheetml/2006/main">
  <authors>
    <author/>
  </authors>
  <commentList>
    <comment ref="C2" authorId="0" shapeId="0">
      <text>
        <r>
          <rPr>
            <b/>
            <sz val="9"/>
            <color rgb="FF000000"/>
            <rFont val="Tahoma"/>
            <family val="2"/>
            <charset val="1"/>
          </rPr>
          <t xml:space="preserve">Only in base round. During boss round this probability is 0.
</t>
        </r>
      </text>
    </comment>
  </commentList>
</comments>
</file>

<file path=xl/comments11.xml><?xml version="1.0" encoding="utf-8"?>
<comments xmlns="http://schemas.openxmlformats.org/spreadsheetml/2006/main">
  <authors>
    <author/>
  </authors>
  <commentList>
    <comment ref="C2" authorId="0" shapeId="0">
      <text>
        <r>
          <rPr>
            <b/>
            <sz val="9"/>
            <color rgb="FF000000"/>
            <rFont val="Tahoma"/>
            <family val="2"/>
            <charset val="1"/>
          </rPr>
          <t xml:space="preserve">Only in base round. During boss round this probability is 0.
</t>
        </r>
      </text>
    </comment>
  </commentList>
</comments>
</file>

<file path=xl/sharedStrings.xml><?xml version="1.0" encoding="utf-8"?>
<sst xmlns="http://schemas.openxmlformats.org/spreadsheetml/2006/main" count="2157" uniqueCount="183">
  <si>
    <t>Notes: the number of enemies of each type in each location is irrelevant from the mathematical point of view.</t>
  </si>
  <si>
    <t>If locations act as "levels", it may be interesting to have weak enemies in the first location and add other species in the following locations.</t>
  </si>
  <si>
    <t>Regular enemies in Boss Round</t>
  </si>
  <si>
    <t>Feature</t>
  </si>
  <si>
    <t>RTP</t>
  </si>
  <si>
    <t>Freq</t>
  </si>
  <si>
    <t>Probability</t>
  </si>
  <si>
    <t>Max avg pay</t>
  </si>
  <si>
    <t>Base game</t>
  </si>
  <si>
    <t>Boss round</t>
  </si>
  <si>
    <t>Special weapon (*)</t>
  </si>
  <si>
    <t>Leaderboard</t>
  </si>
  <si>
    <t>Jackpot</t>
  </si>
  <si>
    <t>Total</t>
  </si>
  <si>
    <t>(*) Shots using special weapons are not paid. Each special weapon has a limited number of shots and could be used anytime.</t>
  </si>
  <si>
    <t>There are different kind of enemies. Each enemy has its own prizes. Stronger enemies grant bigger prizes but are more difficult to kill.</t>
  </si>
  <si>
    <t>Scarab black</t>
  </si>
  <si>
    <t>Scarab gold</t>
  </si>
  <si>
    <t>Scarab gem covered</t>
  </si>
  <si>
    <t>Prize #</t>
  </si>
  <si>
    <t>Pays</t>
  </si>
  <si>
    <t>Standard Mummy</t>
  </si>
  <si>
    <t>Medium Mummy A</t>
  </si>
  <si>
    <t>Medium Mummy B</t>
  </si>
  <si>
    <t>Medium Mummy C</t>
  </si>
  <si>
    <t>Prize</t>
  </si>
  <si>
    <t>Powerful Pharaoh Mummy A</t>
  </si>
  <si>
    <t>Powerful Pharaoh Mummy B</t>
  </si>
  <si>
    <t>High Volatility Scarab</t>
  </si>
  <si>
    <t>High Volatility enemy</t>
  </si>
  <si>
    <r>
      <rPr>
        <sz val="11"/>
        <color rgb="FF000000"/>
        <rFont val="Calibri"/>
        <family val="2"/>
        <charset val="1"/>
      </rPr>
      <t xml:space="preserve">For each shot in base game with a regular weapon draw if player gets a special weapon or not. </t>
    </r>
    <r>
      <rPr>
        <b/>
        <sz val="11"/>
        <color rgb="FFFF0000"/>
        <rFont val="Calibri"/>
        <family val="2"/>
        <charset val="1"/>
      </rPr>
      <t>Except shots at High Volatility Enemy and High Volatility Scarab.</t>
    </r>
  </si>
  <si>
    <t>If player gets a special weapon then draw which one he gets using the weights in the table below.</t>
  </si>
  <si>
    <t>Special weapons can be use anytime.</t>
  </si>
  <si>
    <t>Special weapons:</t>
  </si>
  <si>
    <t>Shots</t>
  </si>
  <si>
    <t>Avg pay by shot</t>
  </si>
  <si>
    <t>Total avg pay</t>
  </si>
  <si>
    <t>Weights</t>
  </si>
  <si>
    <t>Special weapon 1</t>
  </si>
  <si>
    <t>Special weapon 2</t>
  </si>
  <si>
    <t>Special weapon 3</t>
  </si>
  <si>
    <t>Plasma Gun</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</si>
  <si>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</si>
  <si>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</si>
  <si>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</si>
  <si>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</si>
  <si>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</si>
  <si>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</si>
  <si>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</si>
  <si>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</si>
  <si>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</si>
  <si>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</si>
  <si>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</si>
  <si>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</si>
  <si>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</si>
  <si>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Player can buy special weapons, the price for each weapon is the table below.</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</si>
  <si>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</si>
  <si>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</si>
  <si>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</si>
  <si>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</si>
  <si>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</si>
  <si>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</si>
  <si>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</si>
  <si>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</si>
  <si>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</si>
  <si>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</si>
  <si>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</si>
  <si>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Regular weapon</t>
  </si>
  <si>
    <t>Table 1</t>
  </si>
  <si>
    <t>Cumulative prob.</t>
  </si>
  <si>
    <t>Avg prize</t>
  </si>
  <si>
    <t>Total (*)</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</si>
  <si>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</si>
  <si>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</si>
  <si>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</si>
  <si>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</si>
  <si>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</si>
  <si>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</si>
  <si>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</si>
  <si>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</si>
  <si>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Damage probabilities do not depend on the weapon used.</t>
  </si>
  <si>
    <t>Table 2</t>
  </si>
  <si>
    <t>Damage</t>
  </si>
  <si>
    <t>Probability Base line</t>
  </si>
  <si>
    <t>Avg damage:</t>
  </si>
  <si>
    <t>Avg shots to kill boss</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</si>
  <si>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</si>
  <si>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</si>
  <si>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</si>
  <si>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</si>
  <si>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</si>
  <si>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</si>
  <si>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</si>
  <si>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</si>
  <si>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</si>
  <si>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</si>
  <si>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</si>
  <si>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</si>
  <si>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</si>
  <si>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</si>
  <si>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</si>
  <si>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</si>
  <si>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</si>
  <si>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 summary</t>
  </si>
  <si>
    <t>REGULAR WEAPON</t>
  </si>
  <si>
    <t>SPECIAL WEAPON 1</t>
  </si>
  <si>
    <t>SPECIAL WEAPON 2</t>
  </si>
  <si>
    <t>SPECIAL WEAPON 3</t>
  </si>
  <si>
    <t>PLASMA GUN</t>
  </si>
  <si>
    <t>Probabilities</t>
  </si>
  <si>
    <t>Boss Probability (*)</t>
  </si>
  <si>
    <t>Avg payout</t>
  </si>
  <si>
    <t>Award</t>
  </si>
  <si>
    <t>Count Sim</t>
  </si>
  <si>
    <t>Killing the enemy (special weapon1)</t>
  </si>
  <si>
    <t>Killing the enemy (special weapon2)</t>
  </si>
  <si>
    <t>Killing the enemy (special weapon3)</t>
  </si>
  <si>
    <t>Killing the enemy (plasma)</t>
  </si>
  <si>
    <t>Range of prizes</t>
  </si>
  <si>
    <t>Scarab Gold summary</t>
  </si>
  <si>
    <t>Scarab Gem Covered summary</t>
  </si>
  <si>
    <t>Standard Mummy summary</t>
  </si>
  <si>
    <t>Pharaoh A Summary</t>
  </si>
  <si>
    <t>Pharaoh B Summary</t>
  </si>
  <si>
    <t>HV Scarab Summary</t>
  </si>
  <si>
    <t>HV Enemy Summary</t>
  </si>
  <si>
    <t>Railgun</t>
  </si>
  <si>
    <t>Artillery Strike</t>
  </si>
  <si>
    <t>Rocket Propelled Grenade</t>
  </si>
  <si>
    <t>Flamethrower/Molotov Grenades</t>
  </si>
  <si>
    <t>Special Pistol Ammo</t>
  </si>
  <si>
    <t>Landmines</t>
  </si>
  <si>
    <t>Landmine</t>
  </si>
  <si>
    <t>Killing the enemy (Landmine stepping on it)</t>
  </si>
  <si>
    <t>Killing the enemy (Near a landmine)</t>
  </si>
  <si>
    <t>Killing the enemy (Railgun)</t>
  </si>
  <si>
    <t>Killing the enemy (Artillery Strike)</t>
  </si>
  <si>
    <t>Killing the enemy (Rocket Propelled Grenade)</t>
  </si>
  <si>
    <t>Killing the enemy (Flamethrower)</t>
  </si>
  <si>
    <t>LANDMINE STEPPING ON IT</t>
  </si>
  <si>
    <t>NEAR A LANDMINE</t>
  </si>
  <si>
    <t>RAILGUN</t>
  </si>
  <si>
    <t>ARTILLERY STRIKE</t>
  </si>
  <si>
    <t>ROCKET PROPELLED GRENADE</t>
  </si>
  <si>
    <t>FLAMETHROWER</t>
  </si>
  <si>
    <t>SPECIAL PISTOL AMMO</t>
  </si>
  <si>
    <t>Mummy A summary</t>
  </si>
  <si>
    <t>Mummy B summary</t>
  </si>
  <si>
    <t>Mummy C summary</t>
  </si>
  <si>
    <t>Landmine: 1 landmine hits 6 enemies (similar to Special weapon 2 (Grenade)) , the greatest damage is cause to enemy that stepped on it.</t>
  </si>
  <si>
    <t>Railgun: (grenade skin) each shot is actually a hit. Each bullet hits 5 enemies in a line.</t>
  </si>
  <si>
    <t>Artillery Strike: (grenade skin)</t>
  </si>
  <si>
    <t>Rocket Propelled Grenade: (grenade skin)</t>
  </si>
  <si>
    <t>Flamethrower/Molotov Grenades: (grenade skin)</t>
  </si>
  <si>
    <t>Artillery strike</t>
  </si>
  <si>
    <t>Flamethrower</t>
  </si>
  <si>
    <t>Special Pistol Ammo: these bullets enhace the regular bullets. This means player has to pay every shot with this ammo. New special weapons and boss round can be triggered.</t>
  </si>
  <si>
    <t>The average pay for each shot is 1.655 (as these shots are paid they return to player 0.655 for base game, the rest is the part for winning this bullets)</t>
  </si>
  <si>
    <t>These shots contribute to Leaderboard/Jackpot as regular shots.</t>
  </si>
  <si>
    <t>If some of these bullets are not used (end of round, player logs out, etc) then player must receive an average pay of 1x for each bullet not being shot.</t>
  </si>
  <si>
    <t>Avg Pay</t>
  </si>
  <si>
    <t>In that case, for each bullet draw a prize from these table:</t>
  </si>
  <si>
    <t>Powerup: doubles chance of kill</t>
  </si>
  <si>
    <t>Powerup: doubles the payout</t>
  </si>
  <si>
    <t>Cryogun</t>
  </si>
  <si>
    <t>Killing the enemy (Cryogun)</t>
  </si>
  <si>
    <t>Killing the enemy (Doubles chance) (*)</t>
  </si>
  <si>
    <t>Killing the enemy (Doubles payout) (*)</t>
  </si>
  <si>
    <t>POWERUP DOUBLES CHANCES</t>
  </si>
  <si>
    <t>CRYO-GUN</t>
  </si>
  <si>
    <t>POWERUP DOUBLES PAYOUTS</t>
  </si>
  <si>
    <t>Killing the enemy (Special Pistol Ammo) (*)</t>
  </si>
  <si>
    <t>(*) paid shots</t>
  </si>
  <si>
    <t>Killing the enemy (*)</t>
  </si>
  <si>
    <t>Map Quest</t>
  </si>
  <si>
    <t>(0.955 + 0.655)</t>
  </si>
  <si>
    <t>(0.955 + 1)</t>
  </si>
  <si>
    <t>Powerup (doubles chances): these bullets enhace the regular bullets. This means player has to pay every shot with this ammo. New special weapons and boss round can be triggered.</t>
  </si>
  <si>
    <t>If some of these bullets are not used (end of round, player logs out, etc) then player must receive an average pay of 0.655x for each bullet not being shot.</t>
  </si>
  <si>
    <t>Powerup (doubles payouts): these bullets enhace the regular bullets. This means player has to pay every shot with this ammo. New special weapons and boss round can be triggered.</t>
  </si>
  <si>
    <t>Cryogun: fires a pulse at the center of the screen and visually freeze all enemies for a few seconds. It also hits to 5 enemies (near the center of the screen). Same mechanics as grenade.</t>
  </si>
  <si>
    <t>Freezing enemies is just a visual effect, all weapons continue working as usual while enemies are frozen.</t>
  </si>
  <si>
    <t>With each paid shot in base game there is a chance of getting a piece of a map. When the 6th piece is collected player receives a prize of 120x.</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</si>
</sst>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
    <numFmt numFmtId="165" formatCode="\x0.00"/>
    <numFmt numFmtId="166" formatCode="0.0"/>
    <numFmt numFmtId="167" formatCode="0.0000"/>
    <numFmt numFmtId="168" formatCode="\x0"/>
    <numFmt numFmtId="169" formatCode="0.0000000"/>
    <numFmt numFmtId="170" formatCode="0.000"/>
  </numFmts>
  <fonts count="15" x14ac:knownFonts="1">
    <font>
      <sz val="11"/>
      <color rgb="FF000000"/>
      <name val="Calibri"/>
      <family val="2"/>
      <charset val="1"/>
    </font>
    <font>
      <b/>
      <sz val="11"/>
      <color rgb="FF000000"/>
      <name val="Calibri"/>
      <family val="2"/>
      <charset val="1"/>
    </font>
    <font>
      <b/>
      <sz val="11"/>
      <color rgb="FFFFFFFF"/>
      <name val="Calibri"/>
      <family val="2"/>
      <charset val="1"/>
    </font>
    <font>
      <sz val="11"/>
      <name val="Calibri"/>
      <family val="2"/>
      <charset val="1"/>
    </font>
    <font>
      <b/>
      <sz val="11"/>
      <color rgb="FFFF0000"/>
      <name val="Calibri"/>
      <family val="2"/>
      <charset val="1"/>
    </font>
    <font>
      <b/>
      <sz val="12"/>
      <color rgb="FF000000"/>
      <name val="Calibri"/>
      <family val="2"/>
      <charset val="1"/>
    </font>
    <font>
      <b/>
      <sz val="14"/>
      <color rgb="FFFFFFFF"/>
      <name val="Calibri"/>
      <family val="2"/>
      <charset val="1"/>
    </font>
    <font>
      <b/>
      <sz val="14"/>
      <color rgb="FF000000"/>
      <name val="Calibri"/>
      <family val="2"/>
      <charset val="1"/>
    </font>
    <font>
      <sz val="11"/>
      <color rgb="FFFF0000"/>
      <name val="Calibri"/>
      <family val="2"/>
      <charset val="1"/>
    </font>
    <font>
      <b/>
      <sz val="11"/>
      <color rgb="FFC00000"/>
      <name val="Calibri"/>
      <family val="2"/>
      <charset val="1"/>
    </font>
    <font>
      <b/>
      <sz val="9"/>
      <color rgb="FF000000"/>
      <name val="Tahoma"/>
      <family val="2"/>
      <charset val="1"/>
    </font>
    <font>
      <sz val="11"/>
      <color rgb="FF000000"/>
      <name val="Calibri"/>
      <family val="2"/>
      <charset val="1"/>
    </font>
    <font>
      <sz val="11"/>
      <color rgb="FF000000"/>
      <name val="Calibri"/>
      <family val="2"/>
    </font>
    <font>
      <b/>
      <sz val="11"/>
      <color rgb="FF000000"/>
      <name val="Calibri"/>
      <family val="2"/>
    </font>
    <font>
      <b/>
      <sz val="11"/>
      <color rgb="FFFF0000"/>
      <name val="Calibri"/>
      <family val="2"/>
    </font>
  </fonts>
  <fills count="5">
    <fill>
      <patternFill patternType="none"/>
    </fill>
    <fill>
      <patternFill patternType="gray125"/>
    </fill>
    <fill>
      <patternFill patternType="solid">
        <fgColor rgb="FFA6A6A6"/>
        <bgColor rgb="FFC0C0C0"/>
      </patternFill>
    </fill>
    <fill>
      <patternFill patternType="solid">
        <fgColor rgb="FF0070C0"/>
        <bgColor rgb="FF008080"/>
      </patternFill>
    </fill>
    <fill>
      <patternFill patternType="solid">
        <fgColor rgb="FF93CDDD"/>
        <bgColor rgb="FFC0C0C0"/>
      </patternFill>
    </fill>
  </fills>
  <borders count="21">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s>
  <cellStyleXfs count="2">
    <xf numFmtId="0" fontId="0" fillId="0" borderId="0"/>
    <xf numFmtId="9" fontId="11" fillId="0" borderId="0" applyBorder="0" applyProtection="0"/>
  </cellStyleXfs>
  <cellXfs count="100">
    <xf numFmtId="0" fontId="0" fillId="0" borderId="0" xfId="0"/>
    <xf numFmtId="0" fontId="1" fillId="0" borderId="0" xfId="0" applyFont="1"/>
    <xf numFmtId="0" fontId="2" fillId="2" borderId="1" xfId="0" applyFont="1" applyFill="1" applyBorder="1"/>
    <xf numFmtId="0" fontId="0" fillId="0" borderId="1" xfId="0" applyFont="1" applyBorder="1"/>
    <xf numFmtId="164" fontId="0" fillId="0" borderId="1" xfId="1" applyNumberFormat="1" applyFont="1" applyBorder="1" applyAlignment="1" applyProtection="1"/>
    <xf numFmtId="164" fontId="3" fillId="0" borderId="1" xfId="1" applyNumberFormat="1" applyFont="1" applyBorder="1" applyAlignment="1" applyProtection="1"/>
    <xf numFmtId="2" fontId="0" fillId="0" borderId="1" xfId="0" applyNumberFormat="1" applyBorder="1"/>
    <xf numFmtId="10" fontId="2" fillId="2" borderId="1" xfId="1" applyNumberFormat="1" applyFont="1" applyFill="1" applyBorder="1" applyAlignment="1" applyProtection="1"/>
    <xf numFmtId="0" fontId="0" fillId="0" borderId="2" xfId="0" applyFont="1" applyBorder="1"/>
    <xf numFmtId="0" fontId="4" fillId="0" borderId="0" xfId="0" applyFont="1"/>
    <xf numFmtId="0" fontId="0" fillId="0" borderId="0" xfId="0" applyFont="1" applyBorder="1"/>
    <xf numFmtId="165" fontId="1" fillId="0" borderId="1" xfId="0" applyNumberFormat="1" applyFont="1" applyBorder="1"/>
    <xf numFmtId="0" fontId="1" fillId="0" borderId="0" xfId="0" applyFont="1" applyBorder="1"/>
    <xf numFmtId="165" fontId="1" fillId="0" borderId="0" xfId="0" applyNumberFormat="1" applyFont="1" applyBorder="1" applyAlignment="1">
      <alignment horizontal="right"/>
    </xf>
    <xf numFmtId="3" fontId="0" fillId="0" borderId="0" xfId="0" applyNumberFormat="1"/>
    <xf numFmtId="0" fontId="1" fillId="0" borderId="3" xfId="0" applyFont="1" applyBorder="1"/>
    <xf numFmtId="0" fontId="1" fillId="0" borderId="4" xfId="0" applyFont="1" applyBorder="1"/>
    <xf numFmtId="0" fontId="1" fillId="0" borderId="5" xfId="0" applyFont="1" applyBorder="1"/>
    <xf numFmtId="0" fontId="0" fillId="0" borderId="6" xfId="0" applyFont="1" applyBorder="1"/>
    <xf numFmtId="0" fontId="0" fillId="0" borderId="7" xfId="0" applyFont="1" applyBorder="1"/>
    <xf numFmtId="0" fontId="0" fillId="0" borderId="8" xfId="0" applyFont="1" applyBorder="1"/>
    <xf numFmtId="0" fontId="0" fillId="0" borderId="9" xfId="0" applyFont="1" applyBorder="1"/>
    <xf numFmtId="0" fontId="0" fillId="0" borderId="10" xfId="0" applyFont="1" applyBorder="1"/>
    <xf numFmtId="0" fontId="0" fillId="0" borderId="11" xfId="0" applyFont="1" applyBorder="1"/>
    <xf numFmtId="0" fontId="0" fillId="0" borderId="12" xfId="0" applyBorder="1"/>
    <xf numFmtId="0" fontId="0" fillId="0" borderId="3" xfId="0" applyFont="1" applyBorder="1"/>
    <xf numFmtId="2" fontId="0" fillId="0" borderId="5" xfId="0" applyNumberFormat="1" applyBorder="1"/>
    <xf numFmtId="0" fontId="5" fillId="0" borderId="0" xfId="0" applyFont="1"/>
    <xf numFmtId="0" fontId="3" fillId="0" borderId="0" xfId="0" applyFont="1"/>
    <xf numFmtId="0" fontId="0" fillId="0" borderId="0" xfId="0" applyFont="1"/>
    <xf numFmtId="0" fontId="1" fillId="0" borderId="13" xfId="0" applyFont="1" applyBorder="1"/>
    <xf numFmtId="0" fontId="1" fillId="0" borderId="14" xfId="0" applyFont="1" applyBorder="1"/>
    <xf numFmtId="0" fontId="1" fillId="0" borderId="15" xfId="0" applyFont="1" applyBorder="1"/>
    <xf numFmtId="0" fontId="0" fillId="0" borderId="16" xfId="0" applyFont="1" applyBorder="1"/>
    <xf numFmtId="0" fontId="0" fillId="0" borderId="17" xfId="0" applyFont="1" applyBorder="1"/>
    <xf numFmtId="0" fontId="1" fillId="0" borderId="7" xfId="0" applyFont="1" applyBorder="1" applyAlignment="1">
      <alignment horizontal="center"/>
    </xf>
    <xf numFmtId="0" fontId="0" fillId="0" borderId="13" xfId="0" applyFont="1" applyBorder="1"/>
    <xf numFmtId="0" fontId="0" fillId="0" borderId="14" xfId="0" applyBorder="1"/>
    <xf numFmtId="0" fontId="0" fillId="0" borderId="14" xfId="0" applyFont="1" applyBorder="1"/>
    <xf numFmtId="0" fontId="0" fillId="0" borderId="15" xfId="0" applyFont="1" applyBorder="1"/>
    <xf numFmtId="166" fontId="0" fillId="0" borderId="7" xfId="1" applyNumberFormat="1" applyFont="1" applyBorder="1" applyAlignment="1" applyProtection="1"/>
    <xf numFmtId="0" fontId="0" fillId="0" borderId="0" xfId="0" applyBorder="1"/>
    <xf numFmtId="166" fontId="0" fillId="0" borderId="8" xfId="1" applyNumberFormat="1" applyFont="1" applyBorder="1" applyAlignment="1" applyProtection="1"/>
    <xf numFmtId="0" fontId="0" fillId="0" borderId="10" xfId="0" applyBorder="1"/>
    <xf numFmtId="166" fontId="0" fillId="0" borderId="11" xfId="1" applyNumberFormat="1" applyFont="1" applyBorder="1" applyAlignment="1" applyProtection="1"/>
    <xf numFmtId="167" fontId="1" fillId="0" borderId="4" xfId="1" applyNumberFormat="1" applyFont="1" applyBorder="1" applyAlignment="1" applyProtection="1"/>
    <xf numFmtId="0" fontId="1" fillId="0" borderId="12" xfId="0" applyFont="1" applyBorder="1"/>
    <xf numFmtId="10" fontId="1" fillId="0" borderId="0" xfId="1" applyNumberFormat="1" applyFont="1" applyBorder="1" applyAlignment="1" applyProtection="1"/>
    <xf numFmtId="0" fontId="2" fillId="2" borderId="18" xfId="0" applyFont="1" applyFill="1" applyBorder="1"/>
    <xf numFmtId="168" fontId="1" fillId="0" borderId="1" xfId="0" applyNumberFormat="1" applyFont="1" applyBorder="1"/>
    <xf numFmtId="0" fontId="1" fillId="0" borderId="1" xfId="0" applyFont="1" applyBorder="1"/>
    <xf numFmtId="169" fontId="1" fillId="0" borderId="1" xfId="0" applyNumberFormat="1" applyFont="1" applyBorder="1"/>
    <xf numFmtId="0" fontId="1" fillId="0" borderId="5" xfId="0" applyFont="1" applyBorder="1" applyAlignment="1">
      <alignment horizontal="center"/>
    </xf>
    <xf numFmtId="0" fontId="1" fillId="0" borderId="0" xfId="0" applyFont="1" applyBorder="1" applyAlignment="1">
      <alignment horizontal="center"/>
    </xf>
    <xf numFmtId="0" fontId="8" fillId="0" borderId="0" xfId="0" applyFont="1"/>
    <xf numFmtId="0" fontId="0" fillId="0" borderId="15" xfId="0" applyBorder="1"/>
    <xf numFmtId="0" fontId="0" fillId="0" borderId="17" xfId="0" applyBorder="1"/>
    <xf numFmtId="0" fontId="2" fillId="2" borderId="1" xfId="0" applyFont="1" applyFill="1" applyBorder="1" applyAlignment="1">
      <alignment horizontal="center"/>
    </xf>
    <xf numFmtId="0" fontId="0" fillId="0" borderId="1" xfId="0" applyBorder="1"/>
    <xf numFmtId="170" fontId="0" fillId="0" borderId="1" xfId="0" applyNumberFormat="1" applyFont="1" applyBorder="1"/>
    <xf numFmtId="0" fontId="0" fillId="0" borderId="1" xfId="0" applyBorder="1" applyAlignment="1">
      <alignment horizontal="right"/>
    </xf>
    <xf numFmtId="169" fontId="3" fillId="0" borderId="1" xfId="1" applyNumberFormat="1" applyFont="1" applyBorder="1" applyAlignment="1" applyProtection="1">
      <protection locked="0"/>
    </xf>
    <xf numFmtId="169" fontId="0" fillId="0" borderId="1" xfId="0" applyNumberFormat="1" applyBorder="1"/>
    <xf numFmtId="0" fontId="9" fillId="0" borderId="1" xfId="0" applyFont="1" applyBorder="1" applyProtection="1">
      <protection locked="0"/>
    </xf>
    <xf numFmtId="170" fontId="0" fillId="0" borderId="1" xfId="0" applyNumberFormat="1" applyBorder="1"/>
    <xf numFmtId="0" fontId="0" fillId="0" borderId="1" xfId="0" applyBorder="1" applyAlignment="1">
      <alignment horizontal="center"/>
    </xf>
    <xf numFmtId="169" fontId="3" fillId="0" borderId="1" xfId="1" applyNumberFormat="1" applyFont="1" applyBorder="1" applyAlignment="1" applyProtection="1"/>
    <xf numFmtId="0" fontId="0" fillId="0" borderId="6" xfId="0" applyBorder="1"/>
    <xf numFmtId="0" fontId="0" fillId="0" borderId="0" xfId="0" applyFont="1" applyFill="1" applyBorder="1"/>
    <xf numFmtId="0" fontId="0" fillId="0" borderId="6" xfId="0" applyFill="1" applyBorder="1"/>
    <xf numFmtId="0" fontId="0" fillId="0" borderId="13" xfId="0" applyBorder="1"/>
    <xf numFmtId="0" fontId="0" fillId="0" borderId="9" xfId="0" applyBorder="1"/>
    <xf numFmtId="0" fontId="0" fillId="0" borderId="0" xfId="0" applyFill="1" applyBorder="1"/>
    <xf numFmtId="0" fontId="3" fillId="0" borderId="1" xfId="0" applyFont="1" applyBorder="1"/>
    <xf numFmtId="170" fontId="3" fillId="0" borderId="1" xfId="0" applyNumberFormat="1" applyFont="1" applyBorder="1"/>
    <xf numFmtId="0" fontId="0" fillId="0" borderId="1" xfId="0" applyFill="1" applyBorder="1"/>
    <xf numFmtId="0" fontId="0" fillId="0" borderId="6" xfId="0" applyFont="1" applyFill="1" applyBorder="1"/>
    <xf numFmtId="0" fontId="0" fillId="0" borderId="9" xfId="0" applyFont="1" applyFill="1" applyBorder="1"/>
    <xf numFmtId="0" fontId="0" fillId="0" borderId="10" xfId="0" applyFont="1" applyFill="1" applyBorder="1"/>
    <xf numFmtId="0" fontId="0" fillId="0" borderId="17" xfId="0" applyFont="1" applyFill="1" applyBorder="1"/>
    <xf numFmtId="0" fontId="0" fillId="0" borderId="1" xfId="0" applyFont="1" applyFill="1" applyBorder="1"/>
    <xf numFmtId="1" fontId="1" fillId="0" borderId="1" xfId="0" applyNumberFormat="1" applyFont="1" applyBorder="1"/>
    <xf numFmtId="1" fontId="12" fillId="0" borderId="1" xfId="0" applyNumberFormat="1" applyFont="1" applyBorder="1"/>
    <xf numFmtId="0" fontId="12" fillId="0" borderId="1" xfId="0" applyFont="1" applyBorder="1"/>
    <xf numFmtId="0" fontId="4" fillId="0" borderId="1" xfId="0" applyFont="1" applyBorder="1"/>
    <xf numFmtId="0" fontId="13" fillId="0" borderId="1" xfId="0" applyFont="1" applyFill="1" applyBorder="1"/>
    <xf numFmtId="170" fontId="12" fillId="0" borderId="1" xfId="0" applyNumberFormat="1" applyFont="1" applyBorder="1"/>
    <xf numFmtId="10" fontId="3" fillId="0" borderId="1" xfId="1" applyNumberFormat="1" applyFont="1" applyBorder="1" applyAlignment="1" applyProtection="1"/>
    <xf numFmtId="1" fontId="0" fillId="0" borderId="1" xfId="0" applyNumberFormat="1" applyFont="1" applyBorder="1"/>
    <xf numFmtId="167" fontId="11" fillId="0" borderId="0" xfId="1" applyNumberFormat="1"/>
    <xf numFmtId="0" fontId="14" fillId="0" borderId="1" xfId="0" applyFont="1" applyBorder="1"/>
    <xf numFmtId="10" fontId="14" fillId="0" borderId="1" xfId="1" applyNumberFormat="1" applyFont="1" applyBorder="1" applyAlignment="1" applyProtection="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2" fillId="2" borderId="12" xfId="0" applyFont="1" applyFill="1" applyBorder="1" applyAlignment="1">
      <alignment horizontal="center"/>
    </xf>
    <xf numFmtId="0" fontId="7" fillId="4" borderId="0" xfId="0" applyFont="1" applyFill="1" applyBorder="1" applyAlignment="1">
      <alignment horizontal="center"/>
    </xf>
    <xf numFmtId="0" fontId="6" fillId="3" borderId="0"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cellXfs>
  <cellStyles count="2">
    <cellStyle name="Обычный" xfId="0" builtinId="0"/>
    <cellStyle name="Процентный" xfId="1" builtinId="5"/>
  </cellStyles>
  <dxfs count="0"/>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3CDDD"/>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295275</xdr:colOff>
      <xdr:row>50</xdr:row>
      <xdr:rowOff>0</xdr:rowOff>
    </xdr:to>
    <xdr:sp macro="" textlink="">
      <xdr:nvSpPr>
        <xdr:cNvPr id="1026" name="_x0000_t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295275</xdr:colOff>
      <xdr:row>50</xdr:row>
      <xdr:rowOff>0</xdr:rowOff>
    </xdr:to>
    <xdr:sp macro="" textlink="">
      <xdr:nvSpPr>
        <xdr:cNvPr id="12290" name="_x0000_t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295275</xdr:colOff>
      <xdr:row>50</xdr:row>
      <xdr:rowOff>0</xdr:rowOff>
    </xdr:to>
    <xdr:sp macro="" textlink="">
      <xdr:nvSpPr>
        <xdr:cNvPr id="13314" name="_x0000_t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295275</xdr:colOff>
      <xdr:row>50</xdr:row>
      <xdr:rowOff>0</xdr:rowOff>
    </xdr:to>
    <xdr:sp macro="" textlink="">
      <xdr:nvSpPr>
        <xdr:cNvPr id="22530" name="_x0000_t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295275</xdr:colOff>
      <xdr:row>50</xdr:row>
      <xdr:rowOff>0</xdr:rowOff>
    </xdr:to>
    <xdr:sp macro="" textlink="">
      <xdr:nvSpPr>
        <xdr:cNvPr id="23554" name="_x0000_t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295275</xdr:colOff>
      <xdr:row>50</xdr:row>
      <xdr:rowOff>0</xdr:rowOff>
    </xdr:to>
    <xdr:sp macro="" textlink="">
      <xdr:nvSpPr>
        <xdr:cNvPr id="25602" name="_x0000_t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295275</xdr:colOff>
      <xdr:row>50</xdr:row>
      <xdr:rowOff>0</xdr:rowOff>
    </xdr:to>
    <xdr:sp macro="" textlink="">
      <xdr:nvSpPr>
        <xdr:cNvPr id="26626" name="_x0000_t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295275</xdr:colOff>
      <xdr:row>50</xdr:row>
      <xdr:rowOff>0</xdr:rowOff>
    </xdr:to>
    <xdr:sp macro="" textlink="">
      <xdr:nvSpPr>
        <xdr:cNvPr id="28674" name="_x0000_t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295275</xdr:colOff>
      <xdr:row>50</xdr:row>
      <xdr:rowOff>0</xdr:rowOff>
    </xdr:to>
    <xdr:sp macro="" textlink="">
      <xdr:nvSpPr>
        <xdr:cNvPr id="29698" name="_x0000_t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295275</xdr:colOff>
      <xdr:row>50</xdr:row>
      <xdr:rowOff>0</xdr:rowOff>
    </xdr:to>
    <xdr:sp macro="" textlink="">
      <xdr:nvSpPr>
        <xdr:cNvPr id="30722" name="_x0000_t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295275</xdr:colOff>
      <xdr:row>50</xdr:row>
      <xdr:rowOff>0</xdr:rowOff>
    </xdr:to>
    <xdr:sp macro="" textlink="">
      <xdr:nvSpPr>
        <xdr:cNvPr id="33794" name="_x0000_t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ax%20Quest%20Math%20model_NJP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Special weapon"/>
      <sheetName val="Buying Special weapons"/>
      <sheetName val="Boss round (4 or more players)"/>
      <sheetName val="Boss round (1,2,or 3 players)"/>
      <sheetName val="Scarab Black"/>
      <sheetName val="Scarab Gold"/>
      <sheetName val="Scarab Gem Covered"/>
      <sheetName val="Standard Mummy"/>
      <sheetName val="Mummy A"/>
      <sheetName val="Mummy B"/>
      <sheetName val="Mummy C"/>
      <sheetName val="Pharaoh A"/>
      <sheetName val="Pharaoh B"/>
      <sheetName val="HV Scarab"/>
      <sheetName val="HV enemy"/>
      <sheetName val="Profiles"/>
    </sheetNames>
    <sheetDataSet>
      <sheetData sheetId="0"/>
      <sheetData sheetId="1"/>
      <sheetData sheetId="2"/>
      <sheetData sheetId="3"/>
      <sheetData sheetId="4"/>
      <sheetData sheetId="5"/>
      <sheetData sheetId="6"/>
      <sheetData sheetId="7"/>
      <sheetData sheetId="8">
        <row r="3">
          <cell r="J3">
            <v>5</v>
          </cell>
        </row>
        <row r="4">
          <cell r="J4">
            <v>7</v>
          </cell>
        </row>
        <row r="5">
          <cell r="J5">
            <v>10</v>
          </cell>
        </row>
        <row r="6">
          <cell r="J6">
            <v>15</v>
          </cell>
        </row>
        <row r="7">
          <cell r="J7">
            <v>25</v>
          </cell>
        </row>
        <row r="8">
          <cell r="J8">
            <v>50</v>
          </cell>
        </row>
        <row r="9">
          <cell r="J9">
            <v>100</v>
          </cell>
        </row>
      </sheetData>
      <sheetData sheetId="9">
        <row r="3">
          <cell r="J3">
            <v>5</v>
          </cell>
        </row>
        <row r="4">
          <cell r="J4">
            <v>7</v>
          </cell>
        </row>
        <row r="5">
          <cell r="J5">
            <v>10</v>
          </cell>
        </row>
        <row r="6">
          <cell r="J6">
            <v>15</v>
          </cell>
        </row>
        <row r="7">
          <cell r="J7">
            <v>25</v>
          </cell>
        </row>
        <row r="8">
          <cell r="J8">
            <v>50</v>
          </cell>
        </row>
        <row r="9">
          <cell r="J9">
            <v>100</v>
          </cell>
        </row>
      </sheetData>
      <sheetData sheetId="10">
        <row r="3">
          <cell r="J3">
            <v>5</v>
          </cell>
        </row>
        <row r="4">
          <cell r="J4">
            <v>7</v>
          </cell>
        </row>
        <row r="5">
          <cell r="J5">
            <v>10</v>
          </cell>
        </row>
        <row r="6">
          <cell r="J6">
            <v>15</v>
          </cell>
        </row>
        <row r="7">
          <cell r="J7">
            <v>25</v>
          </cell>
        </row>
        <row r="8">
          <cell r="J8">
            <v>50</v>
          </cell>
        </row>
        <row r="9">
          <cell r="J9">
            <v>100</v>
          </cell>
        </row>
      </sheetData>
      <sheetData sheetId="11">
        <row r="3">
          <cell r="J3">
            <v>7</v>
          </cell>
        </row>
        <row r="4">
          <cell r="J4">
            <v>10</v>
          </cell>
        </row>
        <row r="5">
          <cell r="J5">
            <v>15</v>
          </cell>
        </row>
        <row r="6">
          <cell r="J6">
            <v>20</v>
          </cell>
        </row>
        <row r="7">
          <cell r="J7">
            <v>40</v>
          </cell>
        </row>
        <row r="8">
          <cell r="J8">
            <v>75</v>
          </cell>
        </row>
        <row r="9">
          <cell r="J9">
            <v>150</v>
          </cell>
        </row>
      </sheetData>
      <sheetData sheetId="12">
        <row r="3">
          <cell r="J3">
            <v>10</v>
          </cell>
        </row>
        <row r="4">
          <cell r="J4">
            <v>15</v>
          </cell>
        </row>
        <row r="5">
          <cell r="J5">
            <v>20</v>
          </cell>
        </row>
        <row r="6">
          <cell r="J6">
            <v>40</v>
          </cell>
        </row>
        <row r="7">
          <cell r="J7">
            <v>75</v>
          </cell>
        </row>
        <row r="8">
          <cell r="J8">
            <v>100</v>
          </cell>
        </row>
        <row r="9">
          <cell r="J9">
            <v>200</v>
          </cell>
        </row>
      </sheetData>
      <sheetData sheetId="13">
        <row r="3">
          <cell r="J3">
            <v>10</v>
          </cell>
        </row>
        <row r="4">
          <cell r="J4">
            <v>15</v>
          </cell>
        </row>
        <row r="5">
          <cell r="J5">
            <v>20</v>
          </cell>
        </row>
        <row r="6">
          <cell r="J6">
            <v>40</v>
          </cell>
        </row>
        <row r="7">
          <cell r="J7">
            <v>75</v>
          </cell>
        </row>
        <row r="8">
          <cell r="J8">
            <v>100</v>
          </cell>
        </row>
        <row r="9">
          <cell r="J9">
            <v>200</v>
          </cell>
        </row>
      </sheetData>
      <sheetData sheetId="14">
        <row r="3">
          <cell r="J3">
            <v>50</v>
          </cell>
        </row>
        <row r="4">
          <cell r="J4">
            <v>100</v>
          </cell>
        </row>
        <row r="5">
          <cell r="J5">
            <v>200</v>
          </cell>
        </row>
        <row r="6">
          <cell r="J6">
            <v>500</v>
          </cell>
        </row>
        <row r="7">
          <cell r="J7">
            <v>750</v>
          </cell>
        </row>
        <row r="8">
          <cell r="J8">
            <v>1000</v>
          </cell>
        </row>
        <row r="9">
          <cell r="J9">
            <v>2000</v>
          </cell>
        </row>
      </sheetData>
      <sheetData sheetId="15">
        <row r="3">
          <cell r="J3">
            <v>75</v>
          </cell>
        </row>
        <row r="4">
          <cell r="J4">
            <v>150</v>
          </cell>
        </row>
        <row r="5">
          <cell r="J5">
            <v>300</v>
          </cell>
        </row>
        <row r="6">
          <cell r="J6">
            <v>500</v>
          </cell>
        </row>
        <row r="7">
          <cell r="J7">
            <v>1000</v>
          </cell>
        </row>
        <row r="8">
          <cell r="J8">
            <v>2000</v>
          </cell>
        </row>
        <row r="9">
          <cell r="J9">
            <v>5000</v>
          </cell>
        </row>
      </sheetData>
      <sheetData sheetId="16"/>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K53"/>
  <sheetViews>
    <sheetView tabSelected="1" workbookViewId="0">
      <selection activeCell="A5" sqref="A5"/>
    </sheetView>
  </sheetViews>
  <sheetFormatPr defaultColWidth="8.85546875" defaultRowHeight="15" x14ac:dyDescent="0.25"/>
  <cols>
    <col min="1" max="1" width="18" customWidth="1"/>
    <col min="2" max="3" width="11.5703125" customWidth="1"/>
    <col min="4" max="4" width="15.85546875" customWidth="1"/>
    <col min="5" max="5" width="14.85546875" customWidth="1"/>
    <col min="6" max="6" width="11.5703125" customWidth="1"/>
    <col min="7" max="7" width="13.5703125" customWidth="1"/>
    <col min="8" max="8" width="15" customWidth="1"/>
    <col min="9" max="9" width="16.28515625" customWidth="1"/>
    <col min="10" max="10" width="14.140625" customWidth="1"/>
    <col min="11" max="11" width="11.7109375" bestFit="1" customWidth="1"/>
    <col min="12" max="13" width="12" customWidth="1"/>
    <col min="14" max="1025" width="11.5703125" customWidth="1"/>
  </cols>
  <sheetData>
    <row r="1" spans="1:11" x14ac:dyDescent="0.25">
      <c r="A1" t="s">
        <v>0</v>
      </c>
    </row>
    <row r="2" spans="1:11" x14ac:dyDescent="0.25">
      <c r="A2" t="s">
        <v>1</v>
      </c>
    </row>
    <row r="4" spans="1:11" x14ac:dyDescent="0.25">
      <c r="I4" s="1" t="s">
        <v>2</v>
      </c>
    </row>
    <row r="5" spans="1:11" x14ac:dyDescent="0.25">
      <c r="A5" s="2" t="s">
        <v>3</v>
      </c>
      <c r="B5" s="2" t="s">
        <v>4</v>
      </c>
      <c r="C5" s="2" t="s">
        <v>5</v>
      </c>
      <c r="D5" s="2" t="s">
        <v>6</v>
      </c>
      <c r="E5" s="2" t="s">
        <v>7</v>
      </c>
      <c r="G5" s="2" t="s">
        <v>3</v>
      </c>
      <c r="H5" s="2" t="s">
        <v>4</v>
      </c>
      <c r="I5" s="2" t="s">
        <v>5</v>
      </c>
      <c r="J5" s="2" t="s">
        <v>6</v>
      </c>
      <c r="K5" s="2" t="s">
        <v>7</v>
      </c>
    </row>
    <row r="6" spans="1:11" x14ac:dyDescent="0.25">
      <c r="A6" s="3" t="s">
        <v>8</v>
      </c>
      <c r="B6" s="4">
        <v>0.65500000000000003</v>
      </c>
      <c r="C6" s="3"/>
      <c r="D6" s="3"/>
      <c r="E6" s="3"/>
      <c r="G6" s="3" t="s">
        <v>8</v>
      </c>
      <c r="H6" s="4">
        <v>0.65500000000000003</v>
      </c>
      <c r="I6" s="3"/>
      <c r="J6" s="3"/>
      <c r="K6" s="3"/>
    </row>
    <row r="7" spans="1:11" x14ac:dyDescent="0.25">
      <c r="A7" s="3" t="s">
        <v>9</v>
      </c>
      <c r="B7" s="5">
        <f>1/C7*E7</f>
        <v>0.1</v>
      </c>
      <c r="C7" s="3">
        <v>1000</v>
      </c>
      <c r="D7" s="3">
        <f>1/C7</f>
        <v>1E-3</v>
      </c>
      <c r="E7" s="3">
        <v>100</v>
      </c>
      <c r="G7" s="3" t="s">
        <v>9</v>
      </c>
      <c r="H7" s="5">
        <v>0</v>
      </c>
      <c r="I7" s="3">
        <v>0</v>
      </c>
      <c r="J7" s="3">
        <v>0</v>
      </c>
      <c r="K7" s="3">
        <v>0</v>
      </c>
    </row>
    <row r="8" spans="1:11" x14ac:dyDescent="0.25">
      <c r="A8" s="3" t="s">
        <v>10</v>
      </c>
      <c r="B8" s="5">
        <f>1/C8*E8</f>
        <v>0.17019074675324677</v>
      </c>
      <c r="C8" s="3">
        <v>700</v>
      </c>
      <c r="D8" s="3">
        <f>1/C8</f>
        <v>1.4285714285714286E-3</v>
      </c>
      <c r="E8" s="6">
        <f>+'Special weapon'!D50</f>
        <v>119.13352272727273</v>
      </c>
      <c r="G8" s="3" t="s">
        <v>10</v>
      </c>
      <c r="H8" s="5">
        <f>1/I8*K8</f>
        <v>0.27014404246547108</v>
      </c>
      <c r="I8" s="3">
        <v>441</v>
      </c>
      <c r="J8" s="3">
        <f>1/I8</f>
        <v>2.2675736961451248E-3</v>
      </c>
      <c r="K8" s="6">
        <f>+E8</f>
        <v>119.13352272727273</v>
      </c>
    </row>
    <row r="9" spans="1:11" x14ac:dyDescent="0.25">
      <c r="A9" s="3" t="s">
        <v>11</v>
      </c>
      <c r="B9" s="5">
        <v>0.02</v>
      </c>
      <c r="C9" s="3"/>
      <c r="D9" s="3"/>
      <c r="E9" s="3"/>
      <c r="G9" s="3" t="s">
        <v>11</v>
      </c>
      <c r="H9" s="5">
        <v>0.02</v>
      </c>
      <c r="I9" s="3"/>
      <c r="J9" s="3"/>
      <c r="K9" s="3"/>
    </row>
    <row r="10" spans="1:11" x14ac:dyDescent="0.25">
      <c r="A10" s="90" t="s">
        <v>174</v>
      </c>
      <c r="B10" s="91">
        <f>1/C10*E10</f>
        <v>0.03</v>
      </c>
      <c r="C10" s="88">
        <f>1/D10</f>
        <v>666.66666666666663</v>
      </c>
      <c r="D10" s="3">
        <v>1.5E-3</v>
      </c>
      <c r="E10" s="3">
        <v>20</v>
      </c>
      <c r="G10" s="58" t="s">
        <v>174</v>
      </c>
      <c r="H10" s="87">
        <f>1/I10*K10</f>
        <v>0.03</v>
      </c>
      <c r="I10" s="88">
        <f>1/J10</f>
        <v>666.66666666666663</v>
      </c>
      <c r="J10" s="3">
        <v>1.5E-3</v>
      </c>
      <c r="K10" s="3">
        <v>20</v>
      </c>
    </row>
    <row r="11" spans="1:11" x14ac:dyDescent="0.25">
      <c r="A11" s="3" t="s">
        <v>12</v>
      </c>
      <c r="B11" s="5">
        <v>0</v>
      </c>
      <c r="C11" s="3"/>
      <c r="D11" s="3"/>
      <c r="E11" s="3"/>
      <c r="G11" s="3" t="s">
        <v>12</v>
      </c>
      <c r="H11" s="5">
        <v>0</v>
      </c>
      <c r="I11" s="3"/>
      <c r="J11" s="3"/>
      <c r="K11" s="3"/>
    </row>
    <row r="12" spans="1:11" x14ac:dyDescent="0.25">
      <c r="A12" s="2" t="s">
        <v>13</v>
      </c>
      <c r="B12" s="7">
        <f>+SUM(B6:B11)</f>
        <v>0.9751907467532468</v>
      </c>
      <c r="C12" s="2"/>
      <c r="D12" s="2"/>
      <c r="E12" s="2"/>
      <c r="G12" s="2" t="s">
        <v>13</v>
      </c>
      <c r="H12" s="7">
        <f>+SUM(H6:H11)</f>
        <v>0.97514404246547115</v>
      </c>
      <c r="I12" s="2"/>
      <c r="J12" s="2"/>
      <c r="K12" s="2"/>
    </row>
    <row r="13" spans="1:11" x14ac:dyDescent="0.25">
      <c r="A13" s="8" t="s">
        <v>14</v>
      </c>
    </row>
    <row r="14" spans="1:11" x14ac:dyDescent="0.25">
      <c r="A14" s="9" t="str">
        <f>+CONCATENATE("Boss Prize: ", E7, "x to be distributed between players according to total bet during triggering round")</f>
        <v>Boss Prize: 100x to be distributed between players according to total bet during triggering round</v>
      </c>
    </row>
    <row r="15" spans="1:11" x14ac:dyDescent="0.25">
      <c r="A15" s="9"/>
    </row>
    <row r="16" spans="1:11" x14ac:dyDescent="0.25">
      <c r="A16" s="9" t="s">
        <v>182</v>
      </c>
    </row>
    <row r="17" spans="1:10" x14ac:dyDescent="0.25">
      <c r="A17" s="9"/>
    </row>
    <row r="18" spans="1:10" x14ac:dyDescent="0.25">
      <c r="A18" s="10" t="s">
        <v>15</v>
      </c>
    </row>
    <row r="19" spans="1:10" x14ac:dyDescent="0.25">
      <c r="A19" s="10"/>
    </row>
    <row r="20" spans="1:10" x14ac:dyDescent="0.25">
      <c r="A20" s="10"/>
    </row>
    <row r="21" spans="1:10" x14ac:dyDescent="0.25">
      <c r="A21" s="1" t="s">
        <v>16</v>
      </c>
      <c r="D21" s="1" t="s">
        <v>17</v>
      </c>
      <c r="G21" s="1" t="s">
        <v>18</v>
      </c>
    </row>
    <row r="22" spans="1:10" x14ac:dyDescent="0.25">
      <c r="A22" s="2" t="s">
        <v>19</v>
      </c>
      <c r="B22" s="2" t="s">
        <v>20</v>
      </c>
      <c r="D22" s="2" t="s">
        <v>19</v>
      </c>
      <c r="E22" s="2" t="s">
        <v>20</v>
      </c>
      <c r="G22" s="2" t="s">
        <v>19</v>
      </c>
      <c r="H22" s="2" t="s">
        <v>20</v>
      </c>
    </row>
    <row r="23" spans="1:10" x14ac:dyDescent="0.25">
      <c r="A23" s="3">
        <v>1</v>
      </c>
      <c r="B23" s="11">
        <f>+'Scarab Black'!$J3</f>
        <v>2</v>
      </c>
      <c r="D23" s="3">
        <v>1</v>
      </c>
      <c r="E23" s="11">
        <f>+'Scarab Gold'!$J3</f>
        <v>2</v>
      </c>
      <c r="G23" s="3">
        <v>1</v>
      </c>
      <c r="H23" s="11">
        <f>+'Scarab Gem Covered'!$J3</f>
        <v>3</v>
      </c>
    </row>
    <row r="24" spans="1:10" x14ac:dyDescent="0.25">
      <c r="A24" s="3">
        <v>2</v>
      </c>
      <c r="B24" s="11">
        <f>+'Scarab Black'!$J4</f>
        <v>3</v>
      </c>
      <c r="D24" s="3">
        <v>2</v>
      </c>
      <c r="E24" s="11">
        <f>+'Scarab Gold'!$J4</f>
        <v>3</v>
      </c>
      <c r="G24" s="3">
        <v>2</v>
      </c>
      <c r="H24" s="11">
        <f>+'Scarab Gem Covered'!$J4</f>
        <v>4</v>
      </c>
    </row>
    <row r="25" spans="1:10" x14ac:dyDescent="0.25">
      <c r="A25" s="3">
        <v>3</v>
      </c>
      <c r="B25" s="11">
        <f>+'Scarab Black'!$J5</f>
        <v>5</v>
      </c>
      <c r="D25" s="3">
        <v>3</v>
      </c>
      <c r="E25" s="11">
        <f>+'Scarab Gold'!$J5</f>
        <v>5</v>
      </c>
      <c r="G25" s="3">
        <v>3</v>
      </c>
      <c r="H25" s="11">
        <f>+'Scarab Gem Covered'!$J5</f>
        <v>6</v>
      </c>
    </row>
    <row r="26" spans="1:10" x14ac:dyDescent="0.25">
      <c r="A26" s="3">
        <v>4</v>
      </c>
      <c r="B26" s="11">
        <f>+'Scarab Black'!$J6</f>
        <v>7</v>
      </c>
      <c r="D26" s="3">
        <v>4</v>
      </c>
      <c r="E26" s="11">
        <f>+'Scarab Gold'!$J6</f>
        <v>7</v>
      </c>
      <c r="G26" s="3">
        <v>4</v>
      </c>
      <c r="H26" s="11">
        <f>+'Scarab Gem Covered'!$J6</f>
        <v>8</v>
      </c>
    </row>
    <row r="27" spans="1:10" x14ac:dyDescent="0.25">
      <c r="A27" s="3">
        <v>5</v>
      </c>
      <c r="B27" s="11">
        <f>+'Scarab Black'!$J7</f>
        <v>10</v>
      </c>
      <c r="D27" s="3">
        <v>5</v>
      </c>
      <c r="E27" s="11">
        <f>+'Scarab Gold'!$J7</f>
        <v>10</v>
      </c>
      <c r="G27" s="3">
        <v>5</v>
      </c>
      <c r="H27" s="11">
        <f>+'Scarab Gem Covered'!$J7</f>
        <v>12</v>
      </c>
    </row>
    <row r="28" spans="1:10" x14ac:dyDescent="0.25">
      <c r="A28" s="3">
        <v>6</v>
      </c>
      <c r="B28" s="11">
        <f>+'Scarab Black'!$J8</f>
        <v>20</v>
      </c>
      <c r="D28" s="3">
        <v>6</v>
      </c>
      <c r="E28" s="11">
        <f>+'Scarab Gold'!$J8</f>
        <v>20</v>
      </c>
      <c r="G28" s="3">
        <v>6</v>
      </c>
      <c r="H28" s="11">
        <f>+'Scarab Gem Covered'!$J8</f>
        <v>25</v>
      </c>
    </row>
    <row r="29" spans="1:10" x14ac:dyDescent="0.25">
      <c r="A29" s="3">
        <v>7</v>
      </c>
      <c r="B29" s="11">
        <f>+'Scarab Black'!$J9</f>
        <v>50</v>
      </c>
      <c r="D29" s="3">
        <v>7</v>
      </c>
      <c r="E29" s="11">
        <f>+'Scarab Gold'!$J9</f>
        <v>50</v>
      </c>
      <c r="G29" s="3">
        <v>7</v>
      </c>
      <c r="H29" s="11">
        <f>+'Scarab Gem Covered'!$J9</f>
        <v>60</v>
      </c>
    </row>
    <row r="30" spans="1:10" x14ac:dyDescent="0.25">
      <c r="A30" s="12"/>
      <c r="B30" s="13"/>
      <c r="D30" s="12"/>
      <c r="E30" s="13"/>
      <c r="G30" s="12"/>
      <c r="H30" s="13"/>
    </row>
    <row r="31" spans="1:10" x14ac:dyDescent="0.25">
      <c r="A31" s="12"/>
      <c r="B31" s="13"/>
      <c r="D31" s="12"/>
      <c r="E31" s="13"/>
      <c r="G31" s="12"/>
      <c r="H31" s="13"/>
    </row>
    <row r="32" spans="1:10" x14ac:dyDescent="0.25">
      <c r="A32" s="1" t="s">
        <v>21</v>
      </c>
      <c r="D32" s="1" t="s">
        <v>22</v>
      </c>
      <c r="G32" s="1" t="s">
        <v>23</v>
      </c>
      <c r="J32" s="1" t="s">
        <v>24</v>
      </c>
    </row>
    <row r="33" spans="1:11" x14ac:dyDescent="0.25">
      <c r="A33" s="2" t="s">
        <v>25</v>
      </c>
      <c r="B33" s="2" t="s">
        <v>20</v>
      </c>
      <c r="D33" s="2" t="s">
        <v>19</v>
      </c>
      <c r="E33" s="2" t="s">
        <v>20</v>
      </c>
      <c r="G33" s="2" t="s">
        <v>19</v>
      </c>
      <c r="H33" s="2" t="s">
        <v>20</v>
      </c>
      <c r="J33" s="2" t="s">
        <v>19</v>
      </c>
      <c r="K33" s="2" t="s">
        <v>20</v>
      </c>
    </row>
    <row r="34" spans="1:11" x14ac:dyDescent="0.25">
      <c r="A34" s="3">
        <v>1</v>
      </c>
      <c r="B34" s="11">
        <f>+'[1]Standard Mummy'!$J3</f>
        <v>5</v>
      </c>
      <c r="D34" s="3">
        <v>1</v>
      </c>
      <c r="E34" s="11">
        <f>+'[1]Mummy A'!$J3</f>
        <v>5</v>
      </c>
      <c r="G34" s="3">
        <v>1</v>
      </c>
      <c r="H34" s="11">
        <f>+'[1]Mummy B'!$J3</f>
        <v>5</v>
      </c>
      <c r="J34" s="3">
        <v>1</v>
      </c>
      <c r="K34" s="11">
        <f>+'[1]Mummy C'!$J3</f>
        <v>7</v>
      </c>
    </row>
    <row r="35" spans="1:11" x14ac:dyDescent="0.25">
      <c r="A35" s="3">
        <v>2</v>
      </c>
      <c r="B35" s="11">
        <f>+'[1]Standard Mummy'!$J4</f>
        <v>7</v>
      </c>
      <c r="D35" s="3">
        <v>2</v>
      </c>
      <c r="E35" s="11">
        <f>+'[1]Mummy A'!$J4</f>
        <v>7</v>
      </c>
      <c r="G35" s="3">
        <v>2</v>
      </c>
      <c r="H35" s="11">
        <f>+'[1]Mummy B'!$J4</f>
        <v>7</v>
      </c>
      <c r="J35" s="3">
        <v>2</v>
      </c>
      <c r="K35" s="11">
        <f>+'[1]Mummy C'!$J4</f>
        <v>10</v>
      </c>
    </row>
    <row r="36" spans="1:11" x14ac:dyDescent="0.25">
      <c r="A36" s="3">
        <v>3</v>
      </c>
      <c r="B36" s="11">
        <f>+'[1]Standard Mummy'!$J5</f>
        <v>10</v>
      </c>
      <c r="D36" s="3">
        <v>3</v>
      </c>
      <c r="E36" s="11">
        <f>+'[1]Mummy A'!$J5</f>
        <v>10</v>
      </c>
      <c r="G36" s="3">
        <v>3</v>
      </c>
      <c r="H36" s="11">
        <f>+'[1]Mummy B'!$J5</f>
        <v>10</v>
      </c>
      <c r="J36" s="3">
        <v>3</v>
      </c>
      <c r="K36" s="11">
        <f>+'[1]Mummy C'!$J5</f>
        <v>15</v>
      </c>
    </row>
    <row r="37" spans="1:11" x14ac:dyDescent="0.25">
      <c r="A37" s="3">
        <v>4</v>
      </c>
      <c r="B37" s="11">
        <f>+'[1]Standard Mummy'!$J6</f>
        <v>15</v>
      </c>
      <c r="D37" s="3">
        <v>4</v>
      </c>
      <c r="E37" s="11">
        <f>+'[1]Mummy A'!$J6</f>
        <v>15</v>
      </c>
      <c r="F37" s="1"/>
      <c r="G37" s="3">
        <v>4</v>
      </c>
      <c r="H37" s="11">
        <f>+'[1]Mummy B'!$J6</f>
        <v>15</v>
      </c>
      <c r="I37" s="1"/>
      <c r="J37" s="3">
        <v>4</v>
      </c>
      <c r="K37" s="11">
        <f>+'[1]Mummy C'!$J6</f>
        <v>20</v>
      </c>
    </row>
    <row r="38" spans="1:11" x14ac:dyDescent="0.25">
      <c r="A38" s="3">
        <v>5</v>
      </c>
      <c r="B38" s="11">
        <f>+'[1]Standard Mummy'!$J7</f>
        <v>25</v>
      </c>
      <c r="D38" s="3">
        <v>5</v>
      </c>
      <c r="E38" s="11">
        <f>+'[1]Mummy A'!$J7</f>
        <v>25</v>
      </c>
      <c r="F38" s="1"/>
      <c r="G38" s="3">
        <v>5</v>
      </c>
      <c r="H38" s="11">
        <f>+'[1]Mummy B'!$J7</f>
        <v>25</v>
      </c>
      <c r="I38" s="1"/>
      <c r="J38" s="3">
        <v>5</v>
      </c>
      <c r="K38" s="11">
        <f>+'[1]Mummy C'!$J7</f>
        <v>40</v>
      </c>
    </row>
    <row r="39" spans="1:11" x14ac:dyDescent="0.25">
      <c r="A39" s="3">
        <v>6</v>
      </c>
      <c r="B39" s="11">
        <f>+'[1]Standard Mummy'!$J8</f>
        <v>50</v>
      </c>
      <c r="D39" s="3">
        <v>6</v>
      </c>
      <c r="E39" s="11">
        <f>+'[1]Mummy A'!$J8</f>
        <v>50</v>
      </c>
      <c r="F39" s="1"/>
      <c r="G39" s="3">
        <v>6</v>
      </c>
      <c r="H39" s="11">
        <f>+'[1]Mummy B'!$J8</f>
        <v>50</v>
      </c>
      <c r="I39" s="1"/>
      <c r="J39" s="3">
        <v>6</v>
      </c>
      <c r="K39" s="11">
        <f>+'[1]Mummy C'!$J8</f>
        <v>75</v>
      </c>
    </row>
    <row r="40" spans="1:11" x14ac:dyDescent="0.25">
      <c r="A40" s="3">
        <v>7</v>
      </c>
      <c r="B40" s="11">
        <f>+'[1]Standard Mummy'!$J9</f>
        <v>100</v>
      </c>
      <c r="D40" s="3">
        <v>7</v>
      </c>
      <c r="E40" s="11">
        <f>+'[1]Mummy A'!$J9</f>
        <v>100</v>
      </c>
      <c r="F40" s="1"/>
      <c r="G40" s="3">
        <v>7</v>
      </c>
      <c r="H40" s="11">
        <f>+'[1]Mummy B'!$J9</f>
        <v>100</v>
      </c>
      <c r="I40" s="1"/>
      <c r="J40" s="3">
        <v>7</v>
      </c>
      <c r="K40" s="11">
        <f>+'[1]Mummy C'!$J9</f>
        <v>150</v>
      </c>
    </row>
    <row r="41" spans="1:11" x14ac:dyDescent="0.25">
      <c r="A41" s="12"/>
      <c r="B41" s="13"/>
      <c r="D41" s="12"/>
      <c r="E41" s="13"/>
      <c r="F41" s="1"/>
    </row>
    <row r="43" spans="1:11" x14ac:dyDescent="0.25">
      <c r="A43" s="1" t="s">
        <v>26</v>
      </c>
      <c r="D43" s="1" t="s">
        <v>27</v>
      </c>
      <c r="G43" s="1" t="s">
        <v>28</v>
      </c>
      <c r="J43" s="1" t="s">
        <v>29</v>
      </c>
    </row>
    <row r="44" spans="1:11" x14ac:dyDescent="0.25">
      <c r="A44" s="2" t="s">
        <v>19</v>
      </c>
      <c r="B44" s="2" t="s">
        <v>20</v>
      </c>
      <c r="D44" s="2" t="s">
        <v>19</v>
      </c>
      <c r="E44" s="2" t="s">
        <v>20</v>
      </c>
      <c r="G44" s="2" t="s">
        <v>19</v>
      </c>
      <c r="H44" s="2" t="s">
        <v>20</v>
      </c>
      <c r="J44" s="2" t="s">
        <v>19</v>
      </c>
      <c r="K44" s="2" t="s">
        <v>20</v>
      </c>
    </row>
    <row r="45" spans="1:11" x14ac:dyDescent="0.25">
      <c r="A45" s="3">
        <v>1</v>
      </c>
      <c r="B45" s="11">
        <f>+'[1]Pharaoh A'!$J3</f>
        <v>10</v>
      </c>
      <c r="D45" s="3">
        <v>1</v>
      </c>
      <c r="E45" s="11">
        <f>+'[1]Pharaoh B'!$J3</f>
        <v>10</v>
      </c>
      <c r="G45" s="3">
        <v>1</v>
      </c>
      <c r="H45" s="11">
        <f>+'[1]HV Scarab'!$J3</f>
        <v>50</v>
      </c>
      <c r="J45" s="3">
        <v>1</v>
      </c>
      <c r="K45" s="11">
        <f>+'[1]HV enemy'!$J3</f>
        <v>75</v>
      </c>
    </row>
    <row r="46" spans="1:11" x14ac:dyDescent="0.25">
      <c r="A46" s="3">
        <v>2</v>
      </c>
      <c r="B46" s="11">
        <f>+'[1]Pharaoh A'!$J4</f>
        <v>15</v>
      </c>
      <c r="D46" s="3">
        <v>2</v>
      </c>
      <c r="E46" s="11">
        <f>+'[1]Pharaoh B'!$J4</f>
        <v>15</v>
      </c>
      <c r="G46" s="3">
        <v>2</v>
      </c>
      <c r="H46" s="11">
        <f>+'[1]HV Scarab'!$J4</f>
        <v>100</v>
      </c>
      <c r="J46" s="3">
        <v>2</v>
      </c>
      <c r="K46" s="11">
        <f>+'[1]HV enemy'!$J4</f>
        <v>150</v>
      </c>
    </row>
    <row r="47" spans="1:11" x14ac:dyDescent="0.25">
      <c r="A47" s="3">
        <v>3</v>
      </c>
      <c r="B47" s="11">
        <f>+'[1]Pharaoh A'!$J5</f>
        <v>20</v>
      </c>
      <c r="D47" s="3">
        <v>3</v>
      </c>
      <c r="E47" s="11">
        <f>+'[1]Pharaoh B'!$J5</f>
        <v>20</v>
      </c>
      <c r="G47" s="3">
        <v>3</v>
      </c>
      <c r="H47" s="11">
        <f>+'[1]HV Scarab'!$J5</f>
        <v>200</v>
      </c>
      <c r="J47" s="3">
        <v>3</v>
      </c>
      <c r="K47" s="11">
        <f>+'[1]HV enemy'!$J5</f>
        <v>300</v>
      </c>
    </row>
    <row r="48" spans="1:11" x14ac:dyDescent="0.25">
      <c r="A48" s="3">
        <v>4</v>
      </c>
      <c r="B48" s="11">
        <f>+'[1]Pharaoh A'!$J6</f>
        <v>40</v>
      </c>
      <c r="D48" s="3">
        <v>4</v>
      </c>
      <c r="E48" s="11">
        <f>+'[1]Pharaoh B'!$J6</f>
        <v>40</v>
      </c>
      <c r="G48" s="3">
        <v>4</v>
      </c>
      <c r="H48" s="11">
        <f>+'[1]HV Scarab'!$J6</f>
        <v>500</v>
      </c>
      <c r="J48" s="3">
        <v>4</v>
      </c>
      <c r="K48" s="11">
        <f>+'[1]HV enemy'!$J6</f>
        <v>500</v>
      </c>
    </row>
    <row r="49" spans="1:11" x14ac:dyDescent="0.25">
      <c r="A49" s="3">
        <v>5</v>
      </c>
      <c r="B49" s="11">
        <f>+'[1]Pharaoh A'!$J7</f>
        <v>75</v>
      </c>
      <c r="D49" s="3">
        <v>5</v>
      </c>
      <c r="E49" s="11">
        <f>+'[1]Pharaoh B'!$J7</f>
        <v>75</v>
      </c>
      <c r="G49" s="3">
        <v>5</v>
      </c>
      <c r="H49" s="11">
        <f>+'[1]HV Scarab'!$J7</f>
        <v>750</v>
      </c>
      <c r="J49" s="3">
        <v>5</v>
      </c>
      <c r="K49" s="11">
        <f>+'[1]HV enemy'!$J7</f>
        <v>1000</v>
      </c>
    </row>
    <row r="50" spans="1:11" x14ac:dyDescent="0.25">
      <c r="A50" s="3">
        <v>6</v>
      </c>
      <c r="B50" s="11">
        <f>+'[1]Pharaoh A'!$J8</f>
        <v>100</v>
      </c>
      <c r="D50" s="3">
        <v>6</v>
      </c>
      <c r="E50" s="11">
        <f>+'[1]Pharaoh B'!$J8</f>
        <v>100</v>
      </c>
      <c r="G50" s="3">
        <v>6</v>
      </c>
      <c r="H50" s="11">
        <f>+'[1]HV Scarab'!$J8</f>
        <v>1000</v>
      </c>
      <c r="J50" s="3">
        <v>6</v>
      </c>
      <c r="K50" s="11">
        <f>+'[1]HV enemy'!$J8</f>
        <v>2000</v>
      </c>
    </row>
    <row r="51" spans="1:11" x14ac:dyDescent="0.25">
      <c r="A51" s="3">
        <v>7</v>
      </c>
      <c r="B51" s="11">
        <f>+'[1]Pharaoh A'!$J9</f>
        <v>200</v>
      </c>
      <c r="D51" s="3">
        <v>7</v>
      </c>
      <c r="E51" s="11">
        <f>+'[1]Pharaoh B'!$J9</f>
        <v>200</v>
      </c>
      <c r="G51" s="3">
        <v>7</v>
      </c>
      <c r="H51" s="11">
        <f>+'[1]HV Scarab'!$J9</f>
        <v>2000</v>
      </c>
      <c r="J51" s="3">
        <v>7</v>
      </c>
      <c r="K51" s="11">
        <f>+'[1]HV enemy'!$J9</f>
        <v>5000</v>
      </c>
    </row>
    <row r="53" spans="1:11" x14ac:dyDescent="0.25">
      <c r="C53" s="14"/>
    </row>
  </sheetData>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E128"/>
  <sheetViews>
    <sheetView workbookViewId="0">
      <selection activeCell="A4" sqref="A4"/>
    </sheetView>
  </sheetViews>
  <sheetFormatPr defaultColWidth="8.85546875" defaultRowHeight="15" x14ac:dyDescent="0.25"/>
  <cols>
    <col min="1" max="1" width="28.28515625" customWidth="1"/>
    <col min="2" max="2" width="11.5703125" customWidth="1"/>
    <col min="3" max="3" width="17" customWidth="1"/>
    <col min="4" max="4" width="13.5703125" customWidth="1"/>
    <col min="5" max="1025" width="11.5703125" customWidth="1"/>
  </cols>
  <sheetData>
    <row r="1" spans="1:5" x14ac:dyDescent="0.25">
      <c r="A1" t="s">
        <v>30</v>
      </c>
    </row>
    <row r="2" spans="1:5" x14ac:dyDescent="0.25">
      <c r="A2" t="str">
        <f>+CONCATENATE("Probability of getting a special weapon = 1/",Summary!C8)</f>
        <v>Probability of getting a special weapon = 1/700</v>
      </c>
    </row>
    <row r="3" spans="1:5" x14ac:dyDescent="0.25">
      <c r="A3" t="s">
        <v>31</v>
      </c>
    </row>
    <row r="6" spans="1:5" x14ac:dyDescent="0.25">
      <c r="A6" t="s">
        <v>32</v>
      </c>
    </row>
    <row r="7" spans="1:5" ht="15.75" thickBot="1" x14ac:dyDescent="0.3"/>
    <row r="8" spans="1:5" ht="15.75" thickBot="1" x14ac:dyDescent="0.3">
      <c r="A8" s="15" t="s">
        <v>33</v>
      </c>
      <c r="B8" s="16" t="s">
        <v>34</v>
      </c>
      <c r="C8" s="16" t="s">
        <v>35</v>
      </c>
      <c r="D8" s="16" t="s">
        <v>36</v>
      </c>
      <c r="E8" s="17" t="s">
        <v>37</v>
      </c>
    </row>
    <row r="9" spans="1:5" x14ac:dyDescent="0.25">
      <c r="A9" s="69" t="s">
        <v>38</v>
      </c>
      <c r="B9" s="68">
        <v>10</v>
      </c>
      <c r="C9" s="68">
        <v>5</v>
      </c>
      <c r="D9" s="68">
        <f t="shared" ref="D9:D47" si="0">+B9*C9</f>
        <v>50</v>
      </c>
      <c r="E9" s="19">
        <v>150</v>
      </c>
    </row>
    <row r="10" spans="1:5" x14ac:dyDescent="0.25">
      <c r="A10" s="69" t="s">
        <v>39</v>
      </c>
      <c r="B10" s="68">
        <v>15</v>
      </c>
      <c r="C10" s="68">
        <v>8</v>
      </c>
      <c r="D10" s="68">
        <f>+B10*C10</f>
        <v>120</v>
      </c>
      <c r="E10" s="20">
        <v>116</v>
      </c>
    </row>
    <row r="11" spans="1:5" x14ac:dyDescent="0.25">
      <c r="A11" s="76" t="s">
        <v>40</v>
      </c>
      <c r="B11" s="68">
        <v>20</v>
      </c>
      <c r="C11" s="68">
        <v>10</v>
      </c>
      <c r="D11" s="68">
        <f t="shared" si="0"/>
        <v>200</v>
      </c>
      <c r="E11" s="20">
        <v>149</v>
      </c>
    </row>
    <row r="12" spans="1:5" x14ac:dyDescent="0.25">
      <c r="A12" s="69" t="s">
        <v>131</v>
      </c>
      <c r="B12" s="68">
        <v>3</v>
      </c>
      <c r="C12" s="68">
        <v>30</v>
      </c>
      <c r="D12" s="68">
        <f t="shared" si="0"/>
        <v>90</v>
      </c>
      <c r="E12" s="20">
        <v>100</v>
      </c>
    </row>
    <row r="13" spans="1:5" x14ac:dyDescent="0.25">
      <c r="A13" s="69" t="s">
        <v>126</v>
      </c>
      <c r="B13" s="68">
        <v>15</v>
      </c>
      <c r="C13" s="68">
        <v>10</v>
      </c>
      <c r="D13" s="68">
        <f t="shared" si="0"/>
        <v>150</v>
      </c>
      <c r="E13" s="20">
        <v>65</v>
      </c>
    </row>
    <row r="14" spans="1:5" x14ac:dyDescent="0.25">
      <c r="A14" s="69" t="s">
        <v>127</v>
      </c>
      <c r="B14" s="68">
        <v>15</v>
      </c>
      <c r="C14" s="68">
        <v>11</v>
      </c>
      <c r="D14" s="68">
        <f t="shared" si="0"/>
        <v>165</v>
      </c>
      <c r="E14" s="20">
        <v>75</v>
      </c>
    </row>
    <row r="15" spans="1:5" x14ac:dyDescent="0.25">
      <c r="A15" s="69" t="s">
        <v>128</v>
      </c>
      <c r="B15" s="68">
        <v>15</v>
      </c>
      <c r="C15" s="68">
        <v>11</v>
      </c>
      <c r="D15" s="68">
        <f t="shared" si="0"/>
        <v>165</v>
      </c>
      <c r="E15" s="20">
        <v>81</v>
      </c>
    </row>
    <row r="16" spans="1:5" x14ac:dyDescent="0.25">
      <c r="A16" s="69" t="s">
        <v>129</v>
      </c>
      <c r="B16" s="68">
        <v>15</v>
      </c>
      <c r="C16" s="68">
        <v>10</v>
      </c>
      <c r="D16" s="68">
        <f t="shared" si="0"/>
        <v>150</v>
      </c>
      <c r="E16" s="20">
        <v>65</v>
      </c>
    </row>
    <row r="17" spans="1:5" x14ac:dyDescent="0.25">
      <c r="A17" s="69" t="s">
        <v>130</v>
      </c>
      <c r="B17" s="68">
        <v>100</v>
      </c>
      <c r="C17" s="68">
        <v>1</v>
      </c>
      <c r="D17" s="68">
        <f t="shared" si="0"/>
        <v>100</v>
      </c>
      <c r="E17" s="20">
        <v>100</v>
      </c>
    </row>
    <row r="18" spans="1:5" x14ac:dyDescent="0.25">
      <c r="A18" s="69" t="s">
        <v>162</v>
      </c>
      <c r="B18" s="68">
        <v>50</v>
      </c>
      <c r="C18" s="68">
        <v>0.65500000000000003</v>
      </c>
      <c r="D18" s="68">
        <f t="shared" si="0"/>
        <v>32.75</v>
      </c>
      <c r="E18" s="20">
        <v>200</v>
      </c>
    </row>
    <row r="19" spans="1:5" x14ac:dyDescent="0.25">
      <c r="A19" s="69" t="s">
        <v>163</v>
      </c>
      <c r="B19" s="68">
        <v>50</v>
      </c>
      <c r="C19" s="68">
        <v>0.65500000000000003</v>
      </c>
      <c r="D19" s="68">
        <f t="shared" si="0"/>
        <v>32.75</v>
      </c>
      <c r="E19" s="20">
        <v>200</v>
      </c>
    </row>
    <row r="20" spans="1:5" x14ac:dyDescent="0.25">
      <c r="A20" s="69" t="s">
        <v>164</v>
      </c>
      <c r="B20" s="68">
        <v>15</v>
      </c>
      <c r="C20" s="68">
        <v>20</v>
      </c>
      <c r="D20" s="68">
        <f t="shared" si="0"/>
        <v>300</v>
      </c>
      <c r="E20" s="20">
        <v>20</v>
      </c>
    </row>
    <row r="21" spans="1:5" ht="15.75" thickBot="1" x14ac:dyDescent="0.3">
      <c r="A21" s="77" t="s">
        <v>41</v>
      </c>
      <c r="B21" s="78">
        <v>3</v>
      </c>
      <c r="C21" s="78">
        <v>50</v>
      </c>
      <c r="D21" s="78">
        <f t="shared" si="0"/>
        <v>150</v>
      </c>
      <c r="E21" s="23">
        <v>50</v>
      </c>
    </row>
    <row r="22" spans="1:5" x14ac:dyDescent="0.25">
      <c r="A22" s="76" t="s">
        <v>38</v>
      </c>
      <c r="B22" s="68">
        <v>14</v>
      </c>
      <c r="C22" s="68">
        <f t="shared" ref="C22:C33" si="1">+C9</f>
        <v>5</v>
      </c>
      <c r="D22" s="68">
        <f t="shared" si="0"/>
        <v>70</v>
      </c>
      <c r="E22" s="20">
        <v>59</v>
      </c>
    </row>
    <row r="23" spans="1:5" x14ac:dyDescent="0.25">
      <c r="A23" s="76" t="s">
        <v>39</v>
      </c>
      <c r="B23" s="68">
        <v>25</v>
      </c>
      <c r="C23" s="68">
        <f t="shared" si="1"/>
        <v>8</v>
      </c>
      <c r="D23" s="68">
        <f t="shared" si="0"/>
        <v>200</v>
      </c>
      <c r="E23" s="20">
        <v>2</v>
      </c>
    </row>
    <row r="24" spans="1:5" x14ac:dyDescent="0.25">
      <c r="A24" s="76" t="s">
        <v>40</v>
      </c>
      <c r="B24" s="68">
        <v>40</v>
      </c>
      <c r="C24" s="68">
        <f t="shared" si="1"/>
        <v>10</v>
      </c>
      <c r="D24" s="68">
        <f t="shared" si="0"/>
        <v>400</v>
      </c>
      <c r="E24" s="20">
        <v>3</v>
      </c>
    </row>
    <row r="25" spans="1:5" x14ac:dyDescent="0.25">
      <c r="A25" s="69" t="s">
        <v>131</v>
      </c>
      <c r="B25" s="68">
        <v>5</v>
      </c>
      <c r="C25" s="68">
        <f t="shared" si="1"/>
        <v>30</v>
      </c>
      <c r="D25" s="68">
        <f t="shared" ref="D25:D33" si="2">+B25*C25</f>
        <v>150</v>
      </c>
      <c r="E25" s="20">
        <v>15</v>
      </c>
    </row>
    <row r="26" spans="1:5" x14ac:dyDescent="0.25">
      <c r="A26" s="69" t="s">
        <v>126</v>
      </c>
      <c r="B26" s="68">
        <v>25</v>
      </c>
      <c r="C26" s="68">
        <f t="shared" si="1"/>
        <v>10</v>
      </c>
      <c r="D26" s="68">
        <f>+B26*C26</f>
        <v>250</v>
      </c>
      <c r="E26" s="20">
        <v>4</v>
      </c>
    </row>
    <row r="27" spans="1:5" x14ac:dyDescent="0.25">
      <c r="A27" s="69" t="s">
        <v>127</v>
      </c>
      <c r="B27" s="68">
        <v>25</v>
      </c>
      <c r="C27" s="68">
        <f t="shared" si="1"/>
        <v>11</v>
      </c>
      <c r="D27" s="68">
        <f t="shared" si="2"/>
        <v>275</v>
      </c>
      <c r="E27" s="20">
        <v>3</v>
      </c>
    </row>
    <row r="28" spans="1:5" x14ac:dyDescent="0.25">
      <c r="A28" s="69" t="s">
        <v>128</v>
      </c>
      <c r="B28" s="68">
        <v>25</v>
      </c>
      <c r="C28" s="68">
        <f t="shared" si="1"/>
        <v>11</v>
      </c>
      <c r="D28" s="68">
        <f t="shared" si="2"/>
        <v>275</v>
      </c>
      <c r="E28" s="20">
        <v>2</v>
      </c>
    </row>
    <row r="29" spans="1:5" x14ac:dyDescent="0.25">
      <c r="A29" s="69" t="s">
        <v>129</v>
      </c>
      <c r="B29" s="68">
        <v>25</v>
      </c>
      <c r="C29" s="68">
        <f t="shared" si="1"/>
        <v>10</v>
      </c>
      <c r="D29" s="68">
        <f t="shared" si="2"/>
        <v>250</v>
      </c>
      <c r="E29" s="20">
        <v>4</v>
      </c>
    </row>
    <row r="30" spans="1:5" x14ac:dyDescent="0.25">
      <c r="A30" s="69" t="s">
        <v>130</v>
      </c>
      <c r="B30" s="68">
        <v>200</v>
      </c>
      <c r="C30" s="68">
        <f t="shared" si="1"/>
        <v>1</v>
      </c>
      <c r="D30" s="68">
        <f t="shared" si="2"/>
        <v>200</v>
      </c>
      <c r="E30" s="20">
        <v>4</v>
      </c>
    </row>
    <row r="31" spans="1:5" x14ac:dyDescent="0.25">
      <c r="A31" s="69" t="s">
        <v>162</v>
      </c>
      <c r="B31" s="68">
        <v>100</v>
      </c>
      <c r="C31" s="68">
        <f t="shared" si="1"/>
        <v>0.65500000000000003</v>
      </c>
      <c r="D31" s="68">
        <f t="shared" si="2"/>
        <v>65.5</v>
      </c>
      <c r="E31" s="20">
        <v>100</v>
      </c>
    </row>
    <row r="32" spans="1:5" x14ac:dyDescent="0.25">
      <c r="A32" s="69" t="s">
        <v>163</v>
      </c>
      <c r="B32" s="68">
        <v>100</v>
      </c>
      <c r="C32" s="68">
        <f t="shared" si="1"/>
        <v>0.65500000000000003</v>
      </c>
      <c r="D32" s="68">
        <f t="shared" si="2"/>
        <v>65.5</v>
      </c>
      <c r="E32" s="20">
        <v>100</v>
      </c>
    </row>
    <row r="33" spans="1:5" x14ac:dyDescent="0.25">
      <c r="A33" s="69" t="s">
        <v>164</v>
      </c>
      <c r="B33" s="68">
        <v>25</v>
      </c>
      <c r="C33" s="68">
        <f t="shared" si="1"/>
        <v>20</v>
      </c>
      <c r="D33" s="68">
        <f t="shared" si="2"/>
        <v>500</v>
      </c>
      <c r="E33" s="20">
        <v>40</v>
      </c>
    </row>
    <row r="34" spans="1:5" ht="15.75" thickBot="1" x14ac:dyDescent="0.3">
      <c r="A34" s="77" t="s">
        <v>41</v>
      </c>
      <c r="B34" s="78">
        <v>5</v>
      </c>
      <c r="C34" s="78">
        <f t="shared" ref="C34:C46" si="3">+C21</f>
        <v>50</v>
      </c>
      <c r="D34" s="78">
        <f t="shared" si="0"/>
        <v>250</v>
      </c>
      <c r="E34" s="23">
        <v>3</v>
      </c>
    </row>
    <row r="35" spans="1:5" x14ac:dyDescent="0.25">
      <c r="A35" s="76" t="s">
        <v>38</v>
      </c>
      <c r="B35" s="68">
        <v>30</v>
      </c>
      <c r="C35" s="68">
        <f t="shared" si="3"/>
        <v>5</v>
      </c>
      <c r="D35" s="68">
        <f t="shared" si="0"/>
        <v>150</v>
      </c>
      <c r="E35" s="20">
        <v>13</v>
      </c>
    </row>
    <row r="36" spans="1:5" x14ac:dyDescent="0.25">
      <c r="A36" s="76" t="s">
        <v>39</v>
      </c>
      <c r="B36" s="68">
        <v>50</v>
      </c>
      <c r="C36" s="68">
        <f t="shared" si="3"/>
        <v>8</v>
      </c>
      <c r="D36" s="68">
        <f t="shared" si="0"/>
        <v>400</v>
      </c>
      <c r="E36" s="20">
        <v>2</v>
      </c>
    </row>
    <row r="37" spans="1:5" x14ac:dyDescent="0.25">
      <c r="A37" s="76" t="s">
        <v>40</v>
      </c>
      <c r="B37" s="68">
        <v>100</v>
      </c>
      <c r="C37" s="68">
        <f t="shared" si="3"/>
        <v>10</v>
      </c>
      <c r="D37" s="68">
        <f t="shared" si="0"/>
        <v>1000</v>
      </c>
      <c r="E37" s="20">
        <v>5</v>
      </c>
    </row>
    <row r="38" spans="1:5" x14ac:dyDescent="0.25">
      <c r="A38" s="69" t="s">
        <v>132</v>
      </c>
      <c r="B38" s="68">
        <v>10</v>
      </c>
      <c r="C38" s="68">
        <f t="shared" si="3"/>
        <v>30</v>
      </c>
      <c r="D38" s="68">
        <f t="shared" ref="D38:D46" si="4">+B38*C38</f>
        <v>300</v>
      </c>
      <c r="E38" s="20">
        <v>3</v>
      </c>
    </row>
    <row r="39" spans="1:5" x14ac:dyDescent="0.25">
      <c r="A39" s="69" t="s">
        <v>126</v>
      </c>
      <c r="B39" s="68">
        <v>50</v>
      </c>
      <c r="C39" s="68">
        <f t="shared" si="3"/>
        <v>10</v>
      </c>
      <c r="D39" s="68">
        <f t="shared" si="4"/>
        <v>500</v>
      </c>
      <c r="E39" s="20">
        <v>2</v>
      </c>
    </row>
    <row r="40" spans="1:5" x14ac:dyDescent="0.25">
      <c r="A40" s="69" t="s">
        <v>127</v>
      </c>
      <c r="B40" s="68">
        <v>50</v>
      </c>
      <c r="C40" s="68">
        <f t="shared" si="3"/>
        <v>11</v>
      </c>
      <c r="D40" s="68">
        <f t="shared" si="4"/>
        <v>550</v>
      </c>
      <c r="E40" s="20">
        <v>1</v>
      </c>
    </row>
    <row r="41" spans="1:5" x14ac:dyDescent="0.25">
      <c r="A41" s="69" t="s">
        <v>128</v>
      </c>
      <c r="B41" s="68">
        <v>50</v>
      </c>
      <c r="C41" s="68">
        <f t="shared" si="3"/>
        <v>11</v>
      </c>
      <c r="D41" s="68">
        <f t="shared" si="4"/>
        <v>550</v>
      </c>
      <c r="E41" s="20">
        <v>2</v>
      </c>
    </row>
    <row r="42" spans="1:5" x14ac:dyDescent="0.25">
      <c r="A42" s="69" t="s">
        <v>129</v>
      </c>
      <c r="B42" s="68">
        <v>50</v>
      </c>
      <c r="C42" s="68">
        <f t="shared" si="3"/>
        <v>10</v>
      </c>
      <c r="D42" s="68">
        <f t="shared" si="4"/>
        <v>500</v>
      </c>
      <c r="E42" s="20">
        <v>2</v>
      </c>
    </row>
    <row r="43" spans="1:5" x14ac:dyDescent="0.25">
      <c r="A43" s="69" t="s">
        <v>130</v>
      </c>
      <c r="B43" s="68">
        <v>500</v>
      </c>
      <c r="C43" s="68">
        <f t="shared" si="3"/>
        <v>1</v>
      </c>
      <c r="D43" s="68">
        <f t="shared" si="4"/>
        <v>500</v>
      </c>
      <c r="E43" s="20">
        <v>2</v>
      </c>
    </row>
    <row r="44" spans="1:5" x14ac:dyDescent="0.25">
      <c r="A44" s="69" t="s">
        <v>162</v>
      </c>
      <c r="B44" s="68">
        <v>200</v>
      </c>
      <c r="C44" s="68">
        <f t="shared" si="3"/>
        <v>0.65500000000000003</v>
      </c>
      <c r="D44" s="68">
        <f t="shared" si="4"/>
        <v>131</v>
      </c>
      <c r="E44" s="20">
        <v>5</v>
      </c>
    </row>
    <row r="45" spans="1:5" x14ac:dyDescent="0.25">
      <c r="A45" s="69" t="s">
        <v>163</v>
      </c>
      <c r="B45" s="68">
        <v>200</v>
      </c>
      <c r="C45" s="68">
        <f t="shared" si="3"/>
        <v>0.65500000000000003</v>
      </c>
      <c r="D45" s="68">
        <f t="shared" si="4"/>
        <v>131</v>
      </c>
      <c r="E45" s="20">
        <v>5</v>
      </c>
    </row>
    <row r="46" spans="1:5" x14ac:dyDescent="0.25">
      <c r="A46" s="69" t="s">
        <v>164</v>
      </c>
      <c r="B46" s="68">
        <v>50</v>
      </c>
      <c r="C46" s="68">
        <f t="shared" si="3"/>
        <v>20</v>
      </c>
      <c r="D46" s="68">
        <f t="shared" si="4"/>
        <v>1000</v>
      </c>
      <c r="E46" s="20">
        <v>6</v>
      </c>
    </row>
    <row r="47" spans="1:5" ht="13.9" customHeight="1" thickBot="1" x14ac:dyDescent="0.3">
      <c r="A47" s="77" t="s">
        <v>41</v>
      </c>
      <c r="B47" s="78">
        <v>10</v>
      </c>
      <c r="C47" s="78">
        <f t="shared" ref="C47" si="5">+C34</f>
        <v>50</v>
      </c>
      <c r="D47" s="79">
        <f t="shared" si="0"/>
        <v>500</v>
      </c>
      <c r="E47" s="23">
        <v>2</v>
      </c>
    </row>
    <row r="48" spans="1:5" x14ac:dyDescent="0.25">
      <c r="A48" s="10" t="s">
        <v>42</v>
      </c>
      <c r="E48" s="24">
        <f>+SUM(E9:E47)</f>
        <v>1760</v>
      </c>
    </row>
    <row r="49" spans="1:4" x14ac:dyDescent="0.25">
      <c r="A49" s="10"/>
    </row>
    <row r="50" spans="1:4" x14ac:dyDescent="0.25">
      <c r="C50" s="25" t="s">
        <v>43</v>
      </c>
      <c r="D50" s="26">
        <f>+SUMPRODUCT(D9:D47,E9:E47)/SUM(E9:E47)</f>
        <v>119.13352272727273</v>
      </c>
    </row>
    <row r="52" spans="1:4" x14ac:dyDescent="0.25">
      <c r="A52" t="s">
        <v>44</v>
      </c>
    </row>
    <row r="53" spans="1:4" x14ac:dyDescent="0.25">
      <c r="A53" t="s">
        <v>45</v>
      </c>
    </row>
    <row r="56" spans="1:4" ht="15.75" x14ac:dyDescent="0.25">
      <c r="A56" s="27" t="s">
        <v>46</v>
      </c>
    </row>
    <row r="57" spans="1:4" x14ac:dyDescent="0.25">
      <c r="A57" s="28" t="s">
        <v>47</v>
      </c>
    </row>
    <row r="59" spans="1:4" x14ac:dyDescent="0.25">
      <c r="A59" t="s">
        <v>48</v>
      </c>
    </row>
    <row r="60" spans="1:4" x14ac:dyDescent="0.25">
      <c r="A60" s="29" t="s">
        <v>49</v>
      </c>
    </row>
    <row r="61" spans="1:4" x14ac:dyDescent="0.25">
      <c r="A61" t="s">
        <v>50</v>
      </c>
    </row>
    <row r="62" spans="1:4" x14ac:dyDescent="0.25">
      <c r="A62" t="s">
        <v>51</v>
      </c>
    </row>
    <row r="64" spans="1:4" x14ac:dyDescent="0.25">
      <c r="A64" t="s">
        <v>52</v>
      </c>
    </row>
    <row r="65" spans="1:1" x14ac:dyDescent="0.25">
      <c r="A65" t="s">
        <v>53</v>
      </c>
    </row>
    <row r="66" spans="1:1" x14ac:dyDescent="0.25">
      <c r="A66" t="s">
        <v>54</v>
      </c>
    </row>
    <row r="68" spans="1:1" x14ac:dyDescent="0.25">
      <c r="A68" t="s">
        <v>149</v>
      </c>
    </row>
    <row r="70" spans="1:1" x14ac:dyDescent="0.25">
      <c r="A70" t="s">
        <v>150</v>
      </c>
    </row>
    <row r="72" spans="1:1" x14ac:dyDescent="0.25">
      <c r="A72" s="69" t="s">
        <v>151</v>
      </c>
    </row>
    <row r="74" spans="1:1" x14ac:dyDescent="0.25">
      <c r="A74" s="69" t="s">
        <v>152</v>
      </c>
    </row>
    <row r="76" spans="1:1" x14ac:dyDescent="0.25">
      <c r="A76" s="69" t="s">
        <v>153</v>
      </c>
    </row>
    <row r="78" spans="1:1" x14ac:dyDescent="0.25">
      <c r="A78" s="69" t="s">
        <v>177</v>
      </c>
    </row>
    <row r="79" spans="1:1" x14ac:dyDescent="0.25">
      <c r="A79" s="72" t="s">
        <v>158</v>
      </c>
    </row>
    <row r="80" spans="1:1" x14ac:dyDescent="0.25">
      <c r="A80" s="72" t="s">
        <v>178</v>
      </c>
    </row>
    <row r="81" spans="1:4" x14ac:dyDescent="0.25">
      <c r="A81" s="72" t="s">
        <v>161</v>
      </c>
    </row>
    <row r="83" spans="1:4" x14ac:dyDescent="0.25">
      <c r="B83" s="1"/>
    </row>
    <row r="84" spans="1:4" x14ac:dyDescent="0.25">
      <c r="B84" s="2" t="s">
        <v>19</v>
      </c>
      <c r="C84" s="2" t="s">
        <v>20</v>
      </c>
      <c r="D84" s="2" t="s">
        <v>58</v>
      </c>
    </row>
    <row r="85" spans="1:4" x14ac:dyDescent="0.25">
      <c r="B85" s="3">
        <v>0</v>
      </c>
      <c r="C85" s="11">
        <v>0</v>
      </c>
      <c r="D85" s="82">
        <v>90</v>
      </c>
    </row>
    <row r="86" spans="1:4" x14ac:dyDescent="0.25">
      <c r="B86" s="3">
        <v>1</v>
      </c>
      <c r="C86" s="11">
        <v>2</v>
      </c>
      <c r="D86" s="82">
        <v>1</v>
      </c>
    </row>
    <row r="87" spans="1:4" x14ac:dyDescent="0.25">
      <c r="B87" s="3">
        <v>2</v>
      </c>
      <c r="C87" s="11">
        <v>3</v>
      </c>
      <c r="D87" s="82">
        <v>1</v>
      </c>
    </row>
    <row r="88" spans="1:4" x14ac:dyDescent="0.25">
      <c r="B88" s="3">
        <v>3</v>
      </c>
      <c r="C88" s="11">
        <v>5</v>
      </c>
      <c r="D88" s="82">
        <v>1</v>
      </c>
    </row>
    <row r="89" spans="1:4" x14ac:dyDescent="0.25">
      <c r="B89" s="3">
        <v>4</v>
      </c>
      <c r="C89" s="11">
        <v>7</v>
      </c>
      <c r="D89" s="82">
        <v>1</v>
      </c>
    </row>
    <row r="90" spans="1:4" x14ac:dyDescent="0.25">
      <c r="B90" s="3">
        <v>5</v>
      </c>
      <c r="C90" s="11">
        <v>10</v>
      </c>
      <c r="D90" s="82">
        <v>1</v>
      </c>
    </row>
    <row r="91" spans="1:4" x14ac:dyDescent="0.25">
      <c r="B91" s="3">
        <v>6</v>
      </c>
      <c r="C91" s="11">
        <v>20</v>
      </c>
      <c r="D91" s="82">
        <v>1</v>
      </c>
    </row>
    <row r="92" spans="1:4" x14ac:dyDescent="0.25">
      <c r="B92" s="3">
        <v>7</v>
      </c>
      <c r="C92" s="11">
        <v>50</v>
      </c>
      <c r="D92" s="82">
        <v>1</v>
      </c>
    </row>
    <row r="93" spans="1:4" x14ac:dyDescent="0.25">
      <c r="B93" s="12"/>
      <c r="C93" s="57" t="s">
        <v>160</v>
      </c>
      <c r="D93" s="57">
        <f>+SUMPRODUCT(C85:C92,D85:D92)/SUM(D85:D92)</f>
        <v>1</v>
      </c>
    </row>
    <row r="94" spans="1:4" x14ac:dyDescent="0.25">
      <c r="B94" s="12"/>
      <c r="C94" s="13"/>
    </row>
    <row r="95" spans="1:4" x14ac:dyDescent="0.25">
      <c r="A95" s="69" t="s">
        <v>179</v>
      </c>
    </row>
    <row r="96" spans="1:4" x14ac:dyDescent="0.25">
      <c r="A96" s="72" t="s">
        <v>158</v>
      </c>
    </row>
    <row r="97" spans="1:4" x14ac:dyDescent="0.25">
      <c r="A97" s="72" t="s">
        <v>178</v>
      </c>
    </row>
    <row r="98" spans="1:4" x14ac:dyDescent="0.25">
      <c r="A98" s="72" t="s">
        <v>161</v>
      </c>
    </row>
    <row r="100" spans="1:4" x14ac:dyDescent="0.25">
      <c r="B100" s="1"/>
    </row>
    <row r="101" spans="1:4" x14ac:dyDescent="0.25">
      <c r="B101" s="2" t="s">
        <v>19</v>
      </c>
      <c r="C101" s="2" t="s">
        <v>20</v>
      </c>
      <c r="D101" s="2" t="s">
        <v>58</v>
      </c>
    </row>
    <row r="102" spans="1:4" x14ac:dyDescent="0.25">
      <c r="B102" s="3">
        <v>0</v>
      </c>
      <c r="C102" s="11">
        <v>0</v>
      </c>
      <c r="D102" s="82">
        <f>1000-SUM(D103:D107)</f>
        <v>794</v>
      </c>
    </row>
    <row r="103" spans="1:4" x14ac:dyDescent="0.25">
      <c r="B103" s="3">
        <v>1</v>
      </c>
      <c r="C103" s="11">
        <v>2</v>
      </c>
      <c r="D103" s="82">
        <v>100</v>
      </c>
    </row>
    <row r="104" spans="1:4" x14ac:dyDescent="0.25">
      <c r="B104" s="3">
        <v>2</v>
      </c>
      <c r="C104" s="11">
        <v>3</v>
      </c>
      <c r="D104" s="82">
        <v>75</v>
      </c>
    </row>
    <row r="105" spans="1:4" x14ac:dyDescent="0.25">
      <c r="B105" s="3">
        <v>3</v>
      </c>
      <c r="C105" s="11">
        <v>5</v>
      </c>
      <c r="D105" s="82">
        <v>10</v>
      </c>
    </row>
    <row r="106" spans="1:4" x14ac:dyDescent="0.25">
      <c r="B106" s="3">
        <v>4</v>
      </c>
      <c r="C106" s="11">
        <v>7</v>
      </c>
      <c r="D106" s="82">
        <v>10</v>
      </c>
    </row>
    <row r="107" spans="1:4" x14ac:dyDescent="0.25">
      <c r="B107" s="3">
        <v>5</v>
      </c>
      <c r="C107" s="11">
        <v>10</v>
      </c>
      <c r="D107" s="82">
        <v>11</v>
      </c>
    </row>
    <row r="108" spans="1:4" x14ac:dyDescent="0.25">
      <c r="B108" s="12"/>
      <c r="C108" s="57" t="s">
        <v>160</v>
      </c>
      <c r="D108" s="57">
        <f>+SUMPRODUCT(C102:C107,D102:D107)/SUM(D102:D107)</f>
        <v>0.65500000000000003</v>
      </c>
    </row>
    <row r="110" spans="1:4" x14ac:dyDescent="0.25">
      <c r="A110" s="69" t="s">
        <v>156</v>
      </c>
    </row>
    <row r="111" spans="1:4" x14ac:dyDescent="0.25">
      <c r="A111" s="72" t="s">
        <v>157</v>
      </c>
    </row>
    <row r="112" spans="1:4" x14ac:dyDescent="0.25">
      <c r="A112" s="72" t="s">
        <v>158</v>
      </c>
    </row>
    <row r="113" spans="1:4" x14ac:dyDescent="0.25">
      <c r="A113" s="72" t="s">
        <v>159</v>
      </c>
    </row>
    <row r="114" spans="1:4" x14ac:dyDescent="0.25">
      <c r="A114" s="72" t="s">
        <v>161</v>
      </c>
    </row>
    <row r="116" spans="1:4" x14ac:dyDescent="0.25">
      <c r="B116" s="1"/>
    </row>
    <row r="117" spans="1:4" x14ac:dyDescent="0.25">
      <c r="B117" s="2" t="s">
        <v>19</v>
      </c>
      <c r="C117" s="2" t="s">
        <v>20</v>
      </c>
      <c r="D117" s="2" t="s">
        <v>58</v>
      </c>
    </row>
    <row r="118" spans="1:4" x14ac:dyDescent="0.25">
      <c r="B118" s="3">
        <v>0</v>
      </c>
      <c r="C118" s="11">
        <v>0</v>
      </c>
      <c r="D118" s="82">
        <f>1000-SUM(D119:D123)</f>
        <v>794</v>
      </c>
    </row>
    <row r="119" spans="1:4" x14ac:dyDescent="0.25">
      <c r="B119" s="3">
        <v>1</v>
      </c>
      <c r="C119" s="11">
        <v>2</v>
      </c>
      <c r="D119" s="82">
        <v>100</v>
      </c>
    </row>
    <row r="120" spans="1:4" x14ac:dyDescent="0.25">
      <c r="B120" s="3">
        <v>2</v>
      </c>
      <c r="C120" s="11">
        <v>3</v>
      </c>
      <c r="D120" s="82">
        <v>75</v>
      </c>
    </row>
    <row r="121" spans="1:4" x14ac:dyDescent="0.25">
      <c r="B121" s="3">
        <v>3</v>
      </c>
      <c r="C121" s="11">
        <v>5</v>
      </c>
      <c r="D121" s="82">
        <v>10</v>
      </c>
    </row>
    <row r="122" spans="1:4" x14ac:dyDescent="0.25">
      <c r="B122" s="3">
        <v>4</v>
      </c>
      <c r="C122" s="11">
        <v>7</v>
      </c>
      <c r="D122" s="82">
        <v>10</v>
      </c>
    </row>
    <row r="123" spans="1:4" x14ac:dyDescent="0.25">
      <c r="B123" s="3">
        <v>5</v>
      </c>
      <c r="C123" s="11">
        <v>10</v>
      </c>
      <c r="D123" s="82">
        <v>11</v>
      </c>
    </row>
    <row r="124" spans="1:4" x14ac:dyDescent="0.25">
      <c r="B124" s="12"/>
      <c r="C124" s="57" t="s">
        <v>160</v>
      </c>
      <c r="D124" s="57">
        <f>+SUMPRODUCT(C118:C123,D118:D123)/SUM(D118:D123)</f>
        <v>0.65500000000000003</v>
      </c>
    </row>
    <row r="127" spans="1:4" x14ac:dyDescent="0.25">
      <c r="A127" t="s">
        <v>180</v>
      </c>
    </row>
    <row r="128" spans="1:4" x14ac:dyDescent="0.25">
      <c r="A128" t="s">
        <v>181</v>
      </c>
    </row>
  </sheetData>
  <pageMargins left="0.7" right="0.7" top="0.75" bottom="0.75" header="0.51180555555555496" footer="0.51180555555555496"/>
  <pageSetup paperSize="9" firstPageNumber="0"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T58"/>
  <sheetViews>
    <sheetView topLeftCell="A28" workbookViewId="0"/>
  </sheetViews>
  <sheetFormatPr defaultColWidth="8.85546875" defaultRowHeight="15" x14ac:dyDescent="0.25"/>
  <cols>
    <col min="1" max="1" width="29.28515625" customWidth="1"/>
    <col min="2" max="2" width="11.5703125" customWidth="1"/>
    <col min="3" max="3" width="17" customWidth="1"/>
    <col min="4" max="4" width="13.5703125" customWidth="1"/>
    <col min="5" max="5" width="11.5703125" customWidth="1"/>
    <col min="6" max="6" width="14" customWidth="1"/>
    <col min="7" max="7" width="11.5703125" customWidth="1"/>
    <col min="8" max="8" width="28.5703125" customWidth="1"/>
    <col min="9" max="10" width="11.5703125" customWidth="1"/>
    <col min="11" max="11" width="12.42578125" customWidth="1"/>
    <col min="12" max="12" width="11.5703125" customWidth="1"/>
    <col min="13" max="13" width="12.7109375" customWidth="1"/>
    <col min="14" max="14" width="11.5703125" customWidth="1"/>
    <col min="15" max="15" width="28.5703125" customWidth="1"/>
    <col min="16" max="16" width="11.5703125" customWidth="1"/>
    <col min="17" max="17" width="14.42578125" customWidth="1"/>
    <col min="18" max="18" width="12.28515625" customWidth="1"/>
    <col min="19" max="19" width="11.5703125" customWidth="1"/>
    <col min="20" max="20" width="12.7109375" customWidth="1"/>
    <col min="21" max="1025" width="11.5703125" customWidth="1"/>
  </cols>
  <sheetData>
    <row r="1" spans="1:20" x14ac:dyDescent="0.25">
      <c r="A1" t="s">
        <v>55</v>
      </c>
    </row>
    <row r="2" spans="1:20" x14ac:dyDescent="0.25">
      <c r="A2" t="s">
        <v>32</v>
      </c>
    </row>
    <row r="4" spans="1:20" x14ac:dyDescent="0.25">
      <c r="A4" s="16" t="s">
        <v>56</v>
      </c>
      <c r="B4" s="17">
        <v>400</v>
      </c>
      <c r="H4" s="15" t="s">
        <v>56</v>
      </c>
      <c r="I4" s="17">
        <v>200</v>
      </c>
      <c r="O4" s="15" t="s">
        <v>56</v>
      </c>
      <c r="P4" s="17">
        <v>100</v>
      </c>
    </row>
    <row r="6" spans="1:20" x14ac:dyDescent="0.25">
      <c r="A6" t="s">
        <v>57</v>
      </c>
      <c r="H6" t="s">
        <v>57</v>
      </c>
      <c r="O6" t="s">
        <v>57</v>
      </c>
    </row>
    <row r="9" spans="1:20" x14ac:dyDescent="0.25">
      <c r="A9" s="30" t="s">
        <v>33</v>
      </c>
      <c r="B9" s="31" t="s">
        <v>34</v>
      </c>
      <c r="C9" s="31" t="s">
        <v>35</v>
      </c>
      <c r="D9" s="32" t="s">
        <v>36</v>
      </c>
      <c r="E9" s="35" t="s">
        <v>58</v>
      </c>
      <c r="F9" s="35" t="s">
        <v>59</v>
      </c>
      <c r="H9" s="30" t="s">
        <v>33</v>
      </c>
      <c r="I9" s="31" t="s">
        <v>34</v>
      </c>
      <c r="J9" s="31" t="s">
        <v>35</v>
      </c>
      <c r="K9" s="32" t="s">
        <v>36</v>
      </c>
      <c r="L9" s="35" t="s">
        <v>58</v>
      </c>
      <c r="M9" s="35" t="s">
        <v>59</v>
      </c>
      <c r="O9" s="30" t="s">
        <v>33</v>
      </c>
      <c r="P9" s="31" t="s">
        <v>34</v>
      </c>
      <c r="Q9" s="31" t="s">
        <v>35</v>
      </c>
      <c r="R9" s="32" t="s">
        <v>36</v>
      </c>
      <c r="S9" s="35" t="s">
        <v>58</v>
      </c>
      <c r="T9" s="35" t="s">
        <v>59</v>
      </c>
    </row>
    <row r="10" spans="1:20" x14ac:dyDescent="0.25">
      <c r="A10" s="36" t="s">
        <v>38</v>
      </c>
      <c r="B10" s="37">
        <v>40</v>
      </c>
      <c r="C10" s="38">
        <v>5</v>
      </c>
      <c r="D10" s="39">
        <f t="shared" ref="D10:D51" si="0">+B10*C10</f>
        <v>200</v>
      </c>
      <c r="E10" s="19">
        <v>9</v>
      </c>
      <c r="F10" s="40">
        <f t="shared" ref="F10:F51" si="1">+D10/$B$4</f>
        <v>0.5</v>
      </c>
      <c r="G10" s="29"/>
      <c r="H10" s="36" t="s">
        <v>38</v>
      </c>
      <c r="I10" s="38">
        <v>24</v>
      </c>
      <c r="J10" s="38">
        <v>5</v>
      </c>
      <c r="K10" s="39">
        <f t="shared" ref="K10:K51" si="2">+I10*J10</f>
        <v>120</v>
      </c>
      <c r="L10" s="19">
        <v>20</v>
      </c>
      <c r="M10" s="40">
        <f t="shared" ref="M10:M51" si="3">+K10/$I$4</f>
        <v>0.6</v>
      </c>
      <c r="N10" s="29"/>
      <c r="O10" s="36" t="s">
        <v>38</v>
      </c>
      <c r="P10" s="38">
        <v>8</v>
      </c>
      <c r="Q10" s="38">
        <v>5</v>
      </c>
      <c r="R10" s="39">
        <f t="shared" ref="R10:R51" si="4">+P10*Q10</f>
        <v>40</v>
      </c>
      <c r="S10" s="19">
        <v>11</v>
      </c>
      <c r="T10" s="40">
        <f t="shared" ref="T10:T51" si="5">+R10/$P$4</f>
        <v>0.4</v>
      </c>
    </row>
    <row r="11" spans="1:20" x14ac:dyDescent="0.25">
      <c r="A11" s="18" t="s">
        <v>38</v>
      </c>
      <c r="B11" s="41">
        <v>44</v>
      </c>
      <c r="C11" s="10">
        <v>5</v>
      </c>
      <c r="D11" s="33">
        <f t="shared" si="0"/>
        <v>220</v>
      </c>
      <c r="E11" s="20">
        <v>8</v>
      </c>
      <c r="F11" s="42">
        <f t="shared" si="1"/>
        <v>0.55000000000000004</v>
      </c>
      <c r="G11" s="29"/>
      <c r="H11" s="18" t="s">
        <v>38</v>
      </c>
      <c r="I11" s="10">
        <v>26</v>
      </c>
      <c r="J11" s="10">
        <v>5</v>
      </c>
      <c r="K11" s="33">
        <f t="shared" si="2"/>
        <v>130</v>
      </c>
      <c r="L11" s="20">
        <v>15</v>
      </c>
      <c r="M11" s="42">
        <f t="shared" si="3"/>
        <v>0.65</v>
      </c>
      <c r="N11" s="29"/>
      <c r="O11" s="18" t="s">
        <v>38</v>
      </c>
      <c r="P11" s="10">
        <v>10</v>
      </c>
      <c r="Q11" s="10">
        <v>5</v>
      </c>
      <c r="R11" s="33">
        <f t="shared" si="4"/>
        <v>50</v>
      </c>
      <c r="S11" s="20">
        <v>10</v>
      </c>
      <c r="T11" s="42">
        <f t="shared" si="5"/>
        <v>0.5</v>
      </c>
    </row>
    <row r="12" spans="1:20" x14ac:dyDescent="0.25">
      <c r="A12" s="18" t="s">
        <v>38</v>
      </c>
      <c r="B12" s="41">
        <v>48</v>
      </c>
      <c r="C12" s="10">
        <v>5</v>
      </c>
      <c r="D12" s="33">
        <f t="shared" si="0"/>
        <v>240</v>
      </c>
      <c r="E12" s="20">
        <v>9</v>
      </c>
      <c r="F12" s="42">
        <f t="shared" si="1"/>
        <v>0.6</v>
      </c>
      <c r="G12" s="29"/>
      <c r="H12" s="18" t="s">
        <v>38</v>
      </c>
      <c r="I12" s="10">
        <v>28</v>
      </c>
      <c r="J12" s="10">
        <v>5</v>
      </c>
      <c r="K12" s="33">
        <f t="shared" si="2"/>
        <v>140</v>
      </c>
      <c r="L12" s="20">
        <v>11</v>
      </c>
      <c r="M12" s="42">
        <f t="shared" si="3"/>
        <v>0.7</v>
      </c>
      <c r="N12" s="29"/>
      <c r="O12" s="18" t="s">
        <v>38</v>
      </c>
      <c r="P12" s="10">
        <v>14</v>
      </c>
      <c r="Q12" s="10">
        <v>5</v>
      </c>
      <c r="R12" s="33">
        <f t="shared" si="4"/>
        <v>70</v>
      </c>
      <c r="S12" s="20">
        <v>6</v>
      </c>
      <c r="T12" s="42">
        <f t="shared" si="5"/>
        <v>0.7</v>
      </c>
    </row>
    <row r="13" spans="1:20" x14ac:dyDescent="0.25">
      <c r="A13" s="18" t="s">
        <v>38</v>
      </c>
      <c r="B13" s="41">
        <v>50</v>
      </c>
      <c r="C13" s="10">
        <v>5</v>
      </c>
      <c r="D13" s="33">
        <f t="shared" si="0"/>
        <v>250</v>
      </c>
      <c r="E13" s="20">
        <v>9</v>
      </c>
      <c r="F13" s="42">
        <f t="shared" si="1"/>
        <v>0.625</v>
      </c>
      <c r="G13" s="29"/>
      <c r="H13" s="18" t="s">
        <v>38</v>
      </c>
      <c r="I13" s="10">
        <v>32</v>
      </c>
      <c r="J13" s="10">
        <v>5</v>
      </c>
      <c r="K13" s="33">
        <f t="shared" si="2"/>
        <v>160</v>
      </c>
      <c r="L13" s="20">
        <v>9</v>
      </c>
      <c r="M13" s="42">
        <f t="shared" si="3"/>
        <v>0.8</v>
      </c>
      <c r="N13" s="29"/>
      <c r="O13" s="18" t="s">
        <v>38</v>
      </c>
      <c r="P13" s="10">
        <v>20</v>
      </c>
      <c r="Q13" s="10">
        <v>5</v>
      </c>
      <c r="R13" s="33">
        <f t="shared" si="4"/>
        <v>100</v>
      </c>
      <c r="S13" s="20">
        <v>4</v>
      </c>
      <c r="T13" s="42">
        <f t="shared" si="5"/>
        <v>1</v>
      </c>
    </row>
    <row r="14" spans="1:20" x14ac:dyDescent="0.25">
      <c r="A14" s="21" t="s">
        <v>38</v>
      </c>
      <c r="B14" s="43">
        <v>60</v>
      </c>
      <c r="C14" s="22">
        <v>5</v>
      </c>
      <c r="D14" s="34">
        <f t="shared" si="0"/>
        <v>300</v>
      </c>
      <c r="E14" s="23">
        <v>3</v>
      </c>
      <c r="F14" s="44">
        <f t="shared" si="1"/>
        <v>0.75</v>
      </c>
      <c r="G14" s="29"/>
      <c r="H14" s="21" t="s">
        <v>38</v>
      </c>
      <c r="I14" s="22">
        <v>36</v>
      </c>
      <c r="J14" s="22">
        <v>5</v>
      </c>
      <c r="K14" s="34">
        <f t="shared" si="2"/>
        <v>180</v>
      </c>
      <c r="L14" s="23">
        <v>3</v>
      </c>
      <c r="M14" s="44">
        <f t="shared" si="3"/>
        <v>0.9</v>
      </c>
      <c r="N14" s="29"/>
      <c r="O14" s="21" t="s">
        <v>38</v>
      </c>
      <c r="P14" s="22">
        <v>22</v>
      </c>
      <c r="Q14" s="22">
        <v>5</v>
      </c>
      <c r="R14" s="34">
        <f t="shared" si="4"/>
        <v>110</v>
      </c>
      <c r="S14" s="23">
        <v>3</v>
      </c>
      <c r="T14" s="44">
        <f t="shared" si="5"/>
        <v>1.1000000000000001</v>
      </c>
    </row>
    <row r="15" spans="1:20" x14ac:dyDescent="0.25">
      <c r="A15" s="36" t="s">
        <v>39</v>
      </c>
      <c r="B15" s="37">
        <v>35</v>
      </c>
      <c r="C15" s="38">
        <v>8</v>
      </c>
      <c r="D15" s="39">
        <f t="shared" si="0"/>
        <v>280</v>
      </c>
      <c r="E15" s="19">
        <v>22</v>
      </c>
      <c r="F15" s="40">
        <f t="shared" si="1"/>
        <v>0.7</v>
      </c>
      <c r="G15" s="29"/>
      <c r="H15" s="36" t="s">
        <v>39</v>
      </c>
      <c r="I15" s="38">
        <v>20</v>
      </c>
      <c r="J15" s="38">
        <v>8</v>
      </c>
      <c r="K15" s="39">
        <f t="shared" si="2"/>
        <v>160</v>
      </c>
      <c r="L15" s="19">
        <v>19</v>
      </c>
      <c r="M15" s="40">
        <f t="shared" si="3"/>
        <v>0.8</v>
      </c>
      <c r="N15" s="29"/>
      <c r="O15" s="36" t="s">
        <v>39</v>
      </c>
      <c r="P15" s="38">
        <v>5</v>
      </c>
      <c r="Q15" s="38">
        <v>8</v>
      </c>
      <c r="R15" s="39">
        <f t="shared" si="4"/>
        <v>40</v>
      </c>
      <c r="S15" s="19">
        <v>10</v>
      </c>
      <c r="T15" s="40">
        <f t="shared" si="5"/>
        <v>0.4</v>
      </c>
    </row>
    <row r="16" spans="1:20" x14ac:dyDescent="0.25">
      <c r="A16" s="18" t="s">
        <v>39</v>
      </c>
      <c r="B16" s="41">
        <v>40</v>
      </c>
      <c r="C16" s="10">
        <v>8</v>
      </c>
      <c r="D16" s="33">
        <f t="shared" si="0"/>
        <v>320</v>
      </c>
      <c r="E16" s="20">
        <v>11</v>
      </c>
      <c r="F16" s="42">
        <f t="shared" si="1"/>
        <v>0.8</v>
      </c>
      <c r="G16" s="29"/>
      <c r="H16" s="18" t="s">
        <v>39</v>
      </c>
      <c r="I16" s="10">
        <v>25</v>
      </c>
      <c r="J16" s="10">
        <v>8</v>
      </c>
      <c r="K16" s="33">
        <f t="shared" si="2"/>
        <v>200</v>
      </c>
      <c r="L16" s="20">
        <v>10</v>
      </c>
      <c r="M16" s="42">
        <f t="shared" si="3"/>
        <v>1</v>
      </c>
      <c r="N16" s="29"/>
      <c r="O16" s="18" t="s">
        <v>39</v>
      </c>
      <c r="P16" s="10">
        <v>10</v>
      </c>
      <c r="Q16" s="10">
        <v>8</v>
      </c>
      <c r="R16" s="33">
        <f t="shared" si="4"/>
        <v>80</v>
      </c>
      <c r="S16" s="20">
        <v>15</v>
      </c>
      <c r="T16" s="42">
        <f t="shared" si="5"/>
        <v>0.8</v>
      </c>
    </row>
    <row r="17" spans="1:20" x14ac:dyDescent="0.25">
      <c r="A17" s="21" t="s">
        <v>39</v>
      </c>
      <c r="B17" s="43">
        <v>50</v>
      </c>
      <c r="C17" s="22">
        <v>8</v>
      </c>
      <c r="D17" s="34">
        <f t="shared" si="0"/>
        <v>400</v>
      </c>
      <c r="E17" s="23">
        <v>4</v>
      </c>
      <c r="F17" s="44">
        <f t="shared" si="1"/>
        <v>1</v>
      </c>
      <c r="G17" s="29"/>
      <c r="H17" s="21" t="s">
        <v>39</v>
      </c>
      <c r="I17" s="22">
        <v>30</v>
      </c>
      <c r="J17" s="22">
        <v>8</v>
      </c>
      <c r="K17" s="34">
        <f t="shared" si="2"/>
        <v>240</v>
      </c>
      <c r="L17" s="23">
        <v>1</v>
      </c>
      <c r="M17" s="44">
        <f t="shared" si="3"/>
        <v>1.2</v>
      </c>
      <c r="N17" s="29"/>
      <c r="O17" s="21" t="s">
        <v>39</v>
      </c>
      <c r="P17" s="22">
        <v>15</v>
      </c>
      <c r="Q17" s="22">
        <v>8</v>
      </c>
      <c r="R17" s="34">
        <f t="shared" si="4"/>
        <v>120</v>
      </c>
      <c r="S17" s="23">
        <v>5</v>
      </c>
      <c r="T17" s="44">
        <f t="shared" si="5"/>
        <v>1.2</v>
      </c>
    </row>
    <row r="18" spans="1:20" x14ac:dyDescent="0.25">
      <c r="A18" s="18" t="s">
        <v>40</v>
      </c>
      <c r="B18" s="41">
        <v>45</v>
      </c>
      <c r="C18" s="10">
        <v>10</v>
      </c>
      <c r="D18" s="33">
        <f t="shared" si="0"/>
        <v>450</v>
      </c>
      <c r="E18" s="20">
        <v>16</v>
      </c>
      <c r="F18" s="42">
        <f t="shared" si="1"/>
        <v>1.125</v>
      </c>
      <c r="G18" s="29"/>
      <c r="H18" s="18" t="s">
        <v>40</v>
      </c>
      <c r="I18" s="10">
        <v>25</v>
      </c>
      <c r="J18" s="10">
        <v>10</v>
      </c>
      <c r="K18" s="33">
        <f t="shared" si="2"/>
        <v>250</v>
      </c>
      <c r="L18" s="20">
        <v>15</v>
      </c>
      <c r="M18" s="42">
        <f t="shared" si="3"/>
        <v>1.25</v>
      </c>
      <c r="N18" s="29"/>
      <c r="O18" s="18" t="s">
        <v>40</v>
      </c>
      <c r="P18" s="10">
        <v>10</v>
      </c>
      <c r="Q18" s="10">
        <v>10</v>
      </c>
      <c r="R18" s="33">
        <f t="shared" si="4"/>
        <v>100</v>
      </c>
      <c r="S18" s="20">
        <v>5</v>
      </c>
      <c r="T18" s="42">
        <f t="shared" si="5"/>
        <v>1</v>
      </c>
    </row>
    <row r="19" spans="1:20" x14ac:dyDescent="0.25">
      <c r="A19" s="18" t="s">
        <v>40</v>
      </c>
      <c r="B19" s="41">
        <v>50</v>
      </c>
      <c r="C19" s="10">
        <v>10</v>
      </c>
      <c r="D19" s="33">
        <f t="shared" si="0"/>
        <v>500</v>
      </c>
      <c r="E19" s="20">
        <v>12</v>
      </c>
      <c r="F19" s="42">
        <f t="shared" si="1"/>
        <v>1.25</v>
      </c>
      <c r="G19" s="29"/>
      <c r="H19" s="18" t="s">
        <v>40</v>
      </c>
      <c r="I19" s="10">
        <v>30</v>
      </c>
      <c r="J19" s="10">
        <v>10</v>
      </c>
      <c r="K19" s="33">
        <f t="shared" si="2"/>
        <v>300</v>
      </c>
      <c r="L19" s="20">
        <v>7</v>
      </c>
      <c r="M19" s="42">
        <f t="shared" si="3"/>
        <v>1.5</v>
      </c>
      <c r="N19" s="29"/>
      <c r="O19" s="18" t="s">
        <v>40</v>
      </c>
      <c r="P19" s="10">
        <v>10</v>
      </c>
      <c r="Q19" s="10">
        <v>10</v>
      </c>
      <c r="R19" s="33">
        <f t="shared" si="4"/>
        <v>100</v>
      </c>
      <c r="S19" s="20">
        <v>5</v>
      </c>
      <c r="T19" s="42">
        <f t="shared" si="5"/>
        <v>1</v>
      </c>
    </row>
    <row r="20" spans="1:20" x14ac:dyDescent="0.25">
      <c r="A20" s="18" t="s">
        <v>40</v>
      </c>
      <c r="B20" s="41">
        <v>55</v>
      </c>
      <c r="C20" s="10">
        <v>10</v>
      </c>
      <c r="D20" s="33">
        <f t="shared" si="0"/>
        <v>550</v>
      </c>
      <c r="E20" s="20">
        <v>6</v>
      </c>
      <c r="F20" s="42">
        <f t="shared" si="1"/>
        <v>1.375</v>
      </c>
      <c r="G20" s="29"/>
      <c r="H20" s="18" t="s">
        <v>40</v>
      </c>
      <c r="I20" s="10">
        <v>35</v>
      </c>
      <c r="J20" s="10">
        <v>10</v>
      </c>
      <c r="K20" s="33">
        <f t="shared" si="2"/>
        <v>350</v>
      </c>
      <c r="L20" s="20">
        <v>1</v>
      </c>
      <c r="M20" s="42">
        <f t="shared" si="3"/>
        <v>1.75</v>
      </c>
      <c r="N20" s="29"/>
      <c r="O20" s="18" t="s">
        <v>40</v>
      </c>
      <c r="P20" s="10">
        <v>15</v>
      </c>
      <c r="Q20" s="10">
        <v>10</v>
      </c>
      <c r="R20" s="33">
        <f t="shared" si="4"/>
        <v>150</v>
      </c>
      <c r="S20" s="20">
        <v>10</v>
      </c>
      <c r="T20" s="42">
        <f t="shared" si="5"/>
        <v>1.5</v>
      </c>
    </row>
    <row r="21" spans="1:20" ht="15.75" thickBot="1" x14ac:dyDescent="0.3">
      <c r="A21" s="21" t="s">
        <v>40</v>
      </c>
      <c r="B21" s="43">
        <v>60</v>
      </c>
      <c r="C21" s="22">
        <v>10</v>
      </c>
      <c r="D21" s="34">
        <f t="shared" si="0"/>
        <v>600</v>
      </c>
      <c r="E21" s="23">
        <v>2</v>
      </c>
      <c r="F21" s="44">
        <f t="shared" si="1"/>
        <v>1.5</v>
      </c>
      <c r="G21" s="29"/>
      <c r="H21" s="21" t="s">
        <v>40</v>
      </c>
      <c r="I21" s="22">
        <v>40</v>
      </c>
      <c r="J21" s="22">
        <v>10</v>
      </c>
      <c r="K21" s="34">
        <f t="shared" si="2"/>
        <v>400</v>
      </c>
      <c r="L21" s="23">
        <v>1</v>
      </c>
      <c r="M21" s="44">
        <f t="shared" si="3"/>
        <v>2</v>
      </c>
      <c r="N21" s="29"/>
      <c r="O21" s="21" t="s">
        <v>40</v>
      </c>
      <c r="P21" s="22">
        <v>20</v>
      </c>
      <c r="Q21" s="22">
        <v>10</v>
      </c>
      <c r="R21" s="34">
        <f t="shared" si="4"/>
        <v>200</v>
      </c>
      <c r="S21" s="23">
        <v>9</v>
      </c>
      <c r="T21" s="44">
        <f t="shared" si="5"/>
        <v>2</v>
      </c>
    </row>
    <row r="22" spans="1:20" x14ac:dyDescent="0.25">
      <c r="A22" s="70" t="s">
        <v>131</v>
      </c>
      <c r="B22" s="37">
        <v>15</v>
      </c>
      <c r="C22" s="38">
        <v>30</v>
      </c>
      <c r="D22" s="39">
        <f t="shared" si="0"/>
        <v>450</v>
      </c>
      <c r="E22" s="19">
        <v>5</v>
      </c>
      <c r="F22" s="40">
        <f t="shared" si="1"/>
        <v>1.125</v>
      </c>
      <c r="G22" s="29"/>
      <c r="H22" s="70" t="s">
        <v>131</v>
      </c>
      <c r="I22" s="37">
        <v>12</v>
      </c>
      <c r="J22" s="38">
        <v>30</v>
      </c>
      <c r="K22" s="39">
        <f t="shared" si="2"/>
        <v>360</v>
      </c>
      <c r="L22" s="19">
        <v>5</v>
      </c>
      <c r="M22" s="40">
        <f>+K22/$I$4</f>
        <v>1.8</v>
      </c>
      <c r="N22" s="29"/>
      <c r="O22" s="70" t="s">
        <v>131</v>
      </c>
      <c r="P22" s="37">
        <v>7</v>
      </c>
      <c r="Q22" s="38">
        <v>30</v>
      </c>
      <c r="R22" s="39">
        <f t="shared" si="4"/>
        <v>210</v>
      </c>
      <c r="S22" s="19">
        <v>10</v>
      </c>
      <c r="T22" s="40">
        <f>+R22/$P$4</f>
        <v>2.1</v>
      </c>
    </row>
    <row r="23" spans="1:20" x14ac:dyDescent="0.25">
      <c r="A23" s="18" t="s">
        <v>131</v>
      </c>
      <c r="B23" s="72">
        <v>17</v>
      </c>
      <c r="C23" s="68">
        <v>30</v>
      </c>
      <c r="D23" s="33">
        <f t="shared" si="0"/>
        <v>510</v>
      </c>
      <c r="E23" s="20">
        <v>3</v>
      </c>
      <c r="F23" s="42">
        <f t="shared" si="1"/>
        <v>1.2749999999999999</v>
      </c>
      <c r="G23" s="29"/>
      <c r="H23" s="18" t="s">
        <v>131</v>
      </c>
      <c r="I23" s="72">
        <v>15</v>
      </c>
      <c r="J23" s="68">
        <v>30</v>
      </c>
      <c r="K23" s="33">
        <f t="shared" si="2"/>
        <v>450</v>
      </c>
      <c r="L23" s="20">
        <v>3</v>
      </c>
      <c r="M23" s="42">
        <f t="shared" si="3"/>
        <v>2.25</v>
      </c>
      <c r="N23" s="29"/>
      <c r="O23" s="18" t="s">
        <v>131</v>
      </c>
      <c r="P23" s="72">
        <v>10</v>
      </c>
      <c r="Q23" s="68">
        <v>30</v>
      </c>
      <c r="R23" s="33">
        <f t="shared" si="4"/>
        <v>300</v>
      </c>
      <c r="S23" s="20">
        <v>3</v>
      </c>
      <c r="T23" s="42">
        <f t="shared" si="5"/>
        <v>3</v>
      </c>
    </row>
    <row r="24" spans="1:20" ht="15.75" thickBot="1" x14ac:dyDescent="0.3">
      <c r="A24" s="21" t="s">
        <v>131</v>
      </c>
      <c r="B24" s="43">
        <v>20</v>
      </c>
      <c r="C24" s="22">
        <v>30</v>
      </c>
      <c r="D24" s="34">
        <f t="shared" si="0"/>
        <v>600</v>
      </c>
      <c r="E24" s="23">
        <v>2</v>
      </c>
      <c r="F24" s="44">
        <f t="shared" si="1"/>
        <v>1.5</v>
      </c>
      <c r="G24" s="29"/>
      <c r="H24" s="21" t="s">
        <v>131</v>
      </c>
      <c r="I24" s="43">
        <v>17</v>
      </c>
      <c r="J24" s="22">
        <v>30</v>
      </c>
      <c r="K24" s="34">
        <f t="shared" si="2"/>
        <v>510</v>
      </c>
      <c r="L24" s="23">
        <v>2</v>
      </c>
      <c r="M24" s="44">
        <f t="shared" si="3"/>
        <v>2.5499999999999998</v>
      </c>
      <c r="N24" s="29"/>
      <c r="O24" s="21" t="s">
        <v>131</v>
      </c>
      <c r="P24" s="43">
        <v>12</v>
      </c>
      <c r="Q24" s="22">
        <v>30</v>
      </c>
      <c r="R24" s="34">
        <f t="shared" si="4"/>
        <v>360</v>
      </c>
      <c r="S24" s="23">
        <v>2</v>
      </c>
      <c r="T24" s="44">
        <f t="shared" si="5"/>
        <v>3.6</v>
      </c>
    </row>
    <row r="25" spans="1:20" x14ac:dyDescent="0.25">
      <c r="A25" s="70" t="s">
        <v>126</v>
      </c>
      <c r="B25" s="37">
        <v>35</v>
      </c>
      <c r="C25" s="38">
        <v>10</v>
      </c>
      <c r="D25" s="39">
        <f t="shared" si="0"/>
        <v>350</v>
      </c>
      <c r="E25" s="19">
        <v>20</v>
      </c>
      <c r="F25" s="40">
        <f t="shared" si="1"/>
        <v>0.875</v>
      </c>
      <c r="G25" s="29"/>
      <c r="H25" s="70" t="s">
        <v>126</v>
      </c>
      <c r="I25" s="38">
        <v>20</v>
      </c>
      <c r="J25" s="38">
        <v>10</v>
      </c>
      <c r="K25" s="39">
        <f t="shared" si="2"/>
        <v>200</v>
      </c>
      <c r="L25" s="19">
        <v>17</v>
      </c>
      <c r="M25" s="40">
        <f t="shared" si="3"/>
        <v>1</v>
      </c>
      <c r="N25" s="29"/>
      <c r="O25" s="70" t="s">
        <v>126</v>
      </c>
      <c r="P25" s="38">
        <v>5</v>
      </c>
      <c r="Q25" s="38">
        <v>10</v>
      </c>
      <c r="R25" s="39">
        <f t="shared" si="4"/>
        <v>50</v>
      </c>
      <c r="S25" s="19">
        <v>10</v>
      </c>
      <c r="T25" s="40">
        <f t="shared" si="5"/>
        <v>0.5</v>
      </c>
    </row>
    <row r="26" spans="1:20" x14ac:dyDescent="0.25">
      <c r="A26" s="67" t="s">
        <v>126</v>
      </c>
      <c r="B26" s="41">
        <v>40</v>
      </c>
      <c r="C26" s="68">
        <v>10</v>
      </c>
      <c r="D26" s="33">
        <f t="shared" si="0"/>
        <v>400</v>
      </c>
      <c r="E26" s="20">
        <v>9</v>
      </c>
      <c r="F26" s="42">
        <f t="shared" si="1"/>
        <v>1</v>
      </c>
      <c r="G26" s="29"/>
      <c r="H26" s="67" t="s">
        <v>126</v>
      </c>
      <c r="I26" s="10">
        <v>25</v>
      </c>
      <c r="J26" s="68">
        <v>10</v>
      </c>
      <c r="K26" s="33">
        <f t="shared" si="2"/>
        <v>250</v>
      </c>
      <c r="L26" s="20">
        <v>8</v>
      </c>
      <c r="M26" s="42">
        <f t="shared" si="3"/>
        <v>1.25</v>
      </c>
      <c r="N26" s="29"/>
      <c r="O26" s="67" t="s">
        <v>126</v>
      </c>
      <c r="P26" s="10">
        <v>10</v>
      </c>
      <c r="Q26" s="68">
        <v>10</v>
      </c>
      <c r="R26" s="33">
        <f t="shared" si="4"/>
        <v>100</v>
      </c>
      <c r="S26" s="20">
        <v>10</v>
      </c>
      <c r="T26" s="42">
        <f t="shared" si="5"/>
        <v>1</v>
      </c>
    </row>
    <row r="27" spans="1:20" ht="15.75" thickBot="1" x14ac:dyDescent="0.3">
      <c r="A27" s="71" t="s">
        <v>126</v>
      </c>
      <c r="B27" s="43">
        <v>50</v>
      </c>
      <c r="C27" s="22">
        <v>10</v>
      </c>
      <c r="D27" s="34">
        <f t="shared" si="0"/>
        <v>500</v>
      </c>
      <c r="E27" s="23">
        <v>6</v>
      </c>
      <c r="F27" s="44">
        <f t="shared" si="1"/>
        <v>1.25</v>
      </c>
      <c r="G27" s="29"/>
      <c r="H27" s="71" t="s">
        <v>126</v>
      </c>
      <c r="I27" s="22">
        <v>30</v>
      </c>
      <c r="J27" s="22">
        <v>10</v>
      </c>
      <c r="K27" s="34">
        <f t="shared" si="2"/>
        <v>300</v>
      </c>
      <c r="L27" s="23">
        <v>1</v>
      </c>
      <c r="M27" s="44">
        <f t="shared" si="3"/>
        <v>1.5</v>
      </c>
      <c r="N27" s="29"/>
      <c r="O27" s="71" t="s">
        <v>126</v>
      </c>
      <c r="P27" s="22">
        <v>15</v>
      </c>
      <c r="Q27" s="22">
        <v>10</v>
      </c>
      <c r="R27" s="34">
        <f t="shared" si="4"/>
        <v>150</v>
      </c>
      <c r="S27" s="23">
        <v>10</v>
      </c>
      <c r="T27" s="44">
        <f t="shared" si="5"/>
        <v>1.5</v>
      </c>
    </row>
    <row r="28" spans="1:20" x14ac:dyDescent="0.25">
      <c r="A28" s="70" t="s">
        <v>127</v>
      </c>
      <c r="B28" s="37">
        <v>35</v>
      </c>
      <c r="C28" s="38">
        <v>11</v>
      </c>
      <c r="D28" s="39">
        <f t="shared" si="0"/>
        <v>385</v>
      </c>
      <c r="E28" s="19">
        <v>20</v>
      </c>
      <c r="F28" s="40">
        <f t="shared" si="1"/>
        <v>0.96250000000000002</v>
      </c>
      <c r="G28" s="29"/>
      <c r="H28" s="70" t="s">
        <v>127</v>
      </c>
      <c r="I28" s="38">
        <v>15</v>
      </c>
      <c r="J28" s="38">
        <v>11</v>
      </c>
      <c r="K28" s="39">
        <f t="shared" si="2"/>
        <v>165</v>
      </c>
      <c r="L28" s="19">
        <v>15</v>
      </c>
      <c r="M28" s="40">
        <f t="shared" si="3"/>
        <v>0.82499999999999996</v>
      </c>
      <c r="N28" s="29"/>
      <c r="O28" s="70" t="s">
        <v>127</v>
      </c>
      <c r="P28" s="38">
        <v>5</v>
      </c>
      <c r="Q28" s="38">
        <v>11</v>
      </c>
      <c r="R28" s="39">
        <f t="shared" si="4"/>
        <v>55</v>
      </c>
      <c r="S28" s="19">
        <v>15</v>
      </c>
      <c r="T28" s="40">
        <f t="shared" si="5"/>
        <v>0.55000000000000004</v>
      </c>
    </row>
    <row r="29" spans="1:20" x14ac:dyDescent="0.25">
      <c r="A29" s="67" t="s">
        <v>127</v>
      </c>
      <c r="B29" s="41">
        <v>40</v>
      </c>
      <c r="C29" s="68">
        <v>11</v>
      </c>
      <c r="D29" s="33">
        <f t="shared" si="0"/>
        <v>440</v>
      </c>
      <c r="E29" s="20">
        <v>10</v>
      </c>
      <c r="F29" s="42">
        <f t="shared" si="1"/>
        <v>1.1000000000000001</v>
      </c>
      <c r="G29" s="29"/>
      <c r="H29" s="67" t="s">
        <v>127</v>
      </c>
      <c r="I29" s="10">
        <v>25</v>
      </c>
      <c r="J29" s="68">
        <v>11</v>
      </c>
      <c r="K29" s="33">
        <f t="shared" si="2"/>
        <v>275</v>
      </c>
      <c r="L29" s="20">
        <v>5</v>
      </c>
      <c r="M29" s="42">
        <f t="shared" si="3"/>
        <v>1.375</v>
      </c>
      <c r="N29" s="29"/>
      <c r="O29" s="67" t="s">
        <v>127</v>
      </c>
      <c r="P29" s="10">
        <v>10</v>
      </c>
      <c r="Q29" s="68">
        <v>11</v>
      </c>
      <c r="R29" s="33">
        <f t="shared" si="4"/>
        <v>110</v>
      </c>
      <c r="S29" s="20">
        <v>10</v>
      </c>
      <c r="T29" s="42">
        <f t="shared" si="5"/>
        <v>1.1000000000000001</v>
      </c>
    </row>
    <row r="30" spans="1:20" ht="15.75" thickBot="1" x14ac:dyDescent="0.3">
      <c r="A30" s="71" t="s">
        <v>127</v>
      </c>
      <c r="B30" s="43">
        <v>50</v>
      </c>
      <c r="C30" s="22">
        <v>11</v>
      </c>
      <c r="D30" s="34">
        <f t="shared" si="0"/>
        <v>550</v>
      </c>
      <c r="E30" s="23">
        <v>5</v>
      </c>
      <c r="F30" s="44">
        <f t="shared" si="1"/>
        <v>1.375</v>
      </c>
      <c r="G30" s="29"/>
      <c r="H30" s="71" t="s">
        <v>127</v>
      </c>
      <c r="I30" s="22">
        <v>30</v>
      </c>
      <c r="J30" s="22">
        <v>11</v>
      </c>
      <c r="K30" s="34">
        <f t="shared" si="2"/>
        <v>330</v>
      </c>
      <c r="L30" s="23">
        <v>1</v>
      </c>
      <c r="M30" s="44">
        <f t="shared" si="3"/>
        <v>1.65</v>
      </c>
      <c r="N30" s="29"/>
      <c r="O30" s="71" t="s">
        <v>127</v>
      </c>
      <c r="P30" s="22">
        <v>15</v>
      </c>
      <c r="Q30" s="22">
        <v>11</v>
      </c>
      <c r="R30" s="34">
        <f t="shared" si="4"/>
        <v>165</v>
      </c>
      <c r="S30" s="23">
        <v>5</v>
      </c>
      <c r="T30" s="44">
        <f t="shared" si="5"/>
        <v>1.65</v>
      </c>
    </row>
    <row r="31" spans="1:20" x14ac:dyDescent="0.25">
      <c r="A31" s="70" t="s">
        <v>128</v>
      </c>
      <c r="B31" s="37">
        <v>35</v>
      </c>
      <c r="C31" s="38">
        <v>11</v>
      </c>
      <c r="D31" s="39">
        <f t="shared" si="0"/>
        <v>385</v>
      </c>
      <c r="E31" s="19">
        <v>18</v>
      </c>
      <c r="F31" s="40">
        <f t="shared" si="1"/>
        <v>0.96250000000000002</v>
      </c>
      <c r="G31" s="29"/>
      <c r="H31" s="70" t="s">
        <v>128</v>
      </c>
      <c r="I31" s="38">
        <v>15</v>
      </c>
      <c r="J31" s="38">
        <v>11</v>
      </c>
      <c r="K31" s="39">
        <f t="shared" si="2"/>
        <v>165</v>
      </c>
      <c r="L31" s="19">
        <v>15</v>
      </c>
      <c r="M31" s="40">
        <f t="shared" si="3"/>
        <v>0.82499999999999996</v>
      </c>
      <c r="N31" s="29"/>
      <c r="O31" s="70" t="s">
        <v>128</v>
      </c>
      <c r="P31" s="38">
        <v>5</v>
      </c>
      <c r="Q31" s="38">
        <v>11</v>
      </c>
      <c r="R31" s="39">
        <f t="shared" si="4"/>
        <v>55</v>
      </c>
      <c r="S31" s="19">
        <v>14</v>
      </c>
      <c r="T31" s="40">
        <f t="shared" si="5"/>
        <v>0.55000000000000004</v>
      </c>
    </row>
    <row r="32" spans="1:20" x14ac:dyDescent="0.25">
      <c r="A32" s="67" t="s">
        <v>128</v>
      </c>
      <c r="B32" s="41">
        <v>40</v>
      </c>
      <c r="C32" s="68">
        <v>11</v>
      </c>
      <c r="D32" s="33">
        <f t="shared" si="0"/>
        <v>440</v>
      </c>
      <c r="E32" s="20">
        <v>10</v>
      </c>
      <c r="F32" s="42">
        <f t="shared" si="1"/>
        <v>1.1000000000000001</v>
      </c>
      <c r="G32" s="29"/>
      <c r="H32" s="67" t="s">
        <v>128</v>
      </c>
      <c r="I32" s="10">
        <v>25</v>
      </c>
      <c r="J32" s="68">
        <v>11</v>
      </c>
      <c r="K32" s="33">
        <f t="shared" si="2"/>
        <v>275</v>
      </c>
      <c r="L32" s="20">
        <v>5</v>
      </c>
      <c r="M32" s="42">
        <f t="shared" si="3"/>
        <v>1.375</v>
      </c>
      <c r="N32" s="29"/>
      <c r="O32" s="67" t="s">
        <v>128</v>
      </c>
      <c r="P32" s="10">
        <v>10</v>
      </c>
      <c r="Q32" s="68">
        <v>11</v>
      </c>
      <c r="R32" s="33">
        <f t="shared" si="4"/>
        <v>110</v>
      </c>
      <c r="S32" s="20">
        <v>10</v>
      </c>
      <c r="T32" s="42">
        <f t="shared" si="5"/>
        <v>1.1000000000000001</v>
      </c>
    </row>
    <row r="33" spans="1:20" ht="15.75" thickBot="1" x14ac:dyDescent="0.3">
      <c r="A33" s="71" t="s">
        <v>128</v>
      </c>
      <c r="B33" s="43">
        <v>50</v>
      </c>
      <c r="C33" s="22">
        <v>11</v>
      </c>
      <c r="D33" s="34">
        <f t="shared" si="0"/>
        <v>550</v>
      </c>
      <c r="E33" s="23">
        <v>7</v>
      </c>
      <c r="F33" s="44">
        <f t="shared" si="1"/>
        <v>1.375</v>
      </c>
      <c r="G33" s="29"/>
      <c r="H33" s="71" t="s">
        <v>128</v>
      </c>
      <c r="I33" s="22">
        <v>30</v>
      </c>
      <c r="J33" s="22">
        <v>11</v>
      </c>
      <c r="K33" s="34">
        <f t="shared" si="2"/>
        <v>330</v>
      </c>
      <c r="L33" s="23">
        <v>1</v>
      </c>
      <c r="M33" s="44">
        <f t="shared" si="3"/>
        <v>1.65</v>
      </c>
      <c r="N33" s="29"/>
      <c r="O33" s="71" t="s">
        <v>128</v>
      </c>
      <c r="P33" s="22">
        <v>15</v>
      </c>
      <c r="Q33" s="22">
        <v>11</v>
      </c>
      <c r="R33" s="34">
        <f t="shared" si="4"/>
        <v>165</v>
      </c>
      <c r="S33" s="23">
        <v>7</v>
      </c>
      <c r="T33" s="44">
        <f t="shared" si="5"/>
        <v>1.65</v>
      </c>
    </row>
    <row r="34" spans="1:20" x14ac:dyDescent="0.25">
      <c r="A34" s="70" t="s">
        <v>129</v>
      </c>
      <c r="B34" s="37">
        <v>35</v>
      </c>
      <c r="C34" s="38">
        <v>10</v>
      </c>
      <c r="D34" s="39">
        <f t="shared" si="0"/>
        <v>350</v>
      </c>
      <c r="E34" s="19">
        <v>17</v>
      </c>
      <c r="F34" s="40">
        <f t="shared" si="1"/>
        <v>0.875</v>
      </c>
      <c r="G34" s="29"/>
      <c r="H34" s="70" t="s">
        <v>129</v>
      </c>
      <c r="I34" s="38">
        <v>20</v>
      </c>
      <c r="J34" s="38">
        <v>10</v>
      </c>
      <c r="K34" s="39">
        <f t="shared" si="2"/>
        <v>200</v>
      </c>
      <c r="L34" s="19">
        <v>16</v>
      </c>
      <c r="M34" s="40">
        <f t="shared" si="3"/>
        <v>1</v>
      </c>
      <c r="N34" s="29"/>
      <c r="O34" s="70" t="s">
        <v>129</v>
      </c>
      <c r="P34" s="38">
        <v>5</v>
      </c>
      <c r="Q34" s="38">
        <v>10</v>
      </c>
      <c r="R34" s="39">
        <f t="shared" si="4"/>
        <v>50</v>
      </c>
      <c r="S34" s="19">
        <v>10</v>
      </c>
      <c r="T34" s="40">
        <f t="shared" si="5"/>
        <v>0.5</v>
      </c>
    </row>
    <row r="35" spans="1:20" x14ac:dyDescent="0.25">
      <c r="A35" s="67" t="s">
        <v>129</v>
      </c>
      <c r="B35" s="41">
        <v>40</v>
      </c>
      <c r="C35" s="68">
        <v>10</v>
      </c>
      <c r="D35" s="33">
        <f t="shared" si="0"/>
        <v>400</v>
      </c>
      <c r="E35" s="20">
        <v>11</v>
      </c>
      <c r="F35" s="42">
        <f t="shared" si="1"/>
        <v>1</v>
      </c>
      <c r="G35" s="29"/>
      <c r="H35" s="67" t="s">
        <v>129</v>
      </c>
      <c r="I35" s="10">
        <v>25</v>
      </c>
      <c r="J35" s="68">
        <v>10</v>
      </c>
      <c r="K35" s="33">
        <f t="shared" si="2"/>
        <v>250</v>
      </c>
      <c r="L35" s="20">
        <v>5</v>
      </c>
      <c r="M35" s="42">
        <f t="shared" si="3"/>
        <v>1.25</v>
      </c>
      <c r="N35" s="29"/>
      <c r="O35" s="67" t="s">
        <v>129</v>
      </c>
      <c r="P35" s="10">
        <v>10</v>
      </c>
      <c r="Q35" s="68">
        <v>10</v>
      </c>
      <c r="R35" s="33">
        <f t="shared" si="4"/>
        <v>100</v>
      </c>
      <c r="S35" s="20">
        <v>9</v>
      </c>
      <c r="T35" s="42">
        <f t="shared" si="5"/>
        <v>1</v>
      </c>
    </row>
    <row r="36" spans="1:20" ht="15.75" thickBot="1" x14ac:dyDescent="0.3">
      <c r="A36" s="71" t="s">
        <v>129</v>
      </c>
      <c r="B36" s="43">
        <v>50</v>
      </c>
      <c r="C36" s="22">
        <v>10</v>
      </c>
      <c r="D36" s="34">
        <f t="shared" si="0"/>
        <v>500</v>
      </c>
      <c r="E36" s="23">
        <v>7</v>
      </c>
      <c r="F36" s="44">
        <f t="shared" si="1"/>
        <v>1.25</v>
      </c>
      <c r="G36" s="29"/>
      <c r="H36" s="71" t="s">
        <v>129</v>
      </c>
      <c r="I36" s="22">
        <v>30</v>
      </c>
      <c r="J36" s="22">
        <v>10</v>
      </c>
      <c r="K36" s="34">
        <f t="shared" si="2"/>
        <v>300</v>
      </c>
      <c r="L36" s="23">
        <v>1</v>
      </c>
      <c r="M36" s="44">
        <f t="shared" si="3"/>
        <v>1.5</v>
      </c>
      <c r="N36" s="29"/>
      <c r="O36" s="71" t="s">
        <v>129</v>
      </c>
      <c r="P36" s="22">
        <v>15</v>
      </c>
      <c r="Q36" s="22">
        <v>10</v>
      </c>
      <c r="R36" s="34">
        <f t="shared" si="4"/>
        <v>150</v>
      </c>
      <c r="S36" s="23">
        <v>8</v>
      </c>
      <c r="T36" s="44">
        <f t="shared" si="5"/>
        <v>1.5</v>
      </c>
    </row>
    <row r="37" spans="1:20" x14ac:dyDescent="0.25">
      <c r="A37" s="70" t="s">
        <v>130</v>
      </c>
      <c r="B37" s="37">
        <v>200</v>
      </c>
      <c r="C37" s="38">
        <v>1</v>
      </c>
      <c r="D37" s="39">
        <f t="shared" si="0"/>
        <v>200</v>
      </c>
      <c r="E37" s="19">
        <v>15</v>
      </c>
      <c r="F37" s="40">
        <f t="shared" si="1"/>
        <v>0.5</v>
      </c>
      <c r="G37" s="29"/>
      <c r="H37" s="70" t="s">
        <v>130</v>
      </c>
      <c r="I37" s="37">
        <v>100</v>
      </c>
      <c r="J37" s="38">
        <v>1</v>
      </c>
      <c r="K37" s="39">
        <f t="shared" si="2"/>
        <v>100</v>
      </c>
      <c r="L37" s="19">
        <v>25</v>
      </c>
      <c r="M37" s="40">
        <f t="shared" si="3"/>
        <v>0.5</v>
      </c>
      <c r="N37" s="29"/>
      <c r="O37" s="70" t="s">
        <v>130</v>
      </c>
      <c r="P37" s="37">
        <v>50</v>
      </c>
      <c r="Q37" s="38">
        <v>1</v>
      </c>
      <c r="R37" s="39">
        <f t="shared" si="4"/>
        <v>50</v>
      </c>
      <c r="S37" s="19">
        <v>15</v>
      </c>
      <c r="T37" s="40">
        <f t="shared" si="5"/>
        <v>0.5</v>
      </c>
    </row>
    <row r="38" spans="1:20" x14ac:dyDescent="0.25">
      <c r="A38" s="67" t="s">
        <v>130</v>
      </c>
      <c r="B38" s="72">
        <v>300</v>
      </c>
      <c r="C38" s="68">
        <v>1</v>
      </c>
      <c r="D38" s="33">
        <f t="shared" si="0"/>
        <v>300</v>
      </c>
      <c r="E38" s="20">
        <v>10</v>
      </c>
      <c r="F38" s="42">
        <f t="shared" si="1"/>
        <v>0.75</v>
      </c>
      <c r="G38" s="29"/>
      <c r="H38" s="67" t="s">
        <v>130</v>
      </c>
      <c r="I38" s="72">
        <v>200</v>
      </c>
      <c r="J38" s="68">
        <v>1</v>
      </c>
      <c r="K38" s="33">
        <f t="shared" si="2"/>
        <v>200</v>
      </c>
      <c r="L38" s="20">
        <v>5</v>
      </c>
      <c r="M38" s="42">
        <f t="shared" si="3"/>
        <v>1</v>
      </c>
      <c r="N38" s="29"/>
      <c r="O38" s="67" t="s">
        <v>130</v>
      </c>
      <c r="P38" s="72">
        <v>100</v>
      </c>
      <c r="Q38" s="68">
        <v>1</v>
      </c>
      <c r="R38" s="33">
        <f t="shared" si="4"/>
        <v>100</v>
      </c>
      <c r="S38" s="20">
        <v>10</v>
      </c>
      <c r="T38" s="42">
        <f t="shared" si="5"/>
        <v>1</v>
      </c>
    </row>
    <row r="39" spans="1:20" ht="15.75" thickBot="1" x14ac:dyDescent="0.3">
      <c r="A39" s="71" t="s">
        <v>130</v>
      </c>
      <c r="B39" s="43">
        <v>500</v>
      </c>
      <c r="C39" s="22">
        <v>1</v>
      </c>
      <c r="D39" s="34">
        <f t="shared" si="0"/>
        <v>500</v>
      </c>
      <c r="E39" s="23">
        <v>5</v>
      </c>
      <c r="F39" s="44">
        <f>+D39/$B$4</f>
        <v>1.25</v>
      </c>
      <c r="G39" s="29"/>
      <c r="H39" s="71" t="s">
        <v>130</v>
      </c>
      <c r="I39" s="43">
        <v>250</v>
      </c>
      <c r="J39" s="22">
        <v>1</v>
      </c>
      <c r="K39" s="34">
        <f t="shared" si="2"/>
        <v>250</v>
      </c>
      <c r="L39" s="23">
        <v>1</v>
      </c>
      <c r="M39" s="44">
        <f t="shared" si="3"/>
        <v>1.25</v>
      </c>
      <c r="N39" s="29"/>
      <c r="O39" s="71" t="s">
        <v>130</v>
      </c>
      <c r="P39" s="43">
        <v>200</v>
      </c>
      <c r="Q39" s="22">
        <v>1</v>
      </c>
      <c r="R39" s="34">
        <f t="shared" si="4"/>
        <v>200</v>
      </c>
      <c r="S39" s="23">
        <v>3</v>
      </c>
      <c r="T39" s="44">
        <f t="shared" si="5"/>
        <v>2</v>
      </c>
    </row>
    <row r="40" spans="1:20" x14ac:dyDescent="0.25">
      <c r="A40" s="70" t="s">
        <v>162</v>
      </c>
      <c r="B40" s="37">
        <v>200</v>
      </c>
      <c r="C40" s="38">
        <v>0.65500000000000003</v>
      </c>
      <c r="D40" s="39">
        <f>+B40*C40</f>
        <v>131</v>
      </c>
      <c r="E40" s="19">
        <v>15</v>
      </c>
      <c r="F40" s="40">
        <f t="shared" ref="F40:F48" si="6">+D40/$B$4</f>
        <v>0.32750000000000001</v>
      </c>
      <c r="G40" s="29"/>
      <c r="H40" s="70" t="s">
        <v>162</v>
      </c>
      <c r="I40" s="38">
        <v>100</v>
      </c>
      <c r="J40" s="38">
        <v>0.65500000000000003</v>
      </c>
      <c r="K40" s="39">
        <f t="shared" si="2"/>
        <v>65.5</v>
      </c>
      <c r="L40" s="19">
        <v>21</v>
      </c>
      <c r="M40" s="40">
        <f t="shared" si="3"/>
        <v>0.32750000000000001</v>
      </c>
      <c r="N40" s="29"/>
      <c r="O40" s="70" t="s">
        <v>162</v>
      </c>
      <c r="P40" s="37">
        <v>20</v>
      </c>
      <c r="Q40" s="38">
        <v>0.65500000000000003</v>
      </c>
      <c r="R40" s="39">
        <f t="shared" si="4"/>
        <v>13.100000000000001</v>
      </c>
      <c r="S40" s="19">
        <v>10</v>
      </c>
      <c r="T40" s="40">
        <f t="shared" si="5"/>
        <v>0.13100000000000001</v>
      </c>
    </row>
    <row r="41" spans="1:20" x14ac:dyDescent="0.25">
      <c r="A41" s="67" t="s">
        <v>162</v>
      </c>
      <c r="B41" s="72">
        <v>300</v>
      </c>
      <c r="C41" s="10">
        <v>0.65500000000000003</v>
      </c>
      <c r="D41" s="33">
        <f t="shared" si="0"/>
        <v>196.5</v>
      </c>
      <c r="E41" s="20">
        <v>10</v>
      </c>
      <c r="F41" s="42">
        <f t="shared" si="6"/>
        <v>0.49125000000000002</v>
      </c>
      <c r="G41" s="29"/>
      <c r="H41" s="67" t="s">
        <v>162</v>
      </c>
      <c r="I41" s="68">
        <v>150</v>
      </c>
      <c r="J41" s="10">
        <v>0.65500000000000003</v>
      </c>
      <c r="K41" s="33">
        <f t="shared" si="2"/>
        <v>98.25</v>
      </c>
      <c r="L41" s="20">
        <v>9</v>
      </c>
      <c r="M41" s="42">
        <f t="shared" si="3"/>
        <v>0.49125000000000002</v>
      </c>
      <c r="N41" s="29"/>
      <c r="O41" s="67" t="s">
        <v>162</v>
      </c>
      <c r="P41" s="72">
        <v>50</v>
      </c>
      <c r="Q41" s="10">
        <v>0.65500000000000003</v>
      </c>
      <c r="R41" s="33">
        <f t="shared" si="4"/>
        <v>32.75</v>
      </c>
      <c r="S41" s="20">
        <v>14</v>
      </c>
      <c r="T41" s="42">
        <f t="shared" si="5"/>
        <v>0.32750000000000001</v>
      </c>
    </row>
    <row r="42" spans="1:20" ht="15.75" thickBot="1" x14ac:dyDescent="0.3">
      <c r="A42" s="71" t="s">
        <v>162</v>
      </c>
      <c r="B42" s="43">
        <v>500</v>
      </c>
      <c r="C42" s="22">
        <v>0.65500000000000003</v>
      </c>
      <c r="D42" s="34">
        <f t="shared" si="0"/>
        <v>327.5</v>
      </c>
      <c r="E42" s="23">
        <v>5</v>
      </c>
      <c r="F42" s="44">
        <f t="shared" si="6"/>
        <v>0.81874999999999998</v>
      </c>
      <c r="G42" s="29"/>
      <c r="H42" s="71" t="s">
        <v>162</v>
      </c>
      <c r="I42" s="22">
        <v>200</v>
      </c>
      <c r="J42" s="22">
        <v>0.65500000000000003</v>
      </c>
      <c r="K42" s="34">
        <f t="shared" si="2"/>
        <v>131</v>
      </c>
      <c r="L42" s="23">
        <v>5</v>
      </c>
      <c r="M42" s="44">
        <f t="shared" si="3"/>
        <v>0.65500000000000003</v>
      </c>
      <c r="N42" s="29"/>
      <c r="O42" s="71" t="s">
        <v>162</v>
      </c>
      <c r="P42" s="43">
        <v>100</v>
      </c>
      <c r="Q42" s="22">
        <v>0.65500000000000003</v>
      </c>
      <c r="R42" s="34">
        <f t="shared" si="4"/>
        <v>65.5</v>
      </c>
      <c r="S42" s="23">
        <v>6</v>
      </c>
      <c r="T42" s="44">
        <f t="shared" si="5"/>
        <v>0.65500000000000003</v>
      </c>
    </row>
    <row r="43" spans="1:20" x14ac:dyDescent="0.25">
      <c r="A43" s="70" t="s">
        <v>163</v>
      </c>
      <c r="B43" s="37">
        <v>200</v>
      </c>
      <c r="C43" s="38">
        <v>0.65500000000000003</v>
      </c>
      <c r="D43" s="39">
        <f t="shared" si="0"/>
        <v>131</v>
      </c>
      <c r="E43" s="19">
        <v>15</v>
      </c>
      <c r="F43" s="40">
        <f t="shared" si="6"/>
        <v>0.32750000000000001</v>
      </c>
      <c r="G43" s="29"/>
      <c r="H43" s="70" t="s">
        <v>163</v>
      </c>
      <c r="I43" s="38">
        <v>100</v>
      </c>
      <c r="J43" s="38">
        <v>0.65500000000000003</v>
      </c>
      <c r="K43" s="39">
        <f t="shared" si="2"/>
        <v>65.5</v>
      </c>
      <c r="L43" s="19">
        <v>20</v>
      </c>
      <c r="M43" s="40">
        <f t="shared" si="3"/>
        <v>0.32750000000000001</v>
      </c>
      <c r="N43" s="29"/>
      <c r="O43" s="70" t="s">
        <v>163</v>
      </c>
      <c r="P43" s="37">
        <v>20</v>
      </c>
      <c r="Q43" s="38">
        <v>0.65500000000000003</v>
      </c>
      <c r="R43" s="39">
        <f t="shared" si="4"/>
        <v>13.100000000000001</v>
      </c>
      <c r="S43" s="19">
        <v>10</v>
      </c>
      <c r="T43" s="40">
        <f t="shared" si="5"/>
        <v>0.13100000000000001</v>
      </c>
    </row>
    <row r="44" spans="1:20" x14ac:dyDescent="0.25">
      <c r="A44" s="67" t="s">
        <v>163</v>
      </c>
      <c r="B44" s="72">
        <v>300</v>
      </c>
      <c r="C44" s="10">
        <v>0.65500000000000003</v>
      </c>
      <c r="D44" s="33">
        <f t="shared" si="0"/>
        <v>196.5</v>
      </c>
      <c r="E44" s="20">
        <v>10</v>
      </c>
      <c r="F44" s="42">
        <f t="shared" si="6"/>
        <v>0.49125000000000002</v>
      </c>
      <c r="G44" s="29"/>
      <c r="H44" s="67" t="s">
        <v>163</v>
      </c>
      <c r="I44" s="68">
        <v>150</v>
      </c>
      <c r="J44" s="10">
        <v>0.65500000000000003</v>
      </c>
      <c r="K44" s="33">
        <f t="shared" si="2"/>
        <v>98.25</v>
      </c>
      <c r="L44" s="20">
        <v>10</v>
      </c>
      <c r="M44" s="42">
        <f t="shared" si="3"/>
        <v>0.49125000000000002</v>
      </c>
      <c r="N44" s="29"/>
      <c r="O44" s="67" t="s">
        <v>163</v>
      </c>
      <c r="P44" s="72">
        <v>50</v>
      </c>
      <c r="Q44" s="10">
        <v>0.65500000000000003</v>
      </c>
      <c r="R44" s="33">
        <f t="shared" si="4"/>
        <v>32.75</v>
      </c>
      <c r="S44" s="20">
        <v>14</v>
      </c>
      <c r="T44" s="42">
        <f t="shared" si="5"/>
        <v>0.32750000000000001</v>
      </c>
    </row>
    <row r="45" spans="1:20" ht="15.75" thickBot="1" x14ac:dyDescent="0.3">
      <c r="A45" s="71" t="s">
        <v>163</v>
      </c>
      <c r="B45" s="43">
        <v>500</v>
      </c>
      <c r="C45" s="22">
        <v>0.65500000000000003</v>
      </c>
      <c r="D45" s="34">
        <f t="shared" si="0"/>
        <v>327.5</v>
      </c>
      <c r="E45" s="23">
        <v>5</v>
      </c>
      <c r="F45" s="44">
        <f t="shared" si="6"/>
        <v>0.81874999999999998</v>
      </c>
      <c r="G45" s="29"/>
      <c r="H45" s="71" t="s">
        <v>163</v>
      </c>
      <c r="I45" s="22">
        <v>200</v>
      </c>
      <c r="J45" s="22">
        <v>0.65500000000000003</v>
      </c>
      <c r="K45" s="34">
        <f t="shared" si="2"/>
        <v>131</v>
      </c>
      <c r="L45" s="23">
        <v>5</v>
      </c>
      <c r="M45" s="44">
        <f t="shared" si="3"/>
        <v>0.65500000000000003</v>
      </c>
      <c r="N45" s="29"/>
      <c r="O45" s="71" t="s">
        <v>163</v>
      </c>
      <c r="P45" s="43">
        <v>100</v>
      </c>
      <c r="Q45" s="22">
        <v>0.65500000000000003</v>
      </c>
      <c r="R45" s="34">
        <f t="shared" si="4"/>
        <v>65.5</v>
      </c>
      <c r="S45" s="23">
        <v>6</v>
      </c>
      <c r="T45" s="44">
        <f t="shared" si="5"/>
        <v>0.65500000000000003</v>
      </c>
    </row>
    <row r="46" spans="1:20" x14ac:dyDescent="0.25">
      <c r="A46" s="70" t="s">
        <v>164</v>
      </c>
      <c r="B46" s="37">
        <v>35</v>
      </c>
      <c r="C46" s="38">
        <v>20</v>
      </c>
      <c r="D46" s="39">
        <f t="shared" si="0"/>
        <v>700</v>
      </c>
      <c r="E46" s="19">
        <v>15</v>
      </c>
      <c r="F46" s="40">
        <f t="shared" si="6"/>
        <v>1.75</v>
      </c>
      <c r="G46" s="29"/>
      <c r="H46" s="70" t="s">
        <v>164</v>
      </c>
      <c r="I46" s="38">
        <v>20</v>
      </c>
      <c r="J46" s="38">
        <v>20</v>
      </c>
      <c r="K46" s="39">
        <f t="shared" si="2"/>
        <v>400</v>
      </c>
      <c r="L46" s="19">
        <v>16</v>
      </c>
      <c r="M46" s="40">
        <f t="shared" si="3"/>
        <v>2</v>
      </c>
      <c r="N46" s="29"/>
      <c r="O46" s="70" t="s">
        <v>164</v>
      </c>
      <c r="P46" s="38">
        <v>5</v>
      </c>
      <c r="Q46" s="38">
        <v>20</v>
      </c>
      <c r="R46" s="39">
        <f t="shared" si="4"/>
        <v>100</v>
      </c>
      <c r="S46" s="19">
        <v>15</v>
      </c>
      <c r="T46" s="40">
        <f t="shared" si="5"/>
        <v>1</v>
      </c>
    </row>
    <row r="47" spans="1:20" x14ac:dyDescent="0.25">
      <c r="A47" s="67" t="s">
        <v>164</v>
      </c>
      <c r="B47" s="72">
        <v>40</v>
      </c>
      <c r="C47" s="68">
        <v>20</v>
      </c>
      <c r="D47" s="33">
        <f t="shared" si="0"/>
        <v>800</v>
      </c>
      <c r="E47" s="20">
        <v>10</v>
      </c>
      <c r="F47" s="42">
        <f t="shared" si="6"/>
        <v>2</v>
      </c>
      <c r="G47" s="29"/>
      <c r="H47" s="67" t="s">
        <v>164</v>
      </c>
      <c r="I47" s="10">
        <v>25</v>
      </c>
      <c r="J47" s="68">
        <v>20</v>
      </c>
      <c r="K47" s="33">
        <f t="shared" si="2"/>
        <v>500</v>
      </c>
      <c r="L47" s="20">
        <v>10</v>
      </c>
      <c r="M47" s="42">
        <f t="shared" si="3"/>
        <v>2.5</v>
      </c>
      <c r="N47" s="29"/>
      <c r="O47" s="67" t="s">
        <v>164</v>
      </c>
      <c r="P47" s="10">
        <v>10</v>
      </c>
      <c r="Q47" s="68">
        <v>20</v>
      </c>
      <c r="R47" s="33">
        <f t="shared" si="4"/>
        <v>200</v>
      </c>
      <c r="S47" s="20">
        <v>10</v>
      </c>
      <c r="T47" s="42">
        <f t="shared" si="5"/>
        <v>2</v>
      </c>
    </row>
    <row r="48" spans="1:20" ht="15.75" thickBot="1" x14ac:dyDescent="0.3">
      <c r="A48" s="71" t="s">
        <v>164</v>
      </c>
      <c r="B48" s="43">
        <v>50</v>
      </c>
      <c r="C48" s="22">
        <v>20</v>
      </c>
      <c r="D48" s="34">
        <f t="shared" si="0"/>
        <v>1000</v>
      </c>
      <c r="E48" s="23">
        <v>5</v>
      </c>
      <c r="F48" s="44">
        <f t="shared" si="6"/>
        <v>2.5</v>
      </c>
      <c r="G48" s="29"/>
      <c r="H48" s="71" t="s">
        <v>164</v>
      </c>
      <c r="I48" s="22">
        <v>30</v>
      </c>
      <c r="J48" s="22">
        <v>20</v>
      </c>
      <c r="K48" s="34">
        <f t="shared" si="2"/>
        <v>600</v>
      </c>
      <c r="L48" s="23">
        <v>4</v>
      </c>
      <c r="M48" s="44">
        <f t="shared" si="3"/>
        <v>3</v>
      </c>
      <c r="N48" s="29"/>
      <c r="O48" s="71" t="s">
        <v>164</v>
      </c>
      <c r="P48" s="22">
        <v>15</v>
      </c>
      <c r="Q48" s="22">
        <v>20</v>
      </c>
      <c r="R48" s="34">
        <f t="shared" si="4"/>
        <v>300</v>
      </c>
      <c r="S48" s="23">
        <v>5</v>
      </c>
      <c r="T48" s="44">
        <f t="shared" si="5"/>
        <v>3</v>
      </c>
    </row>
    <row r="49" spans="1:20" x14ac:dyDescent="0.25">
      <c r="A49" s="18" t="s">
        <v>41</v>
      </c>
      <c r="B49" s="10">
        <v>15</v>
      </c>
      <c r="C49" s="10">
        <v>50</v>
      </c>
      <c r="D49" s="33">
        <f t="shared" si="0"/>
        <v>750</v>
      </c>
      <c r="E49" s="20">
        <v>5</v>
      </c>
      <c r="F49" s="42">
        <f t="shared" si="1"/>
        <v>1.875</v>
      </c>
      <c r="G49" s="29"/>
      <c r="H49" s="18" t="s">
        <v>41</v>
      </c>
      <c r="I49" s="10">
        <v>6</v>
      </c>
      <c r="J49" s="10">
        <v>50</v>
      </c>
      <c r="K49" s="33">
        <f t="shared" si="2"/>
        <v>300</v>
      </c>
      <c r="L49" s="20">
        <v>5</v>
      </c>
      <c r="M49" s="42">
        <f t="shared" si="3"/>
        <v>1.5</v>
      </c>
      <c r="N49" s="29"/>
      <c r="O49" s="18" t="s">
        <v>41</v>
      </c>
      <c r="P49" s="10">
        <v>3</v>
      </c>
      <c r="Q49" s="10">
        <v>50</v>
      </c>
      <c r="R49" s="33">
        <f t="shared" si="4"/>
        <v>150</v>
      </c>
      <c r="S49" s="20">
        <v>2</v>
      </c>
      <c r="T49" s="42">
        <f t="shared" si="5"/>
        <v>1.5</v>
      </c>
    </row>
    <row r="50" spans="1:20" x14ac:dyDescent="0.25">
      <c r="A50" s="18" t="s">
        <v>41</v>
      </c>
      <c r="B50" s="10">
        <v>25</v>
      </c>
      <c r="C50" s="10">
        <v>50</v>
      </c>
      <c r="D50" s="33">
        <f t="shared" si="0"/>
        <v>1250</v>
      </c>
      <c r="E50" s="20">
        <v>3</v>
      </c>
      <c r="F50" s="42">
        <f t="shared" si="1"/>
        <v>3.125</v>
      </c>
      <c r="G50" s="29"/>
      <c r="H50" s="18" t="s">
        <v>41</v>
      </c>
      <c r="I50" s="10">
        <v>7</v>
      </c>
      <c r="J50" s="10">
        <v>50</v>
      </c>
      <c r="K50" s="33">
        <f t="shared" si="2"/>
        <v>350</v>
      </c>
      <c r="L50" s="20">
        <v>1</v>
      </c>
      <c r="M50" s="42">
        <f t="shared" si="3"/>
        <v>1.75</v>
      </c>
      <c r="N50" s="29"/>
      <c r="O50" s="18" t="s">
        <v>41</v>
      </c>
      <c r="P50" s="10">
        <v>4</v>
      </c>
      <c r="Q50" s="10">
        <v>50</v>
      </c>
      <c r="R50" s="33">
        <f t="shared" si="4"/>
        <v>200</v>
      </c>
      <c r="S50" s="20">
        <v>2</v>
      </c>
      <c r="T50" s="42">
        <f t="shared" si="5"/>
        <v>2</v>
      </c>
    </row>
    <row r="51" spans="1:20" ht="15.75" thickBot="1" x14ac:dyDescent="0.3">
      <c r="A51" s="18" t="s">
        <v>41</v>
      </c>
      <c r="B51" s="43">
        <v>30</v>
      </c>
      <c r="C51" s="22">
        <v>50</v>
      </c>
      <c r="D51" s="34">
        <f t="shared" si="0"/>
        <v>1500</v>
      </c>
      <c r="E51" s="23">
        <v>1</v>
      </c>
      <c r="F51" s="44">
        <f t="shared" si="1"/>
        <v>3.75</v>
      </c>
      <c r="G51" s="29"/>
      <c r="H51" s="18" t="s">
        <v>41</v>
      </c>
      <c r="I51" s="22">
        <v>8</v>
      </c>
      <c r="J51" s="22">
        <v>50</v>
      </c>
      <c r="K51" s="34">
        <f t="shared" si="2"/>
        <v>400</v>
      </c>
      <c r="L51" s="23">
        <v>1</v>
      </c>
      <c r="M51" s="44">
        <f t="shared" si="3"/>
        <v>2</v>
      </c>
      <c r="N51" s="29"/>
      <c r="O51" s="18" t="s">
        <v>41</v>
      </c>
      <c r="P51" s="22">
        <v>5</v>
      </c>
      <c r="Q51" s="22">
        <v>50</v>
      </c>
      <c r="R51" s="34">
        <f t="shared" si="4"/>
        <v>250</v>
      </c>
      <c r="S51" s="23">
        <v>2</v>
      </c>
      <c r="T51" s="44">
        <f t="shared" si="5"/>
        <v>2.5</v>
      </c>
    </row>
    <row r="52" spans="1:20" x14ac:dyDescent="0.25">
      <c r="A52" s="15" t="s">
        <v>13</v>
      </c>
      <c r="B52" s="16"/>
      <c r="C52" s="16"/>
      <c r="D52" s="45">
        <f>+SUMPRODUCT(D10:D51,E10:E51)/SUM(E10:E51)</f>
        <v>390.88461538461536</v>
      </c>
      <c r="E52" s="46">
        <f>+SUM(E10:E51)</f>
        <v>390</v>
      </c>
      <c r="H52" s="15" t="s">
        <v>13</v>
      </c>
      <c r="I52" s="16"/>
      <c r="J52" s="16"/>
      <c r="K52" s="45">
        <f>+SUMPRODUCT(K10:K51,L10:L51)/SUM(L10:L51)</f>
        <v>195.40642857142856</v>
      </c>
      <c r="L52" s="46">
        <f>+SUM(L10:L51)</f>
        <v>350</v>
      </c>
      <c r="O52" s="15" t="s">
        <v>13</v>
      </c>
      <c r="P52" s="16"/>
      <c r="Q52" s="16"/>
      <c r="R52" s="45">
        <f>+SUMPRODUCT(R10:R51,S10:S51)/SUM(S10:S51)</f>
        <v>97.714285714285708</v>
      </c>
      <c r="S52" s="46">
        <f>+SUM(S10:S51)</f>
        <v>350</v>
      </c>
    </row>
    <row r="54" spans="1:20" x14ac:dyDescent="0.25">
      <c r="A54" s="12" t="s">
        <v>60</v>
      </c>
      <c r="B54" s="47">
        <f>+D52/B4</f>
        <v>0.97721153846153841</v>
      </c>
      <c r="H54" s="12" t="s">
        <v>60</v>
      </c>
      <c r="I54" s="47">
        <f>+K52/I4</f>
        <v>0.97703214285714279</v>
      </c>
      <c r="O54" s="12" t="s">
        <v>60</v>
      </c>
      <c r="P54" s="47">
        <f>+R52/P4</f>
        <v>0.97714285714285709</v>
      </c>
    </row>
    <row r="56" spans="1:20" x14ac:dyDescent="0.25">
      <c r="A56" s="69"/>
    </row>
    <row r="57" spans="1:20" x14ac:dyDescent="0.25">
      <c r="A57" s="69"/>
    </row>
    <row r="58" spans="1:20" x14ac:dyDescent="0.25">
      <c r="A58" s="69"/>
    </row>
  </sheetData>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BR74"/>
  <sheetViews>
    <sheetView workbookViewId="0">
      <selection activeCell="A8" sqref="A8:E8"/>
    </sheetView>
  </sheetViews>
  <sheetFormatPr defaultColWidth="8.85546875" defaultRowHeight="15" x14ac:dyDescent="0.25"/>
  <cols>
    <col min="1" max="1" width="13.140625" customWidth="1"/>
    <col min="2" max="2" width="14.140625" customWidth="1"/>
    <col min="3" max="3" width="18.7109375" customWidth="1"/>
    <col min="4" max="4" width="15.5703125" customWidth="1"/>
    <col min="5" max="5" width="19.28515625" customWidth="1"/>
    <col min="6" max="6" width="17.7109375" customWidth="1"/>
    <col min="7" max="8" width="11.5703125" customWidth="1"/>
    <col min="9" max="9" width="15.5703125" customWidth="1"/>
    <col min="10" max="13" width="11.5703125" customWidth="1"/>
    <col min="14" max="14" width="15.5703125" customWidth="1"/>
    <col min="15" max="18" width="11.5703125" customWidth="1"/>
    <col min="19" max="19" width="15.5703125" customWidth="1"/>
    <col min="20" max="23" width="11.5703125" customWidth="1"/>
    <col min="24" max="24" width="15.5703125" customWidth="1"/>
    <col min="25" max="1020" width="11.5703125" customWidth="1"/>
  </cols>
  <sheetData>
    <row r="1" spans="1:70" ht="18.75" x14ac:dyDescent="0.3">
      <c r="A1" s="97" t="s">
        <v>61</v>
      </c>
      <c r="B1" s="97"/>
      <c r="C1" s="97"/>
      <c r="D1" s="97"/>
      <c r="E1" s="97"/>
    </row>
    <row r="2" spans="1:70" x14ac:dyDescent="0.25">
      <c r="A2" t="s">
        <v>62</v>
      </c>
    </row>
    <row r="3" spans="1:70" x14ac:dyDescent="0.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70" x14ac:dyDescent="0.25">
      <c r="A4" t="s">
        <v>63</v>
      </c>
    </row>
    <row r="5" spans="1:70" x14ac:dyDescent="0.25">
      <c r="A5" t="s">
        <v>64</v>
      </c>
    </row>
    <row r="6" spans="1:70" x14ac:dyDescent="0.25">
      <c r="A6" s="1" t="s">
        <v>65</v>
      </c>
    </row>
    <row r="8" spans="1:70" ht="18.75" x14ac:dyDescent="0.3">
      <c r="A8" s="96" t="s">
        <v>66</v>
      </c>
      <c r="B8" s="96"/>
      <c r="C8" s="96"/>
      <c r="D8" s="96"/>
      <c r="E8" s="96"/>
    </row>
    <row r="9" spans="1:70" ht="15.75" thickBot="1" x14ac:dyDescent="0.3"/>
    <row r="10" spans="1:70" ht="15.75" thickBot="1" x14ac:dyDescent="0.3">
      <c r="B10" s="95" t="s">
        <v>67</v>
      </c>
      <c r="C10" s="95"/>
      <c r="D10" s="95"/>
      <c r="E10" s="95"/>
      <c r="G10" s="95" t="s">
        <v>38</v>
      </c>
      <c r="H10" s="95"/>
      <c r="I10" s="95"/>
      <c r="J10" s="95"/>
      <c r="L10" s="95" t="s">
        <v>39</v>
      </c>
      <c r="M10" s="95"/>
      <c r="N10" s="95"/>
      <c r="O10" s="95"/>
      <c r="Q10" s="95" t="s">
        <v>40</v>
      </c>
      <c r="R10" s="95"/>
      <c r="S10" s="95"/>
      <c r="T10" s="95"/>
      <c r="V10" s="95" t="s">
        <v>132</v>
      </c>
      <c r="W10" s="95"/>
      <c r="X10" s="95"/>
      <c r="Y10" s="95"/>
      <c r="AA10" s="95" t="s">
        <v>126</v>
      </c>
      <c r="AB10" s="95"/>
      <c r="AC10" s="95"/>
      <c r="AD10" s="95"/>
      <c r="AF10" s="95" t="s">
        <v>154</v>
      </c>
      <c r="AG10" s="95"/>
      <c r="AH10" s="95"/>
      <c r="AI10" s="95"/>
      <c r="AK10" s="95" t="s">
        <v>128</v>
      </c>
      <c r="AL10" s="95"/>
      <c r="AM10" s="95"/>
      <c r="AN10" s="95"/>
      <c r="AP10" s="95" t="s">
        <v>155</v>
      </c>
      <c r="AQ10" s="95"/>
      <c r="AR10" s="95"/>
      <c r="AS10" s="95"/>
      <c r="AU10" s="95" t="s">
        <v>130</v>
      </c>
      <c r="AV10" s="95"/>
      <c r="AW10" s="95"/>
      <c r="AX10" s="95"/>
      <c r="AZ10" s="92" t="s">
        <v>168</v>
      </c>
      <c r="BA10" s="93"/>
      <c r="BB10" s="93"/>
      <c r="BC10" s="94"/>
      <c r="BE10" s="92" t="s">
        <v>170</v>
      </c>
      <c r="BF10" s="93"/>
      <c r="BG10" s="93"/>
      <c r="BH10" s="94"/>
      <c r="BJ10" s="92" t="s">
        <v>169</v>
      </c>
      <c r="BK10" s="93"/>
      <c r="BL10" s="93"/>
      <c r="BM10" s="94"/>
      <c r="BO10" s="92" t="s">
        <v>41</v>
      </c>
      <c r="BP10" s="93"/>
      <c r="BQ10" s="93"/>
      <c r="BR10" s="94"/>
    </row>
    <row r="11" spans="1:70" x14ac:dyDescent="0.25">
      <c r="A11" s="1" t="s">
        <v>68</v>
      </c>
      <c r="B11" s="48" t="s">
        <v>25</v>
      </c>
      <c r="C11" s="48" t="s">
        <v>6</v>
      </c>
      <c r="D11" s="48" t="s">
        <v>69</v>
      </c>
      <c r="E11" s="48" t="s">
        <v>4</v>
      </c>
      <c r="G11" s="2" t="s">
        <v>25</v>
      </c>
      <c r="H11" s="2" t="s">
        <v>6</v>
      </c>
      <c r="I11" s="2" t="s">
        <v>69</v>
      </c>
      <c r="J11" s="2" t="s">
        <v>70</v>
      </c>
      <c r="L11" s="2" t="s">
        <v>25</v>
      </c>
      <c r="M11" s="2" t="s">
        <v>6</v>
      </c>
      <c r="N11" s="2" t="s">
        <v>69</v>
      </c>
      <c r="O11" s="2" t="s">
        <v>70</v>
      </c>
      <c r="Q11" s="2" t="s">
        <v>25</v>
      </c>
      <c r="R11" s="2" t="s">
        <v>6</v>
      </c>
      <c r="S11" s="2" t="s">
        <v>69</v>
      </c>
      <c r="T11" s="2" t="s">
        <v>70</v>
      </c>
      <c r="V11" s="2" t="s">
        <v>25</v>
      </c>
      <c r="W11" s="2" t="s">
        <v>6</v>
      </c>
      <c r="X11" s="2" t="s">
        <v>69</v>
      </c>
      <c r="Y11" s="2" t="s">
        <v>70</v>
      </c>
      <c r="AA11" s="2" t="s">
        <v>25</v>
      </c>
      <c r="AB11" s="2" t="s">
        <v>6</v>
      </c>
      <c r="AC11" s="2" t="s">
        <v>69</v>
      </c>
      <c r="AD11" s="2" t="s">
        <v>70</v>
      </c>
      <c r="AF11" s="2" t="s">
        <v>25</v>
      </c>
      <c r="AG11" s="2" t="s">
        <v>6</v>
      </c>
      <c r="AH11" s="2" t="s">
        <v>69</v>
      </c>
      <c r="AI11" s="2" t="s">
        <v>70</v>
      </c>
      <c r="AK11" s="2" t="s">
        <v>25</v>
      </c>
      <c r="AL11" s="2" t="s">
        <v>6</v>
      </c>
      <c r="AM11" s="2" t="s">
        <v>69</v>
      </c>
      <c r="AN11" s="2" t="s">
        <v>70</v>
      </c>
      <c r="AP11" s="2" t="s">
        <v>25</v>
      </c>
      <c r="AQ11" s="2" t="s">
        <v>6</v>
      </c>
      <c r="AR11" s="2" t="s">
        <v>69</v>
      </c>
      <c r="AS11" s="2" t="s">
        <v>70</v>
      </c>
      <c r="AU11" s="2" t="s">
        <v>25</v>
      </c>
      <c r="AV11" s="2" t="s">
        <v>6</v>
      </c>
      <c r="AW11" s="2" t="s">
        <v>69</v>
      </c>
      <c r="AX11" s="2" t="s">
        <v>70</v>
      </c>
      <c r="AZ11" s="2" t="s">
        <v>25</v>
      </c>
      <c r="BA11" s="2" t="s">
        <v>6</v>
      </c>
      <c r="BB11" s="2" t="s">
        <v>69</v>
      </c>
      <c r="BC11" s="2" t="s">
        <v>70</v>
      </c>
      <c r="BE11" s="2" t="s">
        <v>25</v>
      </c>
      <c r="BF11" s="2" t="s">
        <v>6</v>
      </c>
      <c r="BG11" s="2" t="s">
        <v>69</v>
      </c>
      <c r="BH11" s="2" t="s">
        <v>70</v>
      </c>
      <c r="BJ11" s="2" t="s">
        <v>25</v>
      </c>
      <c r="BK11" s="2" t="s">
        <v>6</v>
      </c>
      <c r="BL11" s="2" t="s">
        <v>69</v>
      </c>
      <c r="BM11" s="2" t="s">
        <v>70</v>
      </c>
      <c r="BO11" s="2" t="s">
        <v>25</v>
      </c>
      <c r="BP11" s="2" t="s">
        <v>6</v>
      </c>
      <c r="BQ11" s="2" t="s">
        <v>69</v>
      </c>
      <c r="BR11" s="2" t="s">
        <v>70</v>
      </c>
    </row>
    <row r="12" spans="1:70" x14ac:dyDescent="0.2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+SUM($R$11:AB12)</f>
        <v>62.05</v>
      </c>
      <c r="AD12" s="3">
        <f t="shared" ref="AD12:AD17" si="5">+AA12*AB12</f>
        <v>1.5</v>
      </c>
      <c r="AF12" s="49">
        <v>30</v>
      </c>
      <c r="AG12" s="73">
        <v>0.05</v>
      </c>
      <c r="AH12" s="3">
        <f>+SUM($R$11:AG12)</f>
        <v>155.65</v>
      </c>
      <c r="AI12" s="3">
        <f t="shared" ref="AI12:AI17" si="6">+AF12*AG12</f>
        <v>1.5</v>
      </c>
      <c r="AK12" s="49">
        <v>30</v>
      </c>
      <c r="AL12" s="73">
        <v>0.05</v>
      </c>
      <c r="AM12" s="3">
        <f>+SUM($R$11:AL12)</f>
        <v>342.85</v>
      </c>
      <c r="AN12" s="3">
        <f t="shared" ref="AN12:AN17" si="7">+AK12*AL12</f>
        <v>1.5</v>
      </c>
      <c r="AP12" s="49">
        <v>30</v>
      </c>
      <c r="AQ12" s="73">
        <v>0.05</v>
      </c>
      <c r="AR12" s="3">
        <f>+SUM($R$11:AQ12)</f>
        <v>717.25</v>
      </c>
      <c r="AS12" s="3">
        <f t="shared" ref="AS12:AS17" si="8">+AP12*AQ12</f>
        <v>1.5</v>
      </c>
      <c r="AU12" s="49">
        <v>5</v>
      </c>
      <c r="AV12" s="3">
        <v>8.3000000000000004E-2</v>
      </c>
      <c r="AW12" s="3">
        <f>+SUM($AV$11:AV12)</f>
        <v>8.3000000000000004E-2</v>
      </c>
      <c r="AX12" s="3">
        <f t="shared" ref="AX12:AX17" si="9">+AU12*AV12</f>
        <v>0.41500000000000004</v>
      </c>
      <c r="AZ12" s="49">
        <f>+AU12</f>
        <v>5</v>
      </c>
      <c r="BA12" s="3">
        <v>0.17</v>
      </c>
      <c r="BB12" s="3">
        <f>+SUM($BA$12:BA12)</f>
        <v>0.17</v>
      </c>
      <c r="BC12" s="3">
        <f t="shared" ref="BC12:BC17" si="10">+AZ12*BA12</f>
        <v>0.85000000000000009</v>
      </c>
      <c r="BE12" s="49">
        <f>+AU12*2</f>
        <v>10</v>
      </c>
      <c r="BF12" s="3">
        <v>7.9500000000000001E-2</v>
      </c>
      <c r="BG12" s="3">
        <f>+SUM($BF$12:BF12)</f>
        <v>7.9500000000000001E-2</v>
      </c>
      <c r="BH12" s="3">
        <f t="shared" ref="BH12:BH17" si="11">+BE12*BF12</f>
        <v>0.79500000000000004</v>
      </c>
      <c r="BJ12" s="49">
        <v>25</v>
      </c>
      <c r="BK12" s="3">
        <v>0.12</v>
      </c>
      <c r="BL12" s="3">
        <f>+SUM($BK$12:BK12)</f>
        <v>0.12</v>
      </c>
      <c r="BM12" s="3">
        <f t="shared" ref="BM12:BM17" si="12">+BJ12*BK12</f>
        <v>3</v>
      </c>
      <c r="BO12" s="49">
        <v>50</v>
      </c>
      <c r="BP12" s="3">
        <v>0.15</v>
      </c>
      <c r="BQ12" s="3">
        <f>+SUM($BP$12:BP12)</f>
        <v>0.15</v>
      </c>
      <c r="BR12" s="3">
        <f t="shared" ref="BR12:BR17" si="13">+BO12*BP12</f>
        <v>7.5</v>
      </c>
    </row>
    <row r="13" spans="1:70" x14ac:dyDescent="0.2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+SUM($R$11:AB13)</f>
        <v>153.11999999999998</v>
      </c>
      <c r="AD13" s="3">
        <f t="shared" si="5"/>
        <v>2</v>
      </c>
      <c r="AF13" s="49">
        <v>50</v>
      </c>
      <c r="AG13" s="73">
        <v>0.06</v>
      </c>
      <c r="AH13" s="3">
        <f>+SUM($R$11:AG13)</f>
        <v>451.9</v>
      </c>
      <c r="AI13" s="3">
        <f t="shared" si="6"/>
        <v>3</v>
      </c>
      <c r="AK13" s="49">
        <v>50</v>
      </c>
      <c r="AL13" s="73">
        <v>0.06</v>
      </c>
      <c r="AM13" s="3">
        <f>+SUM($R$11:AL13)</f>
        <v>1144.06</v>
      </c>
      <c r="AN13" s="3">
        <f t="shared" si="7"/>
        <v>3</v>
      </c>
      <c r="AP13" s="49">
        <v>50</v>
      </c>
      <c r="AQ13" s="73">
        <v>0.04</v>
      </c>
      <c r="AR13" s="3">
        <f>+SUM($R$11:AQ13)</f>
        <v>2715.5599999999995</v>
      </c>
      <c r="AS13" s="3">
        <f t="shared" si="8"/>
        <v>2</v>
      </c>
      <c r="AU13" s="49">
        <v>10</v>
      </c>
      <c r="AV13" s="3">
        <v>5.0500000000000003E-2</v>
      </c>
      <c r="AW13" s="3">
        <f>+SUM($AV$11:AV13)</f>
        <v>0.13350000000000001</v>
      </c>
      <c r="AX13" s="3">
        <f t="shared" si="9"/>
        <v>0.505</v>
      </c>
      <c r="AZ13" s="49">
        <f t="shared" ref="AZ13:AZ17" si="14">+AU13</f>
        <v>10</v>
      </c>
      <c r="BA13" s="3">
        <v>0.05</v>
      </c>
      <c r="BB13" s="3">
        <f>+SUM($BA$12:BA13)</f>
        <v>0.22000000000000003</v>
      </c>
      <c r="BC13" s="3">
        <f t="shared" si="10"/>
        <v>0.5</v>
      </c>
      <c r="BE13" s="49">
        <f t="shared" ref="BE13:BE17" si="15">+AU13*2</f>
        <v>20</v>
      </c>
      <c r="BF13" s="3">
        <v>0.03</v>
      </c>
      <c r="BG13" s="3">
        <f>+SUM($BF$12:BF13)</f>
        <v>0.1095</v>
      </c>
      <c r="BH13" s="3">
        <f t="shared" si="11"/>
        <v>0.6</v>
      </c>
      <c r="BJ13" s="49">
        <v>35</v>
      </c>
      <c r="BK13" s="3">
        <v>0.1</v>
      </c>
      <c r="BL13" s="3">
        <f>+SUM($BK$12:BK13)</f>
        <v>0.22</v>
      </c>
      <c r="BM13" s="3">
        <f t="shared" si="12"/>
        <v>3.5</v>
      </c>
      <c r="BO13" s="49">
        <v>75</v>
      </c>
      <c r="BP13" s="3">
        <v>0.1</v>
      </c>
      <c r="BQ13" s="3">
        <f>+SUM($BP$12:BP13)</f>
        <v>0.25</v>
      </c>
      <c r="BR13" s="3">
        <f t="shared" si="13"/>
        <v>7.5</v>
      </c>
    </row>
    <row r="14" spans="1:70" x14ac:dyDescent="0.2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+SUM($R$11:AB14)</f>
        <v>291.24999999999994</v>
      </c>
      <c r="AD14" s="3">
        <f t="shared" si="5"/>
        <v>2.25</v>
      </c>
      <c r="AF14" s="49">
        <v>75</v>
      </c>
      <c r="AG14" s="73">
        <v>0.03</v>
      </c>
      <c r="AH14" s="3">
        <f>+SUM($R$11:AG14)</f>
        <v>958.56</v>
      </c>
      <c r="AI14" s="3">
        <f t="shared" si="6"/>
        <v>2.25</v>
      </c>
      <c r="AK14" s="49">
        <v>75</v>
      </c>
      <c r="AL14" s="73">
        <v>0.03</v>
      </c>
      <c r="AM14" s="3">
        <f>+SUM($R$11:AL14)</f>
        <v>2686.56</v>
      </c>
      <c r="AN14" s="3">
        <f t="shared" si="7"/>
        <v>2.25</v>
      </c>
      <c r="AP14" s="49">
        <v>75</v>
      </c>
      <c r="AQ14" s="73">
        <v>0.03</v>
      </c>
      <c r="AR14" s="3">
        <f>+SUM($R$11:AQ14)</f>
        <v>7021.8999999999987</v>
      </c>
      <c r="AS14" s="3">
        <f t="shared" si="8"/>
        <v>2.25</v>
      </c>
      <c r="AU14" s="49">
        <v>15</v>
      </c>
      <c r="AV14" s="3">
        <v>0.03</v>
      </c>
      <c r="AW14" s="3">
        <f>+SUM($AV$11:AV14)</f>
        <v>0.16350000000000001</v>
      </c>
      <c r="AX14" s="3">
        <f t="shared" si="9"/>
        <v>0.44999999999999996</v>
      </c>
      <c r="AZ14" s="49">
        <f t="shared" si="14"/>
        <v>15</v>
      </c>
      <c r="BA14" s="3">
        <v>0.01</v>
      </c>
      <c r="BB14" s="3">
        <f>+SUM($BA$12:BA14)</f>
        <v>0.23000000000000004</v>
      </c>
      <c r="BC14" s="3">
        <f t="shared" si="10"/>
        <v>0.15</v>
      </c>
      <c r="BE14" s="49">
        <f t="shared" si="15"/>
        <v>30</v>
      </c>
      <c r="BF14" s="3">
        <v>3.0000000000000001E-3</v>
      </c>
      <c r="BG14" s="3">
        <f>+SUM($BF$12:BF14)</f>
        <v>0.1125</v>
      </c>
      <c r="BH14" s="3">
        <f t="shared" si="11"/>
        <v>0.09</v>
      </c>
      <c r="BJ14" s="49">
        <v>50</v>
      </c>
      <c r="BK14" s="3">
        <v>0.1</v>
      </c>
      <c r="BL14" s="3">
        <f>+SUM($BK$12:BK14)</f>
        <v>0.32</v>
      </c>
      <c r="BM14" s="3">
        <f t="shared" si="12"/>
        <v>5</v>
      </c>
      <c r="BO14" s="49">
        <v>100</v>
      </c>
      <c r="BP14" s="3">
        <v>0.1</v>
      </c>
      <c r="BQ14" s="3">
        <f>+SUM($BP$12:BP14)</f>
        <v>0.35</v>
      </c>
      <c r="BR14" s="3">
        <f t="shared" si="13"/>
        <v>10</v>
      </c>
    </row>
    <row r="15" spans="1:70" x14ac:dyDescent="0.2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+SUM($R$11:AB15)</f>
        <v>478.02999999999992</v>
      </c>
      <c r="AD15" s="3">
        <f t="shared" si="5"/>
        <v>2</v>
      </c>
      <c r="AF15" s="49">
        <v>100</v>
      </c>
      <c r="AG15" s="73">
        <v>0.02</v>
      </c>
      <c r="AH15" s="3">
        <f>+SUM($R$11:AG15)</f>
        <v>1725.3899999999996</v>
      </c>
      <c r="AI15" s="3">
        <f t="shared" si="6"/>
        <v>2</v>
      </c>
      <c r="AK15" s="49">
        <v>100</v>
      </c>
      <c r="AL15" s="73">
        <v>0.02</v>
      </c>
      <c r="AM15" s="3">
        <f>+SUM($R$11:AL15)</f>
        <v>5280.8</v>
      </c>
      <c r="AN15" s="3">
        <f t="shared" si="7"/>
        <v>2</v>
      </c>
      <c r="AP15" s="49">
        <v>100</v>
      </c>
      <c r="AQ15" s="73">
        <v>0.02</v>
      </c>
      <c r="AR15" s="3">
        <f>+SUM($R$11:AQ15)</f>
        <v>14998.960000000003</v>
      </c>
      <c r="AS15" s="3">
        <f t="shared" si="8"/>
        <v>2</v>
      </c>
      <c r="AU15" s="49">
        <v>20</v>
      </c>
      <c r="AV15" s="3">
        <v>1.2999999999999999E-2</v>
      </c>
      <c r="AW15" s="3">
        <f>+SUM($AV$11:AV15)</f>
        <v>0.17650000000000002</v>
      </c>
      <c r="AX15" s="3">
        <f t="shared" si="9"/>
        <v>0.26</v>
      </c>
      <c r="AZ15" s="49">
        <f t="shared" si="14"/>
        <v>20</v>
      </c>
      <c r="BA15" s="3">
        <v>1E-3</v>
      </c>
      <c r="BB15" s="3">
        <f>+SUM($BA$12:BA15)</f>
        <v>0.23100000000000004</v>
      </c>
      <c r="BC15" s="3">
        <f t="shared" si="10"/>
        <v>0.02</v>
      </c>
      <c r="BE15" s="49">
        <f t="shared" si="15"/>
        <v>40</v>
      </c>
      <c r="BF15" s="3">
        <f t="shared" ref="BF15" si="16">+C15</f>
        <v>1E-3</v>
      </c>
      <c r="BG15" s="3">
        <f>+SUM($BF$12:BF15)</f>
        <v>0.1135</v>
      </c>
      <c r="BH15" s="3">
        <f t="shared" si="11"/>
        <v>0.04</v>
      </c>
      <c r="BJ15" s="49">
        <v>80</v>
      </c>
      <c r="BK15" s="3">
        <v>0.05</v>
      </c>
      <c r="BL15" s="3">
        <f>+SUM($BK$12:BK15)</f>
        <v>0.37</v>
      </c>
      <c r="BM15" s="3">
        <f t="shared" si="12"/>
        <v>4</v>
      </c>
      <c r="BO15" s="49">
        <v>200</v>
      </c>
      <c r="BP15" s="3">
        <v>0.05</v>
      </c>
      <c r="BQ15" s="3">
        <f>+SUM($BP$12:BP15)</f>
        <v>0.39999999999999997</v>
      </c>
      <c r="BR15" s="3">
        <f t="shared" si="13"/>
        <v>10</v>
      </c>
    </row>
    <row r="16" spans="1:70" x14ac:dyDescent="0.2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+SUM($R$11:AB16)</f>
        <v>835.30999999999983</v>
      </c>
      <c r="AD16" s="3">
        <f t="shared" si="5"/>
        <v>2</v>
      </c>
      <c r="AF16" s="49">
        <v>200</v>
      </c>
      <c r="AG16" s="73">
        <v>0.01</v>
      </c>
      <c r="AH16" s="3">
        <f>+SUM($R$11:AG16)</f>
        <v>3119.9900000000002</v>
      </c>
      <c r="AI16" s="3">
        <f t="shared" si="6"/>
        <v>2</v>
      </c>
      <c r="AK16" s="49">
        <v>200</v>
      </c>
      <c r="AL16" s="73">
        <v>0.01</v>
      </c>
      <c r="AM16" s="3">
        <f>+SUM($R$11:AL16)</f>
        <v>9997.4</v>
      </c>
      <c r="AN16" s="3">
        <f t="shared" si="7"/>
        <v>2</v>
      </c>
      <c r="AP16" s="49">
        <v>200</v>
      </c>
      <c r="AQ16" s="73">
        <v>0.01</v>
      </c>
      <c r="AR16" s="3">
        <f>+SUM($R$11:AQ16)</f>
        <v>29914.969999999998</v>
      </c>
      <c r="AS16" s="3">
        <f t="shared" si="8"/>
        <v>2</v>
      </c>
      <c r="AU16" s="49">
        <v>35</v>
      </c>
      <c r="AV16" s="3">
        <v>5.0000000000000001E-3</v>
      </c>
      <c r="AW16" s="3">
        <f>+SUM($AV$11:AV16)</f>
        <v>0.18150000000000002</v>
      </c>
      <c r="AX16" s="3">
        <f t="shared" si="9"/>
        <v>0.17500000000000002</v>
      </c>
      <c r="AZ16" s="49">
        <f t="shared" si="14"/>
        <v>35</v>
      </c>
      <c r="BA16" s="3">
        <v>1E-3</v>
      </c>
      <c r="BB16" s="3">
        <f>+SUM($BA$12:BA16)</f>
        <v>0.23200000000000004</v>
      </c>
      <c r="BC16" s="3">
        <f t="shared" si="10"/>
        <v>3.5000000000000003E-2</v>
      </c>
      <c r="BE16" s="49">
        <f t="shared" si="15"/>
        <v>70</v>
      </c>
      <c r="BF16" s="3">
        <v>5.0000000000000001E-4</v>
      </c>
      <c r="BG16" s="3">
        <f>+SUM($BF$12:BF16)</f>
        <v>0.114</v>
      </c>
      <c r="BH16" s="3">
        <f t="shared" si="11"/>
        <v>3.5000000000000003E-2</v>
      </c>
      <c r="BJ16" s="49">
        <v>150</v>
      </c>
      <c r="BK16" s="3">
        <v>0.02</v>
      </c>
      <c r="BL16" s="3">
        <f>+SUM($BK$12:BK16)</f>
        <v>0.39</v>
      </c>
      <c r="BM16" s="3">
        <f t="shared" si="12"/>
        <v>3</v>
      </c>
      <c r="BO16" s="49">
        <v>500</v>
      </c>
      <c r="BP16" s="3">
        <v>0.02</v>
      </c>
      <c r="BQ16" s="3">
        <f>+SUM($BP$12:BP16)</f>
        <v>0.42</v>
      </c>
      <c r="BR16" s="3">
        <f t="shared" si="13"/>
        <v>10</v>
      </c>
    </row>
    <row r="17" spans="1:70" x14ac:dyDescent="0.2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+SUM($R$11:AB17)</f>
        <v>1639.3114999999998</v>
      </c>
      <c r="AD17" s="3">
        <f t="shared" si="5"/>
        <v>0.25</v>
      </c>
      <c r="AF17" s="49">
        <v>500</v>
      </c>
      <c r="AG17" s="73">
        <v>5.0000000000000001E-4</v>
      </c>
      <c r="AH17" s="3">
        <f>+SUM($R$11:AG17)</f>
        <v>6063.5535000000009</v>
      </c>
      <c r="AI17" s="3">
        <f t="shared" si="6"/>
        <v>0.25</v>
      </c>
      <c r="AK17" s="49">
        <v>500</v>
      </c>
      <c r="AL17" s="73">
        <v>5.0000000000000001E-4</v>
      </c>
      <c r="AM17" s="3">
        <f>+SUM($R$11:AL17)</f>
        <v>19504.767499999998</v>
      </c>
      <c r="AN17" s="3">
        <f t="shared" si="7"/>
        <v>0.25</v>
      </c>
      <c r="AP17" s="49">
        <v>500</v>
      </c>
      <c r="AQ17" s="73">
        <v>5.0000000000000001E-4</v>
      </c>
      <c r="AR17" s="3">
        <f>+SUM($R$11:AQ17)</f>
        <v>59427.355499999998</v>
      </c>
      <c r="AS17" s="3">
        <f t="shared" si="8"/>
        <v>0.25</v>
      </c>
      <c r="AU17" s="49">
        <v>50</v>
      </c>
      <c r="AV17" s="3">
        <v>3.0000000000000001E-3</v>
      </c>
      <c r="AW17" s="3">
        <f>+SUM($AV$11:AV17)</f>
        <v>0.18450000000000003</v>
      </c>
      <c r="AX17" s="3">
        <f t="shared" si="9"/>
        <v>0.15</v>
      </c>
      <c r="AZ17" s="49">
        <f t="shared" si="14"/>
        <v>50</v>
      </c>
      <c r="BA17" s="3">
        <v>1.1000000000000001E-3</v>
      </c>
      <c r="BB17" s="3">
        <f>+SUM($BA$12:BA17)</f>
        <v>0.23310000000000003</v>
      </c>
      <c r="BC17" s="3">
        <f t="shared" si="10"/>
        <v>5.5E-2</v>
      </c>
      <c r="BE17" s="49">
        <f t="shared" si="15"/>
        <v>100</v>
      </c>
      <c r="BF17" s="3">
        <v>5.0000000000000001E-4</v>
      </c>
      <c r="BG17" s="3">
        <f>+SUM($BF$12:BF17)</f>
        <v>0.1145</v>
      </c>
      <c r="BH17" s="3">
        <f t="shared" si="11"/>
        <v>0.05</v>
      </c>
      <c r="BJ17" s="49">
        <v>300</v>
      </c>
      <c r="BK17" s="3">
        <v>5.0000000000000001E-3</v>
      </c>
      <c r="BL17" s="3">
        <f>+SUM($BK$12:BK17)</f>
        <v>0.39500000000000002</v>
      </c>
      <c r="BM17" s="3">
        <f t="shared" si="12"/>
        <v>1.5</v>
      </c>
      <c r="BO17" s="49">
        <v>1000</v>
      </c>
      <c r="BP17" s="3">
        <v>5.0000000000000001E-3</v>
      </c>
      <c r="BQ17" s="3">
        <f>+SUM($BP$12:BP17)</f>
        <v>0.42499999999999999</v>
      </c>
      <c r="BR17" s="3">
        <f t="shared" si="13"/>
        <v>5</v>
      </c>
    </row>
    <row r="18" spans="1:70" x14ac:dyDescent="0.25">
      <c r="B18" s="50" t="s">
        <v>71</v>
      </c>
      <c r="C18" s="50">
        <f>+SUM(C12:C17)</f>
        <v>0.1255</v>
      </c>
      <c r="D18" s="50"/>
      <c r="E18" s="51">
        <f>+SUM(E12:E17)</f>
        <v>0.95500000000000007</v>
      </c>
      <c r="G18" s="50" t="s">
        <v>71</v>
      </c>
      <c r="H18" s="50">
        <f>+SUM(H12:H17)</f>
        <v>0.17575000000000002</v>
      </c>
      <c r="I18" s="50"/>
      <c r="J18" s="51">
        <f>+SUM(J12:J17)</f>
        <v>5</v>
      </c>
      <c r="L18" s="50" t="s">
        <v>71</v>
      </c>
      <c r="M18" s="50">
        <f>+SUM(M12:M17)</f>
        <v>0.15800000000000003</v>
      </c>
      <c r="N18" s="50"/>
      <c r="O18" s="51">
        <f>+SUM(O12:O17)</f>
        <v>8</v>
      </c>
      <c r="Q18" s="50" t="s">
        <v>71</v>
      </c>
      <c r="R18" s="50">
        <f>+SUM(R12:R17)</f>
        <v>0.15049999999999999</v>
      </c>
      <c r="S18" s="50"/>
      <c r="T18" s="51">
        <f>+SUM(T12:T17)</f>
        <v>10</v>
      </c>
      <c r="V18" s="50" t="s">
        <v>71</v>
      </c>
      <c r="W18" s="50">
        <f>+SUM(W12:W17)</f>
        <v>0.59000000000000008</v>
      </c>
      <c r="X18" s="50"/>
      <c r="Y18" s="51">
        <f>+SUM(Y12:Y17)</f>
        <v>30</v>
      </c>
      <c r="AA18" s="50" t="s">
        <v>71</v>
      </c>
      <c r="AB18" s="50">
        <f>+SUM(AB12:AB17)</f>
        <v>0.15049999999999999</v>
      </c>
      <c r="AC18" s="50"/>
      <c r="AD18" s="51">
        <f>+SUM(AD12:AD17)</f>
        <v>10</v>
      </c>
      <c r="AF18" s="50" t="s">
        <v>71</v>
      </c>
      <c r="AG18" s="50">
        <f>+SUM(AG12:AG17)</f>
        <v>0.17050000000000001</v>
      </c>
      <c r="AH18" s="50"/>
      <c r="AI18" s="51">
        <f>+SUM(AI12:AI17)</f>
        <v>11</v>
      </c>
      <c r="AK18" s="50" t="s">
        <v>71</v>
      </c>
      <c r="AL18" s="50">
        <f>+SUM(AL12:AL17)</f>
        <v>0.17050000000000001</v>
      </c>
      <c r="AM18" s="50"/>
      <c r="AN18" s="51">
        <f>+SUM(AN12:AN17)</f>
        <v>11</v>
      </c>
      <c r="AP18" s="50" t="s">
        <v>71</v>
      </c>
      <c r="AQ18" s="50">
        <f>+SUM(AQ12:AQ17)</f>
        <v>0.15049999999999999</v>
      </c>
      <c r="AR18" s="50"/>
      <c r="AS18" s="51">
        <f>+SUM(AS12:AS17)</f>
        <v>10</v>
      </c>
      <c r="AU18" s="50" t="s">
        <v>71</v>
      </c>
      <c r="AV18" s="50">
        <f>+SUM(AV12:AV17)</f>
        <v>0.18450000000000003</v>
      </c>
      <c r="AW18" s="50"/>
      <c r="AX18" s="51">
        <f>+SUM(AX12:AX17)</f>
        <v>1.9550000000000001</v>
      </c>
      <c r="AZ18" s="50" t="s">
        <v>71</v>
      </c>
      <c r="BA18" s="50">
        <f>+SUM(BA12:BA17)</f>
        <v>0.23310000000000003</v>
      </c>
      <c r="BB18" s="50"/>
      <c r="BC18" s="51">
        <f>+SUM(BC12:BC17)</f>
        <v>1.6099999999999999</v>
      </c>
      <c r="BE18" s="50" t="s">
        <v>71</v>
      </c>
      <c r="BF18" s="50">
        <f>+SUM(BF12:BF17)</f>
        <v>0.1145</v>
      </c>
      <c r="BG18" s="50"/>
      <c r="BH18" s="51">
        <f>+SUM(BH12:BH17)</f>
        <v>1.61</v>
      </c>
      <c r="BJ18" s="50" t="s">
        <v>71</v>
      </c>
      <c r="BK18" s="50">
        <f>+SUM(BK12:BK17)</f>
        <v>0.39500000000000002</v>
      </c>
      <c r="BL18" s="50"/>
      <c r="BM18" s="51">
        <f>+SUM(BM12:BM17)</f>
        <v>20</v>
      </c>
      <c r="BO18" s="50" t="s">
        <v>71</v>
      </c>
      <c r="BP18" s="50">
        <f>+SUM(BP12:BP17)</f>
        <v>0.42499999999999999</v>
      </c>
      <c r="BQ18" s="50"/>
      <c r="BR18" s="51">
        <f>+SUM(BR12:BR17)</f>
        <v>50</v>
      </c>
    </row>
    <row r="19" spans="1:70" x14ac:dyDescent="0.25">
      <c r="B19" s="10"/>
      <c r="AX19" t="s">
        <v>176</v>
      </c>
      <c r="BC19" t="s">
        <v>175</v>
      </c>
      <c r="BH19" t="s">
        <v>175</v>
      </c>
    </row>
    <row r="21" spans="1:70" ht="18.75" x14ac:dyDescent="0.3">
      <c r="A21" s="96" t="s">
        <v>72</v>
      </c>
      <c r="B21" s="96"/>
      <c r="C21" s="96"/>
      <c r="D21" s="96"/>
      <c r="E21" s="96"/>
    </row>
    <row r="22" spans="1:70" ht="15.75" thickBot="1" x14ac:dyDescent="0.3"/>
    <row r="23" spans="1:70" ht="15.75" thickBot="1" x14ac:dyDescent="0.3">
      <c r="A23" s="15" t="s">
        <v>73</v>
      </c>
      <c r="B23" s="52">
        <f>+Summary!E7</f>
        <v>100</v>
      </c>
    </row>
    <row r="24" spans="1:70" x14ac:dyDescent="0.25">
      <c r="A24" s="12" t="s">
        <v>74</v>
      </c>
      <c r="B24" s="53"/>
    </row>
    <row r="25" spans="1:70" x14ac:dyDescent="0.25">
      <c r="A25" s="54" t="s">
        <v>75</v>
      </c>
    </row>
    <row r="26" spans="1:70" x14ac:dyDescent="0.25">
      <c r="A26" s="54" t="s">
        <v>76</v>
      </c>
    </row>
    <row r="27" spans="1:70" x14ac:dyDescent="0.25">
      <c r="A27" t="s">
        <v>77</v>
      </c>
    </row>
    <row r="28" spans="1:70" x14ac:dyDescent="0.25">
      <c r="A28" s="10" t="s">
        <v>78</v>
      </c>
    </row>
    <row r="29" spans="1:70" x14ac:dyDescent="0.25">
      <c r="A29" s="10" t="s">
        <v>79</v>
      </c>
    </row>
    <row r="30" spans="1:70" x14ac:dyDescent="0.25">
      <c r="A30" s="12" t="s">
        <v>80</v>
      </c>
    </row>
    <row r="31" spans="1:70" ht="15.75" thickBot="1" x14ac:dyDescent="0.3"/>
    <row r="32" spans="1:70" x14ac:dyDescent="0.25">
      <c r="A32" s="1" t="s">
        <v>81</v>
      </c>
      <c r="B32" s="2" t="s">
        <v>82</v>
      </c>
      <c r="C32" s="2" t="s">
        <v>83</v>
      </c>
      <c r="D32" s="2" t="s">
        <v>4</v>
      </c>
      <c r="F32" s="36" t="s">
        <v>84</v>
      </c>
      <c r="G32" s="55">
        <f>+SUMPRODUCT(B33:B37,C33:C37)</f>
        <v>0.1</v>
      </c>
    </row>
    <row r="33" spans="1:7" ht="15.75" thickBot="1" x14ac:dyDescent="0.3">
      <c r="B33" s="3">
        <v>1</v>
      </c>
      <c r="C33" s="3">
        <v>0.01</v>
      </c>
      <c r="D33" s="3">
        <f>+B33*C33</f>
        <v>0.01</v>
      </c>
      <c r="F33" s="21" t="s">
        <v>85</v>
      </c>
      <c r="G33" s="56">
        <f>+B23/G32</f>
        <v>1000</v>
      </c>
    </row>
    <row r="34" spans="1:7" x14ac:dyDescent="0.25">
      <c r="B34" s="3">
        <v>2</v>
      </c>
      <c r="C34" s="3">
        <v>1.4999999999999999E-2</v>
      </c>
      <c r="D34" s="3">
        <f>+B34*C34</f>
        <v>0.03</v>
      </c>
    </row>
    <row r="35" spans="1:7" x14ac:dyDescent="0.25">
      <c r="B35" s="3">
        <v>3</v>
      </c>
      <c r="C35" s="3">
        <v>5.0000000000000001E-3</v>
      </c>
      <c r="D35" s="3">
        <f>+B35*C35</f>
        <v>1.4999999999999999E-2</v>
      </c>
    </row>
    <row r="36" spans="1:7" x14ac:dyDescent="0.25">
      <c r="B36" s="3">
        <v>4</v>
      </c>
      <c r="C36" s="3">
        <v>5.0000000000000001E-3</v>
      </c>
      <c r="D36" s="3">
        <f>+B36*C36</f>
        <v>0.02</v>
      </c>
    </row>
    <row r="37" spans="1:7" x14ac:dyDescent="0.25">
      <c r="B37" s="3">
        <v>5</v>
      </c>
      <c r="C37" s="3">
        <v>5.0000000000000001E-3</v>
      </c>
      <c r="D37" s="3">
        <f>+B37*C37</f>
        <v>2.5000000000000001E-2</v>
      </c>
    </row>
    <row r="38" spans="1:7" x14ac:dyDescent="0.25">
      <c r="B38" s="50" t="s">
        <v>13</v>
      </c>
      <c r="C38" s="50">
        <f>+SUM(C33:C37)</f>
        <v>0.04</v>
      </c>
      <c r="D38" s="50">
        <f>+SUM(D33:D37)</f>
        <v>0.1</v>
      </c>
      <c r="E38" t="s">
        <v>86</v>
      </c>
    </row>
    <row r="40" spans="1:7" x14ac:dyDescent="0.25">
      <c r="A40" t="s">
        <v>87</v>
      </c>
    </row>
    <row r="42" spans="1:7" x14ac:dyDescent="0.25">
      <c r="A42" s="1" t="s">
        <v>88</v>
      </c>
      <c r="B42" s="2" t="s">
        <v>82</v>
      </c>
      <c r="C42" s="2" t="s">
        <v>83</v>
      </c>
      <c r="D42" s="2" t="s">
        <v>4</v>
      </c>
    </row>
    <row r="43" spans="1:7" x14ac:dyDescent="0.25">
      <c r="B43" s="3">
        <v>1</v>
      </c>
      <c r="C43" s="3">
        <f>+D38</f>
        <v>0.1</v>
      </c>
      <c r="D43" s="3">
        <f>+C43*B43</f>
        <v>0.1</v>
      </c>
    </row>
    <row r="44" spans="1:7" x14ac:dyDescent="0.25">
      <c r="B44" s="50" t="s">
        <v>13</v>
      </c>
      <c r="C44" s="50">
        <f>+SUM(C43)</f>
        <v>0.1</v>
      </c>
      <c r="D44" s="50">
        <f>+D43</f>
        <v>0.1</v>
      </c>
    </row>
    <row r="46" spans="1:7" x14ac:dyDescent="0.25">
      <c r="A46" s="1" t="s">
        <v>89</v>
      </c>
    </row>
    <row r="47" spans="1:7" x14ac:dyDescent="0.25">
      <c r="A47" t="s">
        <v>90</v>
      </c>
    </row>
    <row r="48" spans="1:7" x14ac:dyDescent="0.25">
      <c r="A48" t="s">
        <v>91</v>
      </c>
    </row>
    <row r="49" spans="1:6" x14ac:dyDescent="0.25">
      <c r="A49" s="10" t="s">
        <v>92</v>
      </c>
    </row>
    <row r="51" spans="1:6" x14ac:dyDescent="0.25">
      <c r="A51" t="s">
        <v>93</v>
      </c>
    </row>
    <row r="53" spans="1:6" x14ac:dyDescent="0.25">
      <c r="B53" s="1" t="s">
        <v>94</v>
      </c>
      <c r="C53" s="1" t="s">
        <v>95</v>
      </c>
    </row>
    <row r="54" spans="1:6" x14ac:dyDescent="0.25">
      <c r="B54" s="2" t="s">
        <v>82</v>
      </c>
      <c r="C54" s="2" t="s">
        <v>83</v>
      </c>
      <c r="D54" s="57" t="s">
        <v>96</v>
      </c>
      <c r="E54" s="2" t="s">
        <v>97</v>
      </c>
      <c r="F54" s="2" t="s">
        <v>4</v>
      </c>
    </row>
    <row r="55" spans="1:6" x14ac:dyDescent="0.25">
      <c r="B55" s="3">
        <v>1</v>
      </c>
      <c r="C55" s="3">
        <v>0.01</v>
      </c>
      <c r="D55" s="3">
        <f>25/75</f>
        <v>0.33333333333333331</v>
      </c>
      <c r="E55" s="3">
        <f>+C55*D55</f>
        <v>3.3333333333333331E-3</v>
      </c>
      <c r="F55" s="3">
        <f>+E55*B55</f>
        <v>3.3333333333333331E-3</v>
      </c>
    </row>
    <row r="56" spans="1:6" x14ac:dyDescent="0.25">
      <c r="B56" s="3">
        <v>2</v>
      </c>
      <c r="C56" s="3">
        <v>0.01</v>
      </c>
      <c r="D56" s="3">
        <f>25/75</f>
        <v>0.33333333333333331</v>
      </c>
      <c r="E56" s="3">
        <f>+C56*D56</f>
        <v>3.3333333333333331E-3</v>
      </c>
      <c r="F56" s="3">
        <f>+E56*B56</f>
        <v>6.6666666666666662E-3</v>
      </c>
    </row>
    <row r="57" spans="1:6" x14ac:dyDescent="0.25">
      <c r="B57" s="3">
        <v>3</v>
      </c>
      <c r="C57" s="3">
        <v>0.01</v>
      </c>
      <c r="D57" s="3">
        <f>25/75</f>
        <v>0.33333333333333331</v>
      </c>
      <c r="E57" s="3">
        <f>+C57*D57</f>
        <v>3.3333333333333331E-3</v>
      </c>
      <c r="F57" s="3">
        <f>+E57*B57</f>
        <v>9.9999999999999985E-3</v>
      </c>
    </row>
    <row r="58" spans="1:6" x14ac:dyDescent="0.25">
      <c r="B58" s="3">
        <v>4</v>
      </c>
      <c r="C58" s="3">
        <v>0.01</v>
      </c>
      <c r="D58" s="3">
        <f>25/75</f>
        <v>0.33333333333333331</v>
      </c>
      <c r="E58" s="3">
        <f>+C58*D58</f>
        <v>3.3333333333333331E-3</v>
      </c>
      <c r="F58" s="3">
        <f>+E58*B58</f>
        <v>1.3333333333333332E-2</v>
      </c>
    </row>
    <row r="59" spans="1:6" x14ac:dyDescent="0.25">
      <c r="B59" s="3">
        <v>5</v>
      </c>
      <c r="C59" s="3">
        <v>0.01</v>
      </c>
      <c r="D59" s="3">
        <f>25/75</f>
        <v>0.33333333333333331</v>
      </c>
      <c r="E59" s="3">
        <f>+C59*D59</f>
        <v>3.3333333333333331E-3</v>
      </c>
      <c r="F59" s="3">
        <f>+E59*B59</f>
        <v>1.6666666666666666E-2</v>
      </c>
    </row>
    <row r="60" spans="1:6" x14ac:dyDescent="0.25">
      <c r="B60" s="50" t="s">
        <v>13</v>
      </c>
      <c r="C60" s="50">
        <f>+SUM(C55:C59)</f>
        <v>0.05</v>
      </c>
      <c r="D60" s="50"/>
      <c r="E60" s="50">
        <f>+SUM(E55:E59)</f>
        <v>1.6666666666666666E-2</v>
      </c>
      <c r="F60" s="50">
        <f>+SUM(F55:F59)</f>
        <v>4.9999999999999989E-2</v>
      </c>
    </row>
    <row r="61" spans="1:6" x14ac:dyDescent="0.25">
      <c r="B61" s="12"/>
      <c r="C61" s="12"/>
      <c r="D61" s="12"/>
      <c r="E61" s="12"/>
      <c r="F61" s="12"/>
    </row>
    <row r="62" spans="1:6" x14ac:dyDescent="0.25">
      <c r="B62" s="1" t="s">
        <v>98</v>
      </c>
      <c r="C62" s="1" t="s">
        <v>99</v>
      </c>
    </row>
    <row r="63" spans="1:6" x14ac:dyDescent="0.25">
      <c r="B63" s="2" t="s">
        <v>82</v>
      </c>
      <c r="C63" s="2" t="s">
        <v>83</v>
      </c>
      <c r="D63" s="57" t="s">
        <v>96</v>
      </c>
      <c r="E63" s="2" t="s">
        <v>97</v>
      </c>
      <c r="F63" s="2" t="s">
        <v>4</v>
      </c>
    </row>
    <row r="64" spans="1:6" x14ac:dyDescent="0.25">
      <c r="B64" s="3">
        <v>1</v>
      </c>
      <c r="C64" s="3">
        <v>0.01</v>
      </c>
      <c r="D64" s="3">
        <f>50/75</f>
        <v>0.66666666666666663</v>
      </c>
      <c r="E64" s="3">
        <f>+C64*D64</f>
        <v>6.6666666666666662E-3</v>
      </c>
      <c r="F64" s="3">
        <f>+E64*B64</f>
        <v>6.6666666666666662E-3</v>
      </c>
    </row>
    <row r="65" spans="1:6" x14ac:dyDescent="0.25">
      <c r="B65" s="3">
        <v>2</v>
      </c>
      <c r="C65" s="3">
        <v>0.01</v>
      </c>
      <c r="D65" s="3">
        <f>50/75</f>
        <v>0.66666666666666663</v>
      </c>
      <c r="E65" s="3">
        <f>+C65*D65</f>
        <v>6.6666666666666662E-3</v>
      </c>
      <c r="F65" s="3">
        <f>+E65*B65</f>
        <v>1.3333333333333332E-2</v>
      </c>
    </row>
    <row r="66" spans="1:6" x14ac:dyDescent="0.25">
      <c r="B66" s="3">
        <v>3</v>
      </c>
      <c r="C66" s="3">
        <v>0.01</v>
      </c>
      <c r="D66" s="3">
        <f>50/75</f>
        <v>0.66666666666666663</v>
      </c>
      <c r="E66" s="3">
        <f>+C66*D66</f>
        <v>6.6666666666666662E-3</v>
      </c>
      <c r="F66" s="3">
        <f>+E66*B66</f>
        <v>1.9999999999999997E-2</v>
      </c>
    </row>
    <row r="67" spans="1:6" x14ac:dyDescent="0.25">
      <c r="B67" s="3">
        <v>4</v>
      </c>
      <c r="C67" s="3">
        <v>0.01</v>
      </c>
      <c r="D67" s="3">
        <f>50/75</f>
        <v>0.66666666666666663</v>
      </c>
      <c r="E67" s="3">
        <f>+C67*D67</f>
        <v>6.6666666666666662E-3</v>
      </c>
      <c r="F67" s="3">
        <f>+E67*B67</f>
        <v>2.6666666666666665E-2</v>
      </c>
    </row>
    <row r="68" spans="1:6" x14ac:dyDescent="0.25">
      <c r="B68" s="3">
        <v>5</v>
      </c>
      <c r="C68" s="3">
        <v>0.01</v>
      </c>
      <c r="D68" s="3">
        <f>50/75</f>
        <v>0.66666666666666663</v>
      </c>
      <c r="E68" s="3">
        <f>+C68*D68</f>
        <v>6.6666666666666662E-3</v>
      </c>
      <c r="F68" s="3">
        <f>+E68*B68</f>
        <v>3.3333333333333333E-2</v>
      </c>
    </row>
    <row r="69" spans="1:6" x14ac:dyDescent="0.25">
      <c r="B69" s="50" t="s">
        <v>13</v>
      </c>
      <c r="C69" s="50">
        <f>+SUM(C64:C68)</f>
        <v>0.05</v>
      </c>
      <c r="D69" s="50"/>
      <c r="E69" s="50">
        <f>+SUM(E64:E68)</f>
        <v>3.3333333333333333E-2</v>
      </c>
      <c r="F69" s="50">
        <f>+SUM(F64:F68)</f>
        <v>9.9999999999999978E-2</v>
      </c>
    </row>
    <row r="72" spans="1:6" x14ac:dyDescent="0.25">
      <c r="A72" t="s">
        <v>100</v>
      </c>
    </row>
    <row r="73" spans="1:6" x14ac:dyDescent="0.25">
      <c r="A73" t="s">
        <v>101</v>
      </c>
    </row>
    <row r="74" spans="1:6" x14ac:dyDescent="0.25">
      <c r="A74" t="s">
        <v>102</v>
      </c>
    </row>
  </sheetData>
  <mergeCells count="17">
    <mergeCell ref="L10:O10"/>
    <mergeCell ref="AZ10:BC10"/>
    <mergeCell ref="AA10:AD10"/>
    <mergeCell ref="AF10:AI10"/>
    <mergeCell ref="AK10:AN10"/>
    <mergeCell ref="AP10:AS10"/>
    <mergeCell ref="AU10:AX10"/>
    <mergeCell ref="A21:E21"/>
    <mergeCell ref="A1:E1"/>
    <mergeCell ref="A8:E8"/>
    <mergeCell ref="B10:E10"/>
    <mergeCell ref="G10:J10"/>
    <mergeCell ref="BE10:BH10"/>
    <mergeCell ref="BJ10:BM10"/>
    <mergeCell ref="BO10:BR10"/>
    <mergeCell ref="Q10:T10"/>
    <mergeCell ref="V10:Y10"/>
  </mergeCells>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R74"/>
  <sheetViews>
    <sheetView workbookViewId="0">
      <selection sqref="A1:E1"/>
    </sheetView>
  </sheetViews>
  <sheetFormatPr defaultColWidth="8.85546875" defaultRowHeight="15" x14ac:dyDescent="0.25"/>
  <cols>
    <col min="1" max="1" width="13.140625" customWidth="1"/>
    <col min="2" max="2" width="14.140625" customWidth="1"/>
    <col min="3" max="3" width="18.7109375" customWidth="1"/>
    <col min="4" max="4" width="15.5703125" customWidth="1"/>
    <col min="5" max="5" width="19.28515625" customWidth="1"/>
    <col min="6" max="6" width="17.7109375" customWidth="1"/>
    <col min="7" max="7" width="11.5703125" customWidth="1"/>
    <col min="8" max="8" width="24.28515625" customWidth="1"/>
    <col min="9" max="9" width="15.5703125" customWidth="1"/>
    <col min="10" max="10" width="11.5703125" bestFit="1" customWidth="1"/>
    <col min="11" max="13" width="11.5703125" customWidth="1"/>
    <col min="14" max="14" width="15.5703125" customWidth="1"/>
    <col min="15" max="18" width="11.5703125" customWidth="1"/>
    <col min="19" max="19" width="15.5703125" customWidth="1"/>
    <col min="20" max="20" width="15" customWidth="1"/>
    <col min="21" max="23" width="11.5703125" customWidth="1"/>
    <col min="24" max="24" width="15.5703125" customWidth="1"/>
    <col min="25" max="1025" width="11.5703125" customWidth="1"/>
  </cols>
  <sheetData>
    <row r="1" spans="1:70" ht="18.75" x14ac:dyDescent="0.3">
      <c r="A1" s="97" t="s">
        <v>61</v>
      </c>
      <c r="B1" s="97"/>
      <c r="C1" s="97"/>
      <c r="D1" s="97"/>
      <c r="E1" s="97"/>
    </row>
    <row r="2" spans="1:70" x14ac:dyDescent="0.25">
      <c r="A2" t="s">
        <v>62</v>
      </c>
    </row>
    <row r="3" spans="1:70" x14ac:dyDescent="0.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70" x14ac:dyDescent="0.25">
      <c r="A4" t="s">
        <v>63</v>
      </c>
    </row>
    <row r="5" spans="1:70" x14ac:dyDescent="0.25">
      <c r="A5" t="s">
        <v>64</v>
      </c>
    </row>
    <row r="6" spans="1:70" x14ac:dyDescent="0.25">
      <c r="A6" s="1" t="s">
        <v>65</v>
      </c>
    </row>
    <row r="8" spans="1:70" ht="18.75" x14ac:dyDescent="0.3">
      <c r="A8" s="96" t="s">
        <v>66</v>
      </c>
      <c r="B8" s="96"/>
      <c r="C8" s="96"/>
      <c r="D8" s="96"/>
      <c r="E8" s="96"/>
    </row>
    <row r="9" spans="1:70" ht="15.75" thickBot="1" x14ac:dyDescent="0.3"/>
    <row r="10" spans="1:70" ht="15.75" thickBot="1" x14ac:dyDescent="0.3">
      <c r="B10" s="95" t="s">
        <v>67</v>
      </c>
      <c r="C10" s="95"/>
      <c r="D10" s="95"/>
      <c r="E10" s="95"/>
      <c r="G10" s="95" t="s">
        <v>38</v>
      </c>
      <c r="H10" s="95"/>
      <c r="I10" s="95"/>
      <c r="J10" s="95"/>
      <c r="L10" s="95" t="s">
        <v>39</v>
      </c>
      <c r="M10" s="95"/>
      <c r="N10" s="95"/>
      <c r="O10" s="95"/>
      <c r="Q10" s="95" t="s">
        <v>40</v>
      </c>
      <c r="R10" s="95"/>
      <c r="S10" s="95"/>
      <c r="T10" s="95"/>
      <c r="V10" s="95" t="s">
        <v>132</v>
      </c>
      <c r="W10" s="95"/>
      <c r="X10" s="95"/>
      <c r="Y10" s="95"/>
      <c r="AA10" s="95" t="s">
        <v>126</v>
      </c>
      <c r="AB10" s="95"/>
      <c r="AC10" s="95"/>
      <c r="AD10" s="95"/>
      <c r="AF10" s="95" t="s">
        <v>154</v>
      </c>
      <c r="AG10" s="95"/>
      <c r="AH10" s="95"/>
      <c r="AI10" s="95"/>
      <c r="AK10" s="95" t="s">
        <v>128</v>
      </c>
      <c r="AL10" s="95"/>
      <c r="AM10" s="95"/>
      <c r="AN10" s="95"/>
      <c r="AP10" s="95" t="s">
        <v>155</v>
      </c>
      <c r="AQ10" s="95"/>
      <c r="AR10" s="95"/>
      <c r="AS10" s="95"/>
      <c r="AU10" s="95" t="s">
        <v>130</v>
      </c>
      <c r="AV10" s="95"/>
      <c r="AW10" s="95"/>
      <c r="AX10" s="95"/>
      <c r="AZ10" s="92" t="s">
        <v>168</v>
      </c>
      <c r="BA10" s="93"/>
      <c r="BB10" s="93"/>
      <c r="BC10" s="94"/>
      <c r="BE10" s="92" t="s">
        <v>170</v>
      </c>
      <c r="BF10" s="93"/>
      <c r="BG10" s="93"/>
      <c r="BH10" s="94"/>
      <c r="BJ10" s="92" t="s">
        <v>169</v>
      </c>
      <c r="BK10" s="93"/>
      <c r="BL10" s="93"/>
      <c r="BM10" s="94"/>
      <c r="BO10" s="92" t="s">
        <v>41</v>
      </c>
      <c r="BP10" s="93"/>
      <c r="BQ10" s="93"/>
      <c r="BR10" s="94"/>
    </row>
    <row r="11" spans="1:70" x14ac:dyDescent="0.25">
      <c r="A11" s="1" t="s">
        <v>68</v>
      </c>
      <c r="B11" s="48" t="s">
        <v>25</v>
      </c>
      <c r="C11" s="48" t="s">
        <v>6</v>
      </c>
      <c r="D11" s="48" t="s">
        <v>69</v>
      </c>
      <c r="E11" s="48" t="s">
        <v>4</v>
      </c>
      <c r="G11" s="2" t="s">
        <v>25</v>
      </c>
      <c r="H11" s="2" t="s">
        <v>6</v>
      </c>
      <c r="I11" s="2" t="s">
        <v>69</v>
      </c>
      <c r="J11" s="2" t="s">
        <v>70</v>
      </c>
      <c r="L11" s="2" t="s">
        <v>25</v>
      </c>
      <c r="M11" s="2" t="s">
        <v>6</v>
      </c>
      <c r="N11" s="2" t="s">
        <v>69</v>
      </c>
      <c r="O11" s="2" t="s">
        <v>70</v>
      </c>
      <c r="Q11" s="2" t="s">
        <v>25</v>
      </c>
      <c r="R11" s="2" t="s">
        <v>6</v>
      </c>
      <c r="S11" s="2" t="s">
        <v>69</v>
      </c>
      <c r="T11" s="2" t="s">
        <v>70</v>
      </c>
      <c r="V11" s="2" t="s">
        <v>25</v>
      </c>
      <c r="W11" s="2" t="s">
        <v>6</v>
      </c>
      <c r="X11" s="2" t="s">
        <v>69</v>
      </c>
      <c r="Y11" s="2" t="s">
        <v>70</v>
      </c>
      <c r="AA11" s="2" t="s">
        <v>25</v>
      </c>
      <c r="AB11" s="2" t="s">
        <v>6</v>
      </c>
      <c r="AC11" s="2" t="s">
        <v>69</v>
      </c>
      <c r="AD11" s="2" t="s">
        <v>70</v>
      </c>
      <c r="AF11" s="2" t="s">
        <v>25</v>
      </c>
      <c r="AG11" s="2" t="s">
        <v>6</v>
      </c>
      <c r="AH11" s="2" t="s">
        <v>69</v>
      </c>
      <c r="AI11" s="2" t="s">
        <v>70</v>
      </c>
      <c r="AK11" s="2" t="s">
        <v>25</v>
      </c>
      <c r="AL11" s="2" t="s">
        <v>6</v>
      </c>
      <c r="AM11" s="2" t="s">
        <v>69</v>
      </c>
      <c r="AN11" s="2" t="s">
        <v>70</v>
      </c>
      <c r="AP11" s="2" t="s">
        <v>25</v>
      </c>
      <c r="AQ11" s="2" t="s">
        <v>6</v>
      </c>
      <c r="AR11" s="2" t="s">
        <v>69</v>
      </c>
      <c r="AS11" s="2" t="s">
        <v>70</v>
      </c>
      <c r="AU11" s="2" t="s">
        <v>25</v>
      </c>
      <c r="AV11" s="2" t="s">
        <v>6</v>
      </c>
      <c r="AW11" s="2" t="s">
        <v>69</v>
      </c>
      <c r="AX11" s="2" t="s">
        <v>70</v>
      </c>
      <c r="AZ11" s="2" t="s">
        <v>25</v>
      </c>
      <c r="BA11" s="2" t="s">
        <v>6</v>
      </c>
      <c r="BB11" s="2" t="s">
        <v>69</v>
      </c>
      <c r="BC11" s="2" t="s">
        <v>70</v>
      </c>
      <c r="BE11" s="2" t="s">
        <v>25</v>
      </c>
      <c r="BF11" s="2" t="s">
        <v>6</v>
      </c>
      <c r="BG11" s="2" t="s">
        <v>69</v>
      </c>
      <c r="BH11" s="2" t="s">
        <v>70</v>
      </c>
      <c r="BJ11" s="2" t="s">
        <v>25</v>
      </c>
      <c r="BK11" s="2" t="s">
        <v>6</v>
      </c>
      <c r="BL11" s="2" t="s">
        <v>69</v>
      </c>
      <c r="BM11" s="2" t="s">
        <v>70</v>
      </c>
      <c r="BO11" s="2" t="s">
        <v>25</v>
      </c>
      <c r="BP11" s="2" t="s">
        <v>6</v>
      </c>
      <c r="BQ11" s="2" t="s">
        <v>69</v>
      </c>
      <c r="BR11" s="2" t="s">
        <v>70</v>
      </c>
    </row>
    <row r="12" spans="1:70" x14ac:dyDescent="0.2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+SUM($AB$11:AB12)</f>
        <v>0.05</v>
      </c>
      <c r="AD12" s="3">
        <f t="shared" ref="AD12:AD17" si="5">+AA12*AB12</f>
        <v>1.5</v>
      </c>
      <c r="AF12" s="49">
        <v>30</v>
      </c>
      <c r="AG12" s="73">
        <v>0.05</v>
      </c>
      <c r="AH12" s="3">
        <f>+SUM($AG$11:AG12)</f>
        <v>0.05</v>
      </c>
      <c r="AI12" s="3">
        <f t="shared" ref="AI12:AI17" si="6">+AF12*AG12</f>
        <v>1.5</v>
      </c>
      <c r="AK12" s="49">
        <v>30</v>
      </c>
      <c r="AL12" s="73">
        <v>0.05</v>
      </c>
      <c r="AM12" s="3">
        <f>+SUM($AL$11:AL12)</f>
        <v>0.05</v>
      </c>
      <c r="AN12" s="3">
        <f t="shared" ref="AN12:AN17" si="7">+AK12*AL12</f>
        <v>1.5</v>
      </c>
      <c r="AP12" s="49">
        <v>30</v>
      </c>
      <c r="AQ12" s="73">
        <v>0.05</v>
      </c>
      <c r="AR12" s="3">
        <f>+SUM($AQ$11:AQ12)</f>
        <v>0.05</v>
      </c>
      <c r="AS12" s="3">
        <f>+AP12*AQ12</f>
        <v>1.5</v>
      </c>
      <c r="AU12" s="49">
        <v>5</v>
      </c>
      <c r="AV12" s="3">
        <v>8.3000000000000004E-2</v>
      </c>
      <c r="AW12" s="3">
        <f>+SUM($AV$11:AV12)</f>
        <v>8.3000000000000004E-2</v>
      </c>
      <c r="AX12" s="3">
        <f t="shared" ref="AX12:AX17" si="8">+AU12*AV12</f>
        <v>0.41500000000000004</v>
      </c>
      <c r="AZ12" s="49">
        <f>+AU12</f>
        <v>5</v>
      </c>
      <c r="BA12" s="3">
        <v>0.17</v>
      </c>
      <c r="BB12" s="3">
        <f>+SUM($BA$12:BA12)</f>
        <v>0.17</v>
      </c>
      <c r="BC12" s="3">
        <f t="shared" ref="BC12:BC17" si="9">+AZ12*BA12</f>
        <v>0.85000000000000009</v>
      </c>
      <c r="BE12" s="49">
        <f>+AU12*2</f>
        <v>10</v>
      </c>
      <c r="BF12" s="3">
        <v>7.9500000000000001E-2</v>
      </c>
      <c r="BG12" s="3">
        <f>+SUM($BF$12:BF12)</f>
        <v>7.9500000000000001E-2</v>
      </c>
      <c r="BH12" s="3">
        <f t="shared" ref="BH12:BH17" si="10">+BE12*BF12</f>
        <v>0.79500000000000004</v>
      </c>
      <c r="BJ12" s="49">
        <v>25</v>
      </c>
      <c r="BK12" s="3">
        <v>0.12</v>
      </c>
      <c r="BL12" s="3">
        <f>+SUM($BK$12:BK12)</f>
        <v>0.12</v>
      </c>
      <c r="BM12" s="3">
        <f t="shared" ref="BM12:BM17" si="11">+BJ12*BK12</f>
        <v>3</v>
      </c>
      <c r="BO12" s="49">
        <v>50</v>
      </c>
      <c r="BP12" s="3">
        <v>0.15</v>
      </c>
      <c r="BQ12" s="3">
        <f>+SUM($BP$12:BP12)</f>
        <v>0.15</v>
      </c>
      <c r="BR12" s="3">
        <f t="shared" ref="BR12:BR17" si="12">+BO12*BP12</f>
        <v>7.5</v>
      </c>
    </row>
    <row r="13" spans="1:70" x14ac:dyDescent="0.2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+SUM($AB$11:AB13)</f>
        <v>0.09</v>
      </c>
      <c r="AD13" s="3">
        <f t="shared" si="5"/>
        <v>2</v>
      </c>
      <c r="AF13" s="49">
        <v>50</v>
      </c>
      <c r="AG13" s="73">
        <v>0.06</v>
      </c>
      <c r="AH13" s="3">
        <f>+SUM($AG$11:AG13)</f>
        <v>0.11</v>
      </c>
      <c r="AI13" s="3">
        <f t="shared" si="6"/>
        <v>3</v>
      </c>
      <c r="AK13" s="49">
        <v>50</v>
      </c>
      <c r="AL13" s="73">
        <v>0.06</v>
      </c>
      <c r="AM13" s="3">
        <f>+SUM($AL$11:AL13)</f>
        <v>0.11</v>
      </c>
      <c r="AN13" s="3">
        <f t="shared" si="7"/>
        <v>3</v>
      </c>
      <c r="AP13" s="49">
        <v>50</v>
      </c>
      <c r="AQ13" s="73">
        <v>0.04</v>
      </c>
      <c r="AR13" s="3">
        <f>+SUM($AQ$11:AQ13)</f>
        <v>0.09</v>
      </c>
      <c r="AS13" s="3">
        <f t="shared" ref="AS13:AS17" si="13">+AP13*AQ13</f>
        <v>2</v>
      </c>
      <c r="AU13" s="49">
        <v>10</v>
      </c>
      <c r="AV13" s="3">
        <v>5.0500000000000003E-2</v>
      </c>
      <c r="AW13" s="3">
        <f>+SUM($AV$11:AV13)</f>
        <v>0.13350000000000001</v>
      </c>
      <c r="AX13" s="3">
        <f t="shared" si="8"/>
        <v>0.505</v>
      </c>
      <c r="AZ13" s="49">
        <f t="shared" ref="AZ13:AZ17" si="14">+AU13</f>
        <v>10</v>
      </c>
      <c r="BA13" s="3">
        <v>0.05</v>
      </c>
      <c r="BB13" s="3">
        <f>+SUM($BA$12:BA13)</f>
        <v>0.22000000000000003</v>
      </c>
      <c r="BC13" s="3">
        <f t="shared" si="9"/>
        <v>0.5</v>
      </c>
      <c r="BE13" s="49">
        <f t="shared" ref="BE13:BE17" si="15">+AU13*2</f>
        <v>20</v>
      </c>
      <c r="BF13" s="3">
        <v>0.03</v>
      </c>
      <c r="BG13" s="3">
        <f>+SUM($BF$12:BF13)</f>
        <v>0.1095</v>
      </c>
      <c r="BH13" s="3">
        <f t="shared" si="10"/>
        <v>0.6</v>
      </c>
      <c r="BJ13" s="49">
        <v>35</v>
      </c>
      <c r="BK13" s="3">
        <v>0.1</v>
      </c>
      <c r="BL13" s="3">
        <f>+SUM($BK$12:BK13)</f>
        <v>0.22</v>
      </c>
      <c r="BM13" s="3">
        <f t="shared" si="11"/>
        <v>3.5</v>
      </c>
      <c r="BO13" s="49">
        <v>75</v>
      </c>
      <c r="BP13" s="3">
        <v>0.1</v>
      </c>
      <c r="BQ13" s="3">
        <f>+SUM($BP$12:BP13)</f>
        <v>0.25</v>
      </c>
      <c r="BR13" s="3">
        <f t="shared" si="12"/>
        <v>7.5</v>
      </c>
    </row>
    <row r="14" spans="1:70" x14ac:dyDescent="0.2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+SUM($AB$11:AB14)</f>
        <v>0.12</v>
      </c>
      <c r="AD14" s="3">
        <f t="shared" si="5"/>
        <v>2.25</v>
      </c>
      <c r="AF14" s="49">
        <v>75</v>
      </c>
      <c r="AG14" s="73">
        <v>0.03</v>
      </c>
      <c r="AH14" s="3">
        <f>+SUM($AG$11:AG14)</f>
        <v>0.14000000000000001</v>
      </c>
      <c r="AI14" s="3">
        <f t="shared" si="6"/>
        <v>2.25</v>
      </c>
      <c r="AK14" s="49">
        <v>75</v>
      </c>
      <c r="AL14" s="73">
        <v>0.03</v>
      </c>
      <c r="AM14" s="3">
        <f>+SUM($AL$11:AL14)</f>
        <v>0.14000000000000001</v>
      </c>
      <c r="AN14" s="3">
        <f t="shared" si="7"/>
        <v>2.25</v>
      </c>
      <c r="AP14" s="49">
        <v>75</v>
      </c>
      <c r="AQ14" s="73">
        <v>0.03</v>
      </c>
      <c r="AR14" s="3">
        <f>+SUM($AQ$11:AQ14)</f>
        <v>0.12</v>
      </c>
      <c r="AS14" s="3">
        <f t="shared" si="13"/>
        <v>2.25</v>
      </c>
      <c r="AU14" s="49">
        <v>15</v>
      </c>
      <c r="AV14" s="3">
        <v>0.03</v>
      </c>
      <c r="AW14" s="3">
        <f>+SUM($AV$11:AV14)</f>
        <v>0.16350000000000001</v>
      </c>
      <c r="AX14" s="3">
        <f t="shared" si="8"/>
        <v>0.44999999999999996</v>
      </c>
      <c r="AZ14" s="49">
        <f t="shared" si="14"/>
        <v>15</v>
      </c>
      <c r="BA14" s="3">
        <v>0.01</v>
      </c>
      <c r="BB14" s="3">
        <f>+SUM($BA$12:BA14)</f>
        <v>0.23000000000000004</v>
      </c>
      <c r="BC14" s="3">
        <f t="shared" si="9"/>
        <v>0.15</v>
      </c>
      <c r="BE14" s="49">
        <f t="shared" si="15"/>
        <v>30</v>
      </c>
      <c r="BF14" s="3">
        <v>3.0000000000000001E-3</v>
      </c>
      <c r="BG14" s="3">
        <f>+SUM($BF$12:BF14)</f>
        <v>0.1125</v>
      </c>
      <c r="BH14" s="3">
        <f t="shared" si="10"/>
        <v>0.09</v>
      </c>
      <c r="BJ14" s="49">
        <v>50</v>
      </c>
      <c r="BK14" s="3">
        <v>0.1</v>
      </c>
      <c r="BL14" s="3">
        <f>+SUM($BK$12:BK14)</f>
        <v>0.32</v>
      </c>
      <c r="BM14" s="3">
        <f t="shared" si="11"/>
        <v>5</v>
      </c>
      <c r="BO14" s="49">
        <v>100</v>
      </c>
      <c r="BP14" s="3">
        <v>0.1</v>
      </c>
      <c r="BQ14" s="3">
        <f>+SUM($BP$12:BP14)</f>
        <v>0.35</v>
      </c>
      <c r="BR14" s="3">
        <f t="shared" si="12"/>
        <v>10</v>
      </c>
    </row>
    <row r="15" spans="1:70" x14ac:dyDescent="0.2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+SUM($AB$11:AB15)</f>
        <v>0.13999999999999999</v>
      </c>
      <c r="AD15" s="3">
        <f t="shared" si="5"/>
        <v>2</v>
      </c>
      <c r="AF15" s="49">
        <v>100</v>
      </c>
      <c r="AG15" s="73">
        <v>0.02</v>
      </c>
      <c r="AH15" s="3">
        <f>+SUM($AG$11:AG15)</f>
        <v>0.16</v>
      </c>
      <c r="AI15" s="3">
        <f t="shared" si="6"/>
        <v>2</v>
      </c>
      <c r="AK15" s="49">
        <v>100</v>
      </c>
      <c r="AL15" s="73">
        <v>0.02</v>
      </c>
      <c r="AM15" s="3">
        <f>+SUM($AL$11:AL15)</f>
        <v>0.16</v>
      </c>
      <c r="AN15" s="3">
        <f t="shared" si="7"/>
        <v>2</v>
      </c>
      <c r="AP15" s="49">
        <v>100</v>
      </c>
      <c r="AQ15" s="73">
        <v>0.02</v>
      </c>
      <c r="AR15" s="3">
        <f>+SUM($AQ$11:AQ15)</f>
        <v>0.13999999999999999</v>
      </c>
      <c r="AS15" s="3">
        <f t="shared" si="13"/>
        <v>2</v>
      </c>
      <c r="AU15" s="49">
        <v>20</v>
      </c>
      <c r="AV15" s="3">
        <v>1.2999999999999999E-2</v>
      </c>
      <c r="AW15" s="3">
        <f>+SUM($AV$11:AV15)</f>
        <v>0.17650000000000002</v>
      </c>
      <c r="AX15" s="3">
        <f t="shared" si="8"/>
        <v>0.26</v>
      </c>
      <c r="AZ15" s="49">
        <f t="shared" si="14"/>
        <v>20</v>
      </c>
      <c r="BA15" s="3">
        <v>1E-3</v>
      </c>
      <c r="BB15" s="3">
        <f>+SUM($BA$12:BA15)</f>
        <v>0.23100000000000004</v>
      </c>
      <c r="BC15" s="3">
        <f t="shared" si="9"/>
        <v>0.02</v>
      </c>
      <c r="BE15" s="49">
        <f t="shared" si="15"/>
        <v>40</v>
      </c>
      <c r="BF15" s="3">
        <f t="shared" ref="BF15" si="16">+C15</f>
        <v>1E-3</v>
      </c>
      <c r="BG15" s="3">
        <f>+SUM($BF$12:BF15)</f>
        <v>0.1135</v>
      </c>
      <c r="BH15" s="3">
        <f t="shared" si="10"/>
        <v>0.04</v>
      </c>
      <c r="BJ15" s="49">
        <v>80</v>
      </c>
      <c r="BK15" s="3">
        <v>0.05</v>
      </c>
      <c r="BL15" s="3">
        <f>+SUM($BK$12:BK15)</f>
        <v>0.37</v>
      </c>
      <c r="BM15" s="3">
        <f t="shared" si="11"/>
        <v>4</v>
      </c>
      <c r="BO15" s="49">
        <v>200</v>
      </c>
      <c r="BP15" s="3">
        <v>0.05</v>
      </c>
      <c r="BQ15" s="3">
        <f>+SUM($BP$12:BP15)</f>
        <v>0.39999999999999997</v>
      </c>
      <c r="BR15" s="3">
        <f t="shared" si="12"/>
        <v>10</v>
      </c>
    </row>
    <row r="16" spans="1:70" x14ac:dyDescent="0.2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+SUM($AB$11:AB16)</f>
        <v>0.15</v>
      </c>
      <c r="AD16" s="3">
        <f t="shared" si="5"/>
        <v>2</v>
      </c>
      <c r="AF16" s="49">
        <v>200</v>
      </c>
      <c r="AG16" s="73">
        <v>0.01</v>
      </c>
      <c r="AH16" s="3">
        <f>+SUM($AG$11:AG16)</f>
        <v>0.17</v>
      </c>
      <c r="AI16" s="3">
        <f t="shared" si="6"/>
        <v>2</v>
      </c>
      <c r="AK16" s="49">
        <v>200</v>
      </c>
      <c r="AL16" s="73">
        <v>0.01</v>
      </c>
      <c r="AM16" s="3">
        <f>+SUM($AL$11:AL16)</f>
        <v>0.17</v>
      </c>
      <c r="AN16" s="3">
        <f t="shared" si="7"/>
        <v>2</v>
      </c>
      <c r="AP16" s="49">
        <v>200</v>
      </c>
      <c r="AQ16" s="73">
        <v>0.01</v>
      </c>
      <c r="AR16" s="3">
        <f>+SUM($AQ$11:AQ16)</f>
        <v>0.15</v>
      </c>
      <c r="AS16" s="3">
        <f t="shared" si="13"/>
        <v>2</v>
      </c>
      <c r="AU16" s="49">
        <v>35</v>
      </c>
      <c r="AV16" s="3">
        <v>5.0000000000000001E-3</v>
      </c>
      <c r="AW16" s="3">
        <f>+SUM($AV$11:AV16)</f>
        <v>0.18150000000000002</v>
      </c>
      <c r="AX16" s="3">
        <f t="shared" si="8"/>
        <v>0.17500000000000002</v>
      </c>
      <c r="AZ16" s="49">
        <f t="shared" si="14"/>
        <v>35</v>
      </c>
      <c r="BA16" s="3">
        <v>1E-3</v>
      </c>
      <c r="BB16" s="3">
        <f>+SUM($BA$12:BA16)</f>
        <v>0.23200000000000004</v>
      </c>
      <c r="BC16" s="3">
        <f t="shared" si="9"/>
        <v>3.5000000000000003E-2</v>
      </c>
      <c r="BE16" s="49">
        <f t="shared" si="15"/>
        <v>70</v>
      </c>
      <c r="BF16" s="3">
        <v>5.0000000000000001E-4</v>
      </c>
      <c r="BG16" s="3">
        <f>+SUM($BF$12:BF16)</f>
        <v>0.114</v>
      </c>
      <c r="BH16" s="3">
        <f t="shared" si="10"/>
        <v>3.5000000000000003E-2</v>
      </c>
      <c r="BJ16" s="49">
        <v>150</v>
      </c>
      <c r="BK16" s="3">
        <v>0.02</v>
      </c>
      <c r="BL16" s="3">
        <f>+SUM($BK$12:BK16)</f>
        <v>0.39</v>
      </c>
      <c r="BM16" s="3">
        <f t="shared" si="11"/>
        <v>3</v>
      </c>
      <c r="BO16" s="49">
        <v>500</v>
      </c>
      <c r="BP16" s="3">
        <v>0.02</v>
      </c>
      <c r="BQ16" s="3">
        <f>+SUM($BP$12:BP16)</f>
        <v>0.42</v>
      </c>
      <c r="BR16" s="3">
        <f t="shared" si="12"/>
        <v>10</v>
      </c>
    </row>
    <row r="17" spans="1:70" x14ac:dyDescent="0.2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+SUM($AB$11:AB17)</f>
        <v>0.15049999999999999</v>
      </c>
      <c r="AD17" s="3">
        <f t="shared" si="5"/>
        <v>0.25</v>
      </c>
      <c r="AF17" s="49">
        <v>500</v>
      </c>
      <c r="AG17" s="73">
        <v>5.0000000000000001E-4</v>
      </c>
      <c r="AH17" s="3">
        <f>+SUM($AG$11:AG17)</f>
        <v>0.17050000000000001</v>
      </c>
      <c r="AI17" s="3">
        <f t="shared" si="6"/>
        <v>0.25</v>
      </c>
      <c r="AK17" s="49">
        <v>500</v>
      </c>
      <c r="AL17" s="73">
        <v>5.0000000000000001E-4</v>
      </c>
      <c r="AM17" s="3">
        <f>+SUM($AL$11:AL17)</f>
        <v>0.17050000000000001</v>
      </c>
      <c r="AN17" s="3">
        <f t="shared" si="7"/>
        <v>0.25</v>
      </c>
      <c r="AP17" s="49">
        <v>500</v>
      </c>
      <c r="AQ17" s="73">
        <v>5.0000000000000001E-4</v>
      </c>
      <c r="AR17" s="3">
        <f>+SUM($AQ$11:AQ17)</f>
        <v>0.15049999999999999</v>
      </c>
      <c r="AS17" s="3">
        <f t="shared" si="13"/>
        <v>0.25</v>
      </c>
      <c r="AU17" s="49">
        <v>50</v>
      </c>
      <c r="AV17" s="3">
        <v>3.0000000000000001E-3</v>
      </c>
      <c r="AW17" s="3">
        <f>+SUM($AV$11:AV17)</f>
        <v>0.18450000000000003</v>
      </c>
      <c r="AX17" s="3">
        <f t="shared" si="8"/>
        <v>0.15</v>
      </c>
      <c r="AZ17" s="49">
        <f t="shared" si="14"/>
        <v>50</v>
      </c>
      <c r="BA17" s="3">
        <v>1.1000000000000001E-3</v>
      </c>
      <c r="BB17" s="3">
        <f>+SUM($BA$12:BA17)</f>
        <v>0.23310000000000003</v>
      </c>
      <c r="BC17" s="3">
        <f t="shared" si="9"/>
        <v>5.5E-2</v>
      </c>
      <c r="BE17" s="49">
        <f t="shared" si="15"/>
        <v>100</v>
      </c>
      <c r="BF17" s="3">
        <v>5.0000000000000001E-4</v>
      </c>
      <c r="BG17" s="3">
        <f>+SUM($BF$12:BF17)</f>
        <v>0.1145</v>
      </c>
      <c r="BH17" s="3">
        <f t="shared" si="10"/>
        <v>0.05</v>
      </c>
      <c r="BJ17" s="49">
        <v>300</v>
      </c>
      <c r="BK17" s="3">
        <v>5.0000000000000001E-3</v>
      </c>
      <c r="BL17" s="3">
        <f>+SUM($BK$12:BK17)</f>
        <v>0.39500000000000002</v>
      </c>
      <c r="BM17" s="3">
        <f t="shared" si="11"/>
        <v>1.5</v>
      </c>
      <c r="BO17" s="49">
        <v>1000</v>
      </c>
      <c r="BP17" s="3">
        <v>5.0000000000000001E-3</v>
      </c>
      <c r="BQ17" s="3">
        <f>+SUM($BP$12:BP17)</f>
        <v>0.42499999999999999</v>
      </c>
      <c r="BR17" s="3">
        <f t="shared" si="12"/>
        <v>5</v>
      </c>
    </row>
    <row r="18" spans="1:70" x14ac:dyDescent="0.25">
      <c r="B18" s="50" t="s">
        <v>71</v>
      </c>
      <c r="C18" s="50">
        <f>+SUM(C12:C17)</f>
        <v>0.1255</v>
      </c>
      <c r="D18" s="50"/>
      <c r="E18" s="51">
        <f>+SUM(E12:E17)</f>
        <v>0.95500000000000007</v>
      </c>
      <c r="G18" s="50" t="s">
        <v>71</v>
      </c>
      <c r="H18" s="50">
        <f>+SUM(H12:H17)</f>
        <v>0.17575000000000002</v>
      </c>
      <c r="I18" s="50"/>
      <c r="J18" s="51">
        <f>+SUM(J12:J17)</f>
        <v>5</v>
      </c>
      <c r="L18" s="50" t="s">
        <v>71</v>
      </c>
      <c r="M18" s="50">
        <f>+SUM(M12:M17)</f>
        <v>0.15800000000000003</v>
      </c>
      <c r="N18" s="50"/>
      <c r="O18" s="51">
        <f>+SUM(O12:O17)</f>
        <v>8</v>
      </c>
      <c r="Q18" s="50" t="s">
        <v>71</v>
      </c>
      <c r="R18" s="50">
        <f>+SUM(R12:R17)</f>
        <v>0.15049999999999999</v>
      </c>
      <c r="S18" s="50"/>
      <c r="T18" s="51">
        <f>+SUM(T12:T17)</f>
        <v>10</v>
      </c>
      <c r="V18" s="50" t="s">
        <v>71</v>
      </c>
      <c r="W18" s="50">
        <f>+SUM(W12:W17)</f>
        <v>0.59000000000000008</v>
      </c>
      <c r="X18" s="50"/>
      <c r="Y18" s="51">
        <f>+SUM(Y12:Y17)</f>
        <v>30</v>
      </c>
      <c r="AA18" s="50" t="s">
        <v>71</v>
      </c>
      <c r="AB18" s="50">
        <f>+SUM(AB12:AB17)</f>
        <v>0.15049999999999999</v>
      </c>
      <c r="AC18" s="50"/>
      <c r="AD18" s="51">
        <f>+SUM(AD12:AD17)</f>
        <v>10</v>
      </c>
      <c r="AF18" s="50" t="s">
        <v>71</v>
      </c>
      <c r="AG18" s="50">
        <f>+SUM(AG12:AG17)</f>
        <v>0.17050000000000001</v>
      </c>
      <c r="AH18" s="50"/>
      <c r="AI18" s="51">
        <f>+SUM(AI12:AI17)</f>
        <v>11</v>
      </c>
      <c r="AK18" s="50" t="s">
        <v>71</v>
      </c>
      <c r="AL18" s="50">
        <f>+SUM(AL12:AL17)</f>
        <v>0.17050000000000001</v>
      </c>
      <c r="AM18" s="50"/>
      <c r="AN18" s="51">
        <f>+SUM(AN12:AN17)</f>
        <v>11</v>
      </c>
      <c r="AP18" s="50" t="s">
        <v>71</v>
      </c>
      <c r="AQ18" s="50">
        <f>+SUM(AQ12:AQ17)</f>
        <v>0.15049999999999999</v>
      </c>
      <c r="AR18" s="50"/>
      <c r="AS18" s="51">
        <f>+SUM(AS12:AS17)</f>
        <v>10</v>
      </c>
      <c r="AU18" s="50" t="s">
        <v>71</v>
      </c>
      <c r="AV18" s="50">
        <f>+SUM(AV12:AV17)</f>
        <v>0.18450000000000003</v>
      </c>
      <c r="AW18" s="50"/>
      <c r="AX18" s="51">
        <f>+SUM(AX12:AX17)</f>
        <v>1.9550000000000001</v>
      </c>
      <c r="AZ18" s="50" t="s">
        <v>71</v>
      </c>
      <c r="BA18" s="50">
        <f>+SUM(BA12:BA17)</f>
        <v>0.23310000000000003</v>
      </c>
      <c r="BB18" s="50"/>
      <c r="BC18" s="51">
        <f>+SUM(BC12:BC17)</f>
        <v>1.6099999999999999</v>
      </c>
      <c r="BE18" s="50" t="s">
        <v>71</v>
      </c>
      <c r="BF18" s="50">
        <f>+SUM(BF12:BF17)</f>
        <v>0.1145</v>
      </c>
      <c r="BG18" s="50"/>
      <c r="BH18" s="51">
        <f>+SUM(BH12:BH17)</f>
        <v>1.61</v>
      </c>
      <c r="BJ18" s="50" t="s">
        <v>71</v>
      </c>
      <c r="BK18" s="50">
        <f>+SUM(BK12:BK17)</f>
        <v>0.39500000000000002</v>
      </c>
      <c r="BL18" s="50"/>
      <c r="BM18" s="51">
        <f>+SUM(BM12:BM17)</f>
        <v>20</v>
      </c>
      <c r="BO18" s="50" t="s">
        <v>71</v>
      </c>
      <c r="BP18" s="50">
        <f>+SUM(BP12:BP17)</f>
        <v>0.42499999999999999</v>
      </c>
      <c r="BQ18" s="50"/>
      <c r="BR18" s="51">
        <f>+SUM(BR12:BR17)</f>
        <v>50</v>
      </c>
    </row>
    <row r="19" spans="1:70" x14ac:dyDescent="0.25">
      <c r="B19" s="10"/>
      <c r="AX19" t="s">
        <v>176</v>
      </c>
      <c r="BC19" t="s">
        <v>175</v>
      </c>
      <c r="BH19" t="s">
        <v>175</v>
      </c>
    </row>
    <row r="20" spans="1:70" x14ac:dyDescent="0.25">
      <c r="BC20" s="89"/>
    </row>
    <row r="21" spans="1:70" ht="18.75" x14ac:dyDescent="0.3">
      <c r="A21" s="96" t="s">
        <v>72</v>
      </c>
      <c r="B21" s="96"/>
      <c r="C21" s="96"/>
      <c r="D21" s="96"/>
      <c r="E21" s="96"/>
    </row>
    <row r="22" spans="1:70" ht="15.75" thickBot="1" x14ac:dyDescent="0.3"/>
    <row r="23" spans="1:70" ht="15.75" thickBot="1" x14ac:dyDescent="0.3">
      <c r="A23" s="15" t="s">
        <v>73</v>
      </c>
      <c r="B23" s="52">
        <f>+Summary!E7</f>
        <v>100</v>
      </c>
    </row>
    <row r="24" spans="1:70" x14ac:dyDescent="0.25">
      <c r="A24" s="12" t="s">
        <v>74</v>
      </c>
      <c r="B24" s="53"/>
    </row>
    <row r="25" spans="1:70" x14ac:dyDescent="0.25">
      <c r="A25" s="54" t="s">
        <v>75</v>
      </c>
    </row>
    <row r="26" spans="1:70" x14ac:dyDescent="0.25">
      <c r="A26" s="54" t="s">
        <v>76</v>
      </c>
    </row>
    <row r="27" spans="1:70" x14ac:dyDescent="0.25">
      <c r="A27" t="s">
        <v>77</v>
      </c>
    </row>
    <row r="28" spans="1:70" x14ac:dyDescent="0.25">
      <c r="A28" s="10" t="s">
        <v>78</v>
      </c>
    </row>
    <row r="29" spans="1:70" x14ac:dyDescent="0.25">
      <c r="A29" s="10" t="s">
        <v>79</v>
      </c>
    </row>
    <row r="30" spans="1:70" x14ac:dyDescent="0.25">
      <c r="A30" s="12" t="s">
        <v>80</v>
      </c>
    </row>
    <row r="31" spans="1:70" ht="15.75" thickBot="1" x14ac:dyDescent="0.3"/>
    <row r="32" spans="1:70" x14ac:dyDescent="0.25">
      <c r="A32" s="1" t="s">
        <v>81</v>
      </c>
      <c r="B32" s="2" t="s">
        <v>82</v>
      </c>
      <c r="C32" s="2" t="s">
        <v>83</v>
      </c>
      <c r="D32" s="2" t="s">
        <v>4</v>
      </c>
      <c r="F32" s="36" t="s">
        <v>84</v>
      </c>
      <c r="G32" s="55">
        <f>+SUMPRODUCT(B33:B37,C33:C37)</f>
        <v>0.14499999999999999</v>
      </c>
    </row>
    <row r="33" spans="1:7" ht="15.75" thickBot="1" x14ac:dyDescent="0.3">
      <c r="B33" s="3">
        <v>1</v>
      </c>
      <c r="C33" s="3">
        <v>0.01</v>
      </c>
      <c r="D33" s="3">
        <f>+B33*C33</f>
        <v>0.01</v>
      </c>
      <c r="F33" s="21" t="s">
        <v>85</v>
      </c>
      <c r="G33" s="56">
        <f>+B23/G32</f>
        <v>689.65517241379314</v>
      </c>
    </row>
    <row r="34" spans="1:7" x14ac:dyDescent="0.25">
      <c r="B34" s="3">
        <v>2</v>
      </c>
      <c r="C34" s="3">
        <v>0.02</v>
      </c>
      <c r="D34" s="3">
        <f>+B34*C34</f>
        <v>0.04</v>
      </c>
    </row>
    <row r="35" spans="1:7" x14ac:dyDescent="0.25">
      <c r="B35" s="3">
        <v>3</v>
      </c>
      <c r="C35" s="3">
        <v>0.01</v>
      </c>
      <c r="D35" s="3">
        <f>+B35*C35</f>
        <v>0.03</v>
      </c>
    </row>
    <row r="36" spans="1:7" x14ac:dyDescent="0.25">
      <c r="B36" s="3">
        <v>4</v>
      </c>
      <c r="C36" s="3">
        <v>0.01</v>
      </c>
      <c r="D36" s="3">
        <f>+B36*C36</f>
        <v>0.04</v>
      </c>
    </row>
    <row r="37" spans="1:7" x14ac:dyDescent="0.25">
      <c r="B37" s="3">
        <v>5</v>
      </c>
      <c r="C37" s="3">
        <v>5.0000000000000001E-3</v>
      </c>
      <c r="D37" s="3">
        <f>+B37*C37</f>
        <v>2.5000000000000001E-2</v>
      </c>
    </row>
    <row r="38" spans="1:7" x14ac:dyDescent="0.25">
      <c r="B38" s="50" t="s">
        <v>13</v>
      </c>
      <c r="C38" s="50">
        <f>+SUM(C33:C37)</f>
        <v>5.5E-2</v>
      </c>
      <c r="D38" s="50">
        <f>+SUM(D33:D37)</f>
        <v>0.14499999999999999</v>
      </c>
      <c r="E38" t="s">
        <v>86</v>
      </c>
    </row>
    <row r="40" spans="1:7" x14ac:dyDescent="0.25">
      <c r="A40" t="s">
        <v>87</v>
      </c>
    </row>
    <row r="42" spans="1:7" x14ac:dyDescent="0.25">
      <c r="A42" s="1" t="s">
        <v>88</v>
      </c>
      <c r="B42" s="2" t="s">
        <v>82</v>
      </c>
      <c r="C42" s="2" t="s">
        <v>83</v>
      </c>
      <c r="D42" s="2" t="s">
        <v>4</v>
      </c>
    </row>
    <row r="43" spans="1:7" x14ac:dyDescent="0.25">
      <c r="B43" s="3">
        <v>1</v>
      </c>
      <c r="C43" s="3">
        <f>+SUMPRODUCT(B33:B37,C33:C37)</f>
        <v>0.14499999999999999</v>
      </c>
      <c r="D43" s="3">
        <f>+C43*B43</f>
        <v>0.14499999999999999</v>
      </c>
    </row>
    <row r="44" spans="1:7" x14ac:dyDescent="0.25">
      <c r="B44" s="50" t="s">
        <v>13</v>
      </c>
      <c r="C44" s="50">
        <f>+SUM(C43)</f>
        <v>0.14499999999999999</v>
      </c>
      <c r="D44" s="50">
        <f>+D43</f>
        <v>0.14499999999999999</v>
      </c>
    </row>
    <row r="46" spans="1:7" x14ac:dyDescent="0.25">
      <c r="A46" s="1" t="s">
        <v>89</v>
      </c>
    </row>
    <row r="47" spans="1:7" x14ac:dyDescent="0.25">
      <c r="A47" t="s">
        <v>90</v>
      </c>
    </row>
    <row r="48" spans="1:7" x14ac:dyDescent="0.25">
      <c r="A48" t="s">
        <v>91</v>
      </c>
    </row>
    <row r="49" spans="1:6" x14ac:dyDescent="0.25">
      <c r="A49" s="10" t="s">
        <v>92</v>
      </c>
    </row>
    <row r="51" spans="1:6" x14ac:dyDescent="0.25">
      <c r="A51" t="s">
        <v>93</v>
      </c>
    </row>
    <row r="53" spans="1:6" x14ac:dyDescent="0.25">
      <c r="B53" s="1" t="s">
        <v>94</v>
      </c>
      <c r="C53" s="1" t="s">
        <v>95</v>
      </c>
    </row>
    <row r="54" spans="1:6" x14ac:dyDescent="0.25">
      <c r="B54" s="2" t="s">
        <v>82</v>
      </c>
      <c r="C54" s="2" t="s">
        <v>83</v>
      </c>
      <c r="D54" s="57" t="s">
        <v>96</v>
      </c>
      <c r="E54" s="2" t="s">
        <v>97</v>
      </c>
      <c r="F54" s="2" t="s">
        <v>4</v>
      </c>
    </row>
    <row r="55" spans="1:6" x14ac:dyDescent="0.25">
      <c r="B55" s="3">
        <v>1</v>
      </c>
      <c r="C55" s="3">
        <v>0.01</v>
      </c>
      <c r="D55" s="3">
        <f>25/75</f>
        <v>0.33333333333333331</v>
      </c>
      <c r="E55" s="3">
        <f>+C55*D55</f>
        <v>3.3333333333333331E-3</v>
      </c>
      <c r="F55" s="3">
        <f>+E55*B55</f>
        <v>3.3333333333333331E-3</v>
      </c>
    </row>
    <row r="56" spans="1:6" x14ac:dyDescent="0.25">
      <c r="B56" s="3">
        <v>2</v>
      </c>
      <c r="C56" s="3">
        <v>0.01</v>
      </c>
      <c r="D56" s="3">
        <f>25/75</f>
        <v>0.33333333333333331</v>
      </c>
      <c r="E56" s="3">
        <f>+C56*D56</f>
        <v>3.3333333333333331E-3</v>
      </c>
      <c r="F56" s="3">
        <f>+E56*B56</f>
        <v>6.6666666666666662E-3</v>
      </c>
    </row>
    <row r="57" spans="1:6" x14ac:dyDescent="0.25">
      <c r="B57" s="3">
        <v>3</v>
      </c>
      <c r="C57" s="3">
        <v>0.01</v>
      </c>
      <c r="D57" s="3">
        <f>25/75</f>
        <v>0.33333333333333331</v>
      </c>
      <c r="E57" s="3">
        <f>+C57*D57</f>
        <v>3.3333333333333331E-3</v>
      </c>
      <c r="F57" s="3">
        <f>+E57*B57</f>
        <v>9.9999999999999985E-3</v>
      </c>
    </row>
    <row r="58" spans="1:6" x14ac:dyDescent="0.25">
      <c r="B58" s="3">
        <v>4</v>
      </c>
      <c r="C58" s="3">
        <v>0.01</v>
      </c>
      <c r="D58" s="3">
        <f>25/75</f>
        <v>0.33333333333333331</v>
      </c>
      <c r="E58" s="3">
        <f>+C58*D58</f>
        <v>3.3333333333333331E-3</v>
      </c>
      <c r="F58" s="3">
        <f>+E58*B58</f>
        <v>1.3333333333333332E-2</v>
      </c>
    </row>
    <row r="59" spans="1:6" x14ac:dyDescent="0.25">
      <c r="B59" s="3">
        <v>5</v>
      </c>
      <c r="C59" s="3">
        <v>0.01</v>
      </c>
      <c r="D59" s="3">
        <f>25/75</f>
        <v>0.33333333333333331</v>
      </c>
      <c r="E59" s="3">
        <f>+C59*D59</f>
        <v>3.3333333333333331E-3</v>
      </c>
      <c r="F59" s="3">
        <f>+E59*B59</f>
        <v>1.6666666666666666E-2</v>
      </c>
    </row>
    <row r="60" spans="1:6" x14ac:dyDescent="0.25">
      <c r="B60" s="50" t="s">
        <v>13</v>
      </c>
      <c r="C60" s="50">
        <f>+SUM(C55:C59)</f>
        <v>0.05</v>
      </c>
      <c r="D60" s="50"/>
      <c r="E60" s="50">
        <f>+SUM(E55:E59)</f>
        <v>1.6666666666666666E-2</v>
      </c>
      <c r="F60" s="50">
        <f>+SUM(F55:F59)</f>
        <v>4.9999999999999989E-2</v>
      </c>
    </row>
    <row r="61" spans="1:6" x14ac:dyDescent="0.25">
      <c r="B61" s="12"/>
      <c r="C61" s="12"/>
      <c r="D61" s="12"/>
      <c r="E61" s="12"/>
      <c r="F61" s="12"/>
    </row>
    <row r="62" spans="1:6" x14ac:dyDescent="0.25">
      <c r="B62" s="1" t="s">
        <v>98</v>
      </c>
      <c r="C62" s="1" t="s">
        <v>99</v>
      </c>
    </row>
    <row r="63" spans="1:6" x14ac:dyDescent="0.25">
      <c r="B63" s="2" t="s">
        <v>82</v>
      </c>
      <c r="C63" s="2" t="s">
        <v>83</v>
      </c>
      <c r="D63" s="57" t="s">
        <v>96</v>
      </c>
      <c r="E63" s="2" t="s">
        <v>97</v>
      </c>
      <c r="F63" s="2" t="s">
        <v>4</v>
      </c>
    </row>
    <row r="64" spans="1:6" x14ac:dyDescent="0.25">
      <c r="B64" s="3">
        <v>1</v>
      </c>
      <c r="C64" s="3">
        <v>0.01</v>
      </c>
      <c r="D64" s="3">
        <f>50/75</f>
        <v>0.66666666666666663</v>
      </c>
      <c r="E64" s="3">
        <f>+C64*D64</f>
        <v>6.6666666666666662E-3</v>
      </c>
      <c r="F64" s="3">
        <f>+E64*B64</f>
        <v>6.6666666666666662E-3</v>
      </c>
    </row>
    <row r="65" spans="1:6" x14ac:dyDescent="0.25">
      <c r="B65" s="3">
        <v>2</v>
      </c>
      <c r="C65" s="3">
        <v>0.01</v>
      </c>
      <c r="D65" s="3">
        <f>50/75</f>
        <v>0.66666666666666663</v>
      </c>
      <c r="E65" s="3">
        <f>+C65*D65</f>
        <v>6.6666666666666662E-3</v>
      </c>
      <c r="F65" s="3">
        <f>+E65*B65</f>
        <v>1.3333333333333332E-2</v>
      </c>
    </row>
    <row r="66" spans="1:6" x14ac:dyDescent="0.25">
      <c r="B66" s="3">
        <v>3</v>
      </c>
      <c r="C66" s="3">
        <v>0.01</v>
      </c>
      <c r="D66" s="3">
        <f>50/75</f>
        <v>0.66666666666666663</v>
      </c>
      <c r="E66" s="3">
        <f>+C66*D66</f>
        <v>6.6666666666666662E-3</v>
      </c>
      <c r="F66" s="3">
        <f>+E66*B66</f>
        <v>1.9999999999999997E-2</v>
      </c>
    </row>
    <row r="67" spans="1:6" x14ac:dyDescent="0.25">
      <c r="B67" s="3">
        <v>4</v>
      </c>
      <c r="C67" s="3">
        <v>0.01</v>
      </c>
      <c r="D67" s="3">
        <f>50/75</f>
        <v>0.66666666666666663</v>
      </c>
      <c r="E67" s="3">
        <f>+C67*D67</f>
        <v>6.6666666666666662E-3</v>
      </c>
      <c r="F67" s="3">
        <f>+E67*B67</f>
        <v>2.6666666666666665E-2</v>
      </c>
    </row>
    <row r="68" spans="1:6" x14ac:dyDescent="0.25">
      <c r="B68" s="3">
        <v>5</v>
      </c>
      <c r="C68" s="3">
        <v>0.01</v>
      </c>
      <c r="D68" s="3">
        <f>50/75</f>
        <v>0.66666666666666663</v>
      </c>
      <c r="E68" s="3">
        <f>+C68*D68</f>
        <v>6.6666666666666662E-3</v>
      </c>
      <c r="F68" s="3">
        <f>+E68*B68</f>
        <v>3.3333333333333333E-2</v>
      </c>
    </row>
    <row r="69" spans="1:6" x14ac:dyDescent="0.25">
      <c r="B69" s="50" t="s">
        <v>13</v>
      </c>
      <c r="C69" s="50">
        <f>+SUM(C64:C68)</f>
        <v>0.05</v>
      </c>
      <c r="D69" s="50"/>
      <c r="E69" s="50">
        <f>+SUM(E64:E68)</f>
        <v>3.3333333333333333E-2</v>
      </c>
      <c r="F69" s="50">
        <f>+SUM(F64:F68)</f>
        <v>9.9999999999999978E-2</v>
      </c>
    </row>
    <row r="72" spans="1:6" x14ac:dyDescent="0.25">
      <c r="A72" t="s">
        <v>100</v>
      </c>
    </row>
    <row r="73" spans="1:6" x14ac:dyDescent="0.25">
      <c r="A73" t="s">
        <v>101</v>
      </c>
    </row>
    <row r="74" spans="1:6" x14ac:dyDescent="0.25">
      <c r="A74" t="s">
        <v>102</v>
      </c>
    </row>
  </sheetData>
  <mergeCells count="17">
    <mergeCell ref="L10:O10"/>
    <mergeCell ref="AZ10:BC10"/>
    <mergeCell ref="AA10:AD10"/>
    <mergeCell ref="AF10:AI10"/>
    <mergeCell ref="AK10:AN10"/>
    <mergeCell ref="AP10:AS10"/>
    <mergeCell ref="AU10:AX10"/>
    <mergeCell ref="A21:E21"/>
    <mergeCell ref="A1:E1"/>
    <mergeCell ref="A8:E8"/>
    <mergeCell ref="B10:E10"/>
    <mergeCell ref="G10:J10"/>
    <mergeCell ref="BE10:BH10"/>
    <mergeCell ref="BJ10:BM10"/>
    <mergeCell ref="BO10:BR10"/>
    <mergeCell ref="Q10:T10"/>
    <mergeCell ref="V10:Y10"/>
  </mergeCells>
  <pageMargins left="0.7" right="0.7" top="0.75" bottom="0.75" header="0.51180555555555496" footer="0.51180555555555496"/>
  <pageSetup paperSize="9" firstPageNumber="0"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dimension ref="A1:DF20"/>
  <sheetViews>
    <sheetView workbookViewId="0">
      <pane xSplit="6" ySplit="1" topLeftCell="DB2" activePane="bottomRight" state="frozen"/>
      <selection pane="topRight" activeCell="G1" sqref="G1"/>
      <selection pane="bottomLeft" activeCell="A2" sqref="A2"/>
      <selection pane="bottomRight" activeCell="CM1" sqref="CM1:DF1"/>
    </sheetView>
  </sheetViews>
  <sheetFormatPr defaultColWidth="8.85546875" defaultRowHeight="15" x14ac:dyDescent="0.25"/>
  <cols>
    <col min="1" max="1" width="37.85546875" bestFit="1" customWidth="1"/>
    <col min="2" max="2" width="11.5703125" customWidth="1"/>
    <col min="3" max="3" width="17.28515625" customWidth="1"/>
    <col min="4" max="4" width="10.7109375" bestFit="1" customWidth="1"/>
    <col min="5" max="5" width="7.28515625" customWidth="1"/>
    <col min="6" max="6" width="14.28515625" customWidth="1"/>
    <col min="7" max="8" width="11.5703125" customWidth="1"/>
    <col min="9" max="9" width="16.28515625" customWidth="1"/>
    <col min="10" max="29" width="11.5703125" customWidth="1"/>
    <col min="30" max="30" width="15.5703125" bestFit="1" customWidth="1"/>
    <col min="31" max="36" width="11.5703125" customWidth="1"/>
    <col min="37" max="37" width="15.5703125" bestFit="1" customWidth="1"/>
    <col min="38" max="43" width="11.5703125" customWidth="1"/>
    <col min="44" max="44" width="15.5703125" bestFit="1" customWidth="1"/>
    <col min="45" max="50" width="11.5703125" customWidth="1"/>
    <col min="51" max="51" width="15.5703125" bestFit="1" customWidth="1"/>
    <col min="52" max="1074" width="11.5703125" customWidth="1"/>
  </cols>
  <sheetData>
    <row r="1" spans="1:110" x14ac:dyDescent="0.25">
      <c r="A1" s="2" t="s">
        <v>103</v>
      </c>
      <c r="G1" s="98" t="s">
        <v>104</v>
      </c>
      <c r="H1" s="98"/>
      <c r="I1" s="98"/>
      <c r="J1" s="98"/>
      <c r="K1" s="98"/>
      <c r="L1" s="98"/>
      <c r="N1" s="98" t="s">
        <v>105</v>
      </c>
      <c r="O1" s="98"/>
      <c r="P1" s="98"/>
      <c r="Q1" s="98"/>
      <c r="R1" s="98"/>
      <c r="S1" s="98"/>
      <c r="U1" s="98" t="s">
        <v>106</v>
      </c>
      <c r="V1" s="98"/>
      <c r="W1" s="98"/>
      <c r="X1" s="98"/>
      <c r="Y1" s="98"/>
      <c r="Z1" s="98"/>
      <c r="AB1" s="98" t="s">
        <v>107</v>
      </c>
      <c r="AC1" s="98"/>
      <c r="AD1" s="98"/>
      <c r="AE1" s="98"/>
      <c r="AF1" s="98"/>
      <c r="AG1" s="98"/>
      <c r="AI1" s="98" t="s">
        <v>139</v>
      </c>
      <c r="AJ1" s="98"/>
      <c r="AK1" s="98"/>
      <c r="AL1" s="98"/>
      <c r="AM1" s="98"/>
      <c r="AN1" s="98"/>
      <c r="AP1" s="98" t="s">
        <v>140</v>
      </c>
      <c r="AQ1" s="98"/>
      <c r="AR1" s="98"/>
      <c r="AS1" s="98"/>
      <c r="AT1" s="98"/>
      <c r="AU1" s="98"/>
      <c r="AW1" s="98" t="s">
        <v>141</v>
      </c>
      <c r="AX1" s="98"/>
      <c r="AY1" s="98"/>
      <c r="AZ1" s="98"/>
      <c r="BA1" s="98"/>
      <c r="BB1" s="98"/>
      <c r="BD1" s="98" t="s">
        <v>142</v>
      </c>
      <c r="BE1" s="98"/>
      <c r="BF1" s="98"/>
      <c r="BG1" s="98"/>
      <c r="BH1" s="98"/>
      <c r="BI1" s="98"/>
      <c r="BK1" s="98" t="s">
        <v>143</v>
      </c>
      <c r="BL1" s="98"/>
      <c r="BM1" s="98"/>
      <c r="BN1" s="98"/>
      <c r="BO1" s="98"/>
      <c r="BP1" s="98"/>
      <c r="BR1" s="98" t="s">
        <v>144</v>
      </c>
      <c r="BS1" s="98"/>
      <c r="BT1" s="98"/>
      <c r="BU1" s="98"/>
      <c r="BV1" s="98"/>
      <c r="BW1" s="98"/>
      <c r="BY1" s="98" t="s">
        <v>145</v>
      </c>
      <c r="BZ1" s="98"/>
      <c r="CA1" s="98"/>
      <c r="CB1" s="98"/>
      <c r="CC1" s="98"/>
      <c r="CD1" s="98"/>
      <c r="CF1" s="98" t="s">
        <v>108</v>
      </c>
      <c r="CG1" s="98"/>
      <c r="CH1" s="98"/>
      <c r="CI1" s="98"/>
      <c r="CJ1" s="98"/>
      <c r="CK1" s="98"/>
      <c r="CM1" s="98" t="s">
        <v>168</v>
      </c>
      <c r="CN1" s="98"/>
      <c r="CO1" s="98"/>
      <c r="CP1" s="98"/>
      <c r="CQ1" s="98"/>
      <c r="CR1" s="98"/>
      <c r="CT1" s="98" t="s">
        <v>170</v>
      </c>
      <c r="CU1" s="98"/>
      <c r="CV1" s="98"/>
      <c r="CW1" s="98"/>
      <c r="CX1" s="98"/>
      <c r="CY1" s="98"/>
      <c r="DA1" s="98" t="s">
        <v>169</v>
      </c>
      <c r="DB1" s="98"/>
      <c r="DC1" s="98"/>
      <c r="DD1" s="98"/>
      <c r="DE1" s="98"/>
      <c r="DF1" s="98"/>
    </row>
    <row r="2" spans="1:110" x14ac:dyDescent="0.25">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x14ac:dyDescent="0.25">
      <c r="A3" s="58" t="s">
        <v>173</v>
      </c>
      <c r="B3" s="58">
        <f>+E3/D3</f>
        <v>0.21300813008130121</v>
      </c>
      <c r="C3" s="3">
        <f>1/B3/Summary!$C$7</f>
        <v>4.6946564885496098E-3</v>
      </c>
      <c r="D3" s="59">
        <f>+K10</f>
        <v>3.0749999999999944</v>
      </c>
      <c r="E3" s="3">
        <v>0.65500000000000003</v>
      </c>
      <c r="G3" s="60">
        <v>1</v>
      </c>
      <c r="H3" s="61">
        <v>0.5</v>
      </c>
      <c r="I3" s="62">
        <f>+SUM($H3:H3)</f>
        <v>0.5</v>
      </c>
      <c r="J3" s="50">
        <v>2</v>
      </c>
      <c r="K3" s="58">
        <f t="shared" ref="K3:K9" si="0">+H3*J3</f>
        <v>1</v>
      </c>
      <c r="L3" s="63">
        <v>0</v>
      </c>
      <c r="N3" s="60">
        <v>1</v>
      </c>
      <c r="O3" s="61">
        <v>0.2</v>
      </c>
      <c r="P3" s="62">
        <f>+SUM($O3:O$3)</f>
        <v>0.2</v>
      </c>
      <c r="Q3" s="58">
        <f t="shared" ref="Q3:Q9" si="1">+J3</f>
        <v>2</v>
      </c>
      <c r="R3" s="58">
        <f t="shared" ref="R3:R9" si="2">+O3*Q3</f>
        <v>0.4</v>
      </c>
      <c r="S3" s="63">
        <v>0</v>
      </c>
      <c r="U3" s="60">
        <v>1</v>
      </c>
      <c r="V3" s="61">
        <v>0.15</v>
      </c>
      <c r="W3" s="62">
        <f>+SUM($V3:V$3)</f>
        <v>0.15</v>
      </c>
      <c r="X3" s="58">
        <f t="shared" ref="X3:X9" si="3">+J3</f>
        <v>2</v>
      </c>
      <c r="Y3" s="58">
        <f t="shared" ref="Y3:Y9" si="4">+V3*X3</f>
        <v>0.3</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0.1</v>
      </c>
      <c r="BF3" s="62">
        <f>+SUM($BE$3:BE3)</f>
        <v>0.1</v>
      </c>
      <c r="BG3" s="58">
        <f t="shared" ref="BG3:BG9" si="12">+AL3</f>
        <v>2</v>
      </c>
      <c r="BH3" s="58">
        <f t="shared" ref="BH3:BH9" si="13">+BE3*BG3</f>
        <v>0.2</v>
      </c>
      <c r="BI3" s="63">
        <v>0</v>
      </c>
      <c r="BK3" s="60">
        <v>1</v>
      </c>
      <c r="BL3" s="61">
        <v>0.1</v>
      </c>
      <c r="BM3" s="62">
        <f>+SUM($BL$3:BL3)</f>
        <v>0.1</v>
      </c>
      <c r="BN3" s="58">
        <f t="shared" ref="BN3:BN9" si="14">+AS3</f>
        <v>2</v>
      </c>
      <c r="BO3" s="58">
        <f t="shared" ref="BO3:BO9" si="15">+BL3*BN3</f>
        <v>0.2</v>
      </c>
      <c r="BP3" s="63">
        <v>0</v>
      </c>
      <c r="BR3" s="60">
        <v>1</v>
      </c>
      <c r="BS3" s="61">
        <v>0.1</v>
      </c>
      <c r="BT3" s="62">
        <f>+SUM($BS$3:BS3)</f>
        <v>0.1</v>
      </c>
      <c r="BU3" s="58">
        <f t="shared" ref="BU3:BU9" si="16">+AZ3</f>
        <v>2</v>
      </c>
      <c r="BV3" s="58">
        <f t="shared" ref="BV3:BV9" si="17">+BS3*BU3</f>
        <v>0.2</v>
      </c>
      <c r="BW3" s="63">
        <v>0</v>
      </c>
      <c r="BY3" s="60">
        <v>1</v>
      </c>
      <c r="BZ3" s="61">
        <v>0.35</v>
      </c>
      <c r="CA3" s="62">
        <f>+SUM($BZ$3:BZ3)</f>
        <v>0.35</v>
      </c>
      <c r="CB3" s="58">
        <f t="shared" ref="CB3:CB9" si="18">+BG3</f>
        <v>2</v>
      </c>
      <c r="CC3" s="58">
        <f t="shared" ref="CC3:CC9" si="19">+BZ3*CB3</f>
        <v>0.7</v>
      </c>
      <c r="CD3" s="63">
        <v>0</v>
      </c>
      <c r="CF3" s="60">
        <v>1</v>
      </c>
      <c r="CG3" s="61">
        <v>0</v>
      </c>
      <c r="CH3" s="62">
        <f>+SUM($CG$3:CG3)</f>
        <v>0</v>
      </c>
      <c r="CI3" s="58">
        <f t="shared" ref="CI3:CI9" si="20">+J3</f>
        <v>2</v>
      </c>
      <c r="CJ3" s="58">
        <f t="shared" ref="CJ3:CJ9" si="21">+CG3*CI3</f>
        <v>0</v>
      </c>
      <c r="CK3" s="63">
        <v>0</v>
      </c>
      <c r="CM3" s="60">
        <v>1</v>
      </c>
      <c r="CN3" s="61">
        <v>0.5</v>
      </c>
      <c r="CO3" s="62">
        <f>+SUM($CN$3:CN3)</f>
        <v>0.5</v>
      </c>
      <c r="CP3" s="83">
        <f>+J3</f>
        <v>2</v>
      </c>
      <c r="CQ3" s="58">
        <f t="shared" ref="CQ3" si="22">+CN3*CP3</f>
        <v>1</v>
      </c>
      <c r="CR3" s="63">
        <v>0</v>
      </c>
      <c r="CT3" s="60">
        <v>1</v>
      </c>
      <c r="CU3" s="61">
        <f>+H3</f>
        <v>0.5</v>
      </c>
      <c r="CV3" s="62">
        <f>+SUM($CU$3:CU3)</f>
        <v>0.5</v>
      </c>
      <c r="CW3" s="84">
        <f>+J3*2</f>
        <v>4</v>
      </c>
      <c r="CX3" s="58">
        <f t="shared" ref="CX3" si="23">+CU3*CW3</f>
        <v>2</v>
      </c>
      <c r="CY3" s="63">
        <v>0</v>
      </c>
      <c r="DA3" s="60">
        <v>1</v>
      </c>
      <c r="DB3" s="61">
        <v>0</v>
      </c>
      <c r="DC3" s="62">
        <f>+SUM($DB$3:DB3)</f>
        <v>0</v>
      </c>
      <c r="DD3" s="83">
        <f>+J3</f>
        <v>2</v>
      </c>
      <c r="DE3" s="58">
        <f t="shared" ref="DE3" si="24">+DB3*DD3</f>
        <v>0</v>
      </c>
      <c r="DF3" s="63">
        <v>0</v>
      </c>
    </row>
    <row r="4" spans="1:110" x14ac:dyDescent="0.25">
      <c r="A4" s="3" t="s">
        <v>114</v>
      </c>
      <c r="B4" s="58">
        <f>+E4/D4</f>
        <v>0.6535947712418303</v>
      </c>
      <c r="C4" s="3">
        <v>0</v>
      </c>
      <c r="D4" s="64">
        <f>+R10</f>
        <v>7.6499999999999977</v>
      </c>
      <c r="E4" s="3">
        <v>5</v>
      </c>
      <c r="G4" s="60">
        <v>2</v>
      </c>
      <c r="H4" s="61">
        <v>0.32</v>
      </c>
      <c r="I4" s="62">
        <f>+SUM($H$3:H4)</f>
        <v>0.82000000000000006</v>
      </c>
      <c r="J4" s="50">
        <v>3</v>
      </c>
      <c r="K4" s="58">
        <f>+H4*J4</f>
        <v>0.96</v>
      </c>
      <c r="L4" s="63">
        <v>0</v>
      </c>
      <c r="N4" s="60">
        <v>2</v>
      </c>
      <c r="O4" s="61">
        <v>0.25</v>
      </c>
      <c r="P4" s="62">
        <f>+SUM($O$3:O4)</f>
        <v>0.45</v>
      </c>
      <c r="Q4" s="58">
        <f t="shared" si="1"/>
        <v>3</v>
      </c>
      <c r="R4" s="58">
        <f t="shared" si="2"/>
        <v>0.75</v>
      </c>
      <c r="S4" s="63">
        <v>0</v>
      </c>
      <c r="U4" s="60">
        <v>2</v>
      </c>
      <c r="V4" s="61">
        <v>0.28000000000000003</v>
      </c>
      <c r="W4" s="62">
        <f>+SUM($V$3:V4)</f>
        <v>0.43000000000000005</v>
      </c>
      <c r="X4" s="58">
        <f t="shared" si="3"/>
        <v>3</v>
      </c>
      <c r="Y4" s="58">
        <f t="shared" si="4"/>
        <v>0.84000000000000008</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0.2</v>
      </c>
      <c r="BG4" s="58">
        <f t="shared" si="12"/>
        <v>3</v>
      </c>
      <c r="BH4" s="58">
        <f t="shared" si="13"/>
        <v>0.30000000000000004</v>
      </c>
      <c r="BI4" s="63">
        <v>0</v>
      </c>
      <c r="BK4" s="60">
        <v>2</v>
      </c>
      <c r="BL4" s="61">
        <v>0.1</v>
      </c>
      <c r="BM4" s="62">
        <f>+SUM($BL$3:BL4)</f>
        <v>0.2</v>
      </c>
      <c r="BN4" s="58">
        <f t="shared" si="14"/>
        <v>3</v>
      </c>
      <c r="BO4" s="58">
        <f t="shared" si="15"/>
        <v>0.30000000000000004</v>
      </c>
      <c r="BP4" s="63">
        <v>0</v>
      </c>
      <c r="BR4" s="60">
        <v>2</v>
      </c>
      <c r="BS4" s="61">
        <v>0.1</v>
      </c>
      <c r="BT4" s="62">
        <f>+SUM($BS$3:BS4)</f>
        <v>0.2</v>
      </c>
      <c r="BU4" s="58">
        <f t="shared" si="16"/>
        <v>3</v>
      </c>
      <c r="BV4" s="58">
        <f t="shared" si="17"/>
        <v>0.30000000000000004</v>
      </c>
      <c r="BW4" s="63">
        <v>0</v>
      </c>
      <c r="BY4" s="60">
        <v>2</v>
      </c>
      <c r="BZ4" s="61">
        <v>0.35</v>
      </c>
      <c r="CA4" s="62">
        <f>+SUM($BZ$3:BZ4)</f>
        <v>0.7</v>
      </c>
      <c r="CB4" s="58">
        <f t="shared" si="18"/>
        <v>3</v>
      </c>
      <c r="CC4" s="58">
        <f t="shared" si="19"/>
        <v>1.0499999999999998</v>
      </c>
      <c r="CD4" s="63">
        <v>0</v>
      </c>
      <c r="CF4" s="60">
        <v>2</v>
      </c>
      <c r="CG4" s="61">
        <v>0</v>
      </c>
      <c r="CH4" s="62">
        <f>+SUM($CG$3:CG4)</f>
        <v>0</v>
      </c>
      <c r="CI4" s="58">
        <f t="shared" si="20"/>
        <v>3</v>
      </c>
      <c r="CJ4" s="58">
        <f t="shared" si="21"/>
        <v>0</v>
      </c>
      <c r="CK4" s="63">
        <v>0</v>
      </c>
      <c r="CM4" s="60">
        <v>2</v>
      </c>
      <c r="CN4" s="61">
        <v>0.32</v>
      </c>
      <c r="CO4" s="62">
        <f>+SUM($CN$3:CN4)</f>
        <v>0.82000000000000006</v>
      </c>
      <c r="CP4" s="83">
        <f t="shared" ref="CP4:CP9" si="26">+J4</f>
        <v>3</v>
      </c>
      <c r="CQ4" s="58">
        <f>+CN4*CP4</f>
        <v>0.96</v>
      </c>
      <c r="CR4" s="63">
        <v>0</v>
      </c>
      <c r="CT4" s="60">
        <v>2</v>
      </c>
      <c r="CU4" s="61">
        <f t="shared" ref="CU4:CU8" si="27">+H4</f>
        <v>0.32</v>
      </c>
      <c r="CV4" s="62">
        <f>+SUM($CU$3:CU4)</f>
        <v>0.82000000000000006</v>
      </c>
      <c r="CW4" s="84">
        <f t="shared" ref="CW4:CW9" si="28">+J4*2</f>
        <v>6</v>
      </c>
      <c r="CX4" s="58">
        <f>+CU4*CW4</f>
        <v>1.92</v>
      </c>
      <c r="CY4" s="63">
        <v>0</v>
      </c>
      <c r="DA4" s="60">
        <v>2</v>
      </c>
      <c r="DB4" s="61">
        <v>0</v>
      </c>
      <c r="DC4" s="62">
        <f>+SUM($DB$3:DB4)</f>
        <v>0</v>
      </c>
      <c r="DD4" s="83">
        <f t="shared" ref="DD4:DD9" si="29">+J4</f>
        <v>3</v>
      </c>
      <c r="DE4" s="58">
        <f>+DB4*DD4</f>
        <v>0</v>
      </c>
      <c r="DF4" s="63">
        <v>0</v>
      </c>
    </row>
    <row r="5" spans="1:110" x14ac:dyDescent="0.25">
      <c r="A5" s="3" t="s">
        <v>115</v>
      </c>
      <c r="B5" s="58">
        <f>+E5/D5</f>
        <v>0.85653104925053569</v>
      </c>
      <c r="C5" s="3">
        <v>0</v>
      </c>
      <c r="D5" s="64">
        <f>+Y10</f>
        <v>9.3399999999999963</v>
      </c>
      <c r="E5" s="3">
        <v>8</v>
      </c>
      <c r="G5" s="60">
        <v>3</v>
      </c>
      <c r="H5" s="61">
        <v>0.105</v>
      </c>
      <c r="I5" s="62">
        <f>+SUM($H$3:H5)</f>
        <v>0.92500000000000004</v>
      </c>
      <c r="J5" s="50">
        <v>5</v>
      </c>
      <c r="K5" s="58">
        <f t="shared" si="0"/>
        <v>0.52500000000000002</v>
      </c>
      <c r="L5" s="63">
        <v>0</v>
      </c>
      <c r="N5" s="60">
        <v>3</v>
      </c>
      <c r="O5" s="61">
        <v>0.18</v>
      </c>
      <c r="P5" s="62">
        <f>+SUM($O$3:O5)</f>
        <v>0.63</v>
      </c>
      <c r="Q5" s="58">
        <f t="shared" si="1"/>
        <v>5</v>
      </c>
      <c r="R5" s="58">
        <f t="shared" si="2"/>
        <v>0.89999999999999991</v>
      </c>
      <c r="S5" s="63">
        <v>0</v>
      </c>
      <c r="U5" s="60">
        <v>3</v>
      </c>
      <c r="V5" s="61">
        <v>0.2</v>
      </c>
      <c r="W5" s="62">
        <f>+SUM($V$3:V5)</f>
        <v>0.63000000000000012</v>
      </c>
      <c r="X5" s="58">
        <f t="shared" si="3"/>
        <v>5</v>
      </c>
      <c r="Y5" s="58">
        <f t="shared" si="4"/>
        <v>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0.3</v>
      </c>
      <c r="BF5" s="62">
        <f>+SUM($BE$3:BE5)</f>
        <v>0.5</v>
      </c>
      <c r="BG5" s="58">
        <f t="shared" si="12"/>
        <v>5</v>
      </c>
      <c r="BH5" s="58">
        <f t="shared" si="13"/>
        <v>1.5</v>
      </c>
      <c r="BI5" s="63">
        <v>0</v>
      </c>
      <c r="BK5" s="60">
        <v>3</v>
      </c>
      <c r="BL5" s="61">
        <v>0.3</v>
      </c>
      <c r="BM5" s="62">
        <f>+SUM($BL$3:BL5)</f>
        <v>0.5</v>
      </c>
      <c r="BN5" s="58">
        <f t="shared" si="14"/>
        <v>5</v>
      </c>
      <c r="BO5" s="58">
        <f t="shared" si="15"/>
        <v>1.5</v>
      </c>
      <c r="BP5" s="63">
        <v>0</v>
      </c>
      <c r="BR5" s="60">
        <v>3</v>
      </c>
      <c r="BS5" s="61">
        <v>0.2</v>
      </c>
      <c r="BT5" s="62">
        <f>+SUM($BS$3:BS5)</f>
        <v>0.4</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v>0.105</v>
      </c>
      <c r="CO5" s="62">
        <f>+SUM($CN$3:CN5)</f>
        <v>0.92500000000000004</v>
      </c>
      <c r="CP5" s="83">
        <f t="shared" si="26"/>
        <v>5</v>
      </c>
      <c r="CQ5" s="58">
        <f t="shared" ref="CQ5:CQ9" si="30">+CN5*CP5</f>
        <v>0.52500000000000002</v>
      </c>
      <c r="CR5" s="63">
        <v>0</v>
      </c>
      <c r="CT5" s="60">
        <v>3</v>
      </c>
      <c r="CU5" s="61">
        <f t="shared" si="27"/>
        <v>0.105</v>
      </c>
      <c r="CV5" s="62">
        <f>+SUM($CU$3:CU5)</f>
        <v>0.92500000000000004</v>
      </c>
      <c r="CW5" s="84">
        <f t="shared" si="28"/>
        <v>10</v>
      </c>
      <c r="CX5" s="58">
        <f t="shared" ref="CX5:CX9" si="31">+CU5*CW5</f>
        <v>1.05</v>
      </c>
      <c r="CY5" s="63">
        <v>0</v>
      </c>
      <c r="DA5" s="60">
        <v>3</v>
      </c>
      <c r="DB5" s="61">
        <v>0.1</v>
      </c>
      <c r="DC5" s="62">
        <f>+SUM($DB$3:DB5)</f>
        <v>0.1</v>
      </c>
      <c r="DD5" s="83">
        <f t="shared" si="29"/>
        <v>5</v>
      </c>
      <c r="DE5" s="58">
        <f t="shared" ref="DE5:DE9" si="32">+DB5*DD5</f>
        <v>0.5</v>
      </c>
      <c r="DF5" s="63">
        <v>0</v>
      </c>
    </row>
    <row r="6" spans="1:110" x14ac:dyDescent="0.25">
      <c r="A6" s="3" t="s">
        <v>116</v>
      </c>
      <c r="B6" s="75">
        <f>+E6/D6</f>
        <v>0.95510983763132773</v>
      </c>
      <c r="C6" s="3">
        <v>0</v>
      </c>
      <c r="D6" s="64">
        <f>+AF10</f>
        <v>10.469999999999999</v>
      </c>
      <c r="E6" s="3">
        <v>10</v>
      </c>
      <c r="G6" s="60">
        <v>4</v>
      </c>
      <c r="H6" s="61">
        <v>7.0000000000000007E-2</v>
      </c>
      <c r="I6" s="62">
        <f>+SUM($H$3:H6)</f>
        <v>0.99500000000000011</v>
      </c>
      <c r="J6" s="50">
        <v>7</v>
      </c>
      <c r="K6" s="58">
        <f t="shared" si="0"/>
        <v>0.49000000000000005</v>
      </c>
      <c r="L6" s="63">
        <v>0</v>
      </c>
      <c r="N6" s="60">
        <v>4</v>
      </c>
      <c r="O6" s="61">
        <v>0.2</v>
      </c>
      <c r="P6" s="62">
        <f>+SUM($O$3:O6)</f>
        <v>0.83000000000000007</v>
      </c>
      <c r="Q6" s="58">
        <f t="shared" si="1"/>
        <v>7</v>
      </c>
      <c r="R6" s="58">
        <f t="shared" si="2"/>
        <v>1.4000000000000001</v>
      </c>
      <c r="S6" s="63">
        <v>0</v>
      </c>
      <c r="U6" s="60">
        <v>4</v>
      </c>
      <c r="V6" s="61">
        <v>0.1</v>
      </c>
      <c r="W6" s="62">
        <f>+SUM($V$3:V6)</f>
        <v>0.73000000000000009</v>
      </c>
      <c r="X6" s="58">
        <f t="shared" si="3"/>
        <v>7</v>
      </c>
      <c r="Y6" s="58">
        <f t="shared" si="4"/>
        <v>0.70000000000000007</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0.35</v>
      </c>
      <c r="AY6" s="62">
        <f>+SUM($AX$3:AX6)</f>
        <v>0.37</v>
      </c>
      <c r="AZ6" s="58">
        <f t="shared" si="10"/>
        <v>7</v>
      </c>
      <c r="BA6" s="58">
        <f t="shared" si="11"/>
        <v>2.4499999999999997</v>
      </c>
      <c r="BB6" s="63">
        <v>0</v>
      </c>
      <c r="BD6" s="60">
        <v>4</v>
      </c>
      <c r="BE6" s="61">
        <v>0.1</v>
      </c>
      <c r="BF6" s="62">
        <f>+SUM($BE$3:BE6)</f>
        <v>0.6</v>
      </c>
      <c r="BG6" s="58">
        <f t="shared" si="12"/>
        <v>7</v>
      </c>
      <c r="BH6" s="58">
        <f t="shared" si="13"/>
        <v>0.70000000000000007</v>
      </c>
      <c r="BI6" s="63">
        <v>0</v>
      </c>
      <c r="BK6" s="60">
        <v>4</v>
      </c>
      <c r="BL6" s="61">
        <v>0.2</v>
      </c>
      <c r="BM6" s="62">
        <f>+SUM($BL$3:BL6)</f>
        <v>0.7</v>
      </c>
      <c r="BN6" s="58">
        <f t="shared" si="14"/>
        <v>7</v>
      </c>
      <c r="BO6" s="58">
        <f t="shared" si="15"/>
        <v>1.4000000000000001</v>
      </c>
      <c r="BP6" s="63">
        <v>0</v>
      </c>
      <c r="BR6" s="60">
        <v>4</v>
      </c>
      <c r="BS6" s="61">
        <v>0.25</v>
      </c>
      <c r="BT6" s="62">
        <f>+SUM($BS$3:BS6)</f>
        <v>0.65</v>
      </c>
      <c r="BU6" s="58">
        <f t="shared" si="16"/>
        <v>7</v>
      </c>
      <c r="BV6" s="58">
        <f t="shared" si="17"/>
        <v>1.75</v>
      </c>
      <c r="BW6" s="63">
        <v>0</v>
      </c>
      <c r="BY6" s="60">
        <v>4</v>
      </c>
      <c r="BZ6" s="61">
        <v>0.04</v>
      </c>
      <c r="CA6" s="62">
        <f>+SUM($BZ$3:BZ6)</f>
        <v>0.94</v>
      </c>
      <c r="CB6" s="58">
        <f t="shared" si="18"/>
        <v>7</v>
      </c>
      <c r="CC6" s="58">
        <f t="shared" si="19"/>
        <v>0.28000000000000003</v>
      </c>
      <c r="CD6" s="63">
        <v>0</v>
      </c>
      <c r="CF6" s="60">
        <v>4</v>
      </c>
      <c r="CG6" s="61">
        <v>0</v>
      </c>
      <c r="CH6" s="62">
        <f>+SUM($CG$3:CG6)</f>
        <v>0</v>
      </c>
      <c r="CI6" s="58">
        <f t="shared" si="20"/>
        <v>7</v>
      </c>
      <c r="CJ6" s="58">
        <f t="shared" si="21"/>
        <v>0</v>
      </c>
      <c r="CK6" s="63">
        <v>0</v>
      </c>
      <c r="CM6" s="60">
        <v>4</v>
      </c>
      <c r="CN6" s="61">
        <v>7.0000000000000007E-2</v>
      </c>
      <c r="CO6" s="62">
        <f>+SUM($CN$3:CN6)</f>
        <v>0.99500000000000011</v>
      </c>
      <c r="CP6" s="83">
        <f t="shared" si="26"/>
        <v>7</v>
      </c>
      <c r="CQ6" s="58">
        <f t="shared" si="30"/>
        <v>0.49000000000000005</v>
      </c>
      <c r="CR6" s="63">
        <v>0</v>
      </c>
      <c r="CT6" s="60">
        <v>4</v>
      </c>
      <c r="CU6" s="61">
        <f t="shared" si="27"/>
        <v>7.0000000000000007E-2</v>
      </c>
      <c r="CV6" s="62">
        <f>+SUM($CU$3:CU6)</f>
        <v>0.99500000000000011</v>
      </c>
      <c r="CW6" s="84">
        <f t="shared" si="28"/>
        <v>14</v>
      </c>
      <c r="CX6" s="58">
        <f t="shared" si="31"/>
        <v>0.98000000000000009</v>
      </c>
      <c r="CY6" s="63">
        <v>0</v>
      </c>
      <c r="DA6" s="60">
        <v>4</v>
      </c>
      <c r="DB6" s="61">
        <v>0.15</v>
      </c>
      <c r="DC6" s="62">
        <f>+SUM($DB$3:DB6)</f>
        <v>0.25</v>
      </c>
      <c r="DD6" s="83">
        <f t="shared" si="29"/>
        <v>7</v>
      </c>
      <c r="DE6" s="58">
        <f t="shared" si="32"/>
        <v>1.05</v>
      </c>
      <c r="DF6" s="63">
        <v>0</v>
      </c>
    </row>
    <row r="7" spans="1:110" x14ac:dyDescent="0.25">
      <c r="A7" s="75" t="s">
        <v>133</v>
      </c>
      <c r="B7" s="75">
        <f t="shared" ref="B7:B13" si="33">+E7/D7</f>
        <v>0.95238095238095233</v>
      </c>
      <c r="C7" s="3">
        <v>0</v>
      </c>
      <c r="D7" s="64">
        <f>+AM10</f>
        <v>21</v>
      </c>
      <c r="E7" s="3">
        <v>20</v>
      </c>
      <c r="G7" s="60">
        <v>5</v>
      </c>
      <c r="H7" s="61">
        <v>3.0000000000000001E-3</v>
      </c>
      <c r="I7" s="62">
        <f>+SUM($H$3:H7)</f>
        <v>0.99800000000000011</v>
      </c>
      <c r="J7" s="50">
        <v>10</v>
      </c>
      <c r="K7" s="58">
        <f t="shared" si="0"/>
        <v>0.03</v>
      </c>
      <c r="L7" s="63">
        <v>0</v>
      </c>
      <c r="N7" s="60">
        <v>5</v>
      </c>
      <c r="O7" s="61">
        <v>0.1</v>
      </c>
      <c r="P7" s="62">
        <f>+SUM($O$3:O7)</f>
        <v>0.93</v>
      </c>
      <c r="Q7" s="58">
        <f t="shared" si="1"/>
        <v>10</v>
      </c>
      <c r="R7" s="58">
        <f t="shared" si="2"/>
        <v>1</v>
      </c>
      <c r="S7" s="63">
        <v>0</v>
      </c>
      <c r="U7" s="60">
        <v>5</v>
      </c>
      <c r="V7" s="61">
        <v>0.1</v>
      </c>
      <c r="W7" s="62">
        <f>+SUM($V$3:V7)</f>
        <v>0.83000000000000007</v>
      </c>
      <c r="X7" s="58">
        <f t="shared" si="3"/>
        <v>10</v>
      </c>
      <c r="Y7" s="58">
        <f t="shared" si="4"/>
        <v>1</v>
      </c>
      <c r="Z7" s="63">
        <v>0</v>
      </c>
      <c r="AB7" s="60">
        <v>5</v>
      </c>
      <c r="AC7" s="61">
        <v>0.6</v>
      </c>
      <c r="AD7" s="62">
        <f>+SUM($AC$3:AC7)</f>
        <v>0.89</v>
      </c>
      <c r="AE7" s="58">
        <f t="shared" si="5"/>
        <v>10</v>
      </c>
      <c r="AF7" s="58">
        <f t="shared" si="6"/>
        <v>6</v>
      </c>
      <c r="AG7" s="63">
        <v>0</v>
      </c>
      <c r="AI7" s="60">
        <v>5</v>
      </c>
      <c r="AJ7" s="61">
        <v>0.35</v>
      </c>
      <c r="AK7" s="62">
        <f>+SUM($AJ$3:AJ7)</f>
        <v>0.35</v>
      </c>
      <c r="AL7" s="58">
        <f t="shared" si="7"/>
        <v>10</v>
      </c>
      <c r="AM7" s="58">
        <f t="shared" si="8"/>
        <v>3.5</v>
      </c>
      <c r="AN7" s="63">
        <v>0</v>
      </c>
      <c r="AP7" s="60">
        <v>5</v>
      </c>
      <c r="AQ7" s="61">
        <v>0</v>
      </c>
      <c r="AR7" s="62">
        <f>+SUM($AQ$3:AQ7)</f>
        <v>1</v>
      </c>
      <c r="AS7" s="58">
        <f t="shared" si="9"/>
        <v>10</v>
      </c>
      <c r="AT7" s="58">
        <f t="shared" si="25"/>
        <v>0</v>
      </c>
      <c r="AU7" s="63">
        <v>0</v>
      </c>
      <c r="AW7" s="60">
        <v>5</v>
      </c>
      <c r="AX7" s="61">
        <v>0.55000000000000004</v>
      </c>
      <c r="AY7" s="62">
        <f>+SUM($AX$3:AX7)</f>
        <v>0.92</v>
      </c>
      <c r="AZ7" s="58">
        <f t="shared" si="10"/>
        <v>10</v>
      </c>
      <c r="BA7" s="58">
        <f t="shared" si="11"/>
        <v>5.5</v>
      </c>
      <c r="BB7" s="63">
        <v>0</v>
      </c>
      <c r="BD7" s="60">
        <v>5</v>
      </c>
      <c r="BE7" s="61">
        <v>0.1</v>
      </c>
      <c r="BF7" s="62">
        <f>+SUM($BE$3:BE7)</f>
        <v>0.7</v>
      </c>
      <c r="BG7" s="58">
        <f t="shared" si="12"/>
        <v>10</v>
      </c>
      <c r="BH7" s="58">
        <f t="shared" si="13"/>
        <v>1</v>
      </c>
      <c r="BI7" s="63">
        <v>0</v>
      </c>
      <c r="BK7" s="60">
        <v>5</v>
      </c>
      <c r="BL7" s="61">
        <v>0.1</v>
      </c>
      <c r="BM7" s="62">
        <f>+SUM($BL$3:BL7)</f>
        <v>0.79999999999999993</v>
      </c>
      <c r="BN7" s="58">
        <f t="shared" si="14"/>
        <v>10</v>
      </c>
      <c r="BO7" s="58">
        <f t="shared" si="15"/>
        <v>1</v>
      </c>
      <c r="BP7" s="63">
        <v>0</v>
      </c>
      <c r="BR7" s="60">
        <v>5</v>
      </c>
      <c r="BS7" s="61">
        <v>0.1</v>
      </c>
      <c r="BT7" s="62">
        <f>+SUM($BS$3:BS7)</f>
        <v>0.75</v>
      </c>
      <c r="BU7" s="58">
        <f t="shared" si="16"/>
        <v>10</v>
      </c>
      <c r="BV7" s="58">
        <f t="shared" si="17"/>
        <v>1</v>
      </c>
      <c r="BW7" s="63">
        <v>0</v>
      </c>
      <c r="BY7" s="60">
        <v>5</v>
      </c>
      <c r="BZ7" s="61">
        <v>0.03</v>
      </c>
      <c r="CA7" s="62">
        <f>+SUM($BZ$3:BZ7)</f>
        <v>0.97</v>
      </c>
      <c r="CB7" s="58">
        <f t="shared" si="18"/>
        <v>10</v>
      </c>
      <c r="CC7" s="58">
        <f t="shared" si="19"/>
        <v>0.3</v>
      </c>
      <c r="CD7" s="63">
        <v>0</v>
      </c>
      <c r="CF7" s="60">
        <v>5</v>
      </c>
      <c r="CG7" s="61">
        <v>0</v>
      </c>
      <c r="CH7" s="62">
        <f>+SUM($CG$3:CG7)</f>
        <v>0</v>
      </c>
      <c r="CI7" s="58">
        <f t="shared" si="20"/>
        <v>10</v>
      </c>
      <c r="CJ7" s="58">
        <f t="shared" si="21"/>
        <v>0</v>
      </c>
      <c r="CK7" s="63">
        <v>0</v>
      </c>
      <c r="CM7" s="60">
        <v>5</v>
      </c>
      <c r="CN7" s="61">
        <v>3.0000000000000001E-3</v>
      </c>
      <c r="CO7" s="62">
        <f>+SUM($CN$3:CN7)</f>
        <v>0.99800000000000011</v>
      </c>
      <c r="CP7" s="83">
        <f t="shared" si="26"/>
        <v>10</v>
      </c>
      <c r="CQ7" s="58">
        <f t="shared" si="30"/>
        <v>0.03</v>
      </c>
      <c r="CR7" s="63">
        <v>0</v>
      </c>
      <c r="CT7" s="60">
        <v>5</v>
      </c>
      <c r="CU7" s="61">
        <f t="shared" si="27"/>
        <v>3.0000000000000001E-3</v>
      </c>
      <c r="CV7" s="62">
        <f>+SUM($CU$3:CU7)</f>
        <v>0.99800000000000011</v>
      </c>
      <c r="CW7" s="84">
        <f t="shared" si="28"/>
        <v>20</v>
      </c>
      <c r="CX7" s="58">
        <f t="shared" si="31"/>
        <v>0.06</v>
      </c>
      <c r="CY7" s="63">
        <v>0</v>
      </c>
      <c r="DA7" s="60">
        <v>5</v>
      </c>
      <c r="DB7" s="61">
        <v>0.15</v>
      </c>
      <c r="DC7" s="62">
        <f>+SUM($DB$3:DB7)</f>
        <v>0.4</v>
      </c>
      <c r="DD7" s="83">
        <f t="shared" si="29"/>
        <v>10</v>
      </c>
      <c r="DE7" s="58">
        <f t="shared" si="32"/>
        <v>1.5</v>
      </c>
      <c r="DF7" s="63">
        <v>0</v>
      </c>
    </row>
    <row r="8" spans="1:110" x14ac:dyDescent="0.25">
      <c r="A8" s="75" t="s">
        <v>134</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0.1</v>
      </c>
      <c r="W8" s="62">
        <f>+SUM($V$3:V8)</f>
        <v>0.93</v>
      </c>
      <c r="X8" s="58">
        <f t="shared" si="3"/>
        <v>20</v>
      </c>
      <c r="Y8" s="58">
        <f t="shared" si="4"/>
        <v>2</v>
      </c>
      <c r="Z8" s="63">
        <v>0</v>
      </c>
      <c r="AB8" s="60">
        <v>6</v>
      </c>
      <c r="AC8" s="61">
        <v>0.1</v>
      </c>
      <c r="AD8" s="62">
        <f>+SUM($AC$3:AC8)</f>
        <v>0.99</v>
      </c>
      <c r="AE8" s="58">
        <f t="shared" si="5"/>
        <v>20</v>
      </c>
      <c r="AF8" s="58">
        <f t="shared" si="6"/>
        <v>2</v>
      </c>
      <c r="AG8" s="63">
        <v>0</v>
      </c>
      <c r="AI8" s="60">
        <v>6</v>
      </c>
      <c r="AJ8" s="61">
        <v>0.5</v>
      </c>
      <c r="AK8" s="62">
        <f>+SUM($AJ$3:AJ8)</f>
        <v>0.85</v>
      </c>
      <c r="AL8" s="58">
        <f t="shared" si="7"/>
        <v>20</v>
      </c>
      <c r="AM8" s="58">
        <f t="shared" si="8"/>
        <v>10</v>
      </c>
      <c r="AN8" s="63">
        <v>0</v>
      </c>
      <c r="AP8" s="60">
        <v>6</v>
      </c>
      <c r="AQ8" s="61">
        <v>0</v>
      </c>
      <c r="AR8" s="62">
        <f>+SUM($AQ$3:AQ8)</f>
        <v>1</v>
      </c>
      <c r="AS8" s="58">
        <f t="shared" si="9"/>
        <v>20</v>
      </c>
      <c r="AT8" s="58">
        <f t="shared" si="25"/>
        <v>0</v>
      </c>
      <c r="AU8" s="63">
        <v>0</v>
      </c>
      <c r="AW8" s="60">
        <v>6</v>
      </c>
      <c r="AX8" s="61">
        <v>0.05</v>
      </c>
      <c r="AY8" s="62">
        <f>+SUM($AX$3:AX8)</f>
        <v>0.97000000000000008</v>
      </c>
      <c r="AZ8" s="58">
        <f t="shared" si="10"/>
        <v>20</v>
      </c>
      <c r="BA8" s="58">
        <f t="shared" si="11"/>
        <v>1</v>
      </c>
      <c r="BB8" s="63">
        <v>0</v>
      </c>
      <c r="BD8" s="60">
        <v>6</v>
      </c>
      <c r="BE8" s="61">
        <v>0.2</v>
      </c>
      <c r="BF8" s="62">
        <f>+SUM($BE$3:BE8)</f>
        <v>0.89999999999999991</v>
      </c>
      <c r="BG8" s="58">
        <f t="shared" si="12"/>
        <v>20</v>
      </c>
      <c r="BH8" s="58">
        <f t="shared" si="13"/>
        <v>4</v>
      </c>
      <c r="BI8" s="63">
        <v>0</v>
      </c>
      <c r="BK8" s="60">
        <v>6</v>
      </c>
      <c r="BL8" s="61">
        <v>0.1</v>
      </c>
      <c r="BM8" s="62">
        <f>+SUM($BL$3:BL8)</f>
        <v>0.89999999999999991</v>
      </c>
      <c r="BN8" s="58">
        <f t="shared" si="14"/>
        <v>20</v>
      </c>
      <c r="BO8" s="58">
        <f t="shared" si="15"/>
        <v>2</v>
      </c>
      <c r="BP8" s="63">
        <v>0</v>
      </c>
      <c r="BR8" s="60">
        <v>6</v>
      </c>
      <c r="BS8" s="61">
        <v>0.15</v>
      </c>
      <c r="BT8" s="62">
        <f>+SUM($BS$3:BS8)</f>
        <v>0.9</v>
      </c>
      <c r="BU8" s="58">
        <f t="shared" si="16"/>
        <v>20</v>
      </c>
      <c r="BV8" s="58">
        <f t="shared" si="17"/>
        <v>3</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v>1E-3</v>
      </c>
      <c r="CO8" s="62">
        <f>+SUM($CN$3:CN8)</f>
        <v>0.99900000000000011</v>
      </c>
      <c r="CP8" s="83">
        <f t="shared" si="26"/>
        <v>20</v>
      </c>
      <c r="CQ8" s="58">
        <f t="shared" si="30"/>
        <v>0.02</v>
      </c>
      <c r="CR8" s="63">
        <v>0</v>
      </c>
      <c r="CT8" s="60">
        <v>6</v>
      </c>
      <c r="CU8" s="61">
        <f t="shared" si="27"/>
        <v>1E-3</v>
      </c>
      <c r="CV8" s="62">
        <f>+SUM($CU$3:CU8)</f>
        <v>0.99900000000000011</v>
      </c>
      <c r="CW8" s="84">
        <f t="shared" si="28"/>
        <v>40</v>
      </c>
      <c r="CX8" s="58">
        <f t="shared" si="31"/>
        <v>0.04</v>
      </c>
      <c r="CY8" s="63">
        <v>0</v>
      </c>
      <c r="DA8" s="60">
        <v>6</v>
      </c>
      <c r="DB8" s="61">
        <v>0.32</v>
      </c>
      <c r="DC8" s="62">
        <f>+SUM($DB$3:DB8)</f>
        <v>0.72</v>
      </c>
      <c r="DD8" s="83">
        <f t="shared" si="29"/>
        <v>20</v>
      </c>
      <c r="DE8" s="58">
        <f t="shared" si="32"/>
        <v>6.4</v>
      </c>
      <c r="DF8" s="63">
        <v>0</v>
      </c>
    </row>
    <row r="9" spans="1:110" x14ac:dyDescent="0.25">
      <c r="A9" s="75" t="s">
        <v>135</v>
      </c>
      <c r="B9" s="75">
        <f t="shared" si="33"/>
        <v>0.94786729857819929</v>
      </c>
      <c r="C9" s="3">
        <v>0</v>
      </c>
      <c r="D9" s="64">
        <f>+BA10</f>
        <v>10.549999999999997</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6.9999999999999951E-2</v>
      </c>
      <c r="W9" s="62">
        <f>+SUM($V$3:V9)</f>
        <v>1</v>
      </c>
      <c r="X9" s="58">
        <f t="shared" si="3"/>
        <v>50</v>
      </c>
      <c r="Y9" s="58">
        <f t="shared" si="4"/>
        <v>3.4999999999999973</v>
      </c>
      <c r="Z9" s="63">
        <v>0</v>
      </c>
      <c r="AB9" s="60">
        <v>7</v>
      </c>
      <c r="AC9" s="66">
        <f>1-SUM(AC3:AC8)</f>
        <v>1.0000000000000009E-2</v>
      </c>
      <c r="AD9" s="62">
        <f>+SUM($AC$3:AC9)</f>
        <v>1</v>
      </c>
      <c r="AE9" s="58">
        <f t="shared" si="5"/>
        <v>50</v>
      </c>
      <c r="AF9" s="58">
        <f t="shared" si="6"/>
        <v>0.50000000000000044</v>
      </c>
      <c r="AG9" s="63">
        <v>0</v>
      </c>
      <c r="AI9" s="60">
        <v>7</v>
      </c>
      <c r="AJ9" s="66">
        <f>1-SUM(AJ3:AJ8)</f>
        <v>0.15000000000000002</v>
      </c>
      <c r="AK9" s="62">
        <f>+SUM($AJ$3:AJ9)</f>
        <v>1</v>
      </c>
      <c r="AL9" s="58">
        <f t="shared" si="7"/>
        <v>50</v>
      </c>
      <c r="AM9" s="58">
        <f t="shared" si="8"/>
        <v>7.5000000000000009</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0.10000000000000009</v>
      </c>
      <c r="BF9" s="62">
        <f>+SUM($BE$3:BE9)</f>
        <v>1</v>
      </c>
      <c r="BG9" s="58">
        <f t="shared" si="12"/>
        <v>50</v>
      </c>
      <c r="BH9" s="58">
        <f t="shared" si="13"/>
        <v>5.0000000000000044</v>
      </c>
      <c r="BI9" s="63">
        <v>0</v>
      </c>
      <c r="BK9" s="60">
        <v>7</v>
      </c>
      <c r="BL9" s="66">
        <f>1-SUM(BL3:BL8)</f>
        <v>0.10000000000000009</v>
      </c>
      <c r="BM9" s="62">
        <f>+SUM($BL$3:BL9)</f>
        <v>1</v>
      </c>
      <c r="BN9" s="58">
        <f t="shared" si="14"/>
        <v>50</v>
      </c>
      <c r="BO9" s="58">
        <f t="shared" si="15"/>
        <v>5.0000000000000044</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6"/>
        <v>50</v>
      </c>
      <c r="CQ9" s="58">
        <f t="shared" si="30"/>
        <v>4.9999999999994493E-2</v>
      </c>
      <c r="CR9" s="63">
        <v>0</v>
      </c>
      <c r="CT9" s="60">
        <v>7</v>
      </c>
      <c r="CU9" s="66">
        <f>1-SUM(CU3:CU8)</f>
        <v>9.9999999999988987E-4</v>
      </c>
      <c r="CV9" s="62">
        <f>+SUM($CU$3:CU9)</f>
        <v>1</v>
      </c>
      <c r="CW9" s="84">
        <f t="shared" si="28"/>
        <v>100</v>
      </c>
      <c r="CX9" s="58">
        <f t="shared" si="31"/>
        <v>9.9999999999988987E-2</v>
      </c>
      <c r="CY9" s="63">
        <v>0</v>
      </c>
      <c r="DA9" s="60">
        <v>7</v>
      </c>
      <c r="DB9" s="66">
        <f>1-SUM(DB3:DB8)</f>
        <v>0.28000000000000003</v>
      </c>
      <c r="DC9" s="62">
        <f>+SUM($DB$3:DB9)</f>
        <v>1</v>
      </c>
      <c r="DD9" s="83">
        <f t="shared" si="29"/>
        <v>50</v>
      </c>
      <c r="DE9" s="58">
        <f t="shared" si="32"/>
        <v>14.000000000000002</v>
      </c>
      <c r="DF9" s="63">
        <v>0</v>
      </c>
    </row>
    <row r="10" spans="1:110" x14ac:dyDescent="0.25">
      <c r="A10" s="75" t="s">
        <v>136</v>
      </c>
      <c r="B10" s="75">
        <f t="shared" si="33"/>
        <v>0.86614173228346425</v>
      </c>
      <c r="C10" s="3">
        <v>0</v>
      </c>
      <c r="D10" s="64">
        <f>+BH10</f>
        <v>12.700000000000005</v>
      </c>
      <c r="E10" s="3">
        <v>11</v>
      </c>
      <c r="G10" s="50" t="s">
        <v>71</v>
      </c>
      <c r="H10" s="50">
        <f>+SUM(H3:H9)</f>
        <v>1</v>
      </c>
      <c r="I10" s="50"/>
      <c r="J10" s="50"/>
      <c r="K10" s="51">
        <f>+SUM(K3:K9)</f>
        <v>3.0749999999999944</v>
      </c>
      <c r="L10" s="51"/>
      <c r="N10" s="50" t="s">
        <v>71</v>
      </c>
      <c r="O10" s="50">
        <f>+SUM(O3:O9)</f>
        <v>1</v>
      </c>
      <c r="P10" s="50"/>
      <c r="Q10" s="50"/>
      <c r="R10" s="51">
        <f>+SUM(R3:R9)</f>
        <v>7.6499999999999977</v>
      </c>
      <c r="S10" s="51"/>
      <c r="U10" s="50" t="s">
        <v>71</v>
      </c>
      <c r="V10" s="50">
        <f>+SUM(V3:V9)</f>
        <v>1</v>
      </c>
      <c r="W10" s="50"/>
      <c r="X10" s="50"/>
      <c r="Y10" s="51">
        <f>+SUM(Y3:Y9)</f>
        <v>9.3399999999999963</v>
      </c>
      <c r="Z10" s="51"/>
      <c r="AB10" s="50" t="s">
        <v>71</v>
      </c>
      <c r="AC10" s="50">
        <f>+SUM(AC3:AC9)</f>
        <v>1</v>
      </c>
      <c r="AD10" s="50"/>
      <c r="AE10" s="50"/>
      <c r="AF10" s="51">
        <f>+SUM(AF3:AF9)</f>
        <v>10.469999999999999</v>
      </c>
      <c r="AG10" s="51"/>
      <c r="AI10" s="50" t="s">
        <v>71</v>
      </c>
      <c r="AJ10" s="50">
        <f>+SUM(AJ3:AJ9)</f>
        <v>1</v>
      </c>
      <c r="AK10" s="50"/>
      <c r="AL10" s="50"/>
      <c r="AM10" s="51">
        <f>+SUM(AM3:AM9)</f>
        <v>21</v>
      </c>
      <c r="AN10" s="51"/>
      <c r="AP10" s="50" t="s">
        <v>71</v>
      </c>
      <c r="AQ10" s="50">
        <f>+SUM(AQ3:AQ9)</f>
        <v>1</v>
      </c>
      <c r="AR10" s="50"/>
      <c r="AS10" s="50"/>
      <c r="AT10" s="51">
        <f>+SUM(AT3:AT9)</f>
        <v>5</v>
      </c>
      <c r="AU10" s="51"/>
      <c r="AW10" s="50" t="s">
        <v>71</v>
      </c>
      <c r="AX10" s="50">
        <f>+SUM(AX3:AX9)</f>
        <v>1</v>
      </c>
      <c r="AY10" s="50"/>
      <c r="AZ10" s="50"/>
      <c r="BA10" s="51">
        <f>+SUM(BA3:BA9)</f>
        <v>10.549999999999997</v>
      </c>
      <c r="BB10" s="51"/>
      <c r="BD10" s="50" t="s">
        <v>71</v>
      </c>
      <c r="BE10" s="50">
        <f>+SUM(BE3:BE9)</f>
        <v>1</v>
      </c>
      <c r="BF10" s="50"/>
      <c r="BG10" s="50"/>
      <c r="BH10" s="51">
        <f>+SUM(BH3:BH9)</f>
        <v>12.700000000000005</v>
      </c>
      <c r="BI10" s="51"/>
      <c r="BK10" s="50" t="s">
        <v>71</v>
      </c>
      <c r="BL10" s="50">
        <f>+SUM(BL3:BL9)</f>
        <v>1</v>
      </c>
      <c r="BM10" s="50"/>
      <c r="BN10" s="50"/>
      <c r="BO10" s="51">
        <f>+SUM(BO3:BO9)</f>
        <v>11.400000000000006</v>
      </c>
      <c r="BP10" s="51"/>
      <c r="BR10" s="50" t="s">
        <v>71</v>
      </c>
      <c r="BS10" s="50">
        <f>+SUM(BS3:BS9)</f>
        <v>1</v>
      </c>
      <c r="BT10" s="50"/>
      <c r="BU10" s="50"/>
      <c r="BV10" s="51">
        <f>+SUM(BV3:BV9)</f>
        <v>12.25</v>
      </c>
      <c r="BW10" s="51"/>
      <c r="BY10" s="50" t="s">
        <v>71</v>
      </c>
      <c r="BZ10" s="50">
        <f>+SUM(BZ3:BZ9)</f>
        <v>1</v>
      </c>
      <c r="CA10" s="50"/>
      <c r="CB10" s="50"/>
      <c r="CC10" s="51">
        <f>+SUM(CC3:CC9)</f>
        <v>4.2300000000000004</v>
      </c>
      <c r="CD10" s="51"/>
      <c r="CF10" s="50" t="s">
        <v>71</v>
      </c>
      <c r="CG10" s="50">
        <f>+SUM(CG3:CG9)</f>
        <v>1</v>
      </c>
      <c r="CH10" s="50"/>
      <c r="CI10" s="50"/>
      <c r="CJ10" s="51">
        <f>+SUM(CJ3:CJ9)</f>
        <v>50</v>
      </c>
      <c r="CK10" s="51"/>
      <c r="CM10" s="50" t="s">
        <v>71</v>
      </c>
      <c r="CN10" s="50">
        <f>+SUM(CN3:CN9)</f>
        <v>1</v>
      </c>
      <c r="CO10" s="50"/>
      <c r="CP10" s="50"/>
      <c r="CQ10" s="51">
        <f>+SUM(CQ3:CQ9)</f>
        <v>3.0749999999999944</v>
      </c>
      <c r="CR10" s="51"/>
      <c r="CT10" s="50" t="s">
        <v>71</v>
      </c>
      <c r="CU10" s="50">
        <f>+SUM(CU3:CU9)</f>
        <v>1</v>
      </c>
      <c r="CV10" s="50"/>
      <c r="CW10" s="50"/>
      <c r="CX10" s="51">
        <f>+SUM(CX3:CX9)</f>
        <v>6.1499999999999888</v>
      </c>
      <c r="CY10" s="51"/>
      <c r="DA10" s="50" t="s">
        <v>71</v>
      </c>
      <c r="DB10" s="50">
        <f>+SUM(DB3:DB9)</f>
        <v>1</v>
      </c>
      <c r="DC10" s="50"/>
      <c r="DD10" s="50"/>
      <c r="DE10" s="51">
        <f>+SUM(DE3:DE9)</f>
        <v>23.450000000000003</v>
      </c>
      <c r="DF10" s="51"/>
    </row>
    <row r="11" spans="1:110" x14ac:dyDescent="0.25">
      <c r="A11" s="75" t="s">
        <v>137</v>
      </c>
      <c r="B11" s="75">
        <f t="shared" si="33"/>
        <v>0.96491228070175394</v>
      </c>
      <c r="C11" s="3">
        <v>0</v>
      </c>
      <c r="D11" s="64">
        <f>+BO10</f>
        <v>11.400000000000006</v>
      </c>
      <c r="E11" s="3">
        <v>11</v>
      </c>
    </row>
    <row r="12" spans="1:110" x14ac:dyDescent="0.25">
      <c r="A12" s="75" t="s">
        <v>138</v>
      </c>
      <c r="B12" s="75">
        <f t="shared" si="33"/>
        <v>0.81632653061224492</v>
      </c>
      <c r="C12" s="3">
        <v>0</v>
      </c>
      <c r="D12" s="64">
        <f>+BV10</f>
        <v>12.25</v>
      </c>
      <c r="E12" s="3">
        <v>10</v>
      </c>
    </row>
    <row r="13" spans="1:110" x14ac:dyDescent="0.25">
      <c r="A13" s="85" t="s">
        <v>171</v>
      </c>
      <c r="B13" s="75">
        <f t="shared" si="33"/>
        <v>0.39125295508274227</v>
      </c>
      <c r="C13" s="3">
        <f>1/B13/Summary!$C$7</f>
        <v>2.555891238670695E-3</v>
      </c>
      <c r="D13" s="64">
        <f>+CC10</f>
        <v>4.2300000000000004</v>
      </c>
      <c r="E13" s="3">
        <f>1+E3</f>
        <v>1.655</v>
      </c>
    </row>
    <row r="14" spans="1:110" x14ac:dyDescent="0.25">
      <c r="A14" s="85" t="s">
        <v>166</v>
      </c>
      <c r="B14" s="58">
        <f>+E14/D14</f>
        <v>0.42601626016260241</v>
      </c>
      <c r="C14" s="3">
        <f>1/B14/Summary!$C$7</f>
        <v>2.3473282442748049E-3</v>
      </c>
      <c r="D14" s="86">
        <f>+CQ10</f>
        <v>3.0749999999999944</v>
      </c>
      <c r="E14" s="3">
        <f>+E3*2</f>
        <v>1.31</v>
      </c>
    </row>
    <row r="15" spans="1:110" x14ac:dyDescent="0.25">
      <c r="A15" s="85" t="s">
        <v>167</v>
      </c>
      <c r="B15" s="58">
        <f>+E15/D15</f>
        <v>0.21300813008130121</v>
      </c>
      <c r="C15" s="3">
        <f>1/B15/Summary!$C$7</f>
        <v>4.6946564885496098E-3</v>
      </c>
      <c r="D15" s="86">
        <f>+CX10</f>
        <v>6.1499999999999888</v>
      </c>
      <c r="E15" s="3">
        <f>+E14</f>
        <v>1.31</v>
      </c>
    </row>
    <row r="16" spans="1:110" x14ac:dyDescent="0.25">
      <c r="A16" s="75" t="s">
        <v>165</v>
      </c>
      <c r="B16" s="58">
        <f>+E16/D16</f>
        <v>0.85287846481876317</v>
      </c>
      <c r="C16" s="3">
        <v>0</v>
      </c>
      <c r="D16" s="86">
        <f>+DE10</f>
        <v>23.450000000000003</v>
      </c>
      <c r="E16" s="3">
        <v>20</v>
      </c>
    </row>
    <row r="17" spans="1:5" x14ac:dyDescent="0.25">
      <c r="A17" s="3" t="s">
        <v>117</v>
      </c>
      <c r="B17" s="58">
        <f>+E17/D17</f>
        <v>1</v>
      </c>
      <c r="C17" s="3">
        <v>0</v>
      </c>
      <c r="D17" s="64">
        <f>+CJ10</f>
        <v>50</v>
      </c>
      <c r="E17" s="3">
        <v>50</v>
      </c>
    </row>
    <row r="18" spans="1:5" x14ac:dyDescent="0.25">
      <c r="A18" s="3" t="s">
        <v>118</v>
      </c>
      <c r="B18" s="65" t="str">
        <f>+CONCATENATE("x",J3," - x",J9)</f>
        <v>x2 - x50</v>
      </c>
    </row>
    <row r="20" spans="1:5" x14ac:dyDescent="0.25">
      <c r="A20" t="s">
        <v>172</v>
      </c>
    </row>
  </sheetData>
  <mergeCells count="15">
    <mergeCell ref="CM1:CR1"/>
    <mergeCell ref="CT1:CY1"/>
    <mergeCell ref="DA1:DF1"/>
    <mergeCell ref="G1:L1"/>
    <mergeCell ref="N1:S1"/>
    <mergeCell ref="U1:Z1"/>
    <mergeCell ref="AB1:AG1"/>
    <mergeCell ref="CF1:CK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50" operator="lessThan">
      <formula>0</formula>
    </cfRule>
    <cfRule type="cellIs" priority="51" operator="greaterThan">
      <formula>1</formula>
    </cfRule>
  </conditionalFormatting>
  <conditionalFormatting sqref="H3:H9 O3:O9 CG3:CG9 V3:V9 AC3:AC9 AJ3:AJ9 AQ3:AQ9 AX3:AX9 BZ3:BZ9 BE3:BE9 BL3:BL9 BS3:BS9">
    <cfRule type="cellIs" priority="52" operator="equal">
      <formula>0</formula>
    </cfRule>
  </conditionalFormatting>
  <conditionalFormatting sqref="B3:B17">
    <cfRule type="cellIs" priority="53" operator="greaterThan">
      <formula>1</formula>
    </cfRule>
    <cfRule type="cellIs" priority="54" operator="lessThan">
      <formula>0</formula>
    </cfRule>
  </conditionalFormatting>
  <conditionalFormatting sqref="CN3:CN9">
    <cfRule type="cellIs" priority="8" operator="lessThan">
      <formula>0</formula>
    </cfRule>
    <cfRule type="cellIs" priority="9" operator="greaterThan">
      <formula>1</formula>
    </cfRule>
  </conditionalFormatting>
  <conditionalFormatting sqref="CN3:CN9">
    <cfRule type="cellIs" priority="7" operator="equal">
      <formula>0</formula>
    </cfRule>
  </conditionalFormatting>
  <conditionalFormatting sqref="CU3:CU9">
    <cfRule type="cellIs" priority="5" operator="lessThan">
      <formula>0</formula>
    </cfRule>
    <cfRule type="cellIs" priority="6" operator="greaterThan">
      <formula>1</formula>
    </cfRule>
  </conditionalFormatting>
  <conditionalFormatting sqref="CU3:CU9">
    <cfRule type="cellIs" priority="4" operator="equal">
      <formula>0</formula>
    </cfRule>
  </conditionalFormatting>
  <conditionalFormatting sqref="DB3:DB9">
    <cfRule type="cellIs" priority="2" operator="lessThan">
      <formula>0</formula>
    </cfRule>
    <cfRule type="cellIs" priority="3" operator="greaterThan">
      <formula>1</formula>
    </cfRule>
  </conditionalFormatting>
  <conditionalFormatting sqref="DB3:DB9">
    <cfRule type="cellIs" priority="1" operator="equal">
      <formula>0</formula>
    </cfRule>
  </conditionalFormatting>
  <pageMargins left="0.7" right="0.7" top="0.75" bottom="0.75" header="0.51180555555555496" footer="0.51180555555555496"/>
  <pageSetup firstPageNumber="0" orientation="portrait" horizontalDpi="300" verticalDpi="30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5"/>
  <dimension ref="A1:DF20"/>
  <sheetViews>
    <sheetView workbookViewId="0">
      <pane xSplit="6" ySplit="1" topLeftCell="DA2" activePane="bottomRight" state="frozen"/>
      <selection pane="topRight" activeCell="G1" sqref="G1"/>
      <selection pane="bottomLeft" activeCell="A2" sqref="A2"/>
      <selection pane="bottomRight" activeCell="A14" sqref="A14"/>
    </sheetView>
  </sheetViews>
  <sheetFormatPr defaultColWidth="8.85546875" defaultRowHeight="15" x14ac:dyDescent="0.25"/>
  <cols>
    <col min="1" max="1" width="37.85546875" bestFit="1" customWidth="1"/>
    <col min="2" max="2" width="11.5703125" customWidth="1"/>
    <col min="3" max="3" width="17.28515625" customWidth="1"/>
    <col min="4" max="4" width="10.7109375" bestFit="1" customWidth="1"/>
    <col min="5" max="5" width="7.28515625" customWidth="1"/>
    <col min="6" max="6" width="14.28515625" customWidth="1"/>
    <col min="7" max="8" width="11.5703125" customWidth="1"/>
    <col min="9" max="9" width="16.28515625" customWidth="1"/>
    <col min="10" max="29" width="11.5703125" customWidth="1"/>
    <col min="30" max="30" width="15.5703125" bestFit="1" customWidth="1"/>
    <col min="31" max="36" width="11.5703125" customWidth="1"/>
    <col min="37" max="37" width="15.5703125" bestFit="1" customWidth="1"/>
    <col min="38" max="43" width="11.5703125" customWidth="1"/>
    <col min="44" max="44" width="15.5703125" bestFit="1" customWidth="1"/>
    <col min="45" max="50" width="11.5703125" customWidth="1"/>
    <col min="51" max="51" width="15.5703125" bestFit="1" customWidth="1"/>
    <col min="52" max="1074" width="11.5703125" customWidth="1"/>
  </cols>
  <sheetData>
    <row r="1" spans="1:110" x14ac:dyDescent="0.25">
      <c r="A1" s="2" t="s">
        <v>119</v>
      </c>
      <c r="G1" s="98" t="s">
        <v>104</v>
      </c>
      <c r="H1" s="98"/>
      <c r="I1" s="98"/>
      <c r="J1" s="98"/>
      <c r="K1" s="98"/>
      <c r="L1" s="98"/>
      <c r="N1" s="98" t="s">
        <v>105</v>
      </c>
      <c r="O1" s="98"/>
      <c r="P1" s="98"/>
      <c r="Q1" s="98"/>
      <c r="R1" s="98"/>
      <c r="S1" s="98"/>
      <c r="U1" s="98" t="s">
        <v>106</v>
      </c>
      <c r="V1" s="98"/>
      <c r="W1" s="98"/>
      <c r="X1" s="98"/>
      <c r="Y1" s="98"/>
      <c r="Z1" s="98"/>
      <c r="AB1" s="98" t="s">
        <v>107</v>
      </c>
      <c r="AC1" s="98"/>
      <c r="AD1" s="98"/>
      <c r="AE1" s="98"/>
      <c r="AF1" s="98"/>
      <c r="AG1" s="98"/>
      <c r="AI1" s="98" t="s">
        <v>139</v>
      </c>
      <c r="AJ1" s="98"/>
      <c r="AK1" s="98"/>
      <c r="AL1" s="98"/>
      <c r="AM1" s="98"/>
      <c r="AN1" s="98"/>
      <c r="AP1" s="98" t="s">
        <v>140</v>
      </c>
      <c r="AQ1" s="98"/>
      <c r="AR1" s="98"/>
      <c r="AS1" s="98"/>
      <c r="AT1" s="98"/>
      <c r="AU1" s="98"/>
      <c r="AW1" s="98" t="s">
        <v>141</v>
      </c>
      <c r="AX1" s="98"/>
      <c r="AY1" s="98"/>
      <c r="AZ1" s="98"/>
      <c r="BA1" s="98"/>
      <c r="BB1" s="98"/>
      <c r="BD1" s="98" t="s">
        <v>142</v>
      </c>
      <c r="BE1" s="98"/>
      <c r="BF1" s="98"/>
      <c r="BG1" s="98"/>
      <c r="BH1" s="98"/>
      <c r="BI1" s="98"/>
      <c r="BK1" s="98" t="s">
        <v>143</v>
      </c>
      <c r="BL1" s="98"/>
      <c r="BM1" s="98"/>
      <c r="BN1" s="98"/>
      <c r="BO1" s="98"/>
      <c r="BP1" s="98"/>
      <c r="BR1" s="98" t="s">
        <v>144</v>
      </c>
      <c r="BS1" s="98"/>
      <c r="BT1" s="98"/>
      <c r="BU1" s="98"/>
      <c r="BV1" s="98"/>
      <c r="BW1" s="98"/>
      <c r="BY1" s="98" t="s">
        <v>145</v>
      </c>
      <c r="BZ1" s="98"/>
      <c r="CA1" s="98"/>
      <c r="CB1" s="98"/>
      <c r="CC1" s="98"/>
      <c r="CD1" s="98"/>
      <c r="CF1" s="98" t="s">
        <v>108</v>
      </c>
      <c r="CG1" s="98"/>
      <c r="CH1" s="98"/>
      <c r="CI1" s="98"/>
      <c r="CJ1" s="98"/>
      <c r="CK1" s="98"/>
      <c r="CM1" s="98" t="s">
        <v>168</v>
      </c>
      <c r="CN1" s="98"/>
      <c r="CO1" s="98"/>
      <c r="CP1" s="98"/>
      <c r="CQ1" s="98"/>
      <c r="CR1" s="98"/>
      <c r="CT1" s="98" t="s">
        <v>170</v>
      </c>
      <c r="CU1" s="98"/>
      <c r="CV1" s="98"/>
      <c r="CW1" s="98"/>
      <c r="CX1" s="98"/>
      <c r="CY1" s="98"/>
      <c r="DA1" s="98" t="s">
        <v>169</v>
      </c>
      <c r="DB1" s="98"/>
      <c r="DC1" s="98"/>
      <c r="DD1" s="98"/>
      <c r="DE1" s="98"/>
      <c r="DF1" s="98"/>
    </row>
    <row r="2" spans="1:110" x14ac:dyDescent="0.25">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x14ac:dyDescent="0.25">
      <c r="A3" s="58" t="s">
        <v>173</v>
      </c>
      <c r="B3" s="58">
        <f>+E3/D3</f>
        <v>0.19758672699849203</v>
      </c>
      <c r="C3" s="3">
        <f>1/B3/Summary!$C$7</f>
        <v>5.0610687022900683E-3</v>
      </c>
      <c r="D3" s="59">
        <f>+K10</f>
        <v>3.3149999999999946</v>
      </c>
      <c r="E3" s="3">
        <v>0.65500000000000003</v>
      </c>
      <c r="G3" s="60">
        <v>1</v>
      </c>
      <c r="H3" s="61">
        <v>0.3</v>
      </c>
      <c r="I3" s="62">
        <f>+SUM($H3:H3)</f>
        <v>0.3</v>
      </c>
      <c r="J3" s="50">
        <v>2</v>
      </c>
      <c r="K3" s="58">
        <f t="shared" ref="K3:K9" si="0">+H3*J3</f>
        <v>0.6</v>
      </c>
      <c r="L3" s="63">
        <v>0</v>
      </c>
      <c r="N3" s="60">
        <v>1</v>
      </c>
      <c r="O3" s="61">
        <v>0.1</v>
      </c>
      <c r="P3" s="62">
        <f>+SUM($O3:O$3)</f>
        <v>0.1</v>
      </c>
      <c r="Q3" s="58">
        <f t="shared" ref="Q3:Q9" si="1">+J3</f>
        <v>2</v>
      </c>
      <c r="R3" s="58">
        <f t="shared" ref="R3:R9" si="2">+O3*Q3</f>
        <v>0.2</v>
      </c>
      <c r="S3" s="63">
        <v>0</v>
      </c>
      <c r="U3" s="60">
        <v>1</v>
      </c>
      <c r="V3" s="61">
        <v>0.1</v>
      </c>
      <c r="W3" s="62">
        <f>+SUM($V3:V$3)</f>
        <v>0.1</v>
      </c>
      <c r="X3" s="58">
        <f t="shared" ref="X3:X9" si="3">+J3</f>
        <v>2</v>
      </c>
      <c r="Y3" s="58">
        <f t="shared" ref="Y3:Y9" si="4">+V3*X3</f>
        <v>0.2</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0.05</v>
      </c>
      <c r="BF3" s="62">
        <f>+SUM($BE$3:BE3)</f>
        <v>0.05</v>
      </c>
      <c r="BG3" s="58">
        <f t="shared" ref="BG3:BG9" si="12">+AL3</f>
        <v>2</v>
      </c>
      <c r="BH3" s="58">
        <f t="shared" ref="BH3:BH9" si="13">+BE3*BG3</f>
        <v>0.1</v>
      </c>
      <c r="BI3" s="63">
        <v>0</v>
      </c>
      <c r="BK3" s="60">
        <v>1</v>
      </c>
      <c r="BL3" s="61">
        <v>0.05</v>
      </c>
      <c r="BM3" s="62">
        <f>+SUM($BL$3:BL3)</f>
        <v>0.05</v>
      </c>
      <c r="BN3" s="58">
        <f t="shared" ref="BN3:BN9" si="14">+AS3</f>
        <v>2</v>
      </c>
      <c r="BO3" s="58">
        <f t="shared" ref="BO3:BO9" si="15">+BL3*BN3</f>
        <v>0.1</v>
      </c>
      <c r="BP3" s="63">
        <v>0</v>
      </c>
      <c r="BR3" s="60">
        <v>1</v>
      </c>
      <c r="BS3" s="61">
        <v>0.09</v>
      </c>
      <c r="BT3" s="62">
        <f>+SUM($BS$3:BS3)</f>
        <v>0.09</v>
      </c>
      <c r="BU3" s="58">
        <f t="shared" ref="BU3:BU9" si="16">+AZ3</f>
        <v>2</v>
      </c>
      <c r="BV3" s="58">
        <f t="shared" ref="BV3:BV9" si="17">+BS3*BU3</f>
        <v>0.18</v>
      </c>
      <c r="BW3" s="63">
        <v>0</v>
      </c>
      <c r="BY3" s="60">
        <v>1</v>
      </c>
      <c r="BZ3" s="61">
        <v>0.36</v>
      </c>
      <c r="CA3" s="62">
        <f>+SUM($BZ$3:BZ3)</f>
        <v>0.36</v>
      </c>
      <c r="CB3" s="58">
        <f t="shared" ref="CB3:CB9" si="18">+BG3</f>
        <v>2</v>
      </c>
      <c r="CC3" s="58">
        <f t="shared" ref="CC3:CC9" si="19">+BZ3*CB3</f>
        <v>0.72</v>
      </c>
      <c r="CD3" s="63">
        <v>0</v>
      </c>
      <c r="CF3" s="60">
        <v>1</v>
      </c>
      <c r="CG3" s="61">
        <v>0</v>
      </c>
      <c r="CH3" s="62">
        <f>+SUM($CG$3:CG3)</f>
        <v>0</v>
      </c>
      <c r="CI3" s="58">
        <f t="shared" ref="CI3:CI9" si="20">+BG3</f>
        <v>2</v>
      </c>
      <c r="CJ3" s="58">
        <f t="shared" ref="CJ3:CJ9" si="21">+CG3*CI3</f>
        <v>0</v>
      </c>
      <c r="CK3" s="63">
        <v>0</v>
      </c>
      <c r="CM3" s="60">
        <v>1</v>
      </c>
      <c r="CN3" s="61">
        <f>+H3</f>
        <v>0.3</v>
      </c>
      <c r="CO3" s="62">
        <f>+SUM($CN$3:CN3)</f>
        <v>0.3</v>
      </c>
      <c r="CP3" s="83">
        <f>+J3</f>
        <v>2</v>
      </c>
      <c r="CQ3" s="58">
        <f t="shared" ref="CQ3" si="22">+CN3*CP3</f>
        <v>0.6</v>
      </c>
      <c r="CR3" s="63">
        <v>0</v>
      </c>
      <c r="CT3" s="60">
        <v>1</v>
      </c>
      <c r="CU3" s="61">
        <f>+H3</f>
        <v>0.3</v>
      </c>
      <c r="CV3" s="62">
        <f>+SUM($CU$3:CU3)</f>
        <v>0.3</v>
      </c>
      <c r="CW3" s="84">
        <f>+J3*2</f>
        <v>4</v>
      </c>
      <c r="CX3" s="58">
        <f t="shared" ref="CX3" si="23">+CU3*CW3</f>
        <v>1.2</v>
      </c>
      <c r="CY3" s="63">
        <v>0</v>
      </c>
      <c r="DA3" s="60">
        <v>1</v>
      </c>
      <c r="DB3" s="61">
        <v>0</v>
      </c>
      <c r="DC3" s="62">
        <f>+SUM($DB$3:DB3)</f>
        <v>0</v>
      </c>
      <c r="DD3" s="83">
        <f>+J3</f>
        <v>2</v>
      </c>
      <c r="DE3" s="58">
        <f t="shared" ref="DE3" si="24">+DB3*DD3</f>
        <v>0</v>
      </c>
      <c r="DF3" s="63">
        <v>0</v>
      </c>
    </row>
    <row r="4" spans="1:110" x14ac:dyDescent="0.25">
      <c r="A4" s="3" t="s">
        <v>114</v>
      </c>
      <c r="B4" s="58">
        <f>+E4/D4</f>
        <v>0.60679611650485443</v>
      </c>
      <c r="C4" s="3">
        <v>0</v>
      </c>
      <c r="D4" s="64">
        <f>+R10</f>
        <v>8.2399999999999984</v>
      </c>
      <c r="E4" s="3">
        <v>5</v>
      </c>
      <c r="G4" s="60">
        <v>2</v>
      </c>
      <c r="H4" s="61">
        <v>0.5</v>
      </c>
      <c r="I4" s="62">
        <f>+SUM($H$3:H4)</f>
        <v>0.8</v>
      </c>
      <c r="J4" s="50">
        <v>3</v>
      </c>
      <c r="K4" s="58">
        <f t="shared" si="0"/>
        <v>1.5</v>
      </c>
      <c r="L4" s="63">
        <v>0</v>
      </c>
      <c r="N4" s="60">
        <v>2</v>
      </c>
      <c r="O4" s="61">
        <v>0.23</v>
      </c>
      <c r="P4" s="62">
        <f>+SUM($O$3:O4)</f>
        <v>0.33</v>
      </c>
      <c r="Q4" s="58">
        <f t="shared" si="1"/>
        <v>3</v>
      </c>
      <c r="R4" s="58">
        <f t="shared" si="2"/>
        <v>0.69000000000000006</v>
      </c>
      <c r="S4" s="63">
        <v>0</v>
      </c>
      <c r="U4" s="60">
        <v>2</v>
      </c>
      <c r="V4" s="61">
        <v>0.25</v>
      </c>
      <c r="W4" s="62">
        <f>+SUM($V$3:V4)</f>
        <v>0.35</v>
      </c>
      <c r="X4" s="58">
        <f t="shared" si="3"/>
        <v>3</v>
      </c>
      <c r="Y4" s="58">
        <f t="shared" si="4"/>
        <v>0.75</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0.15000000000000002</v>
      </c>
      <c r="BG4" s="58">
        <f t="shared" si="12"/>
        <v>3</v>
      </c>
      <c r="BH4" s="58">
        <f t="shared" si="13"/>
        <v>0.30000000000000004</v>
      </c>
      <c r="BI4" s="63">
        <v>0</v>
      </c>
      <c r="BK4" s="60">
        <v>2</v>
      </c>
      <c r="BL4" s="61">
        <v>0.1</v>
      </c>
      <c r="BM4" s="62">
        <f>+SUM($BL$3:BL4)</f>
        <v>0.15000000000000002</v>
      </c>
      <c r="BN4" s="58">
        <f t="shared" si="14"/>
        <v>3</v>
      </c>
      <c r="BO4" s="58">
        <f t="shared" si="15"/>
        <v>0.30000000000000004</v>
      </c>
      <c r="BP4" s="63">
        <v>0</v>
      </c>
      <c r="BR4" s="60">
        <v>2</v>
      </c>
      <c r="BS4" s="61">
        <v>0.1</v>
      </c>
      <c r="BT4" s="62">
        <f>+SUM($BS$3:BS4)</f>
        <v>0.19</v>
      </c>
      <c r="BU4" s="58">
        <f t="shared" si="16"/>
        <v>3</v>
      </c>
      <c r="BV4" s="58">
        <f t="shared" si="17"/>
        <v>0.30000000000000004</v>
      </c>
      <c r="BW4" s="63">
        <v>0</v>
      </c>
      <c r="BY4" s="60">
        <v>2</v>
      </c>
      <c r="BZ4" s="61">
        <v>0.34</v>
      </c>
      <c r="CA4" s="62">
        <f>+SUM($BZ$3:BZ4)</f>
        <v>0.7</v>
      </c>
      <c r="CB4" s="58">
        <f t="shared" si="18"/>
        <v>3</v>
      </c>
      <c r="CC4" s="58">
        <f t="shared" si="19"/>
        <v>1.02</v>
      </c>
      <c r="CD4" s="63">
        <v>0</v>
      </c>
      <c r="CF4" s="60">
        <v>2</v>
      </c>
      <c r="CG4" s="61">
        <v>0</v>
      </c>
      <c r="CH4" s="62">
        <f>+SUM($CG$3:CG4)</f>
        <v>0</v>
      </c>
      <c r="CI4" s="58">
        <f t="shared" si="20"/>
        <v>3</v>
      </c>
      <c r="CJ4" s="58">
        <f t="shared" si="21"/>
        <v>0</v>
      </c>
      <c r="CK4" s="63">
        <v>0</v>
      </c>
      <c r="CM4" s="60">
        <v>2</v>
      </c>
      <c r="CN4" s="61">
        <f t="shared" ref="CN4:CN8" si="26">+H4</f>
        <v>0.5</v>
      </c>
      <c r="CO4" s="62">
        <f>+SUM($CN$3:CN4)</f>
        <v>0.8</v>
      </c>
      <c r="CP4" s="83">
        <f t="shared" ref="CP4:CP9" si="27">+J4</f>
        <v>3</v>
      </c>
      <c r="CQ4" s="58">
        <f>+CN4*CP4</f>
        <v>1.5</v>
      </c>
      <c r="CR4" s="63">
        <v>0</v>
      </c>
      <c r="CT4" s="60">
        <v>2</v>
      </c>
      <c r="CU4" s="61">
        <f t="shared" ref="CU4:CU8" si="28">+H4</f>
        <v>0.5</v>
      </c>
      <c r="CV4" s="62">
        <f>+SUM($CU$3:CU4)</f>
        <v>0.8</v>
      </c>
      <c r="CW4" s="84">
        <f t="shared" ref="CW4:CW9" si="29">+J4*2</f>
        <v>6</v>
      </c>
      <c r="CX4" s="58">
        <f>+CU4*CW4</f>
        <v>3</v>
      </c>
      <c r="CY4" s="63">
        <v>0</v>
      </c>
      <c r="DA4" s="60">
        <v>2</v>
      </c>
      <c r="DB4" s="61">
        <v>0</v>
      </c>
      <c r="DC4" s="62">
        <f>+SUM($DB$3:DB4)</f>
        <v>0</v>
      </c>
      <c r="DD4" s="83">
        <f t="shared" ref="DD4:DD9" si="30">+J4</f>
        <v>3</v>
      </c>
      <c r="DE4" s="58">
        <f>+DB4*DD4</f>
        <v>0</v>
      </c>
      <c r="DF4" s="63">
        <v>0</v>
      </c>
    </row>
    <row r="5" spans="1:110" x14ac:dyDescent="0.25">
      <c r="A5" s="3" t="s">
        <v>115</v>
      </c>
      <c r="B5" s="58">
        <f>+E5/D5</f>
        <v>0.79601990049751215</v>
      </c>
      <c r="C5" s="3">
        <v>0</v>
      </c>
      <c r="D5" s="64">
        <f>+Y10</f>
        <v>10.050000000000004</v>
      </c>
      <c r="E5" s="3">
        <v>8</v>
      </c>
      <c r="G5" s="60">
        <v>3</v>
      </c>
      <c r="H5" s="61">
        <v>0.125</v>
      </c>
      <c r="I5" s="62">
        <f>+SUM($H$3:H5)</f>
        <v>0.92500000000000004</v>
      </c>
      <c r="J5" s="50">
        <v>5</v>
      </c>
      <c r="K5" s="58">
        <f t="shared" si="0"/>
        <v>0.625</v>
      </c>
      <c r="L5" s="63">
        <v>0</v>
      </c>
      <c r="N5" s="60">
        <v>3</v>
      </c>
      <c r="O5" s="61">
        <v>0.25</v>
      </c>
      <c r="P5" s="62">
        <f>+SUM($O$3:O5)</f>
        <v>0.58000000000000007</v>
      </c>
      <c r="Q5" s="58">
        <f t="shared" si="1"/>
        <v>5</v>
      </c>
      <c r="R5" s="58">
        <f t="shared" si="2"/>
        <v>1.25</v>
      </c>
      <c r="S5" s="63">
        <v>0</v>
      </c>
      <c r="U5" s="60">
        <v>3</v>
      </c>
      <c r="V5" s="61">
        <v>0.18</v>
      </c>
      <c r="W5" s="62">
        <f>+SUM($V$3:V5)</f>
        <v>0.53</v>
      </c>
      <c r="X5" s="58">
        <f t="shared" si="3"/>
        <v>5</v>
      </c>
      <c r="Y5" s="58">
        <f t="shared" si="4"/>
        <v>0.89999999999999991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0.2</v>
      </c>
      <c r="BF5" s="62">
        <f>+SUM($BE$3:BE5)</f>
        <v>0.35000000000000003</v>
      </c>
      <c r="BG5" s="58">
        <f t="shared" si="12"/>
        <v>5</v>
      </c>
      <c r="BH5" s="58">
        <f t="shared" si="13"/>
        <v>1</v>
      </c>
      <c r="BI5" s="63">
        <v>0</v>
      </c>
      <c r="BK5" s="60">
        <v>3</v>
      </c>
      <c r="BL5" s="61">
        <v>0.14000000000000001</v>
      </c>
      <c r="BM5" s="62">
        <f>+SUM($BL$3:BL5)</f>
        <v>0.29000000000000004</v>
      </c>
      <c r="BN5" s="58">
        <f t="shared" si="14"/>
        <v>5</v>
      </c>
      <c r="BO5" s="58">
        <f t="shared" si="15"/>
        <v>0.70000000000000007</v>
      </c>
      <c r="BP5" s="63">
        <v>0</v>
      </c>
      <c r="BR5" s="60">
        <v>3</v>
      </c>
      <c r="BS5" s="61">
        <v>0.2</v>
      </c>
      <c r="BT5" s="62">
        <f>+SUM($BS$3:BS5)</f>
        <v>0.39</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f t="shared" si="26"/>
        <v>0.125</v>
      </c>
      <c r="CO5" s="62">
        <f>+SUM($CN$3:CN5)</f>
        <v>0.92500000000000004</v>
      </c>
      <c r="CP5" s="83">
        <f t="shared" si="27"/>
        <v>5</v>
      </c>
      <c r="CQ5" s="58">
        <f t="shared" ref="CQ5:CQ9" si="31">+CN5*CP5</f>
        <v>0.625</v>
      </c>
      <c r="CR5" s="63">
        <v>0</v>
      </c>
      <c r="CT5" s="60">
        <v>3</v>
      </c>
      <c r="CU5" s="61">
        <f t="shared" si="28"/>
        <v>0.125</v>
      </c>
      <c r="CV5" s="62">
        <f>+SUM($CU$3:CU5)</f>
        <v>0.92500000000000004</v>
      </c>
      <c r="CW5" s="84">
        <f t="shared" si="29"/>
        <v>10</v>
      </c>
      <c r="CX5" s="58">
        <f t="shared" ref="CX5:CX9" si="32">+CU5*CW5</f>
        <v>1.25</v>
      </c>
      <c r="CY5" s="63">
        <v>0</v>
      </c>
      <c r="DA5" s="60">
        <v>3</v>
      </c>
      <c r="DB5" s="61">
        <v>0</v>
      </c>
      <c r="DC5" s="62">
        <f>+SUM($DB$3:DB5)</f>
        <v>0</v>
      </c>
      <c r="DD5" s="83">
        <f t="shared" si="30"/>
        <v>5</v>
      </c>
      <c r="DE5" s="58">
        <f t="shared" ref="DE5:DE9" si="33">+DB5*DD5</f>
        <v>0</v>
      </c>
      <c r="DF5" s="63">
        <v>0</v>
      </c>
    </row>
    <row r="6" spans="1:110" x14ac:dyDescent="0.25">
      <c r="A6" s="3" t="s">
        <v>116</v>
      </c>
      <c r="B6" s="75">
        <f>+E6/D6</f>
        <v>0.88731144631765757</v>
      </c>
      <c r="C6" s="3">
        <v>0</v>
      </c>
      <c r="D6" s="64">
        <f>+AF10</f>
        <v>11.27</v>
      </c>
      <c r="E6" s="3">
        <v>10</v>
      </c>
      <c r="G6" s="60">
        <v>4</v>
      </c>
      <c r="H6" s="61">
        <v>7.0000000000000007E-2</v>
      </c>
      <c r="I6" s="62">
        <f>+SUM($H$3:H6)</f>
        <v>0.99500000000000011</v>
      </c>
      <c r="J6" s="50">
        <v>7</v>
      </c>
      <c r="K6" s="58">
        <f t="shared" si="0"/>
        <v>0.49000000000000005</v>
      </c>
      <c r="L6" s="63">
        <v>0</v>
      </c>
      <c r="N6" s="60">
        <v>4</v>
      </c>
      <c r="O6" s="61">
        <v>0.2</v>
      </c>
      <c r="P6" s="62">
        <f>+SUM($O$3:O6)</f>
        <v>0.78</v>
      </c>
      <c r="Q6" s="58">
        <f t="shared" si="1"/>
        <v>7</v>
      </c>
      <c r="R6" s="58">
        <f t="shared" si="2"/>
        <v>1.4000000000000001</v>
      </c>
      <c r="S6" s="63">
        <v>0</v>
      </c>
      <c r="U6" s="60">
        <v>4</v>
      </c>
      <c r="V6" s="61">
        <v>0.2</v>
      </c>
      <c r="W6" s="62">
        <f>+SUM($V$3:V6)</f>
        <v>0.73</v>
      </c>
      <c r="X6" s="58">
        <f t="shared" si="3"/>
        <v>7</v>
      </c>
      <c r="Y6" s="58">
        <f t="shared" si="4"/>
        <v>1.4000000000000001</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0.34</v>
      </c>
      <c r="AY6" s="62">
        <f>+SUM($AX$3:AX6)</f>
        <v>0.36000000000000004</v>
      </c>
      <c r="AZ6" s="58">
        <f t="shared" si="10"/>
        <v>7</v>
      </c>
      <c r="BA6" s="58">
        <f t="shared" si="11"/>
        <v>2.3800000000000003</v>
      </c>
      <c r="BB6" s="63">
        <v>0</v>
      </c>
      <c r="BD6" s="60">
        <v>4</v>
      </c>
      <c r="BE6" s="61">
        <v>0.2</v>
      </c>
      <c r="BF6" s="62">
        <f>+SUM($BE$3:BE6)</f>
        <v>0.55000000000000004</v>
      </c>
      <c r="BG6" s="58">
        <f t="shared" si="12"/>
        <v>7</v>
      </c>
      <c r="BH6" s="58">
        <f t="shared" si="13"/>
        <v>1.4000000000000001</v>
      </c>
      <c r="BI6" s="63">
        <v>0</v>
      </c>
      <c r="BK6" s="60">
        <v>4</v>
      </c>
      <c r="BL6" s="61">
        <v>0.3</v>
      </c>
      <c r="BM6" s="62">
        <f>+SUM($BL$3:BL6)</f>
        <v>0.59000000000000008</v>
      </c>
      <c r="BN6" s="58">
        <f t="shared" si="14"/>
        <v>7</v>
      </c>
      <c r="BO6" s="58">
        <f t="shared" si="15"/>
        <v>2.1</v>
      </c>
      <c r="BP6" s="63">
        <v>0</v>
      </c>
      <c r="BR6" s="60">
        <v>4</v>
      </c>
      <c r="BS6" s="61">
        <v>0.25</v>
      </c>
      <c r="BT6" s="62">
        <f>+SUM($BS$3:BS6)</f>
        <v>0.64</v>
      </c>
      <c r="BU6" s="58">
        <f t="shared" si="16"/>
        <v>7</v>
      </c>
      <c r="BV6" s="58">
        <f t="shared" si="17"/>
        <v>1.75</v>
      </c>
      <c r="BW6" s="63">
        <v>0</v>
      </c>
      <c r="BY6" s="60">
        <v>4</v>
      </c>
      <c r="BZ6" s="61">
        <v>0.05</v>
      </c>
      <c r="CA6" s="62">
        <f>+SUM($BZ$3:BZ6)</f>
        <v>0.95</v>
      </c>
      <c r="CB6" s="58">
        <f t="shared" si="18"/>
        <v>7</v>
      </c>
      <c r="CC6" s="58">
        <f t="shared" si="19"/>
        <v>0.35000000000000003</v>
      </c>
      <c r="CD6" s="63">
        <v>0</v>
      </c>
      <c r="CF6" s="60">
        <v>4</v>
      </c>
      <c r="CG6" s="61">
        <v>0</v>
      </c>
      <c r="CH6" s="62">
        <f>+SUM($CG$3:CG6)</f>
        <v>0</v>
      </c>
      <c r="CI6" s="58">
        <f t="shared" si="20"/>
        <v>7</v>
      </c>
      <c r="CJ6" s="58">
        <f t="shared" si="21"/>
        <v>0</v>
      </c>
      <c r="CK6" s="63">
        <v>0</v>
      </c>
      <c r="CM6" s="60">
        <v>4</v>
      </c>
      <c r="CN6" s="61">
        <f t="shared" si="26"/>
        <v>7.0000000000000007E-2</v>
      </c>
      <c r="CO6" s="62">
        <f>+SUM($CN$3:CN6)</f>
        <v>0.99500000000000011</v>
      </c>
      <c r="CP6" s="83">
        <f t="shared" si="27"/>
        <v>7</v>
      </c>
      <c r="CQ6" s="58">
        <f t="shared" si="31"/>
        <v>0.49000000000000005</v>
      </c>
      <c r="CR6" s="63">
        <v>0</v>
      </c>
      <c r="CT6" s="60">
        <v>4</v>
      </c>
      <c r="CU6" s="61">
        <f t="shared" si="28"/>
        <v>7.0000000000000007E-2</v>
      </c>
      <c r="CV6" s="62">
        <f>+SUM($CU$3:CU6)</f>
        <v>0.99500000000000011</v>
      </c>
      <c r="CW6" s="84">
        <f t="shared" si="29"/>
        <v>14</v>
      </c>
      <c r="CX6" s="58">
        <f t="shared" si="32"/>
        <v>0.98000000000000009</v>
      </c>
      <c r="CY6" s="63">
        <v>0</v>
      </c>
      <c r="DA6" s="60">
        <v>4</v>
      </c>
      <c r="DB6" s="61">
        <v>0.15</v>
      </c>
      <c r="DC6" s="62">
        <f>+SUM($DB$3:DB6)</f>
        <v>0.15</v>
      </c>
      <c r="DD6" s="83">
        <f t="shared" si="30"/>
        <v>7</v>
      </c>
      <c r="DE6" s="58">
        <f t="shared" si="33"/>
        <v>1.05</v>
      </c>
      <c r="DF6" s="63">
        <v>0</v>
      </c>
    </row>
    <row r="7" spans="1:110" x14ac:dyDescent="0.25">
      <c r="A7" s="75" t="s">
        <v>133</v>
      </c>
      <c r="B7" s="75">
        <f t="shared" ref="B7:B13" si="34">+E7/D7</f>
        <v>0.90090090090090102</v>
      </c>
      <c r="C7" s="3">
        <v>0</v>
      </c>
      <c r="D7" s="64">
        <f>+AM10</f>
        <v>22.199999999999996</v>
      </c>
      <c r="E7" s="3">
        <v>20</v>
      </c>
      <c r="G7" s="60">
        <v>5</v>
      </c>
      <c r="H7" s="61">
        <v>3.0000000000000001E-3</v>
      </c>
      <c r="I7" s="62">
        <f>+SUM($H$3:H7)</f>
        <v>0.99800000000000011</v>
      </c>
      <c r="J7" s="50">
        <v>10</v>
      </c>
      <c r="K7" s="58">
        <f t="shared" si="0"/>
        <v>0.03</v>
      </c>
      <c r="L7" s="63">
        <v>0</v>
      </c>
      <c r="N7" s="60">
        <v>5</v>
      </c>
      <c r="O7" s="61">
        <v>0.15</v>
      </c>
      <c r="P7" s="62">
        <f>+SUM($O$3:O7)</f>
        <v>0.93</v>
      </c>
      <c r="Q7" s="58">
        <f t="shared" si="1"/>
        <v>10</v>
      </c>
      <c r="R7" s="58">
        <f t="shared" si="2"/>
        <v>1.5</v>
      </c>
      <c r="S7" s="63">
        <v>0</v>
      </c>
      <c r="U7" s="60">
        <v>5</v>
      </c>
      <c r="V7" s="61">
        <v>0.1</v>
      </c>
      <c r="W7" s="62">
        <f>+SUM($V$3:V7)</f>
        <v>0.83</v>
      </c>
      <c r="X7" s="58">
        <f t="shared" si="3"/>
        <v>10</v>
      </c>
      <c r="Y7" s="58">
        <f t="shared" si="4"/>
        <v>1</v>
      </c>
      <c r="Z7" s="63">
        <v>0</v>
      </c>
      <c r="AB7" s="60">
        <v>5</v>
      </c>
      <c r="AC7" s="61">
        <v>0.52</v>
      </c>
      <c r="AD7" s="62">
        <f>+SUM($AC$3:AC7)</f>
        <v>0.81</v>
      </c>
      <c r="AE7" s="58">
        <f t="shared" si="5"/>
        <v>10</v>
      </c>
      <c r="AF7" s="58">
        <f t="shared" si="6"/>
        <v>5.2</v>
      </c>
      <c r="AG7" s="63">
        <v>0</v>
      </c>
      <c r="AI7" s="60">
        <v>5</v>
      </c>
      <c r="AJ7" s="61">
        <v>0.32</v>
      </c>
      <c r="AK7" s="62">
        <f>+SUM($AJ$3:AJ7)</f>
        <v>0.32</v>
      </c>
      <c r="AL7" s="58">
        <f t="shared" si="7"/>
        <v>10</v>
      </c>
      <c r="AM7" s="58">
        <f t="shared" si="8"/>
        <v>3.2</v>
      </c>
      <c r="AN7" s="63">
        <v>0</v>
      </c>
      <c r="AP7" s="60">
        <v>5</v>
      </c>
      <c r="AQ7" s="61">
        <v>0</v>
      </c>
      <c r="AR7" s="62">
        <f>+SUM($AQ$3:AQ7)</f>
        <v>1</v>
      </c>
      <c r="AS7" s="58">
        <f t="shared" si="9"/>
        <v>10</v>
      </c>
      <c r="AT7" s="58">
        <f t="shared" si="25"/>
        <v>0</v>
      </c>
      <c r="AU7" s="63">
        <v>0</v>
      </c>
      <c r="AW7" s="60">
        <v>5</v>
      </c>
      <c r="AX7" s="61">
        <v>0.5</v>
      </c>
      <c r="AY7" s="62">
        <f>+SUM($AX$3:AX7)</f>
        <v>0.8600000000000001</v>
      </c>
      <c r="AZ7" s="58">
        <f t="shared" si="10"/>
        <v>10</v>
      </c>
      <c r="BA7" s="58">
        <f t="shared" si="11"/>
        <v>5</v>
      </c>
      <c r="BB7" s="63">
        <v>0</v>
      </c>
      <c r="BD7" s="60">
        <v>5</v>
      </c>
      <c r="BE7" s="61">
        <v>0.2</v>
      </c>
      <c r="BF7" s="62">
        <f>+SUM($BE$3:BE7)</f>
        <v>0.75</v>
      </c>
      <c r="BG7" s="58">
        <f t="shared" si="12"/>
        <v>10</v>
      </c>
      <c r="BH7" s="58">
        <f t="shared" si="13"/>
        <v>2</v>
      </c>
      <c r="BI7" s="63">
        <v>0</v>
      </c>
      <c r="BK7" s="60">
        <v>5</v>
      </c>
      <c r="BL7" s="61">
        <v>0.2</v>
      </c>
      <c r="BM7" s="62">
        <f>+SUM($BL$3:BL7)</f>
        <v>0.79</v>
      </c>
      <c r="BN7" s="58">
        <f t="shared" si="14"/>
        <v>10</v>
      </c>
      <c r="BO7" s="58">
        <f t="shared" si="15"/>
        <v>2</v>
      </c>
      <c r="BP7" s="63">
        <v>0</v>
      </c>
      <c r="BR7" s="60">
        <v>5</v>
      </c>
      <c r="BS7" s="61">
        <v>0.1</v>
      </c>
      <c r="BT7" s="62">
        <f>+SUM($BS$3:BS7)</f>
        <v>0.74</v>
      </c>
      <c r="BU7" s="58">
        <f t="shared" si="16"/>
        <v>10</v>
      </c>
      <c r="BV7" s="58">
        <f t="shared" si="17"/>
        <v>1</v>
      </c>
      <c r="BW7" s="63">
        <v>0</v>
      </c>
      <c r="BY7" s="60">
        <v>5</v>
      </c>
      <c r="BZ7" s="61">
        <v>0.02</v>
      </c>
      <c r="CA7" s="62">
        <f>+SUM($BZ$3:BZ7)</f>
        <v>0.97</v>
      </c>
      <c r="CB7" s="58">
        <f t="shared" si="18"/>
        <v>10</v>
      </c>
      <c r="CC7" s="58">
        <f t="shared" si="19"/>
        <v>0.2</v>
      </c>
      <c r="CD7" s="63">
        <v>0</v>
      </c>
      <c r="CF7" s="60">
        <v>5</v>
      </c>
      <c r="CG7" s="61">
        <v>0</v>
      </c>
      <c r="CH7" s="62">
        <f>+SUM($CG$3:CG7)</f>
        <v>0</v>
      </c>
      <c r="CI7" s="58">
        <f t="shared" si="20"/>
        <v>10</v>
      </c>
      <c r="CJ7" s="58">
        <f t="shared" si="21"/>
        <v>0</v>
      </c>
      <c r="CK7" s="63">
        <v>0</v>
      </c>
      <c r="CM7" s="60">
        <v>5</v>
      </c>
      <c r="CN7" s="61">
        <f t="shared" si="26"/>
        <v>3.0000000000000001E-3</v>
      </c>
      <c r="CO7" s="62">
        <f>+SUM($CN$3:CN7)</f>
        <v>0.99800000000000011</v>
      </c>
      <c r="CP7" s="83">
        <f t="shared" si="27"/>
        <v>10</v>
      </c>
      <c r="CQ7" s="58">
        <f t="shared" si="31"/>
        <v>0.03</v>
      </c>
      <c r="CR7" s="63">
        <v>0</v>
      </c>
      <c r="CT7" s="60">
        <v>5</v>
      </c>
      <c r="CU7" s="61">
        <f t="shared" si="28"/>
        <v>3.0000000000000001E-3</v>
      </c>
      <c r="CV7" s="62">
        <f>+SUM($CU$3:CU7)</f>
        <v>0.99800000000000011</v>
      </c>
      <c r="CW7" s="84">
        <f t="shared" si="29"/>
        <v>20</v>
      </c>
      <c r="CX7" s="58">
        <f t="shared" si="32"/>
        <v>0.06</v>
      </c>
      <c r="CY7" s="63">
        <v>0</v>
      </c>
      <c r="DA7" s="60">
        <v>5</v>
      </c>
      <c r="DB7" s="61">
        <v>0.2</v>
      </c>
      <c r="DC7" s="62">
        <f>+SUM($DB$3:DB7)</f>
        <v>0.35</v>
      </c>
      <c r="DD7" s="83">
        <f t="shared" si="30"/>
        <v>10</v>
      </c>
      <c r="DE7" s="58">
        <f t="shared" si="33"/>
        <v>2</v>
      </c>
      <c r="DF7" s="63">
        <v>0</v>
      </c>
    </row>
    <row r="8" spans="1:110" x14ac:dyDescent="0.25">
      <c r="A8" s="75" t="s">
        <v>134</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0.09</v>
      </c>
      <c r="W8" s="62">
        <f>+SUM($V$3:V8)</f>
        <v>0.91999999999999993</v>
      </c>
      <c r="X8" s="58">
        <f t="shared" si="3"/>
        <v>20</v>
      </c>
      <c r="Y8" s="58">
        <f t="shared" si="4"/>
        <v>1.7999999999999998</v>
      </c>
      <c r="Z8" s="63">
        <v>0</v>
      </c>
      <c r="AB8" s="60">
        <v>6</v>
      </c>
      <c r="AC8" s="61">
        <v>0.18</v>
      </c>
      <c r="AD8" s="62">
        <f>+SUM($AC$3:AC8)</f>
        <v>0.99</v>
      </c>
      <c r="AE8" s="58">
        <f t="shared" si="5"/>
        <v>20</v>
      </c>
      <c r="AF8" s="58">
        <f t="shared" si="6"/>
        <v>3.5999999999999996</v>
      </c>
      <c r="AG8" s="63">
        <v>0</v>
      </c>
      <c r="AI8" s="60">
        <v>6</v>
      </c>
      <c r="AJ8" s="61">
        <v>0.5</v>
      </c>
      <c r="AK8" s="62">
        <f>+SUM($AJ$3:AJ8)</f>
        <v>0.82000000000000006</v>
      </c>
      <c r="AL8" s="58">
        <f t="shared" si="7"/>
        <v>20</v>
      </c>
      <c r="AM8" s="58">
        <f t="shared" si="8"/>
        <v>10</v>
      </c>
      <c r="AN8" s="63">
        <v>0</v>
      </c>
      <c r="AP8" s="60">
        <v>6</v>
      </c>
      <c r="AQ8" s="61">
        <v>0</v>
      </c>
      <c r="AR8" s="62">
        <f>+SUM($AQ$3:AQ8)</f>
        <v>1</v>
      </c>
      <c r="AS8" s="58">
        <f t="shared" si="9"/>
        <v>20</v>
      </c>
      <c r="AT8" s="58">
        <f t="shared" si="25"/>
        <v>0</v>
      </c>
      <c r="AU8" s="63">
        <v>0</v>
      </c>
      <c r="AW8" s="60">
        <v>6</v>
      </c>
      <c r="AX8" s="61">
        <v>0.11</v>
      </c>
      <c r="AY8" s="62">
        <f>+SUM($AX$3:AX8)</f>
        <v>0.97000000000000008</v>
      </c>
      <c r="AZ8" s="58">
        <f t="shared" si="10"/>
        <v>20</v>
      </c>
      <c r="BA8" s="58">
        <f t="shared" si="11"/>
        <v>2.2000000000000002</v>
      </c>
      <c r="BB8" s="63">
        <v>0</v>
      </c>
      <c r="BD8" s="60">
        <v>6</v>
      </c>
      <c r="BE8" s="61">
        <v>0.12</v>
      </c>
      <c r="BF8" s="62">
        <f>+SUM($BE$3:BE8)</f>
        <v>0.87</v>
      </c>
      <c r="BG8" s="58">
        <f t="shared" si="12"/>
        <v>20</v>
      </c>
      <c r="BH8" s="58">
        <f t="shared" si="13"/>
        <v>2.4</v>
      </c>
      <c r="BI8" s="63">
        <v>0</v>
      </c>
      <c r="BK8" s="60">
        <v>6</v>
      </c>
      <c r="BL8" s="61">
        <v>0.11</v>
      </c>
      <c r="BM8" s="62">
        <f>+SUM($BL$3:BL8)</f>
        <v>0.9</v>
      </c>
      <c r="BN8" s="58">
        <f t="shared" si="14"/>
        <v>20</v>
      </c>
      <c r="BO8" s="58">
        <f t="shared" si="15"/>
        <v>2.2000000000000002</v>
      </c>
      <c r="BP8" s="63">
        <v>0</v>
      </c>
      <c r="BR8" s="60">
        <v>6</v>
      </c>
      <c r="BS8" s="61">
        <v>0.16</v>
      </c>
      <c r="BT8" s="62">
        <f>+SUM($BS$3:BS8)</f>
        <v>0.9</v>
      </c>
      <c r="BU8" s="58">
        <f t="shared" si="16"/>
        <v>20</v>
      </c>
      <c r="BV8" s="58">
        <f t="shared" si="17"/>
        <v>3.2</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f t="shared" si="26"/>
        <v>1E-3</v>
      </c>
      <c r="CO8" s="62">
        <f>+SUM($CN$3:CN8)</f>
        <v>0.99900000000000011</v>
      </c>
      <c r="CP8" s="83">
        <f t="shared" si="27"/>
        <v>20</v>
      </c>
      <c r="CQ8" s="58">
        <f t="shared" si="31"/>
        <v>0.02</v>
      </c>
      <c r="CR8" s="63">
        <v>0</v>
      </c>
      <c r="CT8" s="60">
        <v>6</v>
      </c>
      <c r="CU8" s="61">
        <f t="shared" si="28"/>
        <v>1E-3</v>
      </c>
      <c r="CV8" s="62">
        <f>+SUM($CU$3:CU8)</f>
        <v>0.99900000000000011</v>
      </c>
      <c r="CW8" s="84">
        <f t="shared" si="29"/>
        <v>40</v>
      </c>
      <c r="CX8" s="58">
        <f t="shared" si="32"/>
        <v>0.04</v>
      </c>
      <c r="CY8" s="63">
        <v>0</v>
      </c>
      <c r="DA8" s="60">
        <v>6</v>
      </c>
      <c r="DB8" s="61">
        <v>0.35</v>
      </c>
      <c r="DC8" s="62">
        <f>+SUM($DB$3:DB8)</f>
        <v>0.7</v>
      </c>
      <c r="DD8" s="83">
        <f t="shared" si="30"/>
        <v>20</v>
      </c>
      <c r="DE8" s="58">
        <f t="shared" si="33"/>
        <v>7</v>
      </c>
      <c r="DF8" s="63">
        <v>0</v>
      </c>
    </row>
    <row r="9" spans="1:110" x14ac:dyDescent="0.25">
      <c r="A9" s="75" t="s">
        <v>135</v>
      </c>
      <c r="B9" s="75">
        <f t="shared" si="34"/>
        <v>0.89445438282647616</v>
      </c>
      <c r="C9" s="3">
        <v>0</v>
      </c>
      <c r="D9" s="64">
        <f>+BA10</f>
        <v>11.179999999999996</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8.0000000000000071E-2</v>
      </c>
      <c r="W9" s="62">
        <f>+SUM($V$3:V9)</f>
        <v>1</v>
      </c>
      <c r="X9" s="58">
        <f t="shared" si="3"/>
        <v>50</v>
      </c>
      <c r="Y9" s="58">
        <f t="shared" si="4"/>
        <v>4.0000000000000036</v>
      </c>
      <c r="Z9" s="63">
        <v>0</v>
      </c>
      <c r="AB9" s="60">
        <v>7</v>
      </c>
      <c r="AC9" s="66">
        <f>1-SUM(AC3:AC8)</f>
        <v>1.0000000000000009E-2</v>
      </c>
      <c r="AD9" s="62">
        <f>+SUM($AC$3:AC9)</f>
        <v>1</v>
      </c>
      <c r="AE9" s="58">
        <f t="shared" si="5"/>
        <v>50</v>
      </c>
      <c r="AF9" s="58">
        <f t="shared" si="6"/>
        <v>0.50000000000000044</v>
      </c>
      <c r="AG9" s="63">
        <v>0</v>
      </c>
      <c r="AI9" s="60">
        <v>7</v>
      </c>
      <c r="AJ9" s="66">
        <f>1-SUM(AJ3:AJ8)</f>
        <v>0.17999999999999994</v>
      </c>
      <c r="AK9" s="62">
        <f>+SUM($AJ$3:AJ9)</f>
        <v>1</v>
      </c>
      <c r="AL9" s="58">
        <f t="shared" si="7"/>
        <v>50</v>
      </c>
      <c r="AM9" s="58">
        <f t="shared" si="8"/>
        <v>8.9999999999999964</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0.13</v>
      </c>
      <c r="BF9" s="62">
        <f>+SUM($BE$3:BE9)</f>
        <v>1</v>
      </c>
      <c r="BG9" s="58">
        <f t="shared" si="12"/>
        <v>50</v>
      </c>
      <c r="BH9" s="58">
        <f t="shared" si="13"/>
        <v>6.5</v>
      </c>
      <c r="BI9" s="63">
        <v>0</v>
      </c>
      <c r="BK9" s="60">
        <v>7</v>
      </c>
      <c r="BL9" s="66">
        <f>1-SUM(BL3:BL8)</f>
        <v>9.9999999999999978E-2</v>
      </c>
      <c r="BM9" s="62">
        <f>+SUM($BL$3:BL9)</f>
        <v>1</v>
      </c>
      <c r="BN9" s="58">
        <f t="shared" si="14"/>
        <v>50</v>
      </c>
      <c r="BO9" s="58">
        <f t="shared" si="15"/>
        <v>4.9999999999999991</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7"/>
        <v>50</v>
      </c>
      <c r="CQ9" s="58">
        <f t="shared" si="31"/>
        <v>4.9999999999994493E-2</v>
      </c>
      <c r="CR9" s="63">
        <v>0</v>
      </c>
      <c r="CT9" s="60">
        <v>7</v>
      </c>
      <c r="CU9" s="66">
        <f>1-SUM(CU3:CU8)</f>
        <v>9.9999999999988987E-4</v>
      </c>
      <c r="CV9" s="62">
        <f>+SUM($CU$3:CU9)</f>
        <v>1</v>
      </c>
      <c r="CW9" s="84">
        <f t="shared" si="29"/>
        <v>100</v>
      </c>
      <c r="CX9" s="58">
        <f t="shared" si="32"/>
        <v>9.9999999999988987E-2</v>
      </c>
      <c r="CY9" s="63">
        <v>0</v>
      </c>
      <c r="DA9" s="60">
        <v>7</v>
      </c>
      <c r="DB9" s="66">
        <f>1-SUM(DB3:DB8)</f>
        <v>0.30000000000000004</v>
      </c>
      <c r="DC9" s="62">
        <f>+SUM($DB$3:DB9)</f>
        <v>1</v>
      </c>
      <c r="DD9" s="83">
        <f t="shared" si="30"/>
        <v>50</v>
      </c>
      <c r="DE9" s="58">
        <f t="shared" si="33"/>
        <v>15.000000000000002</v>
      </c>
      <c r="DF9" s="63">
        <v>0</v>
      </c>
    </row>
    <row r="10" spans="1:110" x14ac:dyDescent="0.25">
      <c r="A10" s="75" t="s">
        <v>136</v>
      </c>
      <c r="B10" s="75">
        <f t="shared" si="34"/>
        <v>0.8029197080291971</v>
      </c>
      <c r="C10" s="3">
        <v>0</v>
      </c>
      <c r="D10" s="64">
        <f>+BH10</f>
        <v>13.7</v>
      </c>
      <c r="E10" s="3">
        <v>11</v>
      </c>
      <c r="G10" s="50" t="s">
        <v>71</v>
      </c>
      <c r="H10" s="50">
        <f>+SUM(H3:H9)</f>
        <v>1</v>
      </c>
      <c r="I10" s="50"/>
      <c r="J10" s="50"/>
      <c r="K10" s="51">
        <f>+SUM(K3:K9)</f>
        <v>3.3149999999999946</v>
      </c>
      <c r="L10" s="51"/>
      <c r="N10" s="50" t="s">
        <v>71</v>
      </c>
      <c r="O10" s="50">
        <f>+SUM(O3:O9)</f>
        <v>1</v>
      </c>
      <c r="P10" s="50"/>
      <c r="Q10" s="50"/>
      <c r="R10" s="51">
        <f>+SUM(R3:R9)</f>
        <v>8.2399999999999984</v>
      </c>
      <c r="S10" s="51"/>
      <c r="U10" s="50" t="s">
        <v>71</v>
      </c>
      <c r="V10" s="50">
        <f>+SUM(V3:V9)</f>
        <v>1</v>
      </c>
      <c r="W10" s="50"/>
      <c r="X10" s="50"/>
      <c r="Y10" s="51">
        <f>+SUM(Y3:Y9)</f>
        <v>10.050000000000004</v>
      </c>
      <c r="Z10" s="51"/>
      <c r="AB10" s="50" t="s">
        <v>71</v>
      </c>
      <c r="AC10" s="50">
        <f>+SUM(AC3:AC9)</f>
        <v>1</v>
      </c>
      <c r="AD10" s="50"/>
      <c r="AE10" s="50"/>
      <c r="AF10" s="51">
        <f>+SUM(AF3:AF9)</f>
        <v>11.27</v>
      </c>
      <c r="AG10" s="51"/>
      <c r="AI10" s="50" t="s">
        <v>71</v>
      </c>
      <c r="AJ10" s="50">
        <f>+SUM(AJ3:AJ9)</f>
        <v>1</v>
      </c>
      <c r="AK10" s="50"/>
      <c r="AL10" s="50"/>
      <c r="AM10" s="51">
        <f>+SUM(AM3:AM9)</f>
        <v>22.199999999999996</v>
      </c>
      <c r="AN10" s="51"/>
      <c r="AP10" s="50" t="s">
        <v>71</v>
      </c>
      <c r="AQ10" s="50">
        <f>+SUM(AQ3:AQ9)</f>
        <v>1</v>
      </c>
      <c r="AR10" s="50"/>
      <c r="AS10" s="50"/>
      <c r="AT10" s="51">
        <f>+SUM(AT3:AT9)</f>
        <v>5</v>
      </c>
      <c r="AU10" s="51"/>
      <c r="AW10" s="50" t="s">
        <v>71</v>
      </c>
      <c r="AX10" s="50">
        <f>+SUM(AX3:AX9)</f>
        <v>1</v>
      </c>
      <c r="AY10" s="50"/>
      <c r="AZ10" s="50"/>
      <c r="BA10" s="51">
        <f>+SUM(BA3:BA9)</f>
        <v>11.179999999999996</v>
      </c>
      <c r="BB10" s="51"/>
      <c r="BD10" s="50" t="s">
        <v>71</v>
      </c>
      <c r="BE10" s="50">
        <f>+SUM(BE3:BE9)</f>
        <v>1</v>
      </c>
      <c r="BF10" s="50"/>
      <c r="BG10" s="50"/>
      <c r="BH10" s="51">
        <f>+SUM(BH3:BH9)</f>
        <v>13.7</v>
      </c>
      <c r="BI10" s="51"/>
      <c r="BK10" s="50" t="s">
        <v>71</v>
      </c>
      <c r="BL10" s="50">
        <f>+SUM(BL3:BL9)</f>
        <v>1</v>
      </c>
      <c r="BM10" s="50"/>
      <c r="BN10" s="50"/>
      <c r="BO10" s="51">
        <f>+SUM(BO3:BO9)</f>
        <v>12.399999999999999</v>
      </c>
      <c r="BP10" s="51"/>
      <c r="BR10" s="50" t="s">
        <v>71</v>
      </c>
      <c r="BS10" s="50">
        <f>+SUM(BS3:BS9)</f>
        <v>1</v>
      </c>
      <c r="BT10" s="50"/>
      <c r="BU10" s="50"/>
      <c r="BV10" s="51">
        <f>+SUM(BV3:BV9)</f>
        <v>12.43</v>
      </c>
      <c r="BW10" s="51"/>
      <c r="BY10" s="50" t="s">
        <v>71</v>
      </c>
      <c r="BZ10" s="50">
        <f>+SUM(BZ3:BZ9)</f>
        <v>1</v>
      </c>
      <c r="CA10" s="50"/>
      <c r="CB10" s="50"/>
      <c r="CC10" s="51">
        <f>+SUM(CC3:CC9)</f>
        <v>4.1900000000000013</v>
      </c>
      <c r="CD10" s="51"/>
      <c r="CF10" s="50" t="s">
        <v>71</v>
      </c>
      <c r="CG10" s="50">
        <f>+SUM(CG3:CG9)</f>
        <v>1</v>
      </c>
      <c r="CH10" s="50"/>
      <c r="CI10" s="50"/>
      <c r="CJ10" s="51">
        <f>+SUM(CJ3:CJ9)</f>
        <v>50</v>
      </c>
      <c r="CK10" s="51"/>
      <c r="CM10" s="50" t="s">
        <v>71</v>
      </c>
      <c r="CN10" s="50">
        <f>+SUM(CN3:CN9)</f>
        <v>1</v>
      </c>
      <c r="CO10" s="50"/>
      <c r="CP10" s="50"/>
      <c r="CQ10" s="51">
        <f>+SUM(CQ3:CQ9)</f>
        <v>3.3149999999999946</v>
      </c>
      <c r="CR10" s="51"/>
      <c r="CT10" s="50" t="s">
        <v>71</v>
      </c>
      <c r="CU10" s="50">
        <f>+SUM(CU3:CU9)</f>
        <v>1</v>
      </c>
      <c r="CV10" s="50"/>
      <c r="CW10" s="50"/>
      <c r="CX10" s="51">
        <f>+SUM(CX3:CX9)</f>
        <v>6.6299999999999892</v>
      </c>
      <c r="CY10" s="51"/>
      <c r="DA10" s="50" t="s">
        <v>71</v>
      </c>
      <c r="DB10" s="50">
        <f>+SUM(DB3:DB9)</f>
        <v>1</v>
      </c>
      <c r="DC10" s="50"/>
      <c r="DD10" s="50"/>
      <c r="DE10" s="51">
        <f>+SUM(DE3:DE9)</f>
        <v>25.050000000000004</v>
      </c>
      <c r="DF10" s="51"/>
    </row>
    <row r="11" spans="1:110" x14ac:dyDescent="0.25">
      <c r="A11" s="75" t="s">
        <v>137</v>
      </c>
      <c r="B11" s="75">
        <f t="shared" si="34"/>
        <v>0.88709677419354849</v>
      </c>
      <c r="C11" s="3">
        <v>0</v>
      </c>
      <c r="D11" s="64">
        <f>+BO10</f>
        <v>12.399999999999999</v>
      </c>
      <c r="E11" s="3">
        <v>11</v>
      </c>
    </row>
    <row r="12" spans="1:110" x14ac:dyDescent="0.25">
      <c r="A12" s="75" t="s">
        <v>138</v>
      </c>
      <c r="B12" s="75">
        <f t="shared" si="34"/>
        <v>0.80450522928399038</v>
      </c>
      <c r="C12" s="3">
        <v>0</v>
      </c>
      <c r="D12" s="64">
        <f>+BV10</f>
        <v>12.43</v>
      </c>
      <c r="E12" s="3">
        <v>10</v>
      </c>
    </row>
    <row r="13" spans="1:110" x14ac:dyDescent="0.25">
      <c r="A13" s="85" t="s">
        <v>171</v>
      </c>
      <c r="B13" s="75">
        <f t="shared" si="34"/>
        <v>0.39498806682577553</v>
      </c>
      <c r="C13" s="3">
        <f>1/B13/Summary!$C$7</f>
        <v>2.5317220543806655E-3</v>
      </c>
      <c r="D13" s="64">
        <f>+CC10</f>
        <v>4.1900000000000013</v>
      </c>
      <c r="E13" s="3">
        <f>1+E3</f>
        <v>1.655</v>
      </c>
    </row>
    <row r="14" spans="1:110" x14ac:dyDescent="0.25">
      <c r="A14" s="85" t="s">
        <v>166</v>
      </c>
      <c r="B14" s="58">
        <f>+E14/D14</f>
        <v>0.39517345399698406</v>
      </c>
      <c r="C14" s="3">
        <f>1/B14/Summary!$C$7</f>
        <v>2.5305343511450341E-3</v>
      </c>
      <c r="D14" s="86">
        <f>+CQ10</f>
        <v>3.3149999999999946</v>
      </c>
      <c r="E14" s="3">
        <f>+E3*2</f>
        <v>1.31</v>
      </c>
    </row>
    <row r="15" spans="1:110" x14ac:dyDescent="0.25">
      <c r="A15" s="85" t="s">
        <v>167</v>
      </c>
      <c r="B15" s="58">
        <f>+E15/D15</f>
        <v>0.19758672699849203</v>
      </c>
      <c r="C15" s="3">
        <f>1/B15/Summary!$C$7</f>
        <v>5.0610687022900683E-3</v>
      </c>
      <c r="D15" s="86">
        <f>+CX10</f>
        <v>6.6299999999999892</v>
      </c>
      <c r="E15" s="3">
        <f>+E14</f>
        <v>1.31</v>
      </c>
    </row>
    <row r="16" spans="1:110" x14ac:dyDescent="0.25">
      <c r="A16" s="75" t="s">
        <v>165</v>
      </c>
      <c r="B16" s="58">
        <f>+E16/D16</f>
        <v>0.79840319361277434</v>
      </c>
      <c r="C16" s="3">
        <v>0</v>
      </c>
      <c r="D16" s="86">
        <f>+DE10</f>
        <v>25.050000000000004</v>
      </c>
      <c r="E16" s="3">
        <v>20</v>
      </c>
    </row>
    <row r="17" spans="1:5" x14ac:dyDescent="0.25">
      <c r="A17" s="3" t="s">
        <v>117</v>
      </c>
      <c r="B17" s="58">
        <f>+E17/D17</f>
        <v>1</v>
      </c>
      <c r="C17" s="3">
        <v>0</v>
      </c>
      <c r="D17" s="64">
        <f>+CJ10</f>
        <v>50</v>
      </c>
      <c r="E17" s="3">
        <v>50</v>
      </c>
    </row>
    <row r="18" spans="1:5" x14ac:dyDescent="0.25">
      <c r="A18" s="3" t="s">
        <v>118</v>
      </c>
      <c r="B18" s="65" t="str">
        <f>+CONCATENATE("x",J3," - x",J9)</f>
        <v>x2 - x50</v>
      </c>
    </row>
    <row r="20" spans="1:5" x14ac:dyDescent="0.25">
      <c r="A20" t="s">
        <v>172</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27" operator="lessThan">
      <formula>0</formula>
    </cfRule>
    <cfRule type="cellIs" priority="28" operator="greaterThan">
      <formula>1</formula>
    </cfRule>
  </conditionalFormatting>
  <conditionalFormatting sqref="H3:H9 O3:O9 CG3:CG9 V3:V9 AC3:AC9 AJ3:AJ9 AQ3:AQ9 AX3:AX9 BZ3:BZ9 BE3:BE9 BL3:BL9 BS3:BS9">
    <cfRule type="cellIs" priority="26" operator="equal">
      <formula>0</formula>
    </cfRule>
  </conditionalFormatting>
  <conditionalFormatting sqref="B3:B17">
    <cfRule type="cellIs" priority="24" operator="greaterThan">
      <formula>1</formula>
    </cfRule>
    <cfRule type="cellIs" priority="25" operator="lessThan">
      <formula>0</formula>
    </cfRule>
  </conditionalFormatting>
  <conditionalFormatting sqref="H3:H9 O3:O9 V3:V9 AC3:AC9">
    <cfRule type="cellIs" priority="22" operator="lessThan">
      <formula>0</formula>
    </cfRule>
    <cfRule type="cellIs" priority="23" operator="greaterThan">
      <formula>1</formula>
    </cfRule>
  </conditionalFormatting>
  <conditionalFormatting sqref="H3:H9 O3:O9 V3:V9 AC3:AC9">
    <cfRule type="cellIs" priority="21" operator="equal">
      <formula>0</formula>
    </cfRule>
  </conditionalFormatting>
  <conditionalFormatting sqref="H3:H9">
    <cfRule type="cellIs" priority="19" operator="lessThan">
      <formula>0</formula>
    </cfRule>
    <cfRule type="cellIs" priority="20" operator="greaterThan">
      <formula>1</formula>
    </cfRule>
  </conditionalFormatting>
  <conditionalFormatting sqref="H3:H9">
    <cfRule type="cellIs" priority="18" operator="equal">
      <formula>0</formula>
    </cfRule>
  </conditionalFormatting>
  <conditionalFormatting sqref="H3:H9">
    <cfRule type="cellIs" priority="16" operator="lessThan">
      <formula>0</formula>
    </cfRule>
    <cfRule type="cellIs" priority="17" operator="greaterThan">
      <formula>1</formula>
    </cfRule>
  </conditionalFormatting>
  <conditionalFormatting sqref="H3:H9">
    <cfRule type="cellIs" priority="15" operator="equal">
      <formula>0</formula>
    </cfRule>
  </conditionalFormatting>
  <conditionalFormatting sqref="CG3:CG9">
    <cfRule type="cellIs" priority="13" operator="lessThan">
      <formula>0</formula>
    </cfRule>
    <cfRule type="cellIs" priority="14" operator="greaterThan">
      <formula>1</formula>
    </cfRule>
  </conditionalFormatting>
  <conditionalFormatting sqref="CG3:CG9">
    <cfRule type="cellIs" priority="12" operator="equal">
      <formula>0</formula>
    </cfRule>
  </conditionalFormatting>
  <conditionalFormatting sqref="B14:B16">
    <cfRule type="cellIs" priority="10" operator="greaterThan">
      <formula>1</formula>
    </cfRule>
    <cfRule type="cellIs" priority="11" operator="lessThan">
      <formula>0</formula>
    </cfRule>
  </conditionalFormatting>
  <conditionalFormatting sqref="CN3:CN9">
    <cfRule type="cellIs" priority="8" operator="lessThan">
      <formula>0</formula>
    </cfRule>
    <cfRule type="cellIs" priority="9" operator="greaterThan">
      <formula>1</formula>
    </cfRule>
  </conditionalFormatting>
  <conditionalFormatting sqref="CN3:CN9">
    <cfRule type="cellIs" priority="7" operator="equal">
      <formula>0</formula>
    </cfRule>
  </conditionalFormatting>
  <conditionalFormatting sqref="CU3:CU9">
    <cfRule type="cellIs" priority="5" operator="lessThan">
      <formula>0</formula>
    </cfRule>
    <cfRule type="cellIs" priority="6" operator="greaterThan">
      <formula>1</formula>
    </cfRule>
  </conditionalFormatting>
  <conditionalFormatting sqref="CU3:CU9">
    <cfRule type="cellIs" priority="4" operator="equal">
      <formula>0</formula>
    </cfRule>
  </conditionalFormatting>
  <conditionalFormatting sqref="DB3:DB9">
    <cfRule type="cellIs" priority="2" operator="lessThan">
      <formula>0</formula>
    </cfRule>
    <cfRule type="cellIs" priority="3" operator="greaterThan">
      <formula>1</formula>
    </cfRule>
  </conditionalFormatting>
  <conditionalFormatting sqref="DB3:DB9">
    <cfRule type="cellIs" priority="1" operator="equal">
      <formula>0</formula>
    </cfRule>
  </conditionalFormatting>
  <pageMargins left="0.7" right="0.7" top="0.75" bottom="0.75" header="0.51180555555555496" footer="0.51180555555555496"/>
  <pageSetup firstPageNumber="0" orientation="portrait" horizontalDpi="300" verticalDpi="300"/>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6"/>
  <dimension ref="A1:DF20"/>
  <sheetViews>
    <sheetView workbookViewId="0">
      <pane xSplit="6" ySplit="1" topLeftCell="G2" activePane="bottomRight" state="frozen"/>
      <selection pane="topRight" activeCell="G1" sqref="G1"/>
      <selection pane="bottomLeft" activeCell="A2" sqref="A2"/>
      <selection pane="bottomRight" activeCell="A14" sqref="A14:E16"/>
    </sheetView>
  </sheetViews>
  <sheetFormatPr defaultColWidth="8.85546875" defaultRowHeight="15" x14ac:dyDescent="0.25"/>
  <cols>
    <col min="1" max="1" width="37.85546875" bestFit="1" customWidth="1"/>
    <col min="2" max="2" width="11.5703125" customWidth="1"/>
    <col min="3" max="3" width="17.28515625" customWidth="1"/>
    <col min="4" max="4" width="10.7109375" bestFit="1" customWidth="1"/>
    <col min="5" max="5" width="7.28515625" customWidth="1"/>
    <col min="6" max="6" width="14.28515625" customWidth="1"/>
    <col min="7" max="8" width="11.5703125" customWidth="1"/>
    <col min="9" max="9" width="16.28515625" customWidth="1"/>
    <col min="10" max="29" width="11.5703125" customWidth="1"/>
    <col min="30" max="30" width="15.5703125" bestFit="1" customWidth="1"/>
    <col min="31" max="36" width="11.5703125" customWidth="1"/>
    <col min="37" max="37" width="15.5703125" bestFit="1" customWidth="1"/>
    <col min="38" max="43" width="11.5703125" customWidth="1"/>
    <col min="44" max="44" width="15.5703125" bestFit="1" customWidth="1"/>
    <col min="45" max="50" width="11.5703125" customWidth="1"/>
    <col min="51" max="51" width="15.5703125" bestFit="1" customWidth="1"/>
    <col min="52" max="1074" width="11.5703125" customWidth="1"/>
  </cols>
  <sheetData>
    <row r="1" spans="1:110" x14ac:dyDescent="0.25">
      <c r="A1" s="2" t="s">
        <v>120</v>
      </c>
      <c r="G1" s="98" t="s">
        <v>104</v>
      </c>
      <c r="H1" s="98"/>
      <c r="I1" s="98"/>
      <c r="J1" s="98"/>
      <c r="K1" s="98"/>
      <c r="L1" s="98"/>
      <c r="N1" s="98" t="s">
        <v>105</v>
      </c>
      <c r="O1" s="98"/>
      <c r="P1" s="98"/>
      <c r="Q1" s="98"/>
      <c r="R1" s="98"/>
      <c r="S1" s="98"/>
      <c r="U1" s="98" t="s">
        <v>106</v>
      </c>
      <c r="V1" s="98"/>
      <c r="W1" s="98"/>
      <c r="X1" s="98"/>
      <c r="Y1" s="98"/>
      <c r="Z1" s="98"/>
      <c r="AB1" s="98" t="s">
        <v>107</v>
      </c>
      <c r="AC1" s="98"/>
      <c r="AD1" s="98"/>
      <c r="AE1" s="98"/>
      <c r="AF1" s="98"/>
      <c r="AG1" s="98"/>
      <c r="AI1" s="98" t="s">
        <v>139</v>
      </c>
      <c r="AJ1" s="98"/>
      <c r="AK1" s="98"/>
      <c r="AL1" s="98"/>
      <c r="AM1" s="98"/>
      <c r="AN1" s="98"/>
      <c r="AP1" s="98" t="s">
        <v>140</v>
      </c>
      <c r="AQ1" s="98"/>
      <c r="AR1" s="98"/>
      <c r="AS1" s="98"/>
      <c r="AT1" s="98"/>
      <c r="AU1" s="98"/>
      <c r="AW1" s="98" t="s">
        <v>141</v>
      </c>
      <c r="AX1" s="98"/>
      <c r="AY1" s="98"/>
      <c r="AZ1" s="98"/>
      <c r="BA1" s="98"/>
      <c r="BB1" s="98"/>
      <c r="BD1" s="98" t="s">
        <v>142</v>
      </c>
      <c r="BE1" s="98"/>
      <c r="BF1" s="98"/>
      <c r="BG1" s="98"/>
      <c r="BH1" s="98"/>
      <c r="BI1" s="98"/>
      <c r="BK1" s="98" t="s">
        <v>143</v>
      </c>
      <c r="BL1" s="98"/>
      <c r="BM1" s="98"/>
      <c r="BN1" s="98"/>
      <c r="BO1" s="98"/>
      <c r="BP1" s="98"/>
      <c r="BR1" s="98" t="s">
        <v>144</v>
      </c>
      <c r="BS1" s="98"/>
      <c r="BT1" s="98"/>
      <c r="BU1" s="98"/>
      <c r="BV1" s="98"/>
      <c r="BW1" s="98"/>
      <c r="BY1" s="98" t="s">
        <v>145</v>
      </c>
      <c r="BZ1" s="98"/>
      <c r="CA1" s="98"/>
      <c r="CB1" s="98"/>
      <c r="CC1" s="98"/>
      <c r="CD1" s="98"/>
      <c r="CF1" s="98" t="s">
        <v>108</v>
      </c>
      <c r="CG1" s="98"/>
      <c r="CH1" s="98"/>
      <c r="CI1" s="98"/>
      <c r="CJ1" s="98"/>
      <c r="CK1" s="98"/>
      <c r="CM1" s="98" t="s">
        <v>168</v>
      </c>
      <c r="CN1" s="98"/>
      <c r="CO1" s="98"/>
      <c r="CP1" s="98"/>
      <c r="CQ1" s="98"/>
      <c r="CR1" s="98"/>
      <c r="CT1" s="98" t="s">
        <v>170</v>
      </c>
      <c r="CU1" s="98"/>
      <c r="CV1" s="98"/>
      <c r="CW1" s="98"/>
      <c r="CX1" s="98"/>
      <c r="CY1" s="98"/>
      <c r="DA1" s="98" t="s">
        <v>169</v>
      </c>
      <c r="DB1" s="98"/>
      <c r="DC1" s="98"/>
      <c r="DD1" s="98"/>
      <c r="DE1" s="98"/>
      <c r="DF1" s="98"/>
    </row>
    <row r="2" spans="1:110" x14ac:dyDescent="0.25">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x14ac:dyDescent="0.25">
      <c r="A3" s="58" t="s">
        <v>173</v>
      </c>
      <c r="B3" s="58">
        <f>+E3/D3</f>
        <v>0.16637033274066576</v>
      </c>
      <c r="C3" s="3">
        <f>1/B3/Summary!$C$7</f>
        <v>6.0106870229007531E-3</v>
      </c>
      <c r="D3" s="59">
        <f>+K10</f>
        <v>3.9369999999999936</v>
      </c>
      <c r="E3" s="3">
        <v>0.65500000000000003</v>
      </c>
      <c r="G3" s="60">
        <v>1</v>
      </c>
      <c r="H3" s="61">
        <v>0.55600000000000005</v>
      </c>
      <c r="I3" s="62">
        <f>+SUM($H3:H3)</f>
        <v>0.55600000000000005</v>
      </c>
      <c r="J3" s="50">
        <v>3</v>
      </c>
      <c r="K3" s="58">
        <f t="shared" ref="K3:K9" si="0">+H3*J3</f>
        <v>1.6680000000000001</v>
      </c>
      <c r="L3" s="63">
        <v>0</v>
      </c>
      <c r="N3" s="60">
        <v>1</v>
      </c>
      <c r="O3" s="61">
        <v>0.1</v>
      </c>
      <c r="P3" s="62">
        <f>+SUM($O3:O$3)</f>
        <v>0.1</v>
      </c>
      <c r="Q3" s="58">
        <f t="shared" ref="Q3:Q9" si="1">+J3</f>
        <v>3</v>
      </c>
      <c r="R3" s="58">
        <f t="shared" ref="R3:R9" si="2">+O3*Q3</f>
        <v>0.30000000000000004</v>
      </c>
      <c r="S3" s="63">
        <v>0</v>
      </c>
      <c r="U3" s="60">
        <v>1</v>
      </c>
      <c r="V3" s="61">
        <v>0.1</v>
      </c>
      <c r="W3" s="62">
        <f>+SUM($V3:V$3)</f>
        <v>0.1</v>
      </c>
      <c r="X3" s="58">
        <f t="shared" ref="X3:X9" si="3">+J3</f>
        <v>3</v>
      </c>
      <c r="Y3" s="58">
        <f t="shared" ref="Y3:Y9" si="4">+V3*X3</f>
        <v>0.30000000000000004</v>
      </c>
      <c r="Z3" s="63">
        <v>0</v>
      </c>
      <c r="AB3" s="60">
        <v>1</v>
      </c>
      <c r="AC3" s="61">
        <v>0</v>
      </c>
      <c r="AD3" s="62">
        <f>+SUM($AC$3:AC3)</f>
        <v>0</v>
      </c>
      <c r="AE3" s="58">
        <f t="shared" ref="AE3:AE9" si="5">+J3</f>
        <v>3</v>
      </c>
      <c r="AF3" s="58">
        <f t="shared" ref="AF3:AF9" si="6">+AC3*AE3</f>
        <v>0</v>
      </c>
      <c r="AG3" s="63">
        <v>0</v>
      </c>
      <c r="AI3" s="60">
        <v>1</v>
      </c>
      <c r="AJ3" s="61">
        <v>0</v>
      </c>
      <c r="AK3" s="62">
        <f>+SUM(AJ3:$AJ3)</f>
        <v>0</v>
      </c>
      <c r="AL3" s="58">
        <f t="shared" ref="AL3:AL9" si="7">+Q3</f>
        <v>3</v>
      </c>
      <c r="AM3" s="58">
        <f t="shared" ref="AM3:AM9" si="8">+AJ3*AL3</f>
        <v>0</v>
      </c>
      <c r="AN3" s="63">
        <v>0</v>
      </c>
      <c r="AP3" s="60">
        <v>1</v>
      </c>
      <c r="AQ3" s="61">
        <v>0.1</v>
      </c>
      <c r="AR3" s="62">
        <f>+SUM($AQ$3:AQ3)</f>
        <v>0.1</v>
      </c>
      <c r="AS3" s="58">
        <f t="shared" ref="AS3:AS9" si="9">+X3</f>
        <v>3</v>
      </c>
      <c r="AT3" s="58">
        <f>+AQ3*AS3</f>
        <v>0.30000000000000004</v>
      </c>
      <c r="AU3" s="63">
        <v>0</v>
      </c>
      <c r="AW3" s="60">
        <v>1</v>
      </c>
      <c r="AX3" s="61">
        <v>0</v>
      </c>
      <c r="AY3" s="62">
        <f>+SUM($AX$3:AX3)</f>
        <v>0</v>
      </c>
      <c r="AZ3" s="58">
        <f t="shared" ref="AZ3:AZ9" si="10">+AE3</f>
        <v>3</v>
      </c>
      <c r="BA3" s="58">
        <f t="shared" ref="BA3:BA9" si="11">+AX3*AZ3</f>
        <v>0</v>
      </c>
      <c r="BB3" s="63">
        <v>0</v>
      </c>
      <c r="BD3" s="60">
        <v>1</v>
      </c>
      <c r="BE3" s="61">
        <v>0.05</v>
      </c>
      <c r="BF3" s="62">
        <f>+SUM($BE$3:BE3)</f>
        <v>0.05</v>
      </c>
      <c r="BG3" s="58">
        <f t="shared" ref="BG3:BG9" si="12">+AL3</f>
        <v>3</v>
      </c>
      <c r="BH3" s="58">
        <f t="shared" ref="BH3:BH9" si="13">+BE3*BG3</f>
        <v>0.15000000000000002</v>
      </c>
      <c r="BI3" s="63">
        <v>0</v>
      </c>
      <c r="BK3" s="60">
        <v>1</v>
      </c>
      <c r="BL3" s="61">
        <v>0.05</v>
      </c>
      <c r="BM3" s="62">
        <f>+SUM($BL$3:BL3)</f>
        <v>0.05</v>
      </c>
      <c r="BN3" s="58">
        <f t="shared" ref="BN3:BN9" si="14">+AS3</f>
        <v>3</v>
      </c>
      <c r="BO3" s="58">
        <f t="shared" ref="BO3:BO9" si="15">+BL3*BN3</f>
        <v>0.15000000000000002</v>
      </c>
      <c r="BP3" s="63">
        <v>0</v>
      </c>
      <c r="BR3" s="60">
        <v>1</v>
      </c>
      <c r="BS3" s="61">
        <v>0.09</v>
      </c>
      <c r="BT3" s="62">
        <f>+SUM($BS$3:BS3)</f>
        <v>0.09</v>
      </c>
      <c r="BU3" s="58">
        <f t="shared" ref="BU3:BU9" si="16">+AZ3</f>
        <v>3</v>
      </c>
      <c r="BV3" s="58">
        <f t="shared" ref="BV3:BV9" si="17">+BS3*BU3</f>
        <v>0.27</v>
      </c>
      <c r="BW3" s="63">
        <v>0</v>
      </c>
      <c r="BY3" s="60">
        <v>1</v>
      </c>
      <c r="BZ3" s="61">
        <v>0.36</v>
      </c>
      <c r="CA3" s="62">
        <f>+SUM($BZ$3:BZ3)</f>
        <v>0.36</v>
      </c>
      <c r="CB3" s="58">
        <f t="shared" ref="CB3:CB9" si="18">+BG3</f>
        <v>3</v>
      </c>
      <c r="CC3" s="58">
        <f t="shared" ref="CC3:CC9" si="19">+BZ3*CB3</f>
        <v>1.08</v>
      </c>
      <c r="CD3" s="63">
        <v>0</v>
      </c>
      <c r="CF3" s="60">
        <v>1</v>
      </c>
      <c r="CG3" s="61">
        <v>0</v>
      </c>
      <c r="CH3" s="62">
        <f>+SUM($CG$3:CG3)</f>
        <v>0</v>
      </c>
      <c r="CI3" s="58">
        <f t="shared" ref="CI3:CI9" si="20">+BG3</f>
        <v>3</v>
      </c>
      <c r="CJ3" s="58">
        <f t="shared" ref="CJ3:CJ9" si="21">+CG3*CI3</f>
        <v>0</v>
      </c>
      <c r="CK3" s="63">
        <v>0</v>
      </c>
      <c r="CM3" s="60">
        <v>1</v>
      </c>
      <c r="CN3" s="61">
        <f>+H3</f>
        <v>0.55600000000000005</v>
      </c>
      <c r="CO3" s="62">
        <f>+SUM($CN$3:CN3)</f>
        <v>0.55600000000000005</v>
      </c>
      <c r="CP3" s="83">
        <f>+J3</f>
        <v>3</v>
      </c>
      <c r="CQ3" s="58">
        <f t="shared" ref="CQ3" si="22">+CN3*CP3</f>
        <v>1.6680000000000001</v>
      </c>
      <c r="CR3" s="63">
        <v>0</v>
      </c>
      <c r="CT3" s="60">
        <v>1</v>
      </c>
      <c r="CU3" s="61">
        <f>+H3</f>
        <v>0.55600000000000005</v>
      </c>
      <c r="CV3" s="62">
        <f>+SUM($CU$3:CU3)</f>
        <v>0.55600000000000005</v>
      </c>
      <c r="CW3" s="84">
        <f>+J3*2</f>
        <v>6</v>
      </c>
      <c r="CX3" s="58">
        <f t="shared" ref="CX3" si="23">+CU3*CW3</f>
        <v>3.3360000000000003</v>
      </c>
      <c r="CY3" s="63">
        <v>0</v>
      </c>
      <c r="DA3" s="60">
        <v>1</v>
      </c>
      <c r="DB3" s="61">
        <v>0</v>
      </c>
      <c r="DC3" s="62">
        <f>+SUM($DB$3:DB3)</f>
        <v>0</v>
      </c>
      <c r="DD3" s="83">
        <f>+J3</f>
        <v>3</v>
      </c>
      <c r="DE3" s="58">
        <f t="shared" ref="DE3" si="24">+DB3*DD3</f>
        <v>0</v>
      </c>
      <c r="DF3" s="63">
        <v>0</v>
      </c>
    </row>
    <row r="4" spans="1:110" x14ac:dyDescent="0.25">
      <c r="A4" s="3" t="s">
        <v>114</v>
      </c>
      <c r="B4" s="58">
        <f>+E4/D4</f>
        <v>0.50864699898270616</v>
      </c>
      <c r="C4" s="3">
        <v>0</v>
      </c>
      <c r="D4" s="64">
        <f>+R10</f>
        <v>9.8299999999999965</v>
      </c>
      <c r="E4" s="3">
        <v>5</v>
      </c>
      <c r="G4" s="60">
        <v>2</v>
      </c>
      <c r="H4" s="61">
        <v>0.28999999999999998</v>
      </c>
      <c r="I4" s="62">
        <f>+SUM($H$3:H4)</f>
        <v>0.84600000000000009</v>
      </c>
      <c r="J4" s="50">
        <v>4</v>
      </c>
      <c r="K4" s="58">
        <f t="shared" si="0"/>
        <v>1.1599999999999999</v>
      </c>
      <c r="L4" s="63">
        <v>0</v>
      </c>
      <c r="N4" s="60">
        <v>2</v>
      </c>
      <c r="O4" s="61">
        <v>0.2</v>
      </c>
      <c r="P4" s="62">
        <f>+SUM($O$3:O4)</f>
        <v>0.30000000000000004</v>
      </c>
      <c r="Q4" s="58">
        <f t="shared" si="1"/>
        <v>4</v>
      </c>
      <c r="R4" s="58">
        <f t="shared" si="2"/>
        <v>0.8</v>
      </c>
      <c r="S4" s="63">
        <v>0</v>
      </c>
      <c r="U4" s="60">
        <v>2</v>
      </c>
      <c r="V4" s="61">
        <v>0.25</v>
      </c>
      <c r="W4" s="62">
        <f>+SUM($V$3:V4)</f>
        <v>0.35</v>
      </c>
      <c r="X4" s="58">
        <f t="shared" si="3"/>
        <v>4</v>
      </c>
      <c r="Y4" s="58">
        <f t="shared" si="4"/>
        <v>1</v>
      </c>
      <c r="Z4" s="63">
        <v>0</v>
      </c>
      <c r="AB4" s="60">
        <v>2</v>
      </c>
      <c r="AC4" s="61">
        <v>0</v>
      </c>
      <c r="AD4" s="62">
        <f>+SUM($AC$3:AC4)</f>
        <v>0</v>
      </c>
      <c r="AE4" s="58">
        <f t="shared" si="5"/>
        <v>4</v>
      </c>
      <c r="AF4" s="58">
        <f t="shared" si="6"/>
        <v>0</v>
      </c>
      <c r="AG4" s="63">
        <v>0</v>
      </c>
      <c r="AI4" s="60">
        <v>2</v>
      </c>
      <c r="AJ4" s="61">
        <v>0</v>
      </c>
      <c r="AK4" s="62">
        <f>+SUM($AJ$3:AJ4)</f>
        <v>0</v>
      </c>
      <c r="AL4" s="58">
        <f t="shared" si="7"/>
        <v>4</v>
      </c>
      <c r="AM4" s="58">
        <f t="shared" si="8"/>
        <v>0</v>
      </c>
      <c r="AN4" s="63">
        <v>0</v>
      </c>
      <c r="AP4" s="60">
        <v>2</v>
      </c>
      <c r="AQ4" s="61">
        <v>0.1</v>
      </c>
      <c r="AR4" s="62">
        <f>+SUM($AQ$3:AQ4)</f>
        <v>0.2</v>
      </c>
      <c r="AS4" s="58">
        <f t="shared" si="9"/>
        <v>4</v>
      </c>
      <c r="AT4" s="58">
        <f t="shared" ref="AT4:AT9" si="25">+AQ4*AS4</f>
        <v>0.4</v>
      </c>
      <c r="AU4" s="63">
        <v>0</v>
      </c>
      <c r="AW4" s="60">
        <v>2</v>
      </c>
      <c r="AX4" s="61">
        <v>0</v>
      </c>
      <c r="AY4" s="62">
        <f>+SUM($AX$3:AX4)</f>
        <v>0</v>
      </c>
      <c r="AZ4" s="58">
        <f t="shared" si="10"/>
        <v>4</v>
      </c>
      <c r="BA4" s="58">
        <f t="shared" si="11"/>
        <v>0</v>
      </c>
      <c r="BB4" s="63">
        <v>0</v>
      </c>
      <c r="BD4" s="60">
        <v>2</v>
      </c>
      <c r="BE4" s="61">
        <v>0.1</v>
      </c>
      <c r="BF4" s="62">
        <f>+SUM($BE$3:BE4)</f>
        <v>0.15000000000000002</v>
      </c>
      <c r="BG4" s="58">
        <f t="shared" si="12"/>
        <v>4</v>
      </c>
      <c r="BH4" s="58">
        <f t="shared" si="13"/>
        <v>0.4</v>
      </c>
      <c r="BI4" s="63">
        <v>0</v>
      </c>
      <c r="BK4" s="60">
        <v>2</v>
      </c>
      <c r="BL4" s="61">
        <v>0.1</v>
      </c>
      <c r="BM4" s="62">
        <f>+SUM($BL$3:BL4)</f>
        <v>0.15000000000000002</v>
      </c>
      <c r="BN4" s="58">
        <f t="shared" si="14"/>
        <v>4</v>
      </c>
      <c r="BO4" s="58">
        <f t="shared" si="15"/>
        <v>0.4</v>
      </c>
      <c r="BP4" s="63">
        <v>0</v>
      </c>
      <c r="BR4" s="60">
        <v>2</v>
      </c>
      <c r="BS4" s="61">
        <v>0.1</v>
      </c>
      <c r="BT4" s="62">
        <f>+SUM($BS$3:BS4)</f>
        <v>0.19</v>
      </c>
      <c r="BU4" s="58">
        <f t="shared" si="16"/>
        <v>4</v>
      </c>
      <c r="BV4" s="58">
        <f t="shared" si="17"/>
        <v>0.4</v>
      </c>
      <c r="BW4" s="63">
        <v>0</v>
      </c>
      <c r="BY4" s="60">
        <v>2</v>
      </c>
      <c r="BZ4" s="61">
        <v>0.34</v>
      </c>
      <c r="CA4" s="62">
        <f>+SUM($BZ$3:BZ4)</f>
        <v>0.7</v>
      </c>
      <c r="CB4" s="58">
        <f t="shared" si="18"/>
        <v>4</v>
      </c>
      <c r="CC4" s="58">
        <f t="shared" si="19"/>
        <v>1.36</v>
      </c>
      <c r="CD4" s="63">
        <v>0</v>
      </c>
      <c r="CF4" s="60">
        <v>2</v>
      </c>
      <c r="CG4" s="61">
        <v>0</v>
      </c>
      <c r="CH4" s="62">
        <f>+SUM($CG$3:CG4)</f>
        <v>0</v>
      </c>
      <c r="CI4" s="58">
        <f t="shared" si="20"/>
        <v>4</v>
      </c>
      <c r="CJ4" s="58">
        <f t="shared" si="21"/>
        <v>0</v>
      </c>
      <c r="CK4" s="63">
        <v>0</v>
      </c>
      <c r="CM4" s="60">
        <v>2</v>
      </c>
      <c r="CN4" s="61">
        <f t="shared" ref="CN4:CN8" si="26">+H4</f>
        <v>0.28999999999999998</v>
      </c>
      <c r="CO4" s="62">
        <f>+SUM($CN$3:CN4)</f>
        <v>0.84600000000000009</v>
      </c>
      <c r="CP4" s="83">
        <f t="shared" ref="CP4:CP9" si="27">+J4</f>
        <v>4</v>
      </c>
      <c r="CQ4" s="58">
        <f>+CN4*CP4</f>
        <v>1.1599999999999999</v>
      </c>
      <c r="CR4" s="63">
        <v>0</v>
      </c>
      <c r="CT4" s="60">
        <v>2</v>
      </c>
      <c r="CU4" s="61">
        <f t="shared" ref="CU4:CU8" si="28">+H4</f>
        <v>0.28999999999999998</v>
      </c>
      <c r="CV4" s="62">
        <f>+SUM($CU$3:CU4)</f>
        <v>0.84600000000000009</v>
      </c>
      <c r="CW4" s="84">
        <f t="shared" ref="CW4:CW9" si="29">+J4*2</f>
        <v>8</v>
      </c>
      <c r="CX4" s="58">
        <f>+CU4*CW4</f>
        <v>2.3199999999999998</v>
      </c>
      <c r="CY4" s="63">
        <v>0</v>
      </c>
      <c r="DA4" s="60">
        <v>2</v>
      </c>
      <c r="DB4" s="61">
        <v>0</v>
      </c>
      <c r="DC4" s="62">
        <f>+SUM($DB$3:DB4)</f>
        <v>0</v>
      </c>
      <c r="DD4" s="83">
        <f t="shared" ref="DD4:DD9" si="30">+J4</f>
        <v>4</v>
      </c>
      <c r="DE4" s="58">
        <f>+DB4*DD4</f>
        <v>0</v>
      </c>
      <c r="DF4" s="63">
        <v>0</v>
      </c>
    </row>
    <row r="5" spans="1:110" x14ac:dyDescent="0.25">
      <c r="A5" s="3" t="s">
        <v>115</v>
      </c>
      <c r="B5" s="58">
        <f>+E5/D5</f>
        <v>0.66390041493775909</v>
      </c>
      <c r="C5" s="3">
        <v>0</v>
      </c>
      <c r="D5" s="64">
        <f>+Y10</f>
        <v>12.050000000000004</v>
      </c>
      <c r="E5" s="3">
        <v>8</v>
      </c>
      <c r="G5" s="60">
        <v>3</v>
      </c>
      <c r="H5" s="61">
        <v>0.1</v>
      </c>
      <c r="I5" s="62">
        <f>+SUM($H$3:H5)</f>
        <v>0.94600000000000006</v>
      </c>
      <c r="J5" s="50">
        <v>6</v>
      </c>
      <c r="K5" s="58">
        <f t="shared" si="0"/>
        <v>0.60000000000000009</v>
      </c>
      <c r="L5" s="63">
        <v>0</v>
      </c>
      <c r="N5" s="60">
        <v>3</v>
      </c>
      <c r="O5" s="61">
        <v>0.28000000000000003</v>
      </c>
      <c r="P5" s="62">
        <f>+SUM($O$3:O5)</f>
        <v>0.58000000000000007</v>
      </c>
      <c r="Q5" s="58">
        <f t="shared" si="1"/>
        <v>6</v>
      </c>
      <c r="R5" s="58">
        <f t="shared" si="2"/>
        <v>1.6800000000000002</v>
      </c>
      <c r="S5" s="63">
        <v>0</v>
      </c>
      <c r="U5" s="60">
        <v>3</v>
      </c>
      <c r="V5" s="61">
        <v>0.23</v>
      </c>
      <c r="W5" s="62">
        <f>+SUM($V$3:V5)</f>
        <v>0.57999999999999996</v>
      </c>
      <c r="X5" s="58">
        <f t="shared" si="3"/>
        <v>6</v>
      </c>
      <c r="Y5" s="58">
        <f t="shared" si="4"/>
        <v>1.3800000000000001</v>
      </c>
      <c r="Z5" s="63">
        <v>0</v>
      </c>
      <c r="AB5" s="60">
        <v>3</v>
      </c>
      <c r="AC5" s="61">
        <v>0.03</v>
      </c>
      <c r="AD5" s="62">
        <f>+SUM($AC$3:AC5)</f>
        <v>0.03</v>
      </c>
      <c r="AE5" s="58">
        <f t="shared" si="5"/>
        <v>6</v>
      </c>
      <c r="AF5" s="58">
        <f t="shared" si="6"/>
        <v>0.18</v>
      </c>
      <c r="AG5" s="63">
        <v>0</v>
      </c>
      <c r="AI5" s="60">
        <v>3</v>
      </c>
      <c r="AJ5" s="61">
        <v>0</v>
      </c>
      <c r="AK5" s="62">
        <f>+SUM($AJ$3:AJ5)</f>
        <v>0</v>
      </c>
      <c r="AL5" s="58">
        <f t="shared" si="7"/>
        <v>6</v>
      </c>
      <c r="AM5" s="58">
        <f t="shared" si="8"/>
        <v>0</v>
      </c>
      <c r="AN5" s="63">
        <v>0</v>
      </c>
      <c r="AP5" s="60">
        <v>3</v>
      </c>
      <c r="AQ5" s="61">
        <v>0.3</v>
      </c>
      <c r="AR5" s="62">
        <f>+SUM($AQ$3:AQ5)</f>
        <v>0.5</v>
      </c>
      <c r="AS5" s="58">
        <f t="shared" si="9"/>
        <v>6</v>
      </c>
      <c r="AT5" s="58">
        <f t="shared" si="25"/>
        <v>1.7999999999999998</v>
      </c>
      <c r="AU5" s="63">
        <v>0</v>
      </c>
      <c r="AW5" s="60">
        <v>3</v>
      </c>
      <c r="AX5" s="61">
        <v>0.04</v>
      </c>
      <c r="AY5" s="62">
        <f>+SUM($AX$3:AX5)</f>
        <v>0.04</v>
      </c>
      <c r="AZ5" s="58">
        <f t="shared" si="10"/>
        <v>6</v>
      </c>
      <c r="BA5" s="58">
        <f t="shared" si="11"/>
        <v>0.24</v>
      </c>
      <c r="BB5" s="63">
        <v>0</v>
      </c>
      <c r="BD5" s="60">
        <v>3</v>
      </c>
      <c r="BE5" s="61">
        <v>0.2</v>
      </c>
      <c r="BF5" s="62">
        <f>+SUM($BE$3:BE5)</f>
        <v>0.35000000000000003</v>
      </c>
      <c r="BG5" s="58">
        <f t="shared" si="12"/>
        <v>6</v>
      </c>
      <c r="BH5" s="58">
        <f t="shared" si="13"/>
        <v>1.2000000000000002</v>
      </c>
      <c r="BI5" s="63">
        <v>0</v>
      </c>
      <c r="BK5" s="60">
        <v>3</v>
      </c>
      <c r="BL5" s="61">
        <v>0.14000000000000001</v>
      </c>
      <c r="BM5" s="62">
        <f>+SUM($BL$3:BL5)</f>
        <v>0.29000000000000004</v>
      </c>
      <c r="BN5" s="58">
        <f t="shared" si="14"/>
        <v>6</v>
      </c>
      <c r="BO5" s="58">
        <f t="shared" si="15"/>
        <v>0.84000000000000008</v>
      </c>
      <c r="BP5" s="63">
        <v>0</v>
      </c>
      <c r="BR5" s="60">
        <v>3</v>
      </c>
      <c r="BS5" s="61">
        <v>0.2</v>
      </c>
      <c r="BT5" s="62">
        <f>+SUM($BS$3:BS5)</f>
        <v>0.39</v>
      </c>
      <c r="BU5" s="58">
        <f t="shared" si="16"/>
        <v>6</v>
      </c>
      <c r="BV5" s="58">
        <f t="shared" si="17"/>
        <v>1.2000000000000002</v>
      </c>
      <c r="BW5" s="63">
        <v>0</v>
      </c>
      <c r="BY5" s="60">
        <v>3</v>
      </c>
      <c r="BZ5" s="61">
        <v>0.21</v>
      </c>
      <c r="CA5" s="62">
        <f>+SUM($BZ$3:BZ5)</f>
        <v>0.90999999999999992</v>
      </c>
      <c r="CB5" s="58">
        <f t="shared" si="18"/>
        <v>6</v>
      </c>
      <c r="CC5" s="58">
        <f t="shared" si="19"/>
        <v>1.26</v>
      </c>
      <c r="CD5" s="63">
        <v>0</v>
      </c>
      <c r="CF5" s="60">
        <v>3</v>
      </c>
      <c r="CG5" s="61">
        <v>0</v>
      </c>
      <c r="CH5" s="62">
        <f>+SUM($CG$3:CG5)</f>
        <v>0</v>
      </c>
      <c r="CI5" s="58">
        <f t="shared" si="20"/>
        <v>6</v>
      </c>
      <c r="CJ5" s="58">
        <f t="shared" si="21"/>
        <v>0</v>
      </c>
      <c r="CK5" s="63">
        <v>0</v>
      </c>
      <c r="CM5" s="60">
        <v>3</v>
      </c>
      <c r="CN5" s="61">
        <f t="shared" si="26"/>
        <v>0.1</v>
      </c>
      <c r="CO5" s="62">
        <f>+SUM($CN$3:CN5)</f>
        <v>0.94600000000000006</v>
      </c>
      <c r="CP5" s="83">
        <f t="shared" si="27"/>
        <v>6</v>
      </c>
      <c r="CQ5" s="58">
        <f t="shared" ref="CQ5:CQ9" si="31">+CN5*CP5</f>
        <v>0.60000000000000009</v>
      </c>
      <c r="CR5" s="63">
        <v>0</v>
      </c>
      <c r="CT5" s="60">
        <v>3</v>
      </c>
      <c r="CU5" s="61">
        <f t="shared" si="28"/>
        <v>0.1</v>
      </c>
      <c r="CV5" s="62">
        <f>+SUM($CU$3:CU5)</f>
        <v>0.94600000000000006</v>
      </c>
      <c r="CW5" s="84">
        <f t="shared" si="29"/>
        <v>12</v>
      </c>
      <c r="CX5" s="58">
        <f t="shared" ref="CX5:CX9" si="32">+CU5*CW5</f>
        <v>1.2000000000000002</v>
      </c>
      <c r="CY5" s="63">
        <v>0</v>
      </c>
      <c r="DA5" s="60">
        <v>3</v>
      </c>
      <c r="DB5" s="61">
        <v>0</v>
      </c>
      <c r="DC5" s="62">
        <f>+SUM($DB$3:DB5)</f>
        <v>0</v>
      </c>
      <c r="DD5" s="83">
        <f t="shared" si="30"/>
        <v>6</v>
      </c>
      <c r="DE5" s="58">
        <f t="shared" ref="DE5:DE9" si="33">+DB5*DD5</f>
        <v>0</v>
      </c>
      <c r="DF5" s="63">
        <v>0</v>
      </c>
    </row>
    <row r="6" spans="1:110" x14ac:dyDescent="0.25">
      <c r="A6" s="3" t="s">
        <v>116</v>
      </c>
      <c r="B6" s="75">
        <f>+E6/D6</f>
        <v>0.75700227100681328</v>
      </c>
      <c r="C6" s="3">
        <v>0</v>
      </c>
      <c r="D6" s="64">
        <f>+AF10</f>
        <v>13.209999999999996</v>
      </c>
      <c r="E6" s="3">
        <v>10</v>
      </c>
      <c r="G6" s="60">
        <v>4</v>
      </c>
      <c r="H6" s="61">
        <v>0.05</v>
      </c>
      <c r="I6" s="62">
        <f>+SUM($H$3:H6)</f>
        <v>0.99600000000000011</v>
      </c>
      <c r="J6" s="50">
        <v>8</v>
      </c>
      <c r="K6" s="58">
        <f t="shared" si="0"/>
        <v>0.4</v>
      </c>
      <c r="L6" s="63">
        <v>0</v>
      </c>
      <c r="N6" s="60">
        <v>4</v>
      </c>
      <c r="O6" s="61">
        <v>0.25</v>
      </c>
      <c r="P6" s="62">
        <f>+SUM($O$3:O6)</f>
        <v>0.83000000000000007</v>
      </c>
      <c r="Q6" s="58">
        <f t="shared" si="1"/>
        <v>8</v>
      </c>
      <c r="R6" s="58">
        <f t="shared" si="2"/>
        <v>2</v>
      </c>
      <c r="S6" s="63">
        <v>0</v>
      </c>
      <c r="U6" s="60">
        <v>4</v>
      </c>
      <c r="V6" s="61">
        <v>0.17</v>
      </c>
      <c r="W6" s="62">
        <f>+SUM($V$3:V6)</f>
        <v>0.75</v>
      </c>
      <c r="X6" s="58">
        <f t="shared" si="3"/>
        <v>8</v>
      </c>
      <c r="Y6" s="58">
        <f t="shared" si="4"/>
        <v>1.36</v>
      </c>
      <c r="Z6" s="63">
        <v>0</v>
      </c>
      <c r="AB6" s="60">
        <v>4</v>
      </c>
      <c r="AC6" s="61">
        <v>0.26</v>
      </c>
      <c r="AD6" s="62">
        <f>+SUM($AC$3:AC6)</f>
        <v>0.29000000000000004</v>
      </c>
      <c r="AE6" s="58">
        <f t="shared" si="5"/>
        <v>8</v>
      </c>
      <c r="AF6" s="58">
        <f t="shared" si="6"/>
        <v>2.08</v>
      </c>
      <c r="AG6" s="63">
        <v>0</v>
      </c>
      <c r="AI6" s="60">
        <v>4</v>
      </c>
      <c r="AJ6" s="61">
        <v>0</v>
      </c>
      <c r="AK6" s="62">
        <f>+SUM($AJ$3:AJ6)</f>
        <v>0</v>
      </c>
      <c r="AL6" s="58">
        <f t="shared" si="7"/>
        <v>8</v>
      </c>
      <c r="AM6" s="58">
        <f t="shared" si="8"/>
        <v>0</v>
      </c>
      <c r="AN6" s="63">
        <v>0</v>
      </c>
      <c r="AP6" s="60">
        <v>4</v>
      </c>
      <c r="AQ6" s="61">
        <f>1-SUM(AQ3:AQ5)</f>
        <v>0.5</v>
      </c>
      <c r="AR6" s="62">
        <f>+SUM($AQ$3:AQ6)</f>
        <v>1</v>
      </c>
      <c r="AS6" s="58">
        <f t="shared" si="9"/>
        <v>8</v>
      </c>
      <c r="AT6" s="58">
        <f t="shared" si="25"/>
        <v>4</v>
      </c>
      <c r="AU6" s="63">
        <v>0</v>
      </c>
      <c r="AW6" s="60">
        <v>4</v>
      </c>
      <c r="AX6" s="61">
        <v>0.32</v>
      </c>
      <c r="AY6" s="62">
        <f>+SUM($AX$3:AX6)</f>
        <v>0.36</v>
      </c>
      <c r="AZ6" s="58">
        <f t="shared" si="10"/>
        <v>8</v>
      </c>
      <c r="BA6" s="58">
        <f t="shared" si="11"/>
        <v>2.56</v>
      </c>
      <c r="BB6" s="63">
        <v>0</v>
      </c>
      <c r="BD6" s="60">
        <v>4</v>
      </c>
      <c r="BE6" s="61">
        <v>0.2</v>
      </c>
      <c r="BF6" s="62">
        <f>+SUM($BE$3:BE6)</f>
        <v>0.55000000000000004</v>
      </c>
      <c r="BG6" s="58">
        <f t="shared" si="12"/>
        <v>8</v>
      </c>
      <c r="BH6" s="58">
        <f t="shared" si="13"/>
        <v>1.6</v>
      </c>
      <c r="BI6" s="63">
        <v>0</v>
      </c>
      <c r="BK6" s="60">
        <v>4</v>
      </c>
      <c r="BL6" s="61">
        <v>0.3</v>
      </c>
      <c r="BM6" s="62">
        <f>+SUM($BL$3:BL6)</f>
        <v>0.59000000000000008</v>
      </c>
      <c r="BN6" s="58">
        <f t="shared" si="14"/>
        <v>8</v>
      </c>
      <c r="BO6" s="58">
        <f t="shared" si="15"/>
        <v>2.4</v>
      </c>
      <c r="BP6" s="63">
        <v>0</v>
      </c>
      <c r="BR6" s="60">
        <v>4</v>
      </c>
      <c r="BS6" s="61">
        <v>0.25</v>
      </c>
      <c r="BT6" s="62">
        <f>+SUM($BS$3:BS6)</f>
        <v>0.64</v>
      </c>
      <c r="BU6" s="58">
        <f t="shared" si="16"/>
        <v>8</v>
      </c>
      <c r="BV6" s="58">
        <f t="shared" si="17"/>
        <v>2</v>
      </c>
      <c r="BW6" s="63">
        <v>0</v>
      </c>
      <c r="BY6" s="60">
        <v>4</v>
      </c>
      <c r="BZ6" s="61">
        <v>0.05</v>
      </c>
      <c r="CA6" s="62">
        <f>+SUM($BZ$3:BZ6)</f>
        <v>0.96</v>
      </c>
      <c r="CB6" s="58">
        <f t="shared" si="18"/>
        <v>8</v>
      </c>
      <c r="CC6" s="58">
        <f t="shared" si="19"/>
        <v>0.4</v>
      </c>
      <c r="CD6" s="63">
        <v>0</v>
      </c>
      <c r="CF6" s="60">
        <v>4</v>
      </c>
      <c r="CG6" s="61">
        <v>0</v>
      </c>
      <c r="CH6" s="62">
        <f>+SUM($CG$3:CG6)</f>
        <v>0</v>
      </c>
      <c r="CI6" s="58">
        <f t="shared" si="20"/>
        <v>8</v>
      </c>
      <c r="CJ6" s="58">
        <f t="shared" si="21"/>
        <v>0</v>
      </c>
      <c r="CK6" s="63">
        <v>0</v>
      </c>
      <c r="CM6" s="60">
        <v>4</v>
      </c>
      <c r="CN6" s="61">
        <f t="shared" si="26"/>
        <v>0.05</v>
      </c>
      <c r="CO6" s="62">
        <f>+SUM($CN$3:CN6)</f>
        <v>0.99600000000000011</v>
      </c>
      <c r="CP6" s="83">
        <f t="shared" si="27"/>
        <v>8</v>
      </c>
      <c r="CQ6" s="58">
        <f t="shared" si="31"/>
        <v>0.4</v>
      </c>
      <c r="CR6" s="63">
        <v>0</v>
      </c>
      <c r="CT6" s="60">
        <v>4</v>
      </c>
      <c r="CU6" s="61">
        <f t="shared" si="28"/>
        <v>0.05</v>
      </c>
      <c r="CV6" s="62">
        <f>+SUM($CU$3:CU6)</f>
        <v>0.99600000000000011</v>
      </c>
      <c r="CW6" s="84">
        <f t="shared" si="29"/>
        <v>16</v>
      </c>
      <c r="CX6" s="58">
        <f t="shared" si="32"/>
        <v>0.8</v>
      </c>
      <c r="CY6" s="63">
        <v>0</v>
      </c>
      <c r="DA6" s="60">
        <v>4</v>
      </c>
      <c r="DB6" s="61">
        <v>0.15</v>
      </c>
      <c r="DC6" s="62">
        <f>+SUM($DB$3:DB6)</f>
        <v>0.15</v>
      </c>
      <c r="DD6" s="83">
        <f t="shared" si="30"/>
        <v>8</v>
      </c>
      <c r="DE6" s="58">
        <f t="shared" si="33"/>
        <v>1.2</v>
      </c>
      <c r="DF6" s="63">
        <v>0</v>
      </c>
    </row>
    <row r="7" spans="1:110" x14ac:dyDescent="0.25">
      <c r="A7" s="75" t="s">
        <v>133</v>
      </c>
      <c r="B7" s="75">
        <f t="shared" ref="B7:B13" si="34">+E7/D7</f>
        <v>0.71174377224199292</v>
      </c>
      <c r="C7" s="3">
        <v>0</v>
      </c>
      <c r="D7" s="64">
        <f>+AM10</f>
        <v>28.099999999999998</v>
      </c>
      <c r="E7" s="3">
        <v>20</v>
      </c>
      <c r="G7" s="60">
        <v>5</v>
      </c>
      <c r="H7" s="61">
        <v>2E-3</v>
      </c>
      <c r="I7" s="62">
        <f>+SUM($H$3:H7)</f>
        <v>0.99800000000000011</v>
      </c>
      <c r="J7" s="50">
        <v>12</v>
      </c>
      <c r="K7" s="58">
        <f t="shared" si="0"/>
        <v>2.4E-2</v>
      </c>
      <c r="L7" s="63">
        <v>0</v>
      </c>
      <c r="N7" s="60">
        <v>5</v>
      </c>
      <c r="O7" s="61">
        <v>0.1</v>
      </c>
      <c r="P7" s="62">
        <f>+SUM($O$3:O7)</f>
        <v>0.93</v>
      </c>
      <c r="Q7" s="58">
        <f t="shared" si="1"/>
        <v>12</v>
      </c>
      <c r="R7" s="58">
        <f t="shared" si="2"/>
        <v>1.2000000000000002</v>
      </c>
      <c r="S7" s="63">
        <v>0</v>
      </c>
      <c r="U7" s="60">
        <v>5</v>
      </c>
      <c r="V7" s="61">
        <v>0.08</v>
      </c>
      <c r="W7" s="62">
        <f>+SUM($V$3:V7)</f>
        <v>0.83</v>
      </c>
      <c r="X7" s="58">
        <f t="shared" si="3"/>
        <v>12</v>
      </c>
      <c r="Y7" s="58">
        <f t="shared" si="4"/>
        <v>0.96</v>
      </c>
      <c r="Z7" s="63">
        <v>0</v>
      </c>
      <c r="AB7" s="60">
        <v>5</v>
      </c>
      <c r="AC7" s="61">
        <v>0.55000000000000004</v>
      </c>
      <c r="AD7" s="62">
        <f>+SUM($AC$3:AC7)</f>
        <v>0.84000000000000008</v>
      </c>
      <c r="AE7" s="58">
        <f t="shared" si="5"/>
        <v>12</v>
      </c>
      <c r="AF7" s="58">
        <f t="shared" si="6"/>
        <v>6.6000000000000005</v>
      </c>
      <c r="AG7" s="63">
        <v>0</v>
      </c>
      <c r="AI7" s="60">
        <v>5</v>
      </c>
      <c r="AJ7" s="61">
        <v>0.3</v>
      </c>
      <c r="AK7" s="62">
        <f>+SUM($AJ$3:AJ7)</f>
        <v>0.3</v>
      </c>
      <c r="AL7" s="58">
        <f t="shared" si="7"/>
        <v>12</v>
      </c>
      <c r="AM7" s="58">
        <f t="shared" si="8"/>
        <v>3.5999999999999996</v>
      </c>
      <c r="AN7" s="63">
        <v>0</v>
      </c>
      <c r="AP7" s="60">
        <v>5</v>
      </c>
      <c r="AQ7" s="61">
        <v>0</v>
      </c>
      <c r="AR7" s="62">
        <f>+SUM($AQ$3:AQ7)</f>
        <v>1</v>
      </c>
      <c r="AS7" s="58">
        <f t="shared" si="9"/>
        <v>12</v>
      </c>
      <c r="AT7" s="58">
        <f t="shared" si="25"/>
        <v>0</v>
      </c>
      <c r="AU7" s="63">
        <v>0</v>
      </c>
      <c r="AW7" s="60">
        <v>5</v>
      </c>
      <c r="AX7" s="61">
        <v>0.51</v>
      </c>
      <c r="AY7" s="62">
        <f>+SUM($AX$3:AX7)</f>
        <v>0.87</v>
      </c>
      <c r="AZ7" s="58">
        <f t="shared" si="10"/>
        <v>12</v>
      </c>
      <c r="BA7" s="58">
        <f t="shared" si="11"/>
        <v>6.12</v>
      </c>
      <c r="BB7" s="63">
        <v>0</v>
      </c>
      <c r="BD7" s="60">
        <v>5</v>
      </c>
      <c r="BE7" s="61">
        <v>0.2</v>
      </c>
      <c r="BF7" s="62">
        <f>+SUM($BE$3:BE7)</f>
        <v>0.75</v>
      </c>
      <c r="BG7" s="58">
        <f t="shared" si="12"/>
        <v>12</v>
      </c>
      <c r="BH7" s="58">
        <f t="shared" si="13"/>
        <v>2.4000000000000004</v>
      </c>
      <c r="BI7" s="63">
        <v>0</v>
      </c>
      <c r="BK7" s="60">
        <v>5</v>
      </c>
      <c r="BL7" s="61">
        <v>0.2</v>
      </c>
      <c r="BM7" s="62">
        <f>+SUM($BL$3:BL7)</f>
        <v>0.79</v>
      </c>
      <c r="BN7" s="58">
        <f t="shared" si="14"/>
        <v>12</v>
      </c>
      <c r="BO7" s="58">
        <f t="shared" si="15"/>
        <v>2.4000000000000004</v>
      </c>
      <c r="BP7" s="63">
        <v>0</v>
      </c>
      <c r="BR7" s="60">
        <v>5</v>
      </c>
      <c r="BS7" s="61">
        <v>0.1</v>
      </c>
      <c r="BT7" s="62">
        <f>+SUM($BS$3:BS7)</f>
        <v>0.74</v>
      </c>
      <c r="BU7" s="58">
        <f t="shared" si="16"/>
        <v>12</v>
      </c>
      <c r="BV7" s="58">
        <f t="shared" si="17"/>
        <v>1.2000000000000002</v>
      </c>
      <c r="BW7" s="63">
        <v>0</v>
      </c>
      <c r="BY7" s="60">
        <v>5</v>
      </c>
      <c r="BZ7" s="61">
        <v>0.02</v>
      </c>
      <c r="CA7" s="62">
        <f>+SUM($BZ$3:BZ7)</f>
        <v>0.98</v>
      </c>
      <c r="CB7" s="58">
        <f t="shared" si="18"/>
        <v>12</v>
      </c>
      <c r="CC7" s="58">
        <f t="shared" si="19"/>
        <v>0.24</v>
      </c>
      <c r="CD7" s="63">
        <v>0</v>
      </c>
      <c r="CF7" s="60">
        <v>5</v>
      </c>
      <c r="CG7" s="61">
        <v>0.05</v>
      </c>
      <c r="CH7" s="62">
        <f>+SUM($CG$3:CG7)</f>
        <v>0.05</v>
      </c>
      <c r="CI7" s="58">
        <f t="shared" si="20"/>
        <v>12</v>
      </c>
      <c r="CJ7" s="58">
        <f t="shared" si="21"/>
        <v>0.60000000000000009</v>
      </c>
      <c r="CK7" s="63">
        <v>0</v>
      </c>
      <c r="CM7" s="60">
        <v>5</v>
      </c>
      <c r="CN7" s="61">
        <f t="shared" si="26"/>
        <v>2E-3</v>
      </c>
      <c r="CO7" s="62">
        <f>+SUM($CN$3:CN7)</f>
        <v>0.99800000000000011</v>
      </c>
      <c r="CP7" s="83">
        <f t="shared" si="27"/>
        <v>12</v>
      </c>
      <c r="CQ7" s="58">
        <f t="shared" si="31"/>
        <v>2.4E-2</v>
      </c>
      <c r="CR7" s="63">
        <v>0</v>
      </c>
      <c r="CT7" s="60">
        <v>5</v>
      </c>
      <c r="CU7" s="61">
        <f t="shared" si="28"/>
        <v>2E-3</v>
      </c>
      <c r="CV7" s="62">
        <f>+SUM($CU$3:CU7)</f>
        <v>0.99800000000000011</v>
      </c>
      <c r="CW7" s="84">
        <f t="shared" si="29"/>
        <v>24</v>
      </c>
      <c r="CX7" s="58">
        <f t="shared" si="32"/>
        <v>4.8000000000000001E-2</v>
      </c>
      <c r="CY7" s="63">
        <v>0</v>
      </c>
      <c r="DA7" s="60">
        <v>5</v>
      </c>
      <c r="DB7" s="61">
        <v>0.2</v>
      </c>
      <c r="DC7" s="62">
        <f>+SUM($DB$3:DB7)</f>
        <v>0.35</v>
      </c>
      <c r="DD7" s="83">
        <f t="shared" si="30"/>
        <v>12</v>
      </c>
      <c r="DE7" s="58">
        <f t="shared" si="33"/>
        <v>2.4000000000000004</v>
      </c>
      <c r="DF7" s="63">
        <v>0</v>
      </c>
    </row>
    <row r="8" spans="1:110" x14ac:dyDescent="0.25">
      <c r="A8" s="75" t="s">
        <v>134</v>
      </c>
      <c r="B8" s="75">
        <f>+E8/D8</f>
        <v>0.30769230769230771</v>
      </c>
      <c r="C8" s="3">
        <v>0</v>
      </c>
      <c r="D8" s="64">
        <f>+AT10</f>
        <v>6.5</v>
      </c>
      <c r="E8" s="3">
        <v>2</v>
      </c>
      <c r="G8" s="60">
        <v>6</v>
      </c>
      <c r="H8" s="61">
        <v>1E-3</v>
      </c>
      <c r="I8" s="62">
        <f>+SUM($H$3:H8)</f>
        <v>0.99900000000000011</v>
      </c>
      <c r="J8" s="50">
        <v>25</v>
      </c>
      <c r="K8" s="58">
        <f t="shared" si="0"/>
        <v>2.5000000000000001E-2</v>
      </c>
      <c r="L8" s="63">
        <v>0</v>
      </c>
      <c r="N8" s="60">
        <v>6</v>
      </c>
      <c r="O8" s="61">
        <v>0.01</v>
      </c>
      <c r="P8" s="62">
        <f>+SUM($O$3:O8)</f>
        <v>0.94000000000000006</v>
      </c>
      <c r="Q8" s="58">
        <f t="shared" si="1"/>
        <v>25</v>
      </c>
      <c r="R8" s="58">
        <f t="shared" si="2"/>
        <v>0.25</v>
      </c>
      <c r="S8" s="63">
        <v>0</v>
      </c>
      <c r="U8" s="60">
        <v>6</v>
      </c>
      <c r="V8" s="61">
        <v>0.09</v>
      </c>
      <c r="W8" s="62">
        <f>+SUM($V$3:V8)</f>
        <v>0.91999999999999993</v>
      </c>
      <c r="X8" s="58">
        <f t="shared" si="3"/>
        <v>25</v>
      </c>
      <c r="Y8" s="58">
        <f t="shared" si="4"/>
        <v>2.25</v>
      </c>
      <c r="Z8" s="63">
        <v>0</v>
      </c>
      <c r="AB8" s="60">
        <v>6</v>
      </c>
      <c r="AC8" s="61">
        <v>0.15</v>
      </c>
      <c r="AD8" s="62">
        <f>+SUM($AC$3:AC8)</f>
        <v>0.9900000000000001</v>
      </c>
      <c r="AE8" s="58">
        <f t="shared" si="5"/>
        <v>25</v>
      </c>
      <c r="AF8" s="58">
        <f t="shared" si="6"/>
        <v>3.75</v>
      </c>
      <c r="AG8" s="63">
        <v>0</v>
      </c>
      <c r="AI8" s="60">
        <v>6</v>
      </c>
      <c r="AJ8" s="61">
        <v>0.5</v>
      </c>
      <c r="AK8" s="62">
        <f>+SUM($AJ$3:AJ8)</f>
        <v>0.8</v>
      </c>
      <c r="AL8" s="58">
        <f t="shared" si="7"/>
        <v>25</v>
      </c>
      <c r="AM8" s="58">
        <f t="shared" si="8"/>
        <v>12.5</v>
      </c>
      <c r="AN8" s="63">
        <v>0</v>
      </c>
      <c r="AP8" s="60">
        <v>6</v>
      </c>
      <c r="AQ8" s="61">
        <v>0</v>
      </c>
      <c r="AR8" s="62">
        <f>+SUM($AQ$3:AQ8)</f>
        <v>1</v>
      </c>
      <c r="AS8" s="58">
        <f t="shared" si="9"/>
        <v>25</v>
      </c>
      <c r="AT8" s="58">
        <f t="shared" si="25"/>
        <v>0</v>
      </c>
      <c r="AU8" s="63">
        <v>0</v>
      </c>
      <c r="AW8" s="60">
        <v>6</v>
      </c>
      <c r="AX8" s="61">
        <v>0.1</v>
      </c>
      <c r="AY8" s="62">
        <f>+SUM($AX$3:AX8)</f>
        <v>0.97</v>
      </c>
      <c r="AZ8" s="58">
        <f t="shared" si="10"/>
        <v>25</v>
      </c>
      <c r="BA8" s="58">
        <f t="shared" si="11"/>
        <v>2.5</v>
      </c>
      <c r="BB8" s="63">
        <v>0</v>
      </c>
      <c r="BD8" s="60">
        <v>6</v>
      </c>
      <c r="BE8" s="61">
        <v>0.12</v>
      </c>
      <c r="BF8" s="62">
        <f>+SUM($BE$3:BE8)</f>
        <v>0.87</v>
      </c>
      <c r="BG8" s="58">
        <f t="shared" si="12"/>
        <v>25</v>
      </c>
      <c r="BH8" s="58">
        <f t="shared" si="13"/>
        <v>3</v>
      </c>
      <c r="BI8" s="63">
        <v>0</v>
      </c>
      <c r="BK8" s="60">
        <v>6</v>
      </c>
      <c r="BL8" s="61">
        <v>0.12</v>
      </c>
      <c r="BM8" s="62">
        <f>+SUM($BL$3:BL8)</f>
        <v>0.91</v>
      </c>
      <c r="BN8" s="58">
        <f t="shared" si="14"/>
        <v>25</v>
      </c>
      <c r="BO8" s="58">
        <f t="shared" si="15"/>
        <v>3</v>
      </c>
      <c r="BP8" s="63">
        <v>0</v>
      </c>
      <c r="BR8" s="60">
        <v>6</v>
      </c>
      <c r="BS8" s="61">
        <v>0.16</v>
      </c>
      <c r="BT8" s="62">
        <f>+SUM($BS$3:BS8)</f>
        <v>0.9</v>
      </c>
      <c r="BU8" s="58">
        <f t="shared" si="16"/>
        <v>25</v>
      </c>
      <c r="BV8" s="58">
        <f t="shared" si="17"/>
        <v>4</v>
      </c>
      <c r="BW8" s="63">
        <v>0</v>
      </c>
      <c r="BY8" s="60">
        <v>6</v>
      </c>
      <c r="BZ8" s="61">
        <v>0.01</v>
      </c>
      <c r="CA8" s="62">
        <f>+SUM($BZ$3:BZ8)</f>
        <v>0.99</v>
      </c>
      <c r="CB8" s="58">
        <f t="shared" si="18"/>
        <v>25</v>
      </c>
      <c r="CC8" s="58">
        <f t="shared" si="19"/>
        <v>0.25</v>
      </c>
      <c r="CD8" s="63">
        <v>0</v>
      </c>
      <c r="CF8" s="60">
        <v>6</v>
      </c>
      <c r="CG8" s="61">
        <v>0.13</v>
      </c>
      <c r="CH8" s="62">
        <f>+SUM($CG$3:CG8)</f>
        <v>0.18</v>
      </c>
      <c r="CI8" s="58">
        <f t="shared" si="20"/>
        <v>25</v>
      </c>
      <c r="CJ8" s="58">
        <f t="shared" si="21"/>
        <v>3.25</v>
      </c>
      <c r="CK8" s="63">
        <v>0</v>
      </c>
      <c r="CM8" s="60">
        <v>6</v>
      </c>
      <c r="CN8" s="61">
        <f t="shared" si="26"/>
        <v>1E-3</v>
      </c>
      <c r="CO8" s="62">
        <f>+SUM($CN$3:CN8)</f>
        <v>0.99900000000000011</v>
      </c>
      <c r="CP8" s="83">
        <f t="shared" si="27"/>
        <v>25</v>
      </c>
      <c r="CQ8" s="58">
        <f t="shared" si="31"/>
        <v>2.5000000000000001E-2</v>
      </c>
      <c r="CR8" s="63">
        <v>0</v>
      </c>
      <c r="CT8" s="60">
        <v>6</v>
      </c>
      <c r="CU8" s="61">
        <f t="shared" si="28"/>
        <v>1E-3</v>
      </c>
      <c r="CV8" s="62">
        <f>+SUM($CU$3:CU8)</f>
        <v>0.99900000000000011</v>
      </c>
      <c r="CW8" s="84">
        <f t="shared" si="29"/>
        <v>50</v>
      </c>
      <c r="CX8" s="58">
        <f t="shared" si="32"/>
        <v>0.05</v>
      </c>
      <c r="CY8" s="63">
        <v>0</v>
      </c>
      <c r="DA8" s="60">
        <v>6</v>
      </c>
      <c r="DB8" s="61">
        <v>0.35</v>
      </c>
      <c r="DC8" s="62">
        <f>+SUM($DB$3:DB8)</f>
        <v>0.7</v>
      </c>
      <c r="DD8" s="83">
        <f t="shared" si="30"/>
        <v>25</v>
      </c>
      <c r="DE8" s="58">
        <f t="shared" si="33"/>
        <v>8.75</v>
      </c>
      <c r="DF8" s="63">
        <v>0</v>
      </c>
    </row>
    <row r="9" spans="1:110" x14ac:dyDescent="0.25">
      <c r="A9" s="75" t="s">
        <v>135</v>
      </c>
      <c r="B9" s="75">
        <f t="shared" si="34"/>
        <v>0.7564296520423599</v>
      </c>
      <c r="C9" s="3">
        <v>0</v>
      </c>
      <c r="D9" s="64">
        <f>+BA10</f>
        <v>13.220000000000002</v>
      </c>
      <c r="E9" s="3">
        <v>10</v>
      </c>
      <c r="G9" s="60">
        <v>7</v>
      </c>
      <c r="H9" s="66">
        <f>1-SUM(H3:H8)</f>
        <v>9.9999999999988987E-4</v>
      </c>
      <c r="I9" s="62">
        <f>+SUM($H$3:H9)</f>
        <v>1</v>
      </c>
      <c r="J9" s="50">
        <v>60</v>
      </c>
      <c r="K9" s="58">
        <f t="shared" si="0"/>
        <v>5.9999999999993392E-2</v>
      </c>
      <c r="L9" s="63">
        <v>0</v>
      </c>
      <c r="N9" s="60">
        <v>7</v>
      </c>
      <c r="O9" s="66">
        <f>1-SUM(O3:O8)</f>
        <v>5.9999999999999942E-2</v>
      </c>
      <c r="P9" s="62">
        <f>+SUM($O$3:O9)</f>
        <v>1</v>
      </c>
      <c r="Q9" s="58">
        <f t="shared" si="1"/>
        <v>60</v>
      </c>
      <c r="R9" s="58">
        <f t="shared" si="2"/>
        <v>3.5999999999999965</v>
      </c>
      <c r="S9" s="63">
        <v>0</v>
      </c>
      <c r="U9" s="60">
        <v>7</v>
      </c>
      <c r="V9" s="66">
        <f>1-SUM(V3:V8)</f>
        <v>8.0000000000000071E-2</v>
      </c>
      <c r="W9" s="62">
        <f>+SUM($V$3:V9)</f>
        <v>1</v>
      </c>
      <c r="X9" s="58">
        <f t="shared" si="3"/>
        <v>60</v>
      </c>
      <c r="Y9" s="58">
        <f t="shared" si="4"/>
        <v>4.8000000000000043</v>
      </c>
      <c r="Z9" s="63">
        <v>0</v>
      </c>
      <c r="AB9" s="60">
        <v>7</v>
      </c>
      <c r="AC9" s="66">
        <f>1-SUM(AC3:AC8)</f>
        <v>9.9999999999998979E-3</v>
      </c>
      <c r="AD9" s="62">
        <f>+SUM($AC$3:AC9)</f>
        <v>1</v>
      </c>
      <c r="AE9" s="58">
        <f t="shared" si="5"/>
        <v>60</v>
      </c>
      <c r="AF9" s="58">
        <f t="shared" si="6"/>
        <v>0.59999999999999387</v>
      </c>
      <c r="AG9" s="63">
        <v>0</v>
      </c>
      <c r="AI9" s="60">
        <v>7</v>
      </c>
      <c r="AJ9" s="66">
        <f>1-SUM(AJ3:AJ8)</f>
        <v>0.19999999999999996</v>
      </c>
      <c r="AK9" s="62">
        <f>+SUM($AJ$3:AJ9)</f>
        <v>1</v>
      </c>
      <c r="AL9" s="58">
        <f t="shared" si="7"/>
        <v>60</v>
      </c>
      <c r="AM9" s="58">
        <f t="shared" si="8"/>
        <v>11.999999999999996</v>
      </c>
      <c r="AN9" s="63">
        <v>0</v>
      </c>
      <c r="AP9" s="60">
        <v>7</v>
      </c>
      <c r="AQ9" s="66">
        <v>0</v>
      </c>
      <c r="AR9" s="62">
        <f>+SUM($AQ$3:AQ9)</f>
        <v>1</v>
      </c>
      <c r="AS9" s="58">
        <f t="shared" si="9"/>
        <v>60</v>
      </c>
      <c r="AT9" s="58">
        <f t="shared" si="25"/>
        <v>0</v>
      </c>
      <c r="AU9" s="63">
        <v>0</v>
      </c>
      <c r="AW9" s="60">
        <v>7</v>
      </c>
      <c r="AX9" s="66">
        <f>1-SUM(AX3:AX8)</f>
        <v>3.0000000000000027E-2</v>
      </c>
      <c r="AY9" s="62">
        <f>+SUM($AX$3:AX9)</f>
        <v>1</v>
      </c>
      <c r="AZ9" s="58">
        <f t="shared" si="10"/>
        <v>60</v>
      </c>
      <c r="BA9" s="58">
        <f t="shared" si="11"/>
        <v>1.8000000000000016</v>
      </c>
      <c r="BB9" s="63">
        <v>0</v>
      </c>
      <c r="BD9" s="60">
        <v>7</v>
      </c>
      <c r="BE9" s="66">
        <f>1-SUM(BE3:BE8)</f>
        <v>0.13</v>
      </c>
      <c r="BF9" s="62">
        <f>+SUM($BE$3:BE9)</f>
        <v>1</v>
      </c>
      <c r="BG9" s="58">
        <f t="shared" si="12"/>
        <v>60</v>
      </c>
      <c r="BH9" s="58">
        <f t="shared" si="13"/>
        <v>7.8000000000000007</v>
      </c>
      <c r="BI9" s="63">
        <v>0</v>
      </c>
      <c r="BK9" s="60">
        <v>7</v>
      </c>
      <c r="BL9" s="66">
        <f>1-SUM(BL3:BL8)</f>
        <v>8.9999999999999969E-2</v>
      </c>
      <c r="BM9" s="62">
        <f>+SUM($BL$3:BL9)</f>
        <v>1</v>
      </c>
      <c r="BN9" s="58">
        <f t="shared" si="14"/>
        <v>60</v>
      </c>
      <c r="BO9" s="58">
        <f t="shared" si="15"/>
        <v>5.3999999999999986</v>
      </c>
      <c r="BP9" s="63">
        <v>0</v>
      </c>
      <c r="BR9" s="60">
        <v>7</v>
      </c>
      <c r="BS9" s="66">
        <f>1-SUM(BS3:BS8)</f>
        <v>9.9999999999999978E-2</v>
      </c>
      <c r="BT9" s="62">
        <f>+SUM($BS$3:BS9)</f>
        <v>1</v>
      </c>
      <c r="BU9" s="58">
        <f t="shared" si="16"/>
        <v>60</v>
      </c>
      <c r="BV9" s="58">
        <f t="shared" si="17"/>
        <v>5.9999999999999982</v>
      </c>
      <c r="BW9" s="63">
        <v>0</v>
      </c>
      <c r="BY9" s="60">
        <v>7</v>
      </c>
      <c r="BZ9" s="66">
        <f>1-SUM(BZ3:BZ8)</f>
        <v>1.0000000000000009E-2</v>
      </c>
      <c r="CA9" s="62">
        <f>+SUM($BZ$3:BZ9)</f>
        <v>1</v>
      </c>
      <c r="CB9" s="58">
        <f t="shared" si="18"/>
        <v>60</v>
      </c>
      <c r="CC9" s="58">
        <f t="shared" si="19"/>
        <v>0.60000000000000053</v>
      </c>
      <c r="CD9" s="63">
        <v>0</v>
      </c>
      <c r="CF9" s="60">
        <v>7</v>
      </c>
      <c r="CG9" s="66">
        <f>1-SUM(CG3:CG8)</f>
        <v>0.82000000000000006</v>
      </c>
      <c r="CH9" s="62">
        <f>+SUM($CG$3:CG9)</f>
        <v>1</v>
      </c>
      <c r="CI9" s="58">
        <f t="shared" si="20"/>
        <v>60</v>
      </c>
      <c r="CJ9" s="58">
        <f t="shared" si="21"/>
        <v>49.2</v>
      </c>
      <c r="CK9" s="63">
        <v>0</v>
      </c>
      <c r="CM9" s="60">
        <v>7</v>
      </c>
      <c r="CN9" s="66">
        <f>1-SUM(CN3:CN8)</f>
        <v>9.9999999999988987E-4</v>
      </c>
      <c r="CO9" s="62">
        <f>+SUM($CN$3:CN9)</f>
        <v>1</v>
      </c>
      <c r="CP9" s="83">
        <f t="shared" si="27"/>
        <v>60</v>
      </c>
      <c r="CQ9" s="58">
        <f t="shared" si="31"/>
        <v>5.9999999999993392E-2</v>
      </c>
      <c r="CR9" s="63">
        <v>0</v>
      </c>
      <c r="CT9" s="60">
        <v>7</v>
      </c>
      <c r="CU9" s="66">
        <f>1-SUM(CU3:CU8)</f>
        <v>9.9999999999988987E-4</v>
      </c>
      <c r="CV9" s="62">
        <f>+SUM($CU$3:CU9)</f>
        <v>1</v>
      </c>
      <c r="CW9" s="84">
        <f t="shared" si="29"/>
        <v>120</v>
      </c>
      <c r="CX9" s="58">
        <f t="shared" si="32"/>
        <v>0.11999999999998678</v>
      </c>
      <c r="CY9" s="63">
        <v>0</v>
      </c>
      <c r="DA9" s="60">
        <v>7</v>
      </c>
      <c r="DB9" s="66">
        <f>1-SUM(DB3:DB8)</f>
        <v>0.30000000000000004</v>
      </c>
      <c r="DC9" s="62">
        <f>+SUM($DB$3:DB9)</f>
        <v>1</v>
      </c>
      <c r="DD9" s="83">
        <f t="shared" si="30"/>
        <v>60</v>
      </c>
      <c r="DE9" s="58">
        <f t="shared" si="33"/>
        <v>18.000000000000004</v>
      </c>
      <c r="DF9" s="63">
        <v>0</v>
      </c>
    </row>
    <row r="10" spans="1:110" x14ac:dyDescent="0.25">
      <c r="A10" s="75" t="s">
        <v>136</v>
      </c>
      <c r="B10" s="75">
        <f t="shared" si="34"/>
        <v>0.66465256797583083</v>
      </c>
      <c r="C10" s="3">
        <v>0</v>
      </c>
      <c r="D10" s="64">
        <f>+BH10</f>
        <v>16.55</v>
      </c>
      <c r="E10" s="3">
        <v>11</v>
      </c>
      <c r="G10" s="50" t="s">
        <v>71</v>
      </c>
      <c r="H10" s="50">
        <f>+SUM(H3:H9)</f>
        <v>1</v>
      </c>
      <c r="I10" s="50"/>
      <c r="J10" s="50"/>
      <c r="K10" s="51">
        <f>+SUM(K3:K9)</f>
        <v>3.9369999999999936</v>
      </c>
      <c r="L10" s="51"/>
      <c r="N10" s="50" t="s">
        <v>71</v>
      </c>
      <c r="O10" s="50">
        <f>+SUM(O3:O9)</f>
        <v>1</v>
      </c>
      <c r="P10" s="50"/>
      <c r="Q10" s="50"/>
      <c r="R10" s="51">
        <f>+SUM(R3:R9)</f>
        <v>9.8299999999999965</v>
      </c>
      <c r="S10" s="51"/>
      <c r="U10" s="50" t="s">
        <v>71</v>
      </c>
      <c r="V10" s="50">
        <f>+SUM(V3:V9)</f>
        <v>1</v>
      </c>
      <c r="W10" s="50"/>
      <c r="X10" s="50"/>
      <c r="Y10" s="51">
        <f>+SUM(Y3:Y9)</f>
        <v>12.050000000000004</v>
      </c>
      <c r="Z10" s="51"/>
      <c r="AB10" s="50" t="s">
        <v>71</v>
      </c>
      <c r="AC10" s="50">
        <f>+SUM(AC3:AC9)</f>
        <v>1</v>
      </c>
      <c r="AD10" s="50"/>
      <c r="AE10" s="50"/>
      <c r="AF10" s="51">
        <f>+SUM(AF3:AF9)</f>
        <v>13.209999999999996</v>
      </c>
      <c r="AG10" s="51"/>
      <c r="AI10" s="50" t="s">
        <v>71</v>
      </c>
      <c r="AJ10" s="50">
        <f>+SUM(AJ3:AJ9)</f>
        <v>1</v>
      </c>
      <c r="AK10" s="50"/>
      <c r="AL10" s="50"/>
      <c r="AM10" s="51">
        <f>+SUM(AM3:AM9)</f>
        <v>28.099999999999998</v>
      </c>
      <c r="AN10" s="51"/>
      <c r="AP10" s="50" t="s">
        <v>71</v>
      </c>
      <c r="AQ10" s="50">
        <f>+SUM(AQ3:AQ9)</f>
        <v>1</v>
      </c>
      <c r="AR10" s="50"/>
      <c r="AS10" s="50"/>
      <c r="AT10" s="51">
        <f>+SUM(AT3:AT9)</f>
        <v>6.5</v>
      </c>
      <c r="AU10" s="51"/>
      <c r="AW10" s="50" t="s">
        <v>71</v>
      </c>
      <c r="AX10" s="50">
        <f>+SUM(AX3:AX9)</f>
        <v>1</v>
      </c>
      <c r="AY10" s="50"/>
      <c r="AZ10" s="50"/>
      <c r="BA10" s="51">
        <f>+SUM(BA3:BA9)</f>
        <v>13.220000000000002</v>
      </c>
      <c r="BB10" s="51"/>
      <c r="BD10" s="50" t="s">
        <v>71</v>
      </c>
      <c r="BE10" s="50">
        <f>+SUM(BE3:BE9)</f>
        <v>1</v>
      </c>
      <c r="BF10" s="50"/>
      <c r="BG10" s="50"/>
      <c r="BH10" s="51">
        <f>+SUM(BH3:BH9)</f>
        <v>16.55</v>
      </c>
      <c r="BI10" s="51"/>
      <c r="BK10" s="50" t="s">
        <v>71</v>
      </c>
      <c r="BL10" s="50">
        <f>+SUM(BL3:BL9)</f>
        <v>1</v>
      </c>
      <c r="BM10" s="50"/>
      <c r="BN10" s="50"/>
      <c r="BO10" s="51">
        <f>+SUM(BO3:BO9)</f>
        <v>14.59</v>
      </c>
      <c r="BP10" s="51"/>
      <c r="BR10" s="50" t="s">
        <v>71</v>
      </c>
      <c r="BS10" s="50">
        <f>+SUM(BS3:BS9)</f>
        <v>1</v>
      </c>
      <c r="BT10" s="50"/>
      <c r="BU10" s="50"/>
      <c r="BV10" s="51">
        <f>+SUM(BV3:BV9)</f>
        <v>15.069999999999999</v>
      </c>
      <c r="BW10" s="51"/>
      <c r="BY10" s="50" t="s">
        <v>71</v>
      </c>
      <c r="BZ10" s="50">
        <f>+SUM(BZ3:BZ9)</f>
        <v>1</v>
      </c>
      <c r="CA10" s="50"/>
      <c r="CB10" s="50"/>
      <c r="CC10" s="51">
        <f>+SUM(CC3:CC9)</f>
        <v>5.1900000000000013</v>
      </c>
      <c r="CD10" s="51"/>
      <c r="CF10" s="50" t="s">
        <v>71</v>
      </c>
      <c r="CG10" s="50">
        <f>+SUM(CG3:CG9)</f>
        <v>1</v>
      </c>
      <c r="CH10" s="50"/>
      <c r="CI10" s="50"/>
      <c r="CJ10" s="51">
        <f>+SUM(CJ3:CJ9)</f>
        <v>53.050000000000004</v>
      </c>
      <c r="CK10" s="51"/>
      <c r="CM10" s="50" t="s">
        <v>71</v>
      </c>
      <c r="CN10" s="50">
        <f>+SUM(CN3:CN9)</f>
        <v>1</v>
      </c>
      <c r="CO10" s="50"/>
      <c r="CP10" s="50"/>
      <c r="CQ10" s="51">
        <f>+SUM(CQ3:CQ9)</f>
        <v>3.9369999999999936</v>
      </c>
      <c r="CR10" s="51"/>
      <c r="CT10" s="50" t="s">
        <v>71</v>
      </c>
      <c r="CU10" s="50">
        <f>+SUM(CU3:CU9)</f>
        <v>1</v>
      </c>
      <c r="CV10" s="50"/>
      <c r="CW10" s="50"/>
      <c r="CX10" s="51">
        <f>+SUM(CX3:CX9)</f>
        <v>7.8739999999999872</v>
      </c>
      <c r="CY10" s="51"/>
      <c r="DA10" s="50" t="s">
        <v>71</v>
      </c>
      <c r="DB10" s="50">
        <f>+SUM(DB3:DB9)</f>
        <v>1</v>
      </c>
      <c r="DC10" s="50"/>
      <c r="DD10" s="50"/>
      <c r="DE10" s="51">
        <f>+SUM(DE3:DE9)</f>
        <v>30.350000000000005</v>
      </c>
      <c r="DF10" s="51"/>
    </row>
    <row r="11" spans="1:110" x14ac:dyDescent="0.25">
      <c r="A11" s="75" t="s">
        <v>137</v>
      </c>
      <c r="B11" s="75">
        <f t="shared" si="34"/>
        <v>0.7539410555174777</v>
      </c>
      <c r="C11" s="3">
        <v>0</v>
      </c>
      <c r="D11" s="64">
        <f>+BO10</f>
        <v>14.59</v>
      </c>
      <c r="E11" s="3">
        <v>11</v>
      </c>
    </row>
    <row r="12" spans="1:110" x14ac:dyDescent="0.25">
      <c r="A12" s="75" t="s">
        <v>138</v>
      </c>
      <c r="B12" s="75">
        <f t="shared" si="34"/>
        <v>0.66357000663570009</v>
      </c>
      <c r="C12" s="3">
        <v>0</v>
      </c>
      <c r="D12" s="64">
        <f>+BV10</f>
        <v>15.069999999999999</v>
      </c>
      <c r="E12" s="3">
        <v>10</v>
      </c>
    </row>
    <row r="13" spans="1:110" x14ac:dyDescent="0.25">
      <c r="A13" s="85" t="s">
        <v>171</v>
      </c>
      <c r="B13" s="75">
        <f t="shared" si="34"/>
        <v>0.31888246628131012</v>
      </c>
      <c r="C13" s="3">
        <f>1/B13/Summary!$C$7</f>
        <v>3.1359516616314208E-3</v>
      </c>
      <c r="D13" s="64">
        <f>+CC10</f>
        <v>5.1900000000000013</v>
      </c>
      <c r="E13" s="3">
        <f>1+E3</f>
        <v>1.655</v>
      </c>
    </row>
    <row r="14" spans="1:110" x14ac:dyDescent="0.25">
      <c r="A14" s="85" t="s">
        <v>166</v>
      </c>
      <c r="B14" s="58">
        <f>+E14/D14</f>
        <v>0.33274066548133152</v>
      </c>
      <c r="C14" s="3">
        <f>1/B14/Summary!$C$7</f>
        <v>3.0053435114503766E-3</v>
      </c>
      <c r="D14" s="86">
        <f>+CQ10</f>
        <v>3.9369999999999936</v>
      </c>
      <c r="E14" s="3">
        <f>+E3*2</f>
        <v>1.31</v>
      </c>
    </row>
    <row r="15" spans="1:110" x14ac:dyDescent="0.25">
      <c r="A15" s="85" t="s">
        <v>167</v>
      </c>
      <c r="B15" s="58">
        <f>+E15/D15</f>
        <v>0.16637033274066576</v>
      </c>
      <c r="C15" s="3">
        <f>1/B15/Summary!$C$7</f>
        <v>6.0106870229007531E-3</v>
      </c>
      <c r="D15" s="86">
        <f>+CX10</f>
        <v>7.8739999999999872</v>
      </c>
      <c r="E15" s="3">
        <f>+E14</f>
        <v>1.31</v>
      </c>
    </row>
    <row r="16" spans="1:110" x14ac:dyDescent="0.25">
      <c r="A16" s="75" t="s">
        <v>165</v>
      </c>
      <c r="B16" s="58">
        <f>+E16/D16</f>
        <v>0.65897858319604607</v>
      </c>
      <c r="C16" s="3">
        <v>0</v>
      </c>
      <c r="D16" s="86">
        <f>+DE10</f>
        <v>30.350000000000005</v>
      </c>
      <c r="E16" s="3">
        <v>20</v>
      </c>
    </row>
    <row r="17" spans="1:5" x14ac:dyDescent="0.25">
      <c r="A17" s="3" t="s">
        <v>117</v>
      </c>
      <c r="B17" s="58">
        <f>+E17/D17</f>
        <v>0.94250706880301593</v>
      </c>
      <c r="C17" s="3">
        <v>0</v>
      </c>
      <c r="D17" s="64">
        <f>+CJ10</f>
        <v>53.050000000000004</v>
      </c>
      <c r="E17" s="3">
        <v>50</v>
      </c>
    </row>
    <row r="18" spans="1:5" x14ac:dyDescent="0.25">
      <c r="A18" s="3" t="s">
        <v>118</v>
      </c>
      <c r="B18" s="65" t="str">
        <f>+CONCATENATE("x",J3," - x",J9)</f>
        <v>x3 - x60</v>
      </c>
    </row>
    <row r="20" spans="1:5" x14ac:dyDescent="0.25">
      <c r="A20" t="s">
        <v>172</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44" operator="lessThan">
      <formula>0</formula>
    </cfRule>
    <cfRule type="cellIs" priority="45" operator="greaterThan">
      <formula>1</formula>
    </cfRule>
  </conditionalFormatting>
  <conditionalFormatting sqref="H3:H9 O3:O9 CG3:CG9 V3:V9 AC3:AC9 AJ3:AJ9 AQ3:AQ9 AX3:AX9 BZ3:BZ9 BE3:BE9 BL3:BL9 BS3:BS9">
    <cfRule type="cellIs" priority="43" operator="equal">
      <formula>0</formula>
    </cfRule>
  </conditionalFormatting>
  <conditionalFormatting sqref="B3:B17">
    <cfRule type="cellIs" priority="41" operator="greaterThan">
      <formula>1</formula>
    </cfRule>
    <cfRule type="cellIs" priority="42" operator="lessThan">
      <formula>0</formula>
    </cfRule>
  </conditionalFormatting>
  <conditionalFormatting sqref="H3:H9 O3:O9 V3:V9 AC3:AC9">
    <cfRule type="cellIs" priority="39" operator="lessThan">
      <formula>0</formula>
    </cfRule>
    <cfRule type="cellIs" priority="40" operator="greaterThan">
      <formula>1</formula>
    </cfRule>
  </conditionalFormatting>
  <conditionalFormatting sqref="H3:H9 O3:O9 V3:V9 AC3:AC9">
    <cfRule type="cellIs" priority="38" operator="equal">
      <formula>0</formula>
    </cfRule>
  </conditionalFormatting>
  <conditionalFormatting sqref="H3:H9">
    <cfRule type="cellIs" priority="36" operator="lessThan">
      <formula>0</formula>
    </cfRule>
    <cfRule type="cellIs" priority="37" operator="greaterThan">
      <formula>1</formula>
    </cfRule>
  </conditionalFormatting>
  <conditionalFormatting sqref="H3:H9">
    <cfRule type="cellIs" priority="35" operator="equal">
      <formula>0</formula>
    </cfRule>
  </conditionalFormatting>
  <conditionalFormatting sqref="H3:H9">
    <cfRule type="cellIs" priority="33" operator="lessThan">
      <formula>0</formula>
    </cfRule>
    <cfRule type="cellIs" priority="34" operator="greaterThan">
      <formula>1</formula>
    </cfRule>
  </conditionalFormatting>
  <conditionalFormatting sqref="H3:H9">
    <cfRule type="cellIs" priority="32" operator="equal">
      <formula>0</formula>
    </cfRule>
  </conditionalFormatting>
  <conditionalFormatting sqref="CG3:CG9">
    <cfRule type="cellIs" priority="30" operator="lessThan">
      <formula>0</formula>
    </cfRule>
    <cfRule type="cellIs" priority="31" operator="greaterThan">
      <formula>1</formula>
    </cfRule>
  </conditionalFormatting>
  <conditionalFormatting sqref="CG3:CG9">
    <cfRule type="cellIs" priority="29" operator="equal">
      <formula>0</formula>
    </cfRule>
  </conditionalFormatting>
  <conditionalFormatting sqref="H3:H9 O3:O9 V3:V9 AC3:AC9">
    <cfRule type="cellIs" priority="27" operator="lessThan">
      <formula>0</formula>
    </cfRule>
    <cfRule type="cellIs" priority="28" operator="greaterThan">
      <formula>1</formula>
    </cfRule>
  </conditionalFormatting>
  <conditionalFormatting sqref="H3:H9 O3:O9 V3:V9 AC3:AC9">
    <cfRule type="cellIs" priority="26" operator="equal">
      <formula>0</formula>
    </cfRule>
  </conditionalFormatting>
  <conditionalFormatting sqref="CG3:CG9">
    <cfRule type="cellIs" priority="24" operator="lessThan">
      <formula>0</formula>
    </cfRule>
    <cfRule type="cellIs" priority="25" operator="greaterThan">
      <formula>1</formula>
    </cfRule>
  </conditionalFormatting>
  <conditionalFormatting sqref="CG3:CG9">
    <cfRule type="cellIs" priority="23" operator="equal">
      <formula>0</formula>
    </cfRule>
  </conditionalFormatting>
  <conditionalFormatting sqref="CN3:CN9">
    <cfRule type="cellIs" priority="21" operator="lessThan">
      <formula>0</formula>
    </cfRule>
    <cfRule type="cellIs" priority="22" operator="greaterThan">
      <formula>1</formula>
    </cfRule>
  </conditionalFormatting>
  <conditionalFormatting sqref="CN3:CN9">
    <cfRule type="cellIs" priority="20" operator="equal">
      <formula>0</formula>
    </cfRule>
  </conditionalFormatting>
  <conditionalFormatting sqref="CU3:CU9">
    <cfRule type="cellIs" priority="18" operator="lessThan">
      <formula>0</formula>
    </cfRule>
    <cfRule type="cellIs" priority="19" operator="greaterThan">
      <formula>1</formula>
    </cfRule>
  </conditionalFormatting>
  <conditionalFormatting sqref="CU3:CU9">
    <cfRule type="cellIs" priority="17" operator="equal">
      <formula>0</formula>
    </cfRule>
  </conditionalFormatting>
  <conditionalFormatting sqref="DB3:DB9">
    <cfRule type="cellIs" priority="15" operator="lessThan">
      <formula>0</formula>
    </cfRule>
    <cfRule type="cellIs" priority="16" operator="greaterThan">
      <formula>1</formula>
    </cfRule>
  </conditionalFormatting>
  <conditionalFormatting sqref="DB3:DB9">
    <cfRule type="cellIs" priority="14" operator="equal">
      <formula>0</formula>
    </cfRule>
  </conditionalFormatting>
  <conditionalFormatting sqref="B14:B16">
    <cfRule type="cellIs" priority="12" operator="greaterThan">
      <formula>1</formula>
    </cfRule>
    <cfRule type="cellIs" priority="13" operator="lessThan">
      <formula>0</formula>
    </cfRule>
  </conditionalFormatting>
  <conditionalFormatting sqref="B14:B16">
    <cfRule type="cellIs" priority="10" operator="greaterThan">
      <formula>1</formula>
    </cfRule>
    <cfRule type="cellIs" priority="11" operator="lessThan">
      <formula>0</formula>
    </cfRule>
  </conditionalFormatting>
  <conditionalFormatting sqref="CN3:CN9">
    <cfRule type="cellIs" priority="8" operator="lessThan">
      <formula>0</formula>
    </cfRule>
    <cfRule type="cellIs" priority="9" operator="greaterThan">
      <formula>1</formula>
    </cfRule>
  </conditionalFormatting>
  <conditionalFormatting sqref="CN3:CN9">
    <cfRule type="cellIs" priority="7" operator="equal">
      <formula>0</formula>
    </cfRule>
  </conditionalFormatting>
  <conditionalFormatting sqref="CU3:CU9">
    <cfRule type="cellIs" priority="5" operator="lessThan">
      <formula>0</formula>
    </cfRule>
    <cfRule type="cellIs" priority="6" operator="greaterThan">
      <formula>1</formula>
    </cfRule>
  </conditionalFormatting>
  <conditionalFormatting sqref="CU3:CU9">
    <cfRule type="cellIs" priority="4" operator="equal">
      <formula>0</formula>
    </cfRule>
  </conditionalFormatting>
  <conditionalFormatting sqref="DB3:DB9">
    <cfRule type="cellIs" priority="2" operator="lessThan">
      <formula>0</formula>
    </cfRule>
    <cfRule type="cellIs" priority="3" operator="greaterThan">
      <formula>1</formula>
    </cfRule>
  </conditionalFormatting>
  <conditionalFormatting sqref="DB3:DB9">
    <cfRule type="cellIs" priority="1" operator="equal">
      <formula>0</formula>
    </cfRule>
  </conditionalFormatting>
  <pageMargins left="0.7" right="0.7" top="0.75" bottom="0.75" header="0.51180555555555496" footer="0.51180555555555496"/>
  <pageSetup firstPageNumber="0" orientation="portrait" horizontalDpi="300" verticalDpi="300"/>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7"/>
  <dimension ref="A1:DF20"/>
  <sheetViews>
    <sheetView workbookViewId="0">
      <pane xSplit="6" ySplit="1" topLeftCell="G2" activePane="bottomRight" state="frozen"/>
      <selection pane="topRight" activeCell="G1" sqref="G1"/>
      <selection pane="bottomLeft" activeCell="A2" sqref="A2"/>
      <selection pane="bottomRight"/>
    </sheetView>
  </sheetViews>
  <sheetFormatPr defaultColWidth="8.85546875" defaultRowHeight="15" x14ac:dyDescent="0.25"/>
  <cols>
    <col min="1" max="1" width="37.85546875" bestFit="1" customWidth="1"/>
    <col min="2" max="2" width="11.5703125" customWidth="1"/>
    <col min="3" max="3" width="17.28515625" customWidth="1"/>
    <col min="4" max="4" width="10.7109375" bestFit="1" customWidth="1"/>
    <col min="5" max="5" width="7.28515625" customWidth="1"/>
    <col min="6" max="6" width="14.28515625" customWidth="1"/>
    <col min="7" max="8" width="11.5703125" customWidth="1"/>
    <col min="9" max="9" width="16.28515625" customWidth="1"/>
    <col min="10" max="29" width="11.5703125" customWidth="1"/>
    <col min="30" max="30" width="15.5703125" bestFit="1" customWidth="1"/>
    <col min="31" max="36" width="11.5703125" customWidth="1"/>
    <col min="37" max="37" width="15.5703125" bestFit="1" customWidth="1"/>
    <col min="38" max="43" width="11.5703125" customWidth="1"/>
    <col min="44" max="44" width="15.5703125" bestFit="1" customWidth="1"/>
    <col min="45" max="50" width="11.5703125" customWidth="1"/>
    <col min="51" max="51" width="15.5703125" bestFit="1" customWidth="1"/>
    <col min="52" max="1074" width="11.5703125" customWidth="1"/>
  </cols>
  <sheetData>
    <row r="1" spans="1:110" x14ac:dyDescent="0.25">
      <c r="A1" s="2" t="s">
        <v>121</v>
      </c>
      <c r="G1" s="98" t="s">
        <v>104</v>
      </c>
      <c r="H1" s="98"/>
      <c r="I1" s="98"/>
      <c r="J1" s="98"/>
      <c r="K1" s="98"/>
      <c r="L1" s="98"/>
      <c r="N1" s="98" t="s">
        <v>105</v>
      </c>
      <c r="O1" s="98"/>
      <c r="P1" s="98"/>
      <c r="Q1" s="98"/>
      <c r="R1" s="98"/>
      <c r="S1" s="98"/>
      <c r="U1" s="98" t="s">
        <v>106</v>
      </c>
      <c r="V1" s="98"/>
      <c r="W1" s="98"/>
      <c r="X1" s="98"/>
      <c r="Y1" s="98"/>
      <c r="Z1" s="98"/>
      <c r="AB1" s="98" t="s">
        <v>107</v>
      </c>
      <c r="AC1" s="98"/>
      <c r="AD1" s="98"/>
      <c r="AE1" s="98"/>
      <c r="AF1" s="98"/>
      <c r="AG1" s="98"/>
      <c r="AI1" s="98" t="s">
        <v>139</v>
      </c>
      <c r="AJ1" s="98"/>
      <c r="AK1" s="98"/>
      <c r="AL1" s="98"/>
      <c r="AM1" s="98"/>
      <c r="AN1" s="98"/>
      <c r="AP1" s="98" t="s">
        <v>140</v>
      </c>
      <c r="AQ1" s="98"/>
      <c r="AR1" s="98"/>
      <c r="AS1" s="98"/>
      <c r="AT1" s="98"/>
      <c r="AU1" s="98"/>
      <c r="AW1" s="98" t="s">
        <v>141</v>
      </c>
      <c r="AX1" s="98"/>
      <c r="AY1" s="98"/>
      <c r="AZ1" s="98"/>
      <c r="BA1" s="98"/>
      <c r="BB1" s="98"/>
      <c r="BD1" s="98" t="s">
        <v>142</v>
      </c>
      <c r="BE1" s="98"/>
      <c r="BF1" s="98"/>
      <c r="BG1" s="98"/>
      <c r="BH1" s="98"/>
      <c r="BI1" s="98"/>
      <c r="BK1" s="98" t="s">
        <v>143</v>
      </c>
      <c r="BL1" s="98"/>
      <c r="BM1" s="98"/>
      <c r="BN1" s="98"/>
      <c r="BO1" s="98"/>
      <c r="BP1" s="98"/>
      <c r="BR1" s="98" t="s">
        <v>144</v>
      </c>
      <c r="BS1" s="98"/>
      <c r="BT1" s="98"/>
      <c r="BU1" s="98"/>
      <c r="BV1" s="98"/>
      <c r="BW1" s="98"/>
      <c r="BY1" s="98" t="s">
        <v>145</v>
      </c>
      <c r="BZ1" s="98"/>
      <c r="CA1" s="98"/>
      <c r="CB1" s="98"/>
      <c r="CC1" s="98"/>
      <c r="CD1" s="98"/>
      <c r="CF1" s="98" t="s">
        <v>108</v>
      </c>
      <c r="CG1" s="98"/>
      <c r="CH1" s="98"/>
      <c r="CI1" s="98"/>
      <c r="CJ1" s="98"/>
      <c r="CK1" s="98"/>
      <c r="CM1" s="98" t="s">
        <v>168</v>
      </c>
      <c r="CN1" s="98"/>
      <c r="CO1" s="98"/>
      <c r="CP1" s="98"/>
      <c r="CQ1" s="98"/>
      <c r="CR1" s="98"/>
      <c r="CT1" s="98" t="s">
        <v>170</v>
      </c>
      <c r="CU1" s="98"/>
      <c r="CV1" s="98"/>
      <c r="CW1" s="98"/>
      <c r="CX1" s="98"/>
      <c r="CY1" s="98"/>
      <c r="DA1" s="98" t="s">
        <v>169</v>
      </c>
      <c r="DB1" s="98"/>
      <c r="DC1" s="98"/>
      <c r="DD1" s="98"/>
      <c r="DE1" s="98"/>
      <c r="DF1" s="98"/>
    </row>
    <row r="2" spans="1:110" x14ac:dyDescent="0.25">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x14ac:dyDescent="0.25">
      <c r="A3" s="58" t="s">
        <v>173</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0.05</v>
      </c>
      <c r="AD3" s="62">
        <f>+SUM($AC$3:AC3)</f>
        <v>0.05</v>
      </c>
      <c r="AE3" s="58">
        <f t="shared" ref="AE3:AE9" si="5">+J3</f>
        <v>5</v>
      </c>
      <c r="AF3" s="58">
        <f t="shared" ref="AF3:AF9" si="6">+AC3*AE3</f>
        <v>0.25</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0.05</v>
      </c>
      <c r="BF3" s="62">
        <f>+SUM($BE$3:BE3)</f>
        <v>0.05</v>
      </c>
      <c r="BG3" s="58">
        <f t="shared" ref="BG3:BG9" si="12">+AL3</f>
        <v>5</v>
      </c>
      <c r="BH3" s="58">
        <f t="shared" ref="BH3:BH9" si="13">+BE3*BG3</f>
        <v>0.25</v>
      </c>
      <c r="BI3" s="63">
        <v>0</v>
      </c>
      <c r="BK3" s="60">
        <v>1</v>
      </c>
      <c r="BL3" s="61">
        <v>0.05</v>
      </c>
      <c r="BM3" s="62">
        <f>+SUM($BL$3:BL3)</f>
        <v>0.05</v>
      </c>
      <c r="BN3" s="58">
        <f t="shared" ref="BN3:BN9" si="14">+AS3</f>
        <v>5</v>
      </c>
      <c r="BO3" s="58">
        <f t="shared" ref="BO3:BO9" si="15">+BL3*BN3</f>
        <v>0.25</v>
      </c>
      <c r="BP3" s="63">
        <v>0</v>
      </c>
      <c r="BR3" s="60">
        <v>1</v>
      </c>
      <c r="BS3" s="61">
        <v>0.09</v>
      </c>
      <c r="BT3" s="62">
        <f>+SUM($BS$3:BS3)</f>
        <v>0.09</v>
      </c>
      <c r="BU3" s="58">
        <f t="shared" ref="BU3:BU9" si="16">+AZ3</f>
        <v>5</v>
      </c>
      <c r="BV3" s="58">
        <f t="shared" ref="BV3:BV9" si="17">+BS3*BU3</f>
        <v>0.44999999999999996</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x14ac:dyDescent="0.25">
      <c r="A4" s="3" t="s">
        <v>114</v>
      </c>
      <c r="B4" s="58">
        <f>+E4/D4</f>
        <v>0.27762354247640209</v>
      </c>
      <c r="C4" s="3">
        <v>0</v>
      </c>
      <c r="D4" s="64">
        <f>+R10</f>
        <v>18.009999999999994</v>
      </c>
      <c r="E4" s="3">
        <v>5</v>
      </c>
      <c r="G4" s="60">
        <v>2</v>
      </c>
      <c r="H4" s="61">
        <v>0.32</v>
      </c>
      <c r="I4" s="62">
        <f>+SUM($H$3:H4)</f>
        <v>0.82000000000000006</v>
      </c>
      <c r="J4" s="50">
        <v>7</v>
      </c>
      <c r="K4" s="58">
        <f t="shared" si="0"/>
        <v>2.2400000000000002</v>
      </c>
      <c r="L4" s="63">
        <v>0</v>
      </c>
      <c r="N4" s="60">
        <v>2</v>
      </c>
      <c r="O4" s="61">
        <v>0.18</v>
      </c>
      <c r="P4" s="62">
        <f>+SUM($O$3:O4)</f>
        <v>0.28000000000000003</v>
      </c>
      <c r="Q4" s="58">
        <f t="shared" si="1"/>
        <v>7</v>
      </c>
      <c r="R4" s="58">
        <f t="shared" si="2"/>
        <v>1.26</v>
      </c>
      <c r="S4" s="63">
        <v>0</v>
      </c>
      <c r="U4" s="60">
        <v>2</v>
      </c>
      <c r="V4" s="61">
        <v>0.25</v>
      </c>
      <c r="W4" s="62">
        <f>+SUM($V$3:V4)</f>
        <v>0.35</v>
      </c>
      <c r="X4" s="58">
        <f t="shared" si="3"/>
        <v>7</v>
      </c>
      <c r="Y4" s="58">
        <f t="shared" si="4"/>
        <v>1.75</v>
      </c>
      <c r="Z4" s="63">
        <v>0</v>
      </c>
      <c r="AB4" s="60">
        <v>2</v>
      </c>
      <c r="AC4" s="61">
        <v>0.05</v>
      </c>
      <c r="AD4" s="62">
        <f>+SUM($AC$3:AC4)</f>
        <v>0.1</v>
      </c>
      <c r="AE4" s="58">
        <f t="shared" si="5"/>
        <v>7</v>
      </c>
      <c r="AF4" s="58">
        <f t="shared" si="6"/>
        <v>0.35000000000000003</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0.15000000000000002</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0.19</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x14ac:dyDescent="0.25">
      <c r="A5" s="3" t="s">
        <v>115</v>
      </c>
      <c r="B5" s="58">
        <f>+E5/D5</f>
        <v>0.36281179138321984</v>
      </c>
      <c r="C5" s="3">
        <v>0</v>
      </c>
      <c r="D5" s="64">
        <f>+Y10</f>
        <v>22.050000000000008</v>
      </c>
      <c r="E5" s="3">
        <v>8</v>
      </c>
      <c r="G5" s="60">
        <v>3</v>
      </c>
      <c r="H5" s="61">
        <v>0.105</v>
      </c>
      <c r="I5" s="62">
        <f>+SUM($H$3:H5)</f>
        <v>0.92500000000000004</v>
      </c>
      <c r="J5" s="50">
        <v>10</v>
      </c>
      <c r="K5" s="58">
        <f t="shared" si="0"/>
        <v>1.05</v>
      </c>
      <c r="L5" s="63">
        <v>0</v>
      </c>
      <c r="N5" s="60">
        <v>3</v>
      </c>
      <c r="O5" s="61">
        <v>0.2</v>
      </c>
      <c r="P5" s="62">
        <f>+SUM($O$3:O5)</f>
        <v>0.48000000000000004</v>
      </c>
      <c r="Q5" s="58">
        <f t="shared" si="1"/>
        <v>10</v>
      </c>
      <c r="R5" s="58">
        <f t="shared" si="2"/>
        <v>2</v>
      </c>
      <c r="S5" s="63">
        <v>0</v>
      </c>
      <c r="U5" s="60">
        <v>3</v>
      </c>
      <c r="V5" s="61">
        <v>0.18</v>
      </c>
      <c r="W5" s="62">
        <f>+SUM($V$3:V5)</f>
        <v>0.53</v>
      </c>
      <c r="X5" s="58">
        <f t="shared" si="3"/>
        <v>10</v>
      </c>
      <c r="Y5" s="58">
        <f t="shared" si="4"/>
        <v>1.7999999999999998</v>
      </c>
      <c r="Z5" s="63">
        <v>0</v>
      </c>
      <c r="AB5" s="60">
        <v>3</v>
      </c>
      <c r="AC5" s="61">
        <v>0.01</v>
      </c>
      <c r="AD5" s="62">
        <f>+SUM($AC$3:AC5)</f>
        <v>0.11</v>
      </c>
      <c r="AE5" s="58">
        <f t="shared" si="5"/>
        <v>10</v>
      </c>
      <c r="AF5" s="58">
        <f t="shared" si="6"/>
        <v>0.1</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0.35000000000000003</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0.39</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x14ac:dyDescent="0.25">
      <c r="A6" s="3" t="s">
        <v>116</v>
      </c>
      <c r="B6" s="75">
        <f>+E6/D6</f>
        <v>0.41753653444676408</v>
      </c>
      <c r="C6" s="3">
        <v>0</v>
      </c>
      <c r="D6" s="64">
        <f>+AF10</f>
        <v>23.95</v>
      </c>
      <c r="E6" s="3">
        <v>10</v>
      </c>
      <c r="G6" s="60">
        <v>4</v>
      </c>
      <c r="H6" s="61">
        <v>7.0000000000000007E-2</v>
      </c>
      <c r="I6" s="62">
        <f>+SUM($H$3:H6)</f>
        <v>0.99500000000000011</v>
      </c>
      <c r="J6" s="50">
        <v>15</v>
      </c>
      <c r="K6" s="58">
        <f t="shared" si="0"/>
        <v>1.05</v>
      </c>
      <c r="L6" s="63">
        <v>0</v>
      </c>
      <c r="N6" s="60">
        <v>4</v>
      </c>
      <c r="O6" s="61">
        <v>0.35</v>
      </c>
      <c r="P6" s="62">
        <f>+SUM($O$3:O6)</f>
        <v>0.83000000000000007</v>
      </c>
      <c r="Q6" s="58">
        <f t="shared" si="1"/>
        <v>15</v>
      </c>
      <c r="R6" s="58">
        <f t="shared" si="2"/>
        <v>5.25</v>
      </c>
      <c r="S6" s="63">
        <v>0</v>
      </c>
      <c r="U6" s="60">
        <v>4</v>
      </c>
      <c r="V6" s="61">
        <v>0.2</v>
      </c>
      <c r="W6" s="62">
        <f>+SUM($V$3:V6)</f>
        <v>0.73</v>
      </c>
      <c r="X6" s="58">
        <f t="shared" si="3"/>
        <v>15</v>
      </c>
      <c r="Y6" s="58">
        <f t="shared" si="4"/>
        <v>3</v>
      </c>
      <c r="Z6" s="63">
        <v>0</v>
      </c>
      <c r="AB6" s="60">
        <v>4</v>
      </c>
      <c r="AC6" s="61">
        <v>0.3</v>
      </c>
      <c r="AD6" s="62">
        <f>+SUM($AC$3:AC6)</f>
        <v>0.41</v>
      </c>
      <c r="AE6" s="58">
        <f t="shared" si="5"/>
        <v>15</v>
      </c>
      <c r="AF6" s="58">
        <f t="shared" si="6"/>
        <v>4.5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0.55000000000000004</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0.64</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x14ac:dyDescent="0.25">
      <c r="A7" s="75" t="s">
        <v>133</v>
      </c>
      <c r="B7" s="75">
        <f t="shared" ref="B7:B13"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v>
      </c>
      <c r="W7" s="62">
        <f>+SUM($V$3:V7)</f>
        <v>0.83</v>
      </c>
      <c r="X7" s="58">
        <f t="shared" si="3"/>
        <v>25</v>
      </c>
      <c r="Y7" s="58">
        <f t="shared" si="4"/>
        <v>2.5</v>
      </c>
      <c r="Z7" s="63">
        <v>0</v>
      </c>
      <c r="AB7" s="60">
        <v>5</v>
      </c>
      <c r="AC7" s="61">
        <v>0.45</v>
      </c>
      <c r="AD7" s="62">
        <f>+SUM($AC$3:AC7)</f>
        <v>0.86</v>
      </c>
      <c r="AE7" s="58">
        <f t="shared" si="5"/>
        <v>25</v>
      </c>
      <c r="AF7" s="58">
        <f t="shared" si="6"/>
        <v>11.25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0.2</v>
      </c>
      <c r="BF7" s="62">
        <f>+SUM($BE$3:BE7)</f>
        <v>0.75</v>
      </c>
      <c r="BG7" s="58">
        <f t="shared" si="12"/>
        <v>25</v>
      </c>
      <c r="BH7" s="58">
        <f t="shared" si="13"/>
        <v>5</v>
      </c>
      <c r="BI7" s="63">
        <v>0</v>
      </c>
      <c r="BK7" s="60">
        <v>5</v>
      </c>
      <c r="BL7" s="61">
        <v>0.22</v>
      </c>
      <c r="BM7" s="62">
        <f>+SUM($BL$3:BL7)</f>
        <v>0.81</v>
      </c>
      <c r="BN7" s="58">
        <f t="shared" si="14"/>
        <v>25</v>
      </c>
      <c r="BO7" s="58">
        <f t="shared" si="15"/>
        <v>5.5</v>
      </c>
      <c r="BP7" s="63">
        <v>0</v>
      </c>
      <c r="BR7" s="60">
        <v>5</v>
      </c>
      <c r="BS7" s="61">
        <v>0.1</v>
      </c>
      <c r="BT7" s="62">
        <f>+SUM($BS$3:BS7)</f>
        <v>0.74</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x14ac:dyDescent="0.25">
      <c r="A8" s="75" t="s">
        <v>134</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0.91999999999999993</v>
      </c>
      <c r="X8" s="58">
        <f t="shared" si="3"/>
        <v>50</v>
      </c>
      <c r="Y8" s="58">
        <f t="shared" si="4"/>
        <v>4.5</v>
      </c>
      <c r="Z8" s="63">
        <v>0</v>
      </c>
      <c r="AB8" s="60">
        <v>6</v>
      </c>
      <c r="AC8" s="61">
        <v>0.13</v>
      </c>
      <c r="AD8" s="62">
        <f>+SUM($AC$3:AC8)</f>
        <v>0.99</v>
      </c>
      <c r="AE8" s="58">
        <f t="shared" si="5"/>
        <v>50</v>
      </c>
      <c r="AF8" s="58">
        <f t="shared" si="6"/>
        <v>6.5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0.12</v>
      </c>
      <c r="BF8" s="62">
        <f>+SUM($BE$3:BE8)</f>
        <v>0.87</v>
      </c>
      <c r="BG8" s="58">
        <f t="shared" si="12"/>
        <v>50</v>
      </c>
      <c r="BH8" s="58">
        <f t="shared" si="13"/>
        <v>6</v>
      </c>
      <c r="BI8" s="63">
        <v>0</v>
      </c>
      <c r="BK8" s="60">
        <v>6</v>
      </c>
      <c r="BL8" s="61">
        <v>0.1</v>
      </c>
      <c r="BM8" s="62">
        <f>+SUM($BL$3:BL8)</f>
        <v>0.91</v>
      </c>
      <c r="BN8" s="58">
        <f t="shared" si="14"/>
        <v>50</v>
      </c>
      <c r="BO8" s="58">
        <f t="shared" si="15"/>
        <v>5</v>
      </c>
      <c r="BP8" s="63">
        <v>0</v>
      </c>
      <c r="BR8" s="60">
        <v>6</v>
      </c>
      <c r="BS8" s="61">
        <v>0.16</v>
      </c>
      <c r="BT8" s="62">
        <f>+SUM($BS$3:BS8)</f>
        <v>0.9</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x14ac:dyDescent="0.25">
      <c r="A9" s="75" t="s">
        <v>135</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8.0000000000000071E-2</v>
      </c>
      <c r="W9" s="62">
        <f>+SUM($V$3:V9)</f>
        <v>1</v>
      </c>
      <c r="X9" s="58">
        <f t="shared" si="3"/>
        <v>100</v>
      </c>
      <c r="Y9" s="58">
        <f t="shared" si="4"/>
        <v>8.0000000000000071</v>
      </c>
      <c r="Z9" s="63">
        <v>0</v>
      </c>
      <c r="AB9" s="60">
        <v>7</v>
      </c>
      <c r="AC9" s="66">
        <f>1-SUM(AC3:AC8)</f>
        <v>1.0000000000000009E-2</v>
      </c>
      <c r="AD9" s="62">
        <f>+SUM($AC$3:AC9)</f>
        <v>1</v>
      </c>
      <c r="AE9" s="58">
        <f t="shared" si="5"/>
        <v>100</v>
      </c>
      <c r="AF9" s="58">
        <f t="shared" si="6"/>
        <v>1.0000000000000009</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0.13</v>
      </c>
      <c r="BF9" s="62">
        <f>+SUM($BE$3:BE9)</f>
        <v>1</v>
      </c>
      <c r="BG9" s="58">
        <f t="shared" si="12"/>
        <v>100</v>
      </c>
      <c r="BH9" s="58">
        <f t="shared" si="13"/>
        <v>13</v>
      </c>
      <c r="BI9" s="63">
        <v>0</v>
      </c>
      <c r="BK9" s="60">
        <v>7</v>
      </c>
      <c r="BL9" s="66">
        <f>1-SUM(BL3:BL8)</f>
        <v>8.9999999999999969E-2</v>
      </c>
      <c r="BM9" s="62">
        <f>+SUM($BL$3:BL9)</f>
        <v>1</v>
      </c>
      <c r="BN9" s="58">
        <f t="shared" si="14"/>
        <v>100</v>
      </c>
      <c r="BO9" s="58">
        <f t="shared" si="15"/>
        <v>8.9999999999999964</v>
      </c>
      <c r="BP9" s="63">
        <v>0</v>
      </c>
      <c r="BR9" s="60">
        <v>7</v>
      </c>
      <c r="BS9" s="66">
        <f>1-SUM(BS3:BS8)</f>
        <v>9.9999999999999978E-2</v>
      </c>
      <c r="BT9" s="62">
        <f>+SUM($BS$3:BS9)</f>
        <v>1</v>
      </c>
      <c r="BU9" s="58">
        <f t="shared" si="16"/>
        <v>100</v>
      </c>
      <c r="BV9" s="58">
        <f t="shared" si="17"/>
        <v>9.9999999999999982</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x14ac:dyDescent="0.25">
      <c r="A10" s="75" t="s">
        <v>136</v>
      </c>
      <c r="B10" s="75">
        <f t="shared" si="34"/>
        <v>0.36727879799666113</v>
      </c>
      <c r="C10" s="3">
        <v>0</v>
      </c>
      <c r="D10" s="64">
        <f>+BH10</f>
        <v>29.95</v>
      </c>
      <c r="E10" s="3">
        <v>11</v>
      </c>
      <c r="G10" s="50" t="s">
        <v>71</v>
      </c>
      <c r="H10" s="50">
        <f>+SUM(H3:H9)</f>
        <v>1</v>
      </c>
      <c r="I10" s="50"/>
      <c r="J10" s="50"/>
      <c r="K10" s="51">
        <f>+SUM(K3:K9)</f>
        <v>7.0649999999999888</v>
      </c>
      <c r="L10" s="51"/>
      <c r="N10" s="50" t="s">
        <v>71</v>
      </c>
      <c r="O10" s="50">
        <f>+SUM(O3:O9)</f>
        <v>1</v>
      </c>
      <c r="P10" s="50"/>
      <c r="Q10" s="50"/>
      <c r="R10" s="51">
        <f>+SUM(R3:R9)</f>
        <v>18.009999999999994</v>
      </c>
      <c r="S10" s="51"/>
      <c r="U10" s="50" t="s">
        <v>71</v>
      </c>
      <c r="V10" s="50">
        <f>+SUM(V3:V9)</f>
        <v>1</v>
      </c>
      <c r="W10" s="50"/>
      <c r="X10" s="50"/>
      <c r="Y10" s="51">
        <f>+SUM(Y3:Y9)</f>
        <v>22.050000000000008</v>
      </c>
      <c r="Z10" s="51"/>
      <c r="AB10" s="50" t="s">
        <v>71</v>
      </c>
      <c r="AC10" s="50">
        <f>+SUM(AC3:AC9)</f>
        <v>1</v>
      </c>
      <c r="AD10" s="50"/>
      <c r="AE10" s="50"/>
      <c r="AF10" s="51">
        <f>+SUM(AF3:AF9)</f>
        <v>23.95</v>
      </c>
      <c r="AG10" s="51"/>
      <c r="AI10" s="50" t="s">
        <v>71</v>
      </c>
      <c r="AJ10" s="50">
        <f>+SUM(AJ3:AJ9)</f>
        <v>1</v>
      </c>
      <c r="AK10" s="50"/>
      <c r="AL10" s="50"/>
      <c r="AM10" s="51">
        <f>+SUM(AM3:AM9)</f>
        <v>48.75</v>
      </c>
      <c r="AN10" s="51"/>
      <c r="AP10" s="50" t="s">
        <v>71</v>
      </c>
      <c r="AQ10" s="50">
        <f>+SUM(AQ3:AQ9)</f>
        <v>1</v>
      </c>
      <c r="AR10" s="50"/>
      <c r="AS10" s="50"/>
      <c r="AT10" s="51">
        <f>+SUM(AT3:AT9)</f>
        <v>8.75</v>
      </c>
      <c r="AU10" s="51"/>
      <c r="AW10" s="50" t="s">
        <v>71</v>
      </c>
      <c r="AX10" s="50">
        <f>+SUM(AX3:AX9)</f>
        <v>1</v>
      </c>
      <c r="AY10" s="50"/>
      <c r="AZ10" s="50"/>
      <c r="BA10" s="51">
        <f>+SUM(BA3:BA9)</f>
        <v>24.15</v>
      </c>
      <c r="BB10" s="51"/>
      <c r="BD10" s="50" t="s">
        <v>71</v>
      </c>
      <c r="BE10" s="50">
        <f>+SUM(BE3:BE9)</f>
        <v>1</v>
      </c>
      <c r="BF10" s="50"/>
      <c r="BG10" s="50"/>
      <c r="BH10" s="51">
        <f>+SUM(BH3:BH9)</f>
        <v>29.95</v>
      </c>
      <c r="BI10" s="51"/>
      <c r="BK10" s="50" t="s">
        <v>71</v>
      </c>
      <c r="BL10" s="50">
        <f>+SUM(BL3:BL9)</f>
        <v>1</v>
      </c>
      <c r="BM10" s="50"/>
      <c r="BN10" s="50"/>
      <c r="BO10" s="51">
        <f>+SUM(BO3:BO9)</f>
        <v>26.349999999999998</v>
      </c>
      <c r="BP10" s="51"/>
      <c r="BR10" s="50" t="s">
        <v>71</v>
      </c>
      <c r="BS10" s="50">
        <f>+SUM(BS3:BS9)</f>
        <v>1</v>
      </c>
      <c r="BT10" s="50"/>
      <c r="BU10" s="50"/>
      <c r="BV10" s="51">
        <f>+SUM(BV3:BV9)</f>
        <v>27.4</v>
      </c>
      <c r="BW10" s="51"/>
      <c r="BY10" s="50" t="s">
        <v>71</v>
      </c>
      <c r="BZ10" s="50">
        <f>+SUM(BZ3:BZ9)</f>
        <v>1</v>
      </c>
      <c r="CA10" s="50"/>
      <c r="CB10" s="50"/>
      <c r="CC10" s="51">
        <f>+SUM(CC3:CC9)</f>
        <v>9.8500000000000121</v>
      </c>
      <c r="CD10" s="51"/>
      <c r="CF10" s="50" t="s">
        <v>71</v>
      </c>
      <c r="CG10" s="50">
        <f>+SUM(CG3:CG9)</f>
        <v>1</v>
      </c>
      <c r="CH10" s="50"/>
      <c r="CI10" s="50"/>
      <c r="CJ10" s="51">
        <f>+SUM(CJ3:CJ9)</f>
        <v>63.75</v>
      </c>
      <c r="CK10" s="51"/>
      <c r="CM10" s="50" t="s">
        <v>71</v>
      </c>
      <c r="CN10" s="50">
        <f>+SUM(CN3:CN9)</f>
        <v>1</v>
      </c>
      <c r="CO10" s="50"/>
      <c r="CP10" s="50"/>
      <c r="CQ10" s="51">
        <f>+SUM(CQ3:CQ9)</f>
        <v>7.0649999999999888</v>
      </c>
      <c r="CR10" s="51"/>
      <c r="CT10" s="50" t="s">
        <v>71</v>
      </c>
      <c r="CU10" s="50">
        <f>+SUM(CU3:CU9)</f>
        <v>1</v>
      </c>
      <c r="CV10" s="50"/>
      <c r="CW10" s="50"/>
      <c r="CX10" s="51">
        <f>+SUM(CX3:CX9)</f>
        <v>14.129999999999978</v>
      </c>
      <c r="CY10" s="51"/>
      <c r="DA10" s="50" t="s">
        <v>71</v>
      </c>
      <c r="DB10" s="50">
        <f>+SUM(DB3:DB9)</f>
        <v>1</v>
      </c>
      <c r="DC10" s="50"/>
      <c r="DD10" s="50"/>
      <c r="DE10" s="51">
        <f>+SUM(DE3:DE9)</f>
        <v>54.75</v>
      </c>
      <c r="DF10" s="51"/>
    </row>
    <row r="11" spans="1:110" x14ac:dyDescent="0.25">
      <c r="A11" s="75" t="s">
        <v>137</v>
      </c>
      <c r="B11" s="75">
        <f t="shared" si="34"/>
        <v>0.41745730550284632</v>
      </c>
      <c r="C11" s="3">
        <v>0</v>
      </c>
      <c r="D11" s="64">
        <f>+BO10</f>
        <v>26.349999999999998</v>
      </c>
      <c r="E11" s="3">
        <v>11</v>
      </c>
    </row>
    <row r="12" spans="1:110" x14ac:dyDescent="0.25">
      <c r="A12" s="75" t="s">
        <v>138</v>
      </c>
      <c r="B12" s="75">
        <f t="shared" si="34"/>
        <v>0.36496350364963503</v>
      </c>
      <c r="C12" s="3">
        <v>0</v>
      </c>
      <c r="D12" s="64">
        <f>+BV10</f>
        <v>27.4</v>
      </c>
      <c r="E12" s="3">
        <v>10</v>
      </c>
    </row>
    <row r="13" spans="1:110" x14ac:dyDescent="0.25">
      <c r="A13" s="85" t="s">
        <v>171</v>
      </c>
      <c r="B13" s="75">
        <f t="shared" si="34"/>
        <v>0.16802030456852771</v>
      </c>
      <c r="C13" s="3">
        <f>1/B13/Summary!$C$7</f>
        <v>5.9516616314199472E-3</v>
      </c>
      <c r="D13" s="64">
        <f>+CC10</f>
        <v>9.8500000000000121</v>
      </c>
      <c r="E13" s="3">
        <f>1+E3</f>
        <v>1.655</v>
      </c>
    </row>
    <row r="14" spans="1:110" x14ac:dyDescent="0.25">
      <c r="A14" s="85" t="s">
        <v>166</v>
      </c>
      <c r="B14" s="58">
        <f>+E14/D14</f>
        <v>0.18542108987968892</v>
      </c>
      <c r="C14" s="3">
        <f>1/B14/Summary!$C$7</f>
        <v>5.3931297709923567E-3</v>
      </c>
      <c r="D14" s="86">
        <f>+CQ10</f>
        <v>7.0649999999999888</v>
      </c>
      <c r="E14" s="3">
        <f>+E3*2</f>
        <v>1.31</v>
      </c>
    </row>
    <row r="15" spans="1:110" x14ac:dyDescent="0.25">
      <c r="A15" s="85" t="s">
        <v>167</v>
      </c>
      <c r="B15" s="58">
        <f>+E15/D15</f>
        <v>9.2710544939844458E-2</v>
      </c>
      <c r="C15" s="3">
        <f>1/B15/Summary!$C$7</f>
        <v>1.0786259541984713E-2</v>
      </c>
      <c r="D15" s="86">
        <f>+CX10</f>
        <v>14.129999999999978</v>
      </c>
      <c r="E15" s="3">
        <f>+E14</f>
        <v>1.31</v>
      </c>
    </row>
    <row r="16" spans="1:110" x14ac:dyDescent="0.25">
      <c r="A16" s="75" t="s">
        <v>165</v>
      </c>
      <c r="B16" s="58">
        <f>+E16/D16</f>
        <v>0.36529680365296802</v>
      </c>
      <c r="C16" s="3">
        <v>0</v>
      </c>
      <c r="D16" s="86">
        <f>+DE10</f>
        <v>54.75</v>
      </c>
      <c r="E16" s="3">
        <v>20</v>
      </c>
    </row>
    <row r="17" spans="1:5" x14ac:dyDescent="0.25">
      <c r="A17" s="3" t="s">
        <v>117</v>
      </c>
      <c r="B17" s="58">
        <f>+E17/D17</f>
        <v>0.78431372549019607</v>
      </c>
      <c r="C17" s="3">
        <v>0</v>
      </c>
      <c r="D17" s="64">
        <f>+CJ10</f>
        <v>63.75</v>
      </c>
      <c r="E17" s="3">
        <v>50</v>
      </c>
    </row>
    <row r="18" spans="1:5" x14ac:dyDescent="0.25">
      <c r="A18" s="3" t="s">
        <v>118</v>
      </c>
      <c r="B18" s="65" t="str">
        <f>+CONCATENATE("x",J3," - x",J9)</f>
        <v>x5 - x100</v>
      </c>
    </row>
    <row r="20" spans="1:5" x14ac:dyDescent="0.25">
      <c r="A20" t="s">
        <v>172</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58" operator="lessThan">
      <formula>0</formula>
    </cfRule>
    <cfRule type="cellIs" priority="59" operator="greaterThan">
      <formula>1</formula>
    </cfRule>
  </conditionalFormatting>
  <conditionalFormatting sqref="H3:H9 O3:O9 CG3:CG9 V3:V9 AC3:AC9 AJ3:AJ9 AQ3:AQ9 AX3:AX9 BZ3:BZ9 BE3:BE9 BL3:BL9 BS3:BS9">
    <cfRule type="cellIs" priority="57" operator="equal">
      <formula>0</formula>
    </cfRule>
  </conditionalFormatting>
  <conditionalFormatting sqref="B3:B17">
    <cfRule type="cellIs" priority="55" operator="greaterThan">
      <formula>1</formula>
    </cfRule>
    <cfRule type="cellIs" priority="56" operator="lessThan">
      <formula>0</formula>
    </cfRule>
  </conditionalFormatting>
  <conditionalFormatting sqref="H3:H9 O3:O9 V3:V9 AC3:AC9">
    <cfRule type="cellIs" priority="53" operator="lessThan">
      <formula>0</formula>
    </cfRule>
    <cfRule type="cellIs" priority="54" operator="greaterThan">
      <formula>1</formula>
    </cfRule>
  </conditionalFormatting>
  <conditionalFormatting sqref="H3:H9 O3:O9 V3:V9 AC3:AC9">
    <cfRule type="cellIs" priority="52" operator="equal">
      <formula>0</formula>
    </cfRule>
  </conditionalFormatting>
  <conditionalFormatting sqref="H3:H9">
    <cfRule type="cellIs" priority="50" operator="lessThan">
      <formula>0</formula>
    </cfRule>
    <cfRule type="cellIs" priority="51" operator="greaterThan">
      <formula>1</formula>
    </cfRule>
  </conditionalFormatting>
  <conditionalFormatting sqref="H3:H9">
    <cfRule type="cellIs" priority="49" operator="equal">
      <formula>0</formula>
    </cfRule>
  </conditionalFormatting>
  <conditionalFormatting sqref="H3:H9">
    <cfRule type="cellIs" priority="47" operator="lessThan">
      <formula>0</formula>
    </cfRule>
    <cfRule type="cellIs" priority="48" operator="greaterThan">
      <formula>1</formula>
    </cfRule>
  </conditionalFormatting>
  <conditionalFormatting sqref="H3:H9">
    <cfRule type="cellIs" priority="46" operator="equal">
      <formula>0</formula>
    </cfRule>
  </conditionalFormatting>
  <conditionalFormatting sqref="CG3:CG9">
    <cfRule type="cellIs" priority="44" operator="lessThan">
      <formula>0</formula>
    </cfRule>
    <cfRule type="cellIs" priority="45" operator="greaterThan">
      <formula>1</formula>
    </cfRule>
  </conditionalFormatting>
  <conditionalFormatting sqref="CG3:CG9">
    <cfRule type="cellIs" priority="43" operator="equal">
      <formula>0</formula>
    </cfRule>
  </conditionalFormatting>
  <conditionalFormatting sqref="H3:H9 O3:O9 V3:V9 AC3:AC9">
    <cfRule type="cellIs" priority="41" operator="lessThan">
      <formula>0</formula>
    </cfRule>
    <cfRule type="cellIs" priority="42" operator="greaterThan">
      <formula>1</formula>
    </cfRule>
  </conditionalFormatting>
  <conditionalFormatting sqref="H3:H9 O3:O9 V3:V9 AC3:AC9">
    <cfRule type="cellIs" priority="40" operator="equal">
      <formula>0</formula>
    </cfRule>
  </conditionalFormatting>
  <conditionalFormatting sqref="H3:H9 O3:O9 V3:V9 AC3:AC9">
    <cfRule type="cellIs" priority="38" operator="lessThan">
      <formula>0</formula>
    </cfRule>
    <cfRule type="cellIs" priority="39" operator="greaterThan">
      <formula>1</formula>
    </cfRule>
  </conditionalFormatting>
  <conditionalFormatting sqref="H3:H9 O3:O9 V3:V9 AC3:AC9">
    <cfRule type="cellIs" priority="37" operator="equal">
      <formula>0</formula>
    </cfRule>
  </conditionalFormatting>
  <conditionalFormatting sqref="CG3:CG9">
    <cfRule type="cellIs" priority="35" operator="lessThan">
      <formula>0</formula>
    </cfRule>
    <cfRule type="cellIs" priority="36" operator="greaterThan">
      <formula>1</formula>
    </cfRule>
  </conditionalFormatting>
  <conditionalFormatting sqref="CG3:CG9">
    <cfRule type="cellIs" priority="34" operator="equal">
      <formula>0</formula>
    </cfRule>
  </conditionalFormatting>
  <conditionalFormatting sqref="CG7:CG8">
    <cfRule type="cellIs" priority="32" operator="lessThan">
      <formula>0</formula>
    </cfRule>
    <cfRule type="cellIs" priority="33" operator="greaterThan">
      <formula>1</formula>
    </cfRule>
  </conditionalFormatting>
  <conditionalFormatting sqref="CG7:CG8">
    <cfRule type="cellIs" priority="31" operator="equal">
      <formula>0</formula>
    </cfRule>
  </conditionalFormatting>
  <conditionalFormatting sqref="CG3:CG9">
    <cfRule type="cellIs" priority="29" operator="lessThan">
      <formula>0</formula>
    </cfRule>
    <cfRule type="cellIs" priority="30" operator="greaterThan">
      <formula>1</formula>
    </cfRule>
  </conditionalFormatting>
  <conditionalFormatting sqref="CG3:CG9">
    <cfRule type="cellIs" priority="28" operator="equal">
      <formula>0</formula>
    </cfRule>
  </conditionalFormatting>
  <conditionalFormatting sqref="CG7:CG8">
    <cfRule type="cellIs" priority="26" operator="lessThan">
      <formula>0</formula>
    </cfRule>
    <cfRule type="cellIs" priority="27" operator="greaterThan">
      <formula>1</formula>
    </cfRule>
  </conditionalFormatting>
  <conditionalFormatting sqref="CG7:CG8">
    <cfRule type="cellIs" priority="25" operator="equal">
      <formula>0</formula>
    </cfRule>
  </conditionalFormatting>
  <conditionalFormatting sqref="CN3:CN9">
    <cfRule type="cellIs" priority="23" operator="lessThan">
      <formula>0</formula>
    </cfRule>
    <cfRule type="cellIs" priority="24" operator="greaterThan">
      <formula>1</formula>
    </cfRule>
  </conditionalFormatting>
  <conditionalFormatting sqref="CN3:CN9">
    <cfRule type="cellIs" priority="22" operator="equal">
      <formula>0</formula>
    </cfRule>
  </conditionalFormatting>
  <conditionalFormatting sqref="CU3:CU9">
    <cfRule type="cellIs" priority="20" operator="lessThan">
      <formula>0</formula>
    </cfRule>
    <cfRule type="cellIs" priority="21" operator="greaterThan">
      <formula>1</formula>
    </cfRule>
  </conditionalFormatting>
  <conditionalFormatting sqref="CU3:CU9">
    <cfRule type="cellIs" priority="19" operator="equal">
      <formula>0</formula>
    </cfRule>
  </conditionalFormatting>
  <conditionalFormatting sqref="DB3:DB9">
    <cfRule type="cellIs" priority="17" operator="lessThan">
      <formula>0</formula>
    </cfRule>
    <cfRule type="cellIs" priority="18" operator="greaterThan">
      <formula>1</formula>
    </cfRule>
  </conditionalFormatting>
  <conditionalFormatting sqref="DB3:DB9">
    <cfRule type="cellIs" priority="16" operator="equal">
      <formula>0</formula>
    </cfRule>
  </conditionalFormatting>
  <conditionalFormatting sqref="CN3:CN9">
    <cfRule type="cellIs" priority="14" operator="lessThan">
      <formula>0</formula>
    </cfRule>
    <cfRule type="cellIs" priority="15" operator="greaterThan">
      <formula>1</formula>
    </cfRule>
  </conditionalFormatting>
  <conditionalFormatting sqref="CN3:CN9">
    <cfRule type="cellIs" priority="13" operator="equal">
      <formula>0</formula>
    </cfRule>
  </conditionalFormatting>
  <conditionalFormatting sqref="CU3:CU9">
    <cfRule type="cellIs" priority="11" operator="lessThan">
      <formula>0</formula>
    </cfRule>
    <cfRule type="cellIs" priority="12" operator="greaterThan">
      <formula>1</formula>
    </cfRule>
  </conditionalFormatting>
  <conditionalFormatting sqref="CU3:CU9">
    <cfRule type="cellIs" priority="10" operator="equal">
      <formula>0</formula>
    </cfRule>
  </conditionalFormatting>
  <conditionalFormatting sqref="DB3:DB9">
    <cfRule type="cellIs" priority="8" operator="lessThan">
      <formula>0</formula>
    </cfRule>
    <cfRule type="cellIs" priority="9" operator="greaterThan">
      <formula>1</formula>
    </cfRule>
  </conditionalFormatting>
  <conditionalFormatting sqref="DB3:DB9">
    <cfRule type="cellIs" priority="7" operator="equal">
      <formula>0</formula>
    </cfRule>
  </conditionalFormatting>
  <conditionalFormatting sqref="B14:B16">
    <cfRule type="cellIs" priority="5" operator="greaterThan">
      <formula>1</formula>
    </cfRule>
    <cfRule type="cellIs" priority="6" operator="lessThan">
      <formula>0</formula>
    </cfRule>
  </conditionalFormatting>
  <conditionalFormatting sqref="B14:B16">
    <cfRule type="cellIs" priority="3" operator="greaterThan">
      <formula>1</formula>
    </cfRule>
    <cfRule type="cellIs" priority="4" operator="lessThan">
      <formula>0</formula>
    </cfRule>
  </conditionalFormatting>
  <conditionalFormatting sqref="B14:B16">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8"/>
  <dimension ref="A1:DF20"/>
  <sheetViews>
    <sheetView workbookViewId="0">
      <pane xSplit="6" ySplit="1" topLeftCell="CF2" activePane="bottomRight" state="frozen"/>
      <selection pane="topRight" activeCell="G1" sqref="G1"/>
      <selection pane="bottomLeft" activeCell="A2" sqref="A2"/>
      <selection pane="bottomRight" activeCell="A20" sqref="A20"/>
    </sheetView>
  </sheetViews>
  <sheetFormatPr defaultColWidth="8.85546875" defaultRowHeight="15" x14ac:dyDescent="0.25"/>
  <cols>
    <col min="1" max="1" width="37.85546875" bestFit="1" customWidth="1"/>
    <col min="2" max="2" width="11.5703125" customWidth="1"/>
    <col min="3" max="3" width="17.28515625" customWidth="1"/>
    <col min="4" max="4" width="10.7109375" bestFit="1" customWidth="1"/>
    <col min="5" max="5" width="7.28515625" customWidth="1"/>
    <col min="6" max="6" width="14.28515625" customWidth="1"/>
    <col min="7" max="8" width="11.5703125" customWidth="1"/>
    <col min="9" max="9" width="16.28515625" customWidth="1"/>
    <col min="10" max="29" width="11.5703125" customWidth="1"/>
    <col min="30" max="30" width="15.5703125" bestFit="1" customWidth="1"/>
    <col min="31" max="36" width="11.5703125" customWidth="1"/>
    <col min="37" max="37" width="15.5703125" bestFit="1" customWidth="1"/>
    <col min="38" max="43" width="11.5703125" customWidth="1"/>
    <col min="44" max="44" width="15.5703125" bestFit="1" customWidth="1"/>
    <col min="45" max="50" width="11.5703125" customWidth="1"/>
    <col min="51" max="51" width="15.5703125" bestFit="1" customWidth="1"/>
    <col min="52" max="1074" width="11.5703125" customWidth="1"/>
  </cols>
  <sheetData>
    <row r="1" spans="1:110" x14ac:dyDescent="0.25">
      <c r="A1" s="2" t="s">
        <v>146</v>
      </c>
      <c r="G1" s="98" t="s">
        <v>104</v>
      </c>
      <c r="H1" s="98"/>
      <c r="I1" s="98"/>
      <c r="J1" s="98"/>
      <c r="K1" s="98"/>
      <c r="L1" s="98"/>
      <c r="N1" s="98" t="s">
        <v>105</v>
      </c>
      <c r="O1" s="98"/>
      <c r="P1" s="98"/>
      <c r="Q1" s="98"/>
      <c r="R1" s="98"/>
      <c r="S1" s="98"/>
      <c r="U1" s="98" t="s">
        <v>106</v>
      </c>
      <c r="V1" s="98"/>
      <c r="W1" s="98"/>
      <c r="X1" s="98"/>
      <c r="Y1" s="98"/>
      <c r="Z1" s="98"/>
      <c r="AB1" s="98" t="s">
        <v>107</v>
      </c>
      <c r="AC1" s="98"/>
      <c r="AD1" s="98"/>
      <c r="AE1" s="98"/>
      <c r="AF1" s="98"/>
      <c r="AG1" s="98"/>
      <c r="AI1" s="98" t="s">
        <v>139</v>
      </c>
      <c r="AJ1" s="98"/>
      <c r="AK1" s="98"/>
      <c r="AL1" s="98"/>
      <c r="AM1" s="98"/>
      <c r="AN1" s="98"/>
      <c r="AP1" s="98" t="s">
        <v>140</v>
      </c>
      <c r="AQ1" s="98"/>
      <c r="AR1" s="98"/>
      <c r="AS1" s="98"/>
      <c r="AT1" s="98"/>
      <c r="AU1" s="98"/>
      <c r="AW1" s="98" t="s">
        <v>141</v>
      </c>
      <c r="AX1" s="98"/>
      <c r="AY1" s="98"/>
      <c r="AZ1" s="98"/>
      <c r="BA1" s="98"/>
      <c r="BB1" s="98"/>
      <c r="BD1" s="98" t="s">
        <v>142</v>
      </c>
      <c r="BE1" s="98"/>
      <c r="BF1" s="98"/>
      <c r="BG1" s="98"/>
      <c r="BH1" s="98"/>
      <c r="BI1" s="98"/>
      <c r="BK1" s="98" t="s">
        <v>143</v>
      </c>
      <c r="BL1" s="98"/>
      <c r="BM1" s="98"/>
      <c r="BN1" s="98"/>
      <c r="BO1" s="98"/>
      <c r="BP1" s="98"/>
      <c r="BR1" s="98" t="s">
        <v>144</v>
      </c>
      <c r="BS1" s="98"/>
      <c r="BT1" s="98"/>
      <c r="BU1" s="98"/>
      <c r="BV1" s="98"/>
      <c r="BW1" s="98"/>
      <c r="BY1" s="98" t="s">
        <v>145</v>
      </c>
      <c r="BZ1" s="98"/>
      <c r="CA1" s="98"/>
      <c r="CB1" s="98"/>
      <c r="CC1" s="98"/>
      <c r="CD1" s="98"/>
      <c r="CF1" s="98" t="s">
        <v>108</v>
      </c>
      <c r="CG1" s="98"/>
      <c r="CH1" s="98"/>
      <c r="CI1" s="98"/>
      <c r="CJ1" s="98"/>
      <c r="CK1" s="98"/>
      <c r="CM1" s="98" t="s">
        <v>168</v>
      </c>
      <c r="CN1" s="98"/>
      <c r="CO1" s="98"/>
      <c r="CP1" s="98"/>
      <c r="CQ1" s="98"/>
      <c r="CR1" s="98"/>
      <c r="CT1" s="98" t="s">
        <v>170</v>
      </c>
      <c r="CU1" s="98"/>
      <c r="CV1" s="98"/>
      <c r="CW1" s="98"/>
      <c r="CX1" s="98"/>
      <c r="CY1" s="98"/>
      <c r="DA1" s="98" t="s">
        <v>169</v>
      </c>
      <c r="DB1" s="98"/>
      <c r="DC1" s="98"/>
      <c r="DD1" s="98"/>
      <c r="DE1" s="98"/>
      <c r="DF1" s="98"/>
    </row>
    <row r="2" spans="1:110" x14ac:dyDescent="0.25">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x14ac:dyDescent="0.25">
      <c r="A3" s="58" t="s">
        <v>173</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x14ac:dyDescent="0.25">
      <c r="A4" s="3" t="s">
        <v>114</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x14ac:dyDescent="0.25">
      <c r="A5" s="3" t="s">
        <v>115</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x14ac:dyDescent="0.25">
      <c r="A6" s="3" t="s">
        <v>116</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x14ac:dyDescent="0.25">
      <c r="A7" s="75" t="s">
        <v>133</v>
      </c>
      <c r="B7" s="75">
        <f t="shared" ref="B7:B13"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x14ac:dyDescent="0.25">
      <c r="A8" s="75" t="s">
        <v>134</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x14ac:dyDescent="0.25">
      <c r="A9" s="75" t="s">
        <v>135</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x14ac:dyDescent="0.25">
      <c r="A10" s="75" t="s">
        <v>136</v>
      </c>
      <c r="B10" s="75">
        <f t="shared" si="34"/>
        <v>0.37606837606837606</v>
      </c>
      <c r="C10" s="3">
        <v>0</v>
      </c>
      <c r="D10" s="64">
        <f>+BH10</f>
        <v>29.25</v>
      </c>
      <c r="E10" s="3">
        <v>11</v>
      </c>
      <c r="G10" s="50" t="s">
        <v>71</v>
      </c>
      <c r="H10" s="50">
        <f>+SUM(H3:H9)</f>
        <v>1</v>
      </c>
      <c r="I10" s="50"/>
      <c r="J10" s="50"/>
      <c r="K10" s="51">
        <f>+SUM(K3:K9)</f>
        <v>7.0649999999999888</v>
      </c>
      <c r="L10" s="51"/>
      <c r="N10" s="50" t="s">
        <v>71</v>
      </c>
      <c r="O10" s="50">
        <f>+SUM(O3:O9)</f>
        <v>1</v>
      </c>
      <c r="P10" s="50"/>
      <c r="Q10" s="50"/>
      <c r="R10" s="51">
        <f>+SUM(R3:R9)</f>
        <v>17.449999999999996</v>
      </c>
      <c r="S10" s="51"/>
      <c r="U10" s="50" t="s">
        <v>71</v>
      </c>
      <c r="V10" s="50">
        <f>+SUM(V3:V9)</f>
        <v>1</v>
      </c>
      <c r="W10" s="50"/>
      <c r="X10" s="50"/>
      <c r="Y10" s="51">
        <f>+SUM(Y3:Y9)</f>
        <v>21.200000000000006</v>
      </c>
      <c r="Z10" s="51"/>
      <c r="AB10" s="50" t="s">
        <v>71</v>
      </c>
      <c r="AC10" s="50">
        <f>+SUM(AC3:AC9)</f>
        <v>1</v>
      </c>
      <c r="AD10" s="50"/>
      <c r="AE10" s="50"/>
      <c r="AF10" s="51">
        <f>+SUM(AF3:AF9)</f>
        <v>24.049999999999997</v>
      </c>
      <c r="AG10" s="51"/>
      <c r="AI10" s="50" t="s">
        <v>71</v>
      </c>
      <c r="AJ10" s="50">
        <f>+SUM(AJ3:AJ9)</f>
        <v>1</v>
      </c>
      <c r="AK10" s="50"/>
      <c r="AL10" s="50"/>
      <c r="AM10" s="51">
        <f>+SUM(AM3:AM9)</f>
        <v>48.75</v>
      </c>
      <c r="AN10" s="51"/>
      <c r="AP10" s="50" t="s">
        <v>71</v>
      </c>
      <c r="AQ10" s="50">
        <f>+SUM(AQ3:AQ9)</f>
        <v>1</v>
      </c>
      <c r="AR10" s="50"/>
      <c r="AS10" s="50"/>
      <c r="AT10" s="51">
        <f>+SUM(AT3:AT9)</f>
        <v>8.75</v>
      </c>
      <c r="AU10" s="51"/>
      <c r="AW10" s="50" t="s">
        <v>71</v>
      </c>
      <c r="AX10" s="50">
        <f>+SUM(AX3:AX9)</f>
        <v>1</v>
      </c>
      <c r="AY10" s="50"/>
      <c r="AZ10" s="50"/>
      <c r="BA10" s="51">
        <f>+SUM(BA3:BA9)</f>
        <v>24.15</v>
      </c>
      <c r="BB10" s="51"/>
      <c r="BD10" s="50" t="s">
        <v>71</v>
      </c>
      <c r="BE10" s="50">
        <f>+SUM(BE3:BE9)</f>
        <v>1</v>
      </c>
      <c r="BF10" s="50"/>
      <c r="BG10" s="50"/>
      <c r="BH10" s="51">
        <f>+SUM(BH3:BH9)</f>
        <v>29.25</v>
      </c>
      <c r="BI10" s="51"/>
      <c r="BK10" s="50" t="s">
        <v>71</v>
      </c>
      <c r="BL10" s="50">
        <f>+SUM(BL3:BL9)</f>
        <v>1</v>
      </c>
      <c r="BM10" s="50"/>
      <c r="BN10" s="50"/>
      <c r="BO10" s="51">
        <f>+SUM(BO3:BO9)</f>
        <v>26.349999999999998</v>
      </c>
      <c r="BP10" s="51"/>
      <c r="BR10" s="50" t="s">
        <v>71</v>
      </c>
      <c r="BS10" s="50">
        <f>+SUM(BS3:BS9)</f>
        <v>1</v>
      </c>
      <c r="BT10" s="50"/>
      <c r="BU10" s="50"/>
      <c r="BV10" s="51">
        <f>+SUM(BV3:BV9)</f>
        <v>26.449999999999996</v>
      </c>
      <c r="BW10" s="51"/>
      <c r="BY10" s="50" t="s">
        <v>71</v>
      </c>
      <c r="BZ10" s="50">
        <f>+SUM(BZ3:BZ9)</f>
        <v>1</v>
      </c>
      <c r="CA10" s="50"/>
      <c r="CB10" s="50"/>
      <c r="CC10" s="51">
        <f>+SUM(CC3:CC9)</f>
        <v>9.8500000000000121</v>
      </c>
      <c r="CD10" s="51"/>
      <c r="CF10" s="50" t="s">
        <v>71</v>
      </c>
      <c r="CG10" s="50">
        <f>+SUM(CG3:CG9)</f>
        <v>1</v>
      </c>
      <c r="CH10" s="50"/>
      <c r="CI10" s="50"/>
      <c r="CJ10" s="51">
        <f>+SUM(CJ3:CJ9)</f>
        <v>63.75</v>
      </c>
      <c r="CK10" s="51"/>
      <c r="CM10" s="50" t="s">
        <v>71</v>
      </c>
      <c r="CN10" s="50">
        <f>+SUM(CN3:CN9)</f>
        <v>1</v>
      </c>
      <c r="CO10" s="50"/>
      <c r="CP10" s="50"/>
      <c r="CQ10" s="51">
        <f>+SUM(CQ3:CQ9)</f>
        <v>7.0649999999999888</v>
      </c>
      <c r="CR10" s="51"/>
      <c r="CT10" s="50" t="s">
        <v>71</v>
      </c>
      <c r="CU10" s="50">
        <f>+SUM(CU3:CU9)</f>
        <v>1</v>
      </c>
      <c r="CV10" s="50"/>
      <c r="CW10" s="50"/>
      <c r="CX10" s="51">
        <f>+SUM(CX3:CX9)</f>
        <v>14.129999999999978</v>
      </c>
      <c r="CY10" s="51"/>
      <c r="DA10" s="50" t="s">
        <v>71</v>
      </c>
      <c r="DB10" s="50">
        <f>+SUM(DB3:DB9)</f>
        <v>1</v>
      </c>
      <c r="DC10" s="50"/>
      <c r="DD10" s="50"/>
      <c r="DE10" s="51">
        <f>+SUM(DE3:DE9)</f>
        <v>54.75</v>
      </c>
      <c r="DF10" s="51"/>
    </row>
    <row r="11" spans="1:110" x14ac:dyDescent="0.25">
      <c r="A11" s="75" t="s">
        <v>137</v>
      </c>
      <c r="B11" s="75">
        <f t="shared" si="34"/>
        <v>0.41745730550284632</v>
      </c>
      <c r="C11" s="3">
        <v>0</v>
      </c>
      <c r="D11" s="64">
        <f>+BO10</f>
        <v>26.349999999999998</v>
      </c>
      <c r="E11" s="3">
        <v>11</v>
      </c>
    </row>
    <row r="12" spans="1:110" x14ac:dyDescent="0.25">
      <c r="A12" s="75" t="s">
        <v>138</v>
      </c>
      <c r="B12" s="75">
        <f t="shared" si="34"/>
        <v>0.37807183364839325</v>
      </c>
      <c r="C12" s="3">
        <v>0</v>
      </c>
      <c r="D12" s="64">
        <f>+BV10</f>
        <v>26.449999999999996</v>
      </c>
      <c r="E12" s="3">
        <v>10</v>
      </c>
    </row>
    <row r="13" spans="1:110" x14ac:dyDescent="0.25">
      <c r="A13" s="85" t="s">
        <v>171</v>
      </c>
      <c r="B13" s="75">
        <f t="shared" si="34"/>
        <v>0.16802030456852771</v>
      </c>
      <c r="C13" s="3">
        <f>1/B13/Summary!$C$7</f>
        <v>5.9516616314199472E-3</v>
      </c>
      <c r="D13" s="64">
        <f>+CC10</f>
        <v>9.8500000000000121</v>
      </c>
      <c r="E13" s="3">
        <f>1+E3</f>
        <v>1.655</v>
      </c>
    </row>
    <row r="14" spans="1:110" x14ac:dyDescent="0.25">
      <c r="A14" s="85" t="s">
        <v>166</v>
      </c>
      <c r="B14" s="58">
        <f>+E14/D14</f>
        <v>0.18542108987968892</v>
      </c>
      <c r="C14" s="3">
        <f>1/B14/Summary!$C$7</f>
        <v>5.3931297709923567E-3</v>
      </c>
      <c r="D14" s="86">
        <f>+CQ10</f>
        <v>7.0649999999999888</v>
      </c>
      <c r="E14" s="3">
        <f>+E3*2</f>
        <v>1.31</v>
      </c>
    </row>
    <row r="15" spans="1:110" x14ac:dyDescent="0.25">
      <c r="A15" s="85" t="s">
        <v>167</v>
      </c>
      <c r="B15" s="58">
        <f>+E15/D15</f>
        <v>9.2710544939844458E-2</v>
      </c>
      <c r="C15" s="3">
        <f>1/B15/Summary!$C$7</f>
        <v>1.0786259541984713E-2</v>
      </c>
      <c r="D15" s="86">
        <f>+CX10</f>
        <v>14.129999999999978</v>
      </c>
      <c r="E15" s="3">
        <f>+E14</f>
        <v>1.31</v>
      </c>
    </row>
    <row r="16" spans="1:110" x14ac:dyDescent="0.25">
      <c r="A16" s="75" t="s">
        <v>165</v>
      </c>
      <c r="B16" s="58">
        <f>+E16/D16</f>
        <v>0.36529680365296802</v>
      </c>
      <c r="C16" s="3">
        <v>0</v>
      </c>
      <c r="D16" s="86">
        <f>+DE10</f>
        <v>54.75</v>
      </c>
      <c r="E16" s="3">
        <v>20</v>
      </c>
    </row>
    <row r="17" spans="1:5" x14ac:dyDescent="0.25">
      <c r="A17" s="3" t="s">
        <v>117</v>
      </c>
      <c r="B17" s="58">
        <f>+E17/D17</f>
        <v>0.78431372549019607</v>
      </c>
      <c r="C17" s="3">
        <v>0</v>
      </c>
      <c r="D17" s="64">
        <f>+CJ10</f>
        <v>63.75</v>
      </c>
      <c r="E17" s="3">
        <v>50</v>
      </c>
    </row>
    <row r="18" spans="1:5" x14ac:dyDescent="0.25">
      <c r="A18" s="3" t="s">
        <v>118</v>
      </c>
      <c r="B18" s="65" t="str">
        <f>+CONCATENATE("x",J3," - x",J9)</f>
        <v>x5 - x100</v>
      </c>
    </row>
    <row r="20" spans="1:5" x14ac:dyDescent="0.25">
      <c r="A20" t="s">
        <v>172</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75" operator="lessThan">
      <formula>0</formula>
    </cfRule>
    <cfRule type="cellIs" priority="76" operator="greaterThan">
      <formula>1</formula>
    </cfRule>
  </conditionalFormatting>
  <conditionalFormatting sqref="H3:H9 O3:O9 CG3:CG9 V3:V9 AC3:AC9 AJ3:AJ9 AQ3:AQ9 AX3:AX9 BZ3:BZ9 BE3:BE9 BL3:BL9 BS3:BS9">
    <cfRule type="cellIs" priority="74" operator="equal">
      <formula>0</formula>
    </cfRule>
  </conditionalFormatting>
  <conditionalFormatting sqref="B3:B17">
    <cfRule type="cellIs" priority="72" operator="greaterThan">
      <formula>1</formula>
    </cfRule>
    <cfRule type="cellIs" priority="73" operator="lessThan">
      <formula>0</formula>
    </cfRule>
  </conditionalFormatting>
  <conditionalFormatting sqref="H3:H9 O3:O9 V3:V9 AC3:AC9">
    <cfRule type="cellIs" priority="70" operator="lessThan">
      <formula>0</formula>
    </cfRule>
    <cfRule type="cellIs" priority="71" operator="greaterThan">
      <formula>1</formula>
    </cfRule>
  </conditionalFormatting>
  <conditionalFormatting sqref="H3:H9 O3:O9 V3:V9 AC3:AC9">
    <cfRule type="cellIs" priority="69" operator="equal">
      <formula>0</formula>
    </cfRule>
  </conditionalFormatting>
  <conditionalFormatting sqref="H3:H9">
    <cfRule type="cellIs" priority="67" operator="lessThan">
      <formula>0</formula>
    </cfRule>
    <cfRule type="cellIs" priority="68" operator="greaterThan">
      <formula>1</formula>
    </cfRule>
  </conditionalFormatting>
  <conditionalFormatting sqref="H3:H9">
    <cfRule type="cellIs" priority="66" operator="equal">
      <formula>0</formula>
    </cfRule>
  </conditionalFormatting>
  <conditionalFormatting sqref="H3:H9">
    <cfRule type="cellIs" priority="64" operator="lessThan">
      <formula>0</formula>
    </cfRule>
    <cfRule type="cellIs" priority="65" operator="greaterThan">
      <formula>1</formula>
    </cfRule>
  </conditionalFormatting>
  <conditionalFormatting sqref="H3:H9">
    <cfRule type="cellIs" priority="63" operator="equal">
      <formula>0</formula>
    </cfRule>
  </conditionalFormatting>
  <conditionalFormatting sqref="CG3:CG9">
    <cfRule type="cellIs" priority="61" operator="lessThan">
      <formula>0</formula>
    </cfRule>
    <cfRule type="cellIs" priority="62" operator="greaterThan">
      <formula>1</formula>
    </cfRule>
  </conditionalFormatting>
  <conditionalFormatting sqref="CG3:CG9">
    <cfRule type="cellIs" priority="60" operator="equal">
      <formula>0</formula>
    </cfRule>
  </conditionalFormatting>
  <conditionalFormatting sqref="H3:H9 O3:O9 V3:V9 AC3:AC9">
    <cfRule type="cellIs" priority="58" operator="lessThan">
      <formula>0</formula>
    </cfRule>
    <cfRule type="cellIs" priority="59" operator="greaterThan">
      <formula>1</formula>
    </cfRule>
  </conditionalFormatting>
  <conditionalFormatting sqref="H3:H9 O3:O9 V3:V9 AC3:AC9">
    <cfRule type="cellIs" priority="57" operator="equal">
      <formula>0</formula>
    </cfRule>
  </conditionalFormatting>
  <conditionalFormatting sqref="H3:H9 O3:O9 V3:V9 AC3:AC9">
    <cfRule type="cellIs" priority="55" operator="lessThan">
      <formula>0</formula>
    </cfRule>
    <cfRule type="cellIs" priority="56" operator="greaterThan">
      <formula>1</formula>
    </cfRule>
  </conditionalFormatting>
  <conditionalFormatting sqref="H3:H9 O3:O9 V3:V9 AC3:AC9">
    <cfRule type="cellIs" priority="54" operator="equal">
      <formula>0</formula>
    </cfRule>
  </conditionalFormatting>
  <conditionalFormatting sqref="CG3:CG9">
    <cfRule type="cellIs" priority="52" operator="lessThan">
      <formula>0</formula>
    </cfRule>
    <cfRule type="cellIs" priority="53" operator="greaterThan">
      <formula>1</formula>
    </cfRule>
  </conditionalFormatting>
  <conditionalFormatting sqref="CG3:CG9">
    <cfRule type="cellIs" priority="51" operator="equal">
      <formula>0</formula>
    </cfRule>
  </conditionalFormatting>
  <conditionalFormatting sqref="CG7:CG8">
    <cfRule type="cellIs" priority="49" operator="lessThan">
      <formula>0</formula>
    </cfRule>
    <cfRule type="cellIs" priority="50" operator="greaterThan">
      <formula>1</formula>
    </cfRule>
  </conditionalFormatting>
  <conditionalFormatting sqref="CG7:CG8">
    <cfRule type="cellIs" priority="48" operator="equal">
      <formula>0</formula>
    </cfRule>
  </conditionalFormatting>
  <conditionalFormatting sqref="CG3:CG9">
    <cfRule type="cellIs" priority="46" operator="lessThan">
      <formula>0</formula>
    </cfRule>
    <cfRule type="cellIs" priority="47" operator="greaterThan">
      <formula>1</formula>
    </cfRule>
  </conditionalFormatting>
  <conditionalFormatting sqref="CG3:CG9">
    <cfRule type="cellIs" priority="45" operator="equal">
      <formula>0</formula>
    </cfRule>
  </conditionalFormatting>
  <conditionalFormatting sqref="CG7:CG8">
    <cfRule type="cellIs" priority="43" operator="lessThan">
      <formula>0</formula>
    </cfRule>
    <cfRule type="cellIs" priority="44" operator="greaterThan">
      <formula>1</formula>
    </cfRule>
  </conditionalFormatting>
  <conditionalFormatting sqref="CG7:CG8">
    <cfRule type="cellIs" priority="42" operator="equal">
      <formula>0</formula>
    </cfRule>
  </conditionalFormatting>
  <conditionalFormatting sqref="H3:H9 O3:O9 V3:V9 AC3:AC9">
    <cfRule type="cellIs" priority="40" operator="lessThan">
      <formula>0</formula>
    </cfRule>
    <cfRule type="cellIs" priority="41" operator="greaterThan">
      <formula>1</formula>
    </cfRule>
  </conditionalFormatting>
  <conditionalFormatting sqref="H3:H9 O3:O9 V3:V9 AC3:AC9">
    <cfRule type="cellIs" priority="39" operator="equal">
      <formula>0</formula>
    </cfRule>
  </conditionalFormatting>
  <conditionalFormatting sqref="CG3:CG9">
    <cfRule type="cellIs" priority="37" operator="lessThan">
      <formula>0</formula>
    </cfRule>
    <cfRule type="cellIs" priority="38" operator="greaterThan">
      <formula>1</formula>
    </cfRule>
  </conditionalFormatting>
  <conditionalFormatting sqref="CG3:CG9">
    <cfRule type="cellIs" priority="36" operator="equal">
      <formula>0</formula>
    </cfRule>
  </conditionalFormatting>
  <conditionalFormatting sqref="CG7:CG8">
    <cfRule type="cellIs" priority="34" operator="lessThan">
      <formula>0</formula>
    </cfRule>
    <cfRule type="cellIs" priority="35" operator="greaterThan">
      <formula>1</formula>
    </cfRule>
  </conditionalFormatting>
  <conditionalFormatting sqref="CG7:CG8">
    <cfRule type="cellIs" priority="33" operator="equal">
      <formula>0</formula>
    </cfRule>
  </conditionalFormatting>
  <conditionalFormatting sqref="AQ3:AQ9">
    <cfRule type="cellIs" priority="31" operator="lessThan">
      <formula>0</formula>
    </cfRule>
    <cfRule type="cellIs" priority="32" operator="greaterThan">
      <formula>1</formula>
    </cfRule>
  </conditionalFormatting>
  <conditionalFormatting sqref="AQ3:AQ9">
    <cfRule type="cellIs" priority="30" operator="equal">
      <formula>0</formula>
    </cfRule>
  </conditionalFormatting>
  <conditionalFormatting sqref="AJ3:AJ9">
    <cfRule type="cellIs" priority="28" operator="lessThan">
      <formula>0</formula>
    </cfRule>
    <cfRule type="cellIs" priority="29" operator="greaterThan">
      <formula>1</formula>
    </cfRule>
  </conditionalFormatting>
  <conditionalFormatting sqref="AJ3:AJ9">
    <cfRule type="cellIs" priority="27" operator="equal">
      <formula>0</formula>
    </cfRule>
  </conditionalFormatting>
  <conditionalFormatting sqref="CN3:CN9">
    <cfRule type="cellIs" priority="25" operator="lessThan">
      <formula>0</formula>
    </cfRule>
    <cfRule type="cellIs" priority="26" operator="greaterThan">
      <formula>1</formula>
    </cfRule>
  </conditionalFormatting>
  <conditionalFormatting sqref="CN3:CN9">
    <cfRule type="cellIs" priority="24" operator="equal">
      <formula>0</formula>
    </cfRule>
  </conditionalFormatting>
  <conditionalFormatting sqref="CU3:CU9">
    <cfRule type="cellIs" priority="22" operator="lessThan">
      <formula>0</formula>
    </cfRule>
    <cfRule type="cellIs" priority="23" operator="greaterThan">
      <formula>1</formula>
    </cfRule>
  </conditionalFormatting>
  <conditionalFormatting sqref="CU3:CU9">
    <cfRule type="cellIs" priority="21" operator="equal">
      <formula>0</formula>
    </cfRule>
  </conditionalFormatting>
  <conditionalFormatting sqref="DB3:DB9">
    <cfRule type="cellIs" priority="19" operator="lessThan">
      <formula>0</formula>
    </cfRule>
    <cfRule type="cellIs" priority="20" operator="greaterThan">
      <formula>1</formula>
    </cfRule>
  </conditionalFormatting>
  <conditionalFormatting sqref="DB3:DB9">
    <cfRule type="cellIs" priority="18" operator="equal">
      <formula>0</formula>
    </cfRule>
  </conditionalFormatting>
  <conditionalFormatting sqref="CN3:CN9">
    <cfRule type="cellIs" priority="16" operator="lessThan">
      <formula>0</formula>
    </cfRule>
    <cfRule type="cellIs" priority="17" operator="greaterThan">
      <formula>1</formula>
    </cfRule>
  </conditionalFormatting>
  <conditionalFormatting sqref="CN3:CN9">
    <cfRule type="cellIs" priority="15" operator="equal">
      <formula>0</formula>
    </cfRule>
  </conditionalFormatting>
  <conditionalFormatting sqref="CU3:CU9">
    <cfRule type="cellIs" priority="13" operator="lessThan">
      <formula>0</formula>
    </cfRule>
    <cfRule type="cellIs" priority="14" operator="greaterThan">
      <formula>1</formula>
    </cfRule>
  </conditionalFormatting>
  <conditionalFormatting sqref="CU3:CU9">
    <cfRule type="cellIs" priority="12" operator="equal">
      <formula>0</formula>
    </cfRule>
  </conditionalFormatting>
  <conditionalFormatting sqref="DB3:DB9">
    <cfRule type="cellIs" priority="10" operator="lessThan">
      <formula>0</formula>
    </cfRule>
    <cfRule type="cellIs" priority="11" operator="greaterThan">
      <formula>1</formula>
    </cfRule>
  </conditionalFormatting>
  <conditionalFormatting sqref="DB3:DB9">
    <cfRule type="cellIs" priority="9" operator="equal">
      <formula>0</formula>
    </cfRule>
  </conditionalFormatting>
  <conditionalFormatting sqref="B14:B16">
    <cfRule type="cellIs" priority="7" operator="greaterThan">
      <formula>1</formula>
    </cfRule>
    <cfRule type="cellIs" priority="8" operator="lessThan">
      <formula>0</formula>
    </cfRule>
  </conditionalFormatting>
  <conditionalFormatting sqref="B14:B16">
    <cfRule type="cellIs" priority="5" operator="greaterThan">
      <formula>1</formula>
    </cfRule>
    <cfRule type="cellIs" priority="6" operator="lessThan">
      <formula>0</formula>
    </cfRule>
  </conditionalFormatting>
  <conditionalFormatting sqref="B14:B16">
    <cfRule type="cellIs" priority="3" operator="greaterThan">
      <formula>1</formula>
    </cfRule>
    <cfRule type="cellIs" priority="4" operator="lessThan">
      <formula>0</formula>
    </cfRule>
  </conditionalFormatting>
  <conditionalFormatting sqref="B14:B16">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9"/>
  <dimension ref="A1:DF20"/>
  <sheetViews>
    <sheetView workbookViewId="0">
      <pane xSplit="6" ySplit="1" topLeftCell="CX2" activePane="bottomRight" state="frozen"/>
      <selection pane="topRight" activeCell="G1" sqref="G1"/>
      <selection pane="bottomLeft" activeCell="A2" sqref="A2"/>
      <selection pane="bottomRight" activeCell="A4" sqref="A4"/>
    </sheetView>
  </sheetViews>
  <sheetFormatPr defaultColWidth="8.85546875" defaultRowHeight="15" x14ac:dyDescent="0.25"/>
  <cols>
    <col min="1" max="1" width="37.85546875" bestFit="1" customWidth="1"/>
    <col min="2" max="2" width="11.5703125" customWidth="1"/>
    <col min="3" max="3" width="17.28515625" customWidth="1"/>
    <col min="4" max="4" width="10.7109375" bestFit="1" customWidth="1"/>
    <col min="5" max="5" width="7.28515625" customWidth="1"/>
    <col min="6" max="6" width="14.28515625" customWidth="1"/>
    <col min="7" max="8" width="11.5703125" customWidth="1"/>
    <col min="9" max="9" width="16.28515625" customWidth="1"/>
    <col min="10" max="29" width="11.5703125" customWidth="1"/>
    <col min="30" max="30" width="15.5703125" bestFit="1" customWidth="1"/>
    <col min="31" max="36" width="11.5703125" customWidth="1"/>
    <col min="37" max="37" width="15.5703125" bestFit="1" customWidth="1"/>
    <col min="38" max="43" width="11.5703125" customWidth="1"/>
    <col min="44" max="44" width="15.5703125" bestFit="1" customWidth="1"/>
    <col min="45" max="50" width="11.5703125" customWidth="1"/>
    <col min="51" max="51" width="15.5703125" bestFit="1" customWidth="1"/>
    <col min="52" max="1074" width="11.5703125" customWidth="1"/>
  </cols>
  <sheetData>
    <row r="1" spans="1:110" x14ac:dyDescent="0.25">
      <c r="A1" s="2" t="s">
        <v>147</v>
      </c>
      <c r="G1" s="98" t="s">
        <v>104</v>
      </c>
      <c r="H1" s="99"/>
      <c r="I1" s="99"/>
      <c r="J1" s="99"/>
      <c r="K1" s="99"/>
      <c r="L1" s="99"/>
      <c r="N1" s="98" t="s">
        <v>105</v>
      </c>
      <c r="O1" s="99"/>
      <c r="P1" s="99"/>
      <c r="Q1" s="99"/>
      <c r="R1" s="99"/>
      <c r="S1" s="99"/>
      <c r="U1" s="98" t="s">
        <v>106</v>
      </c>
      <c r="V1" s="99"/>
      <c r="W1" s="99"/>
      <c r="X1" s="99"/>
      <c r="Y1" s="99"/>
      <c r="Z1" s="99"/>
      <c r="AB1" s="98" t="s">
        <v>107</v>
      </c>
      <c r="AC1" s="99"/>
      <c r="AD1" s="99"/>
      <c r="AE1" s="99"/>
      <c r="AF1" s="99"/>
      <c r="AG1" s="99"/>
      <c r="AI1" s="98" t="s">
        <v>139</v>
      </c>
      <c r="AJ1" s="98"/>
      <c r="AK1" s="98"/>
      <c r="AL1" s="98"/>
      <c r="AM1" s="98"/>
      <c r="AN1" s="98"/>
      <c r="AP1" s="98" t="s">
        <v>140</v>
      </c>
      <c r="AQ1" s="98"/>
      <c r="AR1" s="98"/>
      <c r="AS1" s="98"/>
      <c r="AT1" s="98"/>
      <c r="AU1" s="98"/>
      <c r="AW1" s="98" t="s">
        <v>141</v>
      </c>
      <c r="AX1" s="98"/>
      <c r="AY1" s="98"/>
      <c r="AZ1" s="98"/>
      <c r="BA1" s="98"/>
      <c r="BB1" s="98"/>
      <c r="BD1" s="98" t="s">
        <v>142</v>
      </c>
      <c r="BE1" s="98"/>
      <c r="BF1" s="98"/>
      <c r="BG1" s="98"/>
      <c r="BH1" s="98"/>
      <c r="BI1" s="98"/>
      <c r="BK1" s="98" t="s">
        <v>143</v>
      </c>
      <c r="BL1" s="98"/>
      <c r="BM1" s="98"/>
      <c r="BN1" s="98"/>
      <c r="BO1" s="98"/>
      <c r="BP1" s="98"/>
      <c r="BR1" s="98" t="s">
        <v>144</v>
      </c>
      <c r="BS1" s="98"/>
      <c r="BT1" s="98"/>
      <c r="BU1" s="98"/>
      <c r="BV1" s="98"/>
      <c r="BW1" s="98"/>
      <c r="BY1" s="98" t="s">
        <v>145</v>
      </c>
      <c r="BZ1" s="98"/>
      <c r="CA1" s="98"/>
      <c r="CB1" s="98"/>
      <c r="CC1" s="98"/>
      <c r="CD1" s="98"/>
      <c r="CF1" s="98" t="s">
        <v>108</v>
      </c>
      <c r="CG1" s="98"/>
      <c r="CH1" s="98"/>
      <c r="CI1" s="98"/>
      <c r="CJ1" s="98"/>
      <c r="CK1" s="98"/>
      <c r="CM1" s="98" t="s">
        <v>168</v>
      </c>
      <c r="CN1" s="98"/>
      <c r="CO1" s="98"/>
      <c r="CP1" s="98"/>
      <c r="CQ1" s="98"/>
      <c r="CR1" s="98"/>
      <c r="CT1" s="98" t="s">
        <v>170</v>
      </c>
      <c r="CU1" s="98"/>
      <c r="CV1" s="98"/>
      <c r="CW1" s="98"/>
      <c r="CX1" s="98"/>
      <c r="CY1" s="98"/>
      <c r="DA1" s="98" t="s">
        <v>169</v>
      </c>
      <c r="DB1" s="98"/>
      <c r="DC1" s="98"/>
      <c r="DD1" s="98"/>
      <c r="DE1" s="98"/>
      <c r="DF1" s="98"/>
    </row>
    <row r="2" spans="1:110" x14ac:dyDescent="0.25">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x14ac:dyDescent="0.25">
      <c r="A3" s="58" t="s">
        <v>173</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x14ac:dyDescent="0.25">
      <c r="A4" s="3" t="s">
        <v>114</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v>
      </c>
      <c r="AR4" s="62">
        <f>+SUM($AQ$3:AQ4)</f>
        <v>0.5</v>
      </c>
      <c r="AS4" s="58">
        <f t="shared" si="9"/>
        <v>7</v>
      </c>
      <c r="AT4" s="58">
        <f t="shared" ref="AT4:AT9" si="25">+AQ4*AS4</f>
        <v>1.4000000000000001</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x14ac:dyDescent="0.25">
      <c r="A5" s="3" t="s">
        <v>115</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0.75</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x14ac:dyDescent="0.25">
      <c r="A6" s="3" t="s">
        <v>116</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0.25</v>
      </c>
      <c r="AR6" s="62">
        <f>+SUM($AQ$3:AQ6)</f>
        <v>1</v>
      </c>
      <c r="AS6" s="58">
        <f t="shared" si="9"/>
        <v>15</v>
      </c>
      <c r="AT6" s="58">
        <f t="shared" si="25"/>
        <v>3.75</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0.16</v>
      </c>
      <c r="DC6" s="62">
        <f>+SUM($DB$3:DB6)</f>
        <v>0.16</v>
      </c>
      <c r="DD6" s="83">
        <f t="shared" si="30"/>
        <v>15</v>
      </c>
      <c r="DE6" s="58">
        <f t="shared" si="33"/>
        <v>2.4</v>
      </c>
      <c r="DF6" s="63">
        <v>0</v>
      </c>
    </row>
    <row r="7" spans="1:110" x14ac:dyDescent="0.25">
      <c r="A7" s="75" t="s">
        <v>133</v>
      </c>
      <c r="B7" s="75">
        <f t="shared" ref="B7:B13"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0.36</v>
      </c>
      <c r="DD7" s="83">
        <f t="shared" si="30"/>
        <v>25</v>
      </c>
      <c r="DE7" s="58">
        <f t="shared" si="33"/>
        <v>5</v>
      </c>
      <c r="DF7" s="63">
        <v>0</v>
      </c>
    </row>
    <row r="8" spans="1:110" x14ac:dyDescent="0.25">
      <c r="A8" s="75" t="s">
        <v>134</v>
      </c>
      <c r="B8" s="75">
        <f>+E8/D8</f>
        <v>0.21857923497267759</v>
      </c>
      <c r="C8" s="3">
        <v>0</v>
      </c>
      <c r="D8" s="64">
        <f>+AT10</f>
        <v>9.15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0.71</v>
      </c>
      <c r="DD8" s="83">
        <f t="shared" si="30"/>
        <v>50</v>
      </c>
      <c r="DE8" s="58">
        <f t="shared" si="33"/>
        <v>17.5</v>
      </c>
      <c r="DF8" s="63">
        <v>0</v>
      </c>
    </row>
    <row r="9" spans="1:110" x14ac:dyDescent="0.25">
      <c r="A9" s="75" t="s">
        <v>135</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0.29000000000000004</v>
      </c>
      <c r="DC9" s="62">
        <f>+SUM($DB$3:DB9)</f>
        <v>1</v>
      </c>
      <c r="DD9" s="83">
        <f t="shared" si="30"/>
        <v>100</v>
      </c>
      <c r="DE9" s="58">
        <f t="shared" si="33"/>
        <v>29.000000000000004</v>
      </c>
      <c r="DF9" s="63">
        <v>0</v>
      </c>
    </row>
    <row r="10" spans="1:110" x14ac:dyDescent="0.25">
      <c r="A10" s="75" t="s">
        <v>136</v>
      </c>
      <c r="B10" s="75">
        <f t="shared" si="34"/>
        <v>0.37606837606837606</v>
      </c>
      <c r="C10" s="3">
        <v>0</v>
      </c>
      <c r="D10" s="64">
        <f>+BH10</f>
        <v>29.25</v>
      </c>
      <c r="E10" s="3">
        <v>11</v>
      </c>
      <c r="G10" s="50" t="s">
        <v>71</v>
      </c>
      <c r="H10" s="50">
        <f>+SUM(H3:H9)</f>
        <v>1</v>
      </c>
      <c r="I10" s="50"/>
      <c r="J10" s="50"/>
      <c r="K10" s="51">
        <f>+SUM(K3:K9)</f>
        <v>7.0649999999999888</v>
      </c>
      <c r="L10" s="51"/>
      <c r="N10" s="50" t="s">
        <v>71</v>
      </c>
      <c r="O10" s="50">
        <f>+SUM(O3:O9)</f>
        <v>1</v>
      </c>
      <c r="P10" s="50"/>
      <c r="Q10" s="50"/>
      <c r="R10" s="51">
        <f>+SUM(R3:R9)</f>
        <v>17.449999999999996</v>
      </c>
      <c r="S10" s="51"/>
      <c r="U10" s="50" t="s">
        <v>71</v>
      </c>
      <c r="V10" s="50">
        <f>+SUM(V3:V9)</f>
        <v>1</v>
      </c>
      <c r="W10" s="50"/>
      <c r="X10" s="50"/>
      <c r="Y10" s="51">
        <f>+SUM(Y3:Y9)</f>
        <v>21.200000000000006</v>
      </c>
      <c r="Z10" s="51"/>
      <c r="AB10" s="50" t="s">
        <v>71</v>
      </c>
      <c r="AC10" s="50">
        <f>+SUM(AC3:AC9)</f>
        <v>1</v>
      </c>
      <c r="AD10" s="50"/>
      <c r="AE10" s="50"/>
      <c r="AF10" s="51">
        <f>+SUM(AF3:AF9)</f>
        <v>24.049999999999997</v>
      </c>
      <c r="AG10" s="51"/>
      <c r="AI10" s="50" t="s">
        <v>71</v>
      </c>
      <c r="AJ10" s="50">
        <f>+SUM(AJ3:AJ9)</f>
        <v>1</v>
      </c>
      <c r="AK10" s="50"/>
      <c r="AL10" s="50"/>
      <c r="AM10" s="51">
        <f>+SUM(AM3:AM9)</f>
        <v>48.75</v>
      </c>
      <c r="AN10" s="51"/>
      <c r="AP10" s="50" t="s">
        <v>71</v>
      </c>
      <c r="AQ10" s="50">
        <f>+SUM(AQ3:AQ9)</f>
        <v>1</v>
      </c>
      <c r="AR10" s="50"/>
      <c r="AS10" s="50"/>
      <c r="AT10" s="51">
        <f>+SUM(AT3:AT9)</f>
        <v>9.15</v>
      </c>
      <c r="AU10" s="51"/>
      <c r="AW10" s="50" t="s">
        <v>71</v>
      </c>
      <c r="AX10" s="50">
        <f>+SUM(AX3:AX9)</f>
        <v>1</v>
      </c>
      <c r="AY10" s="50"/>
      <c r="AZ10" s="50"/>
      <c r="BA10" s="51">
        <f>+SUM(BA3:BA9)</f>
        <v>24.15</v>
      </c>
      <c r="BB10" s="51"/>
      <c r="BD10" s="50" t="s">
        <v>71</v>
      </c>
      <c r="BE10" s="50">
        <f>+SUM(BE3:BE9)</f>
        <v>1</v>
      </c>
      <c r="BF10" s="50"/>
      <c r="BG10" s="50"/>
      <c r="BH10" s="51">
        <f>+SUM(BH3:BH9)</f>
        <v>29.25</v>
      </c>
      <c r="BI10" s="51"/>
      <c r="BK10" s="50" t="s">
        <v>71</v>
      </c>
      <c r="BL10" s="50">
        <f>+SUM(BL3:BL9)</f>
        <v>1</v>
      </c>
      <c r="BM10" s="50"/>
      <c r="BN10" s="50"/>
      <c r="BO10" s="51">
        <f>+SUM(BO3:BO9)</f>
        <v>26.349999999999998</v>
      </c>
      <c r="BP10" s="51"/>
      <c r="BR10" s="50" t="s">
        <v>71</v>
      </c>
      <c r="BS10" s="50">
        <f>+SUM(BS3:BS9)</f>
        <v>1</v>
      </c>
      <c r="BT10" s="50"/>
      <c r="BU10" s="50"/>
      <c r="BV10" s="51">
        <f>+SUM(BV3:BV9)</f>
        <v>26.449999999999996</v>
      </c>
      <c r="BW10" s="51"/>
      <c r="BY10" s="50" t="s">
        <v>71</v>
      </c>
      <c r="BZ10" s="50">
        <f>+SUM(BZ3:BZ9)</f>
        <v>1</v>
      </c>
      <c r="CA10" s="50"/>
      <c r="CB10" s="50"/>
      <c r="CC10" s="51">
        <f>+SUM(CC3:CC9)</f>
        <v>9.8500000000000121</v>
      </c>
      <c r="CD10" s="51"/>
      <c r="CF10" s="50" t="s">
        <v>71</v>
      </c>
      <c r="CG10" s="50">
        <f>+SUM(CG3:CG9)</f>
        <v>1</v>
      </c>
      <c r="CH10" s="50"/>
      <c r="CI10" s="50"/>
      <c r="CJ10" s="51">
        <f>+SUM(CJ3:CJ9)</f>
        <v>63.75</v>
      </c>
      <c r="CK10" s="51"/>
      <c r="CM10" s="50" t="s">
        <v>71</v>
      </c>
      <c r="CN10" s="50">
        <f>+SUM(CN3:CN9)</f>
        <v>1</v>
      </c>
      <c r="CO10" s="50"/>
      <c r="CP10" s="50"/>
      <c r="CQ10" s="51">
        <f>+SUM(CQ3:CQ9)</f>
        <v>7.0649999999999888</v>
      </c>
      <c r="CR10" s="51"/>
      <c r="CT10" s="50" t="s">
        <v>71</v>
      </c>
      <c r="CU10" s="50">
        <f>+SUM(CU3:CU9)</f>
        <v>1</v>
      </c>
      <c r="CV10" s="50"/>
      <c r="CW10" s="50"/>
      <c r="CX10" s="51">
        <f>+SUM(CX3:CX9)</f>
        <v>14.129999999999978</v>
      </c>
      <c r="CY10" s="51"/>
      <c r="DA10" s="50" t="s">
        <v>71</v>
      </c>
      <c r="DB10" s="50">
        <f>+SUM(DB3:DB9)</f>
        <v>1</v>
      </c>
      <c r="DC10" s="50"/>
      <c r="DD10" s="50"/>
      <c r="DE10" s="51">
        <f>+SUM(DE3:DE9)</f>
        <v>53.900000000000006</v>
      </c>
      <c r="DF10" s="51"/>
    </row>
    <row r="11" spans="1:110" x14ac:dyDescent="0.25">
      <c r="A11" s="75" t="s">
        <v>137</v>
      </c>
      <c r="B11" s="75">
        <f t="shared" si="34"/>
        <v>0.41745730550284632</v>
      </c>
      <c r="C11" s="3">
        <v>0</v>
      </c>
      <c r="D11" s="64">
        <f>+BO10</f>
        <v>26.349999999999998</v>
      </c>
      <c r="E11" s="3">
        <v>11</v>
      </c>
    </row>
    <row r="12" spans="1:110" x14ac:dyDescent="0.25">
      <c r="A12" s="75" t="s">
        <v>138</v>
      </c>
      <c r="B12" s="75">
        <f t="shared" si="34"/>
        <v>0.37807183364839325</v>
      </c>
      <c r="C12" s="3">
        <v>0</v>
      </c>
      <c r="D12" s="64">
        <f>+BV10</f>
        <v>26.449999999999996</v>
      </c>
      <c r="E12" s="3">
        <v>10</v>
      </c>
    </row>
    <row r="13" spans="1:110" x14ac:dyDescent="0.25">
      <c r="A13" s="85" t="s">
        <v>171</v>
      </c>
      <c r="B13" s="75">
        <f t="shared" si="34"/>
        <v>0.16802030456852771</v>
      </c>
      <c r="C13" s="3">
        <f>1/B13/Summary!$C$7</f>
        <v>5.9516616314199472E-3</v>
      </c>
      <c r="D13" s="64">
        <f>+CC10</f>
        <v>9.8500000000000121</v>
      </c>
      <c r="E13" s="3">
        <f>1+E3</f>
        <v>1.655</v>
      </c>
    </row>
    <row r="14" spans="1:110" x14ac:dyDescent="0.25">
      <c r="A14" s="85" t="s">
        <v>166</v>
      </c>
      <c r="B14" s="58">
        <f>+E14/D14</f>
        <v>0.18542108987968892</v>
      </c>
      <c r="C14" s="3">
        <f>1/B14/Summary!$C$7</f>
        <v>5.3931297709923567E-3</v>
      </c>
      <c r="D14" s="86">
        <f>+CQ10</f>
        <v>7.0649999999999888</v>
      </c>
      <c r="E14" s="3">
        <f>+E3*2</f>
        <v>1.31</v>
      </c>
    </row>
    <row r="15" spans="1:110" x14ac:dyDescent="0.25">
      <c r="A15" s="85" t="s">
        <v>167</v>
      </c>
      <c r="B15" s="58">
        <f>+E15/D15</f>
        <v>9.2710544939844458E-2</v>
      </c>
      <c r="C15" s="3">
        <f>1/B15/Summary!$C$7</f>
        <v>1.0786259541984713E-2</v>
      </c>
      <c r="D15" s="86">
        <f>+CX10</f>
        <v>14.129999999999978</v>
      </c>
      <c r="E15" s="3">
        <f>+E14</f>
        <v>1.31</v>
      </c>
    </row>
    <row r="16" spans="1:110" x14ac:dyDescent="0.25">
      <c r="A16" s="75" t="s">
        <v>165</v>
      </c>
      <c r="B16" s="58">
        <f>+E16/D16</f>
        <v>0.37105751391465674</v>
      </c>
      <c r="C16" s="3">
        <v>0</v>
      </c>
      <c r="D16" s="86">
        <f>+DE10</f>
        <v>53.900000000000006</v>
      </c>
      <c r="E16" s="3">
        <v>20</v>
      </c>
    </row>
    <row r="17" spans="1:5" x14ac:dyDescent="0.25">
      <c r="A17" s="3" t="s">
        <v>117</v>
      </c>
      <c r="B17" s="58">
        <f>+E17/D17</f>
        <v>0.78431372549019607</v>
      </c>
      <c r="C17" s="3">
        <v>0</v>
      </c>
      <c r="D17" s="64">
        <f>+CJ10</f>
        <v>63.75</v>
      </c>
      <c r="E17" s="3">
        <v>50</v>
      </c>
    </row>
    <row r="18" spans="1:5" x14ac:dyDescent="0.25">
      <c r="A18" s="3" t="s">
        <v>118</v>
      </c>
      <c r="B18" s="65" t="str">
        <f>+CONCATENATE("x",J3," - x",J9)</f>
        <v>x5 - x100</v>
      </c>
    </row>
    <row r="20" spans="1:5" x14ac:dyDescent="0.25">
      <c r="A20" t="s">
        <v>172</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83" operator="lessThan">
      <formula>0</formula>
    </cfRule>
    <cfRule type="cellIs" priority="84" operator="greaterThan">
      <formula>1</formula>
    </cfRule>
  </conditionalFormatting>
  <conditionalFormatting sqref="H3:H9 O3:O9 CG3:CG9 V3:V9 AC3:AC9 AJ3:AJ9 AQ3:AQ9 AX3:AX9 BZ3:BZ9 BE3:BE9 BL3:BL9 BS3:BS9">
    <cfRule type="cellIs" priority="82" operator="equal">
      <formula>0</formula>
    </cfRule>
  </conditionalFormatting>
  <conditionalFormatting sqref="B3:B17">
    <cfRule type="cellIs" priority="80" operator="greaterThan">
      <formula>1</formula>
    </cfRule>
    <cfRule type="cellIs" priority="81" operator="lessThan">
      <formula>0</formula>
    </cfRule>
  </conditionalFormatting>
  <conditionalFormatting sqref="H3:H9 O3:O9 V3:V9 AC3:AC9">
    <cfRule type="cellIs" priority="78" operator="lessThan">
      <formula>0</formula>
    </cfRule>
    <cfRule type="cellIs" priority="79" operator="greaterThan">
      <formula>1</formula>
    </cfRule>
  </conditionalFormatting>
  <conditionalFormatting sqref="H3:H9 O3:O9 V3:V9 AC3:AC9">
    <cfRule type="cellIs" priority="77" operator="equal">
      <formula>0</formula>
    </cfRule>
  </conditionalFormatting>
  <conditionalFormatting sqref="H3:H9">
    <cfRule type="cellIs" priority="75" operator="lessThan">
      <formula>0</formula>
    </cfRule>
    <cfRule type="cellIs" priority="76" operator="greaterThan">
      <formula>1</formula>
    </cfRule>
  </conditionalFormatting>
  <conditionalFormatting sqref="H3:H9">
    <cfRule type="cellIs" priority="74" operator="equal">
      <formula>0</formula>
    </cfRule>
  </conditionalFormatting>
  <conditionalFormatting sqref="H3:H9">
    <cfRule type="cellIs" priority="72" operator="lessThan">
      <formula>0</formula>
    </cfRule>
    <cfRule type="cellIs" priority="73" operator="greaterThan">
      <formula>1</formula>
    </cfRule>
  </conditionalFormatting>
  <conditionalFormatting sqref="H3:H9">
    <cfRule type="cellIs" priority="71" operator="equal">
      <formula>0</formula>
    </cfRule>
  </conditionalFormatting>
  <conditionalFormatting sqref="CG3:CG9">
    <cfRule type="cellIs" priority="69" operator="lessThan">
      <formula>0</formula>
    </cfRule>
    <cfRule type="cellIs" priority="70" operator="greaterThan">
      <formula>1</formula>
    </cfRule>
  </conditionalFormatting>
  <conditionalFormatting sqref="CG3:CG9">
    <cfRule type="cellIs" priority="68" operator="equal">
      <formula>0</formula>
    </cfRule>
  </conditionalFormatting>
  <conditionalFormatting sqref="H3:H9 O3:O9 V3:V9 AC3:AC9">
    <cfRule type="cellIs" priority="66" operator="lessThan">
      <formula>0</formula>
    </cfRule>
    <cfRule type="cellIs" priority="67" operator="greaterThan">
      <formula>1</formula>
    </cfRule>
  </conditionalFormatting>
  <conditionalFormatting sqref="H3:H9 O3:O9 V3:V9 AC3:AC9">
    <cfRule type="cellIs" priority="65" operator="equal">
      <formula>0</formula>
    </cfRule>
  </conditionalFormatting>
  <conditionalFormatting sqref="H3:H9 O3:O9 V3:V9 AC3:AC9">
    <cfRule type="cellIs" priority="63" operator="lessThan">
      <formula>0</formula>
    </cfRule>
    <cfRule type="cellIs" priority="64" operator="greaterThan">
      <formula>1</formula>
    </cfRule>
  </conditionalFormatting>
  <conditionalFormatting sqref="H3:H9 O3:O9 V3:V9 AC3:AC9">
    <cfRule type="cellIs" priority="62" operator="equal">
      <formula>0</formula>
    </cfRule>
  </conditionalFormatting>
  <conditionalFormatting sqref="CG3:CG9">
    <cfRule type="cellIs" priority="60" operator="lessThan">
      <formula>0</formula>
    </cfRule>
    <cfRule type="cellIs" priority="61" operator="greaterThan">
      <formula>1</formula>
    </cfRule>
  </conditionalFormatting>
  <conditionalFormatting sqref="CG3:CG9">
    <cfRule type="cellIs" priority="59" operator="equal">
      <formula>0</formula>
    </cfRule>
  </conditionalFormatting>
  <conditionalFormatting sqref="CG7:CG8">
    <cfRule type="cellIs" priority="57" operator="lessThan">
      <formula>0</formula>
    </cfRule>
    <cfRule type="cellIs" priority="58" operator="greaterThan">
      <formula>1</formula>
    </cfRule>
  </conditionalFormatting>
  <conditionalFormatting sqref="CG7:CG8">
    <cfRule type="cellIs" priority="56" operator="equal">
      <formula>0</formula>
    </cfRule>
  </conditionalFormatting>
  <conditionalFormatting sqref="CG3:CG9">
    <cfRule type="cellIs" priority="54" operator="lessThan">
      <formula>0</formula>
    </cfRule>
    <cfRule type="cellIs" priority="55" operator="greaterThan">
      <formula>1</formula>
    </cfRule>
  </conditionalFormatting>
  <conditionalFormatting sqref="CG3:CG9">
    <cfRule type="cellIs" priority="53" operator="equal">
      <formula>0</formula>
    </cfRule>
  </conditionalFormatting>
  <conditionalFormatting sqref="CG7:CG8">
    <cfRule type="cellIs" priority="51" operator="lessThan">
      <formula>0</formula>
    </cfRule>
    <cfRule type="cellIs" priority="52" operator="greaterThan">
      <formula>1</formula>
    </cfRule>
  </conditionalFormatting>
  <conditionalFormatting sqref="CG7:CG8">
    <cfRule type="cellIs" priority="50" operator="equal">
      <formula>0</formula>
    </cfRule>
  </conditionalFormatting>
  <conditionalFormatting sqref="H3:H9 O3:O9 V3:V9 AC3:AC9">
    <cfRule type="cellIs" priority="48" operator="lessThan">
      <formula>0</formula>
    </cfRule>
    <cfRule type="cellIs" priority="49" operator="greaterThan">
      <formula>1</formula>
    </cfRule>
  </conditionalFormatting>
  <conditionalFormatting sqref="H3:H9 O3:O9 V3:V9 AC3:AC9">
    <cfRule type="cellIs" priority="47" operator="equal">
      <formula>0</formula>
    </cfRule>
  </conditionalFormatting>
  <conditionalFormatting sqref="CG3:CG9">
    <cfRule type="cellIs" priority="45" operator="lessThan">
      <formula>0</formula>
    </cfRule>
    <cfRule type="cellIs" priority="46" operator="greaterThan">
      <formula>1</formula>
    </cfRule>
  </conditionalFormatting>
  <conditionalFormatting sqref="CG3:CG9">
    <cfRule type="cellIs" priority="44" operator="equal">
      <formula>0</formula>
    </cfRule>
  </conditionalFormatting>
  <conditionalFormatting sqref="CG7:CG8">
    <cfRule type="cellIs" priority="42" operator="lessThan">
      <formula>0</formula>
    </cfRule>
    <cfRule type="cellIs" priority="43" operator="greaterThan">
      <formula>1</formula>
    </cfRule>
  </conditionalFormatting>
  <conditionalFormatting sqref="CG7:CG8">
    <cfRule type="cellIs" priority="41" operator="equal">
      <formula>0</formula>
    </cfRule>
  </conditionalFormatting>
  <conditionalFormatting sqref="H3:H9 O3:O9 V3:V9 AC3:AC9">
    <cfRule type="cellIs" priority="39" operator="lessThan">
      <formula>0</formula>
    </cfRule>
    <cfRule type="cellIs" priority="40" operator="greaterThan">
      <formula>1</formula>
    </cfRule>
  </conditionalFormatting>
  <conditionalFormatting sqref="H3:H9 O3:O9 V3:V9 AC3:AC9">
    <cfRule type="cellIs" priority="38" operator="equal">
      <formula>0</formula>
    </cfRule>
  </conditionalFormatting>
  <conditionalFormatting sqref="O3:O9">
    <cfRule type="cellIs" priority="36" operator="lessThan">
      <formula>0</formula>
    </cfRule>
    <cfRule type="cellIs" priority="37" operator="greaterThan">
      <formula>1</formula>
    </cfRule>
  </conditionalFormatting>
  <conditionalFormatting sqref="O3:O9">
    <cfRule type="cellIs" priority="35" operator="equal">
      <formula>0</formula>
    </cfRule>
  </conditionalFormatting>
  <conditionalFormatting sqref="V3:V8">
    <cfRule type="cellIs" priority="33" operator="lessThan">
      <formula>0</formula>
    </cfRule>
    <cfRule type="cellIs" priority="34" operator="greaterThan">
      <formula>1</formula>
    </cfRule>
  </conditionalFormatting>
  <conditionalFormatting sqref="V3:V8">
    <cfRule type="cellIs" priority="32" operator="equal">
      <formula>0</formula>
    </cfRule>
  </conditionalFormatting>
  <conditionalFormatting sqref="AC3:AC8">
    <cfRule type="cellIs" priority="30" operator="lessThan">
      <formula>0</formula>
    </cfRule>
    <cfRule type="cellIs" priority="31" operator="greaterThan">
      <formula>1</formula>
    </cfRule>
  </conditionalFormatting>
  <conditionalFormatting sqref="AC3:AC8">
    <cfRule type="cellIs" priority="29" operator="equal">
      <formula>0</formula>
    </cfRule>
  </conditionalFormatting>
  <conditionalFormatting sqref="CN3:CN9">
    <cfRule type="cellIs" priority="27" operator="lessThan">
      <formula>0</formula>
    </cfRule>
    <cfRule type="cellIs" priority="28" operator="greaterThan">
      <formula>1</formula>
    </cfRule>
  </conditionalFormatting>
  <conditionalFormatting sqref="CN3:CN9">
    <cfRule type="cellIs" priority="26" operator="equal">
      <formula>0</formula>
    </cfRule>
  </conditionalFormatting>
  <conditionalFormatting sqref="CU3:CU9">
    <cfRule type="cellIs" priority="24" operator="lessThan">
      <formula>0</formula>
    </cfRule>
    <cfRule type="cellIs" priority="25" operator="greaterThan">
      <formula>1</formula>
    </cfRule>
  </conditionalFormatting>
  <conditionalFormatting sqref="CU3:CU9">
    <cfRule type="cellIs" priority="23" operator="equal">
      <formula>0</formula>
    </cfRule>
  </conditionalFormatting>
  <conditionalFormatting sqref="DB3:DB9">
    <cfRule type="cellIs" priority="21" operator="lessThan">
      <formula>0</formula>
    </cfRule>
    <cfRule type="cellIs" priority="22" operator="greaterThan">
      <formula>1</formula>
    </cfRule>
  </conditionalFormatting>
  <conditionalFormatting sqref="DB3:DB9">
    <cfRule type="cellIs" priority="20" operator="equal">
      <formula>0</formula>
    </cfRule>
  </conditionalFormatting>
  <conditionalFormatting sqref="CN3:CN9">
    <cfRule type="cellIs" priority="18" operator="lessThan">
      <formula>0</formula>
    </cfRule>
    <cfRule type="cellIs" priority="19" operator="greaterThan">
      <formula>1</formula>
    </cfRule>
  </conditionalFormatting>
  <conditionalFormatting sqref="CN3:CN9">
    <cfRule type="cellIs" priority="17" operator="equal">
      <formula>0</formula>
    </cfRule>
  </conditionalFormatting>
  <conditionalFormatting sqref="CU3:CU9">
    <cfRule type="cellIs" priority="15" operator="lessThan">
      <formula>0</formula>
    </cfRule>
    <cfRule type="cellIs" priority="16" operator="greaterThan">
      <formula>1</formula>
    </cfRule>
  </conditionalFormatting>
  <conditionalFormatting sqref="CU3:CU9">
    <cfRule type="cellIs" priority="14" operator="equal">
      <formula>0</formula>
    </cfRule>
  </conditionalFormatting>
  <conditionalFormatting sqref="DB3:DB9">
    <cfRule type="cellIs" priority="12" operator="lessThan">
      <formula>0</formula>
    </cfRule>
    <cfRule type="cellIs" priority="13" operator="greaterThan">
      <formula>1</formula>
    </cfRule>
  </conditionalFormatting>
  <conditionalFormatting sqref="DB3:DB9">
    <cfRule type="cellIs" priority="11" operator="equal">
      <formula>0</formula>
    </cfRule>
  </conditionalFormatting>
  <conditionalFormatting sqref="B14:B16">
    <cfRule type="cellIs" priority="9" operator="greaterThan">
      <formula>1</formula>
    </cfRule>
    <cfRule type="cellIs" priority="10" operator="lessThan">
      <formula>0</formula>
    </cfRule>
  </conditionalFormatting>
  <conditionalFormatting sqref="B14:B16">
    <cfRule type="cellIs" priority="7" operator="greaterThan">
      <formula>1</formula>
    </cfRule>
    <cfRule type="cellIs" priority="8" operator="lessThan">
      <formula>0</formula>
    </cfRule>
  </conditionalFormatting>
  <conditionalFormatting sqref="B14:B16">
    <cfRule type="cellIs" priority="5" operator="greaterThan">
      <formula>1</formula>
    </cfRule>
    <cfRule type="cellIs" priority="6" operator="lessThan">
      <formula>0</formula>
    </cfRule>
  </conditionalFormatting>
  <conditionalFormatting sqref="B14:B16">
    <cfRule type="cellIs" priority="3" operator="greaterThan">
      <formula>1</formula>
    </cfRule>
    <cfRule type="cellIs" priority="4" operator="lessThan">
      <formula>0</formula>
    </cfRule>
  </conditionalFormatting>
  <conditionalFormatting sqref="B14:B16">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DF20"/>
  <sheetViews>
    <sheetView workbookViewId="0">
      <pane xSplit="6" ySplit="1" topLeftCell="G2" activePane="bottomRight" state="frozen"/>
      <selection pane="topRight" activeCell="G1" sqref="G1"/>
      <selection pane="bottomLeft" activeCell="A2" sqref="A2"/>
      <selection pane="bottomRight" activeCell="A20" sqref="A20"/>
    </sheetView>
  </sheetViews>
  <sheetFormatPr defaultColWidth="8.85546875" defaultRowHeight="15" x14ac:dyDescent="0.25"/>
  <cols>
    <col min="1" max="1" width="37.85546875" bestFit="1" customWidth="1"/>
    <col min="2" max="2" width="11.5703125" customWidth="1"/>
    <col min="3" max="3" width="17.28515625" customWidth="1"/>
    <col min="4" max="4" width="10.7109375" bestFit="1" customWidth="1"/>
    <col min="5" max="5" width="7.28515625" customWidth="1"/>
    <col min="6" max="6" width="14.28515625" customWidth="1"/>
    <col min="7" max="8" width="11.5703125" customWidth="1"/>
    <col min="9" max="9" width="16.28515625" customWidth="1"/>
    <col min="10" max="29" width="11.5703125" customWidth="1"/>
    <col min="30" max="30" width="15.5703125" bestFit="1" customWidth="1"/>
    <col min="31" max="36" width="11.5703125" customWidth="1"/>
    <col min="37" max="37" width="15.5703125" bestFit="1" customWidth="1"/>
    <col min="38" max="43" width="11.5703125" customWidth="1"/>
    <col min="44" max="44" width="15.5703125" bestFit="1" customWidth="1"/>
    <col min="45" max="50" width="11.5703125" customWidth="1"/>
    <col min="51" max="51" width="15.5703125" bestFit="1" customWidth="1"/>
    <col min="52" max="1074" width="11.5703125" customWidth="1"/>
  </cols>
  <sheetData>
    <row r="1" spans="1:110" x14ac:dyDescent="0.25">
      <c r="A1" s="2" t="s">
        <v>148</v>
      </c>
      <c r="G1" s="98" t="s">
        <v>104</v>
      </c>
      <c r="H1" s="98"/>
      <c r="I1" s="98"/>
      <c r="J1" s="98"/>
      <c r="K1" s="98"/>
      <c r="L1" s="98"/>
      <c r="N1" s="98" t="s">
        <v>105</v>
      </c>
      <c r="O1" s="98"/>
      <c r="P1" s="98"/>
      <c r="Q1" s="98"/>
      <c r="R1" s="98"/>
      <c r="S1" s="98"/>
      <c r="U1" s="98" t="s">
        <v>106</v>
      </c>
      <c r="V1" s="98"/>
      <c r="W1" s="98"/>
      <c r="X1" s="98"/>
      <c r="Y1" s="98"/>
      <c r="Z1" s="98"/>
      <c r="AB1" s="98" t="s">
        <v>107</v>
      </c>
      <c r="AC1" s="98"/>
      <c r="AD1" s="98"/>
      <c r="AE1" s="98"/>
      <c r="AF1" s="98"/>
      <c r="AG1" s="98"/>
      <c r="AI1" s="98" t="s">
        <v>139</v>
      </c>
      <c r="AJ1" s="98"/>
      <c r="AK1" s="98"/>
      <c r="AL1" s="98"/>
      <c r="AM1" s="98"/>
      <c r="AN1" s="98"/>
      <c r="AP1" s="98" t="s">
        <v>140</v>
      </c>
      <c r="AQ1" s="98"/>
      <c r="AR1" s="98"/>
      <c r="AS1" s="98"/>
      <c r="AT1" s="98"/>
      <c r="AU1" s="98"/>
      <c r="AW1" s="98" t="s">
        <v>141</v>
      </c>
      <c r="AX1" s="98"/>
      <c r="AY1" s="98"/>
      <c r="AZ1" s="98"/>
      <c r="BA1" s="98"/>
      <c r="BB1" s="98"/>
      <c r="BD1" s="98" t="s">
        <v>142</v>
      </c>
      <c r="BE1" s="98"/>
      <c r="BF1" s="98"/>
      <c r="BG1" s="98"/>
      <c r="BH1" s="98"/>
      <c r="BI1" s="98"/>
      <c r="BK1" s="98" t="s">
        <v>143</v>
      </c>
      <c r="BL1" s="98"/>
      <c r="BM1" s="98"/>
      <c r="BN1" s="98"/>
      <c r="BO1" s="98"/>
      <c r="BP1" s="98"/>
      <c r="BR1" s="98" t="s">
        <v>144</v>
      </c>
      <c r="BS1" s="98"/>
      <c r="BT1" s="98"/>
      <c r="BU1" s="98"/>
      <c r="BV1" s="98"/>
      <c r="BW1" s="98"/>
      <c r="BY1" s="98" t="s">
        <v>145</v>
      </c>
      <c r="BZ1" s="98"/>
      <c r="CA1" s="98"/>
      <c r="CB1" s="98"/>
      <c r="CC1" s="98"/>
      <c r="CD1" s="98"/>
      <c r="CF1" s="98" t="s">
        <v>108</v>
      </c>
      <c r="CG1" s="98"/>
      <c r="CH1" s="98"/>
      <c r="CI1" s="98"/>
      <c r="CJ1" s="98"/>
      <c r="CK1" s="98"/>
      <c r="CM1" s="98" t="s">
        <v>168</v>
      </c>
      <c r="CN1" s="98"/>
      <c r="CO1" s="98"/>
      <c r="CP1" s="98"/>
      <c r="CQ1" s="98"/>
      <c r="CR1" s="98"/>
      <c r="CT1" s="98" t="s">
        <v>170</v>
      </c>
      <c r="CU1" s="98"/>
      <c r="CV1" s="98"/>
      <c r="CW1" s="98"/>
      <c r="CX1" s="98"/>
      <c r="CY1" s="98"/>
      <c r="DA1" s="98" t="s">
        <v>169</v>
      </c>
      <c r="DB1" s="98"/>
      <c r="DC1" s="98"/>
      <c r="DD1" s="98"/>
      <c r="DE1" s="98"/>
      <c r="DF1" s="98"/>
    </row>
    <row r="2" spans="1:110" x14ac:dyDescent="0.25">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x14ac:dyDescent="0.25">
      <c r="A3" s="58" t="s">
        <v>173</v>
      </c>
      <c r="B3" s="58">
        <f>+E3/D3</f>
        <v>6.5369261477046026E-2</v>
      </c>
      <c r="C3" s="3">
        <f>1/B3/Summary!$C$7</f>
        <v>1.5297709923664094E-2</v>
      </c>
      <c r="D3" s="59">
        <f>+K10</f>
        <v>10.019999999999982</v>
      </c>
      <c r="E3" s="3">
        <v>0.65500000000000003</v>
      </c>
      <c r="G3" s="60">
        <v>1</v>
      </c>
      <c r="H3" s="61">
        <v>0.5</v>
      </c>
      <c r="I3" s="62">
        <f>+SUM($H3:H3)</f>
        <v>0.5</v>
      </c>
      <c r="J3" s="50">
        <v>7</v>
      </c>
      <c r="K3" s="58">
        <f t="shared" ref="K3:K9" si="0">+H3*J3</f>
        <v>3.5</v>
      </c>
      <c r="L3" s="63">
        <v>0</v>
      </c>
      <c r="N3" s="60">
        <v>1</v>
      </c>
      <c r="O3" s="61">
        <v>0.18</v>
      </c>
      <c r="P3" s="62">
        <f>+SUM($O3:O$3)</f>
        <v>0.18</v>
      </c>
      <c r="Q3" s="58">
        <f t="shared" ref="Q3:Q9" si="1">+J3</f>
        <v>7</v>
      </c>
      <c r="R3" s="58">
        <f t="shared" ref="R3:R9" si="2">+O3*Q3</f>
        <v>1.26</v>
      </c>
      <c r="S3" s="63">
        <v>0</v>
      </c>
      <c r="U3" s="60">
        <v>1</v>
      </c>
      <c r="V3" s="61">
        <v>0.1</v>
      </c>
      <c r="W3" s="62">
        <f>+SUM($V3:V$3)</f>
        <v>0.1</v>
      </c>
      <c r="X3" s="58">
        <f t="shared" ref="X3:X9" si="3">+J3</f>
        <v>7</v>
      </c>
      <c r="Y3" s="58">
        <f t="shared" ref="Y3:Y9" si="4">+V3*X3</f>
        <v>0.70000000000000007</v>
      </c>
      <c r="Z3" s="63">
        <v>0</v>
      </c>
      <c r="AB3" s="60">
        <v>1</v>
      </c>
      <c r="AC3" s="61">
        <v>0</v>
      </c>
      <c r="AD3" s="62">
        <f>+SUM($AC$3:AC3)</f>
        <v>0</v>
      </c>
      <c r="AE3" s="58">
        <f t="shared" ref="AE3:AE9" si="5">+J3</f>
        <v>7</v>
      </c>
      <c r="AF3" s="58">
        <f t="shared" ref="AF3:AF9" si="6">+AC3*AE3</f>
        <v>0</v>
      </c>
      <c r="AG3" s="63">
        <v>0</v>
      </c>
      <c r="AI3" s="60">
        <v>1</v>
      </c>
      <c r="AJ3" s="61">
        <v>0</v>
      </c>
      <c r="AK3" s="62">
        <f>+SUM(AJ3:$AJ3)</f>
        <v>0</v>
      </c>
      <c r="AL3" s="58">
        <f t="shared" ref="AL3:AL9" si="7">+Q3</f>
        <v>7</v>
      </c>
      <c r="AM3" s="58">
        <f t="shared" ref="AM3:AM9" si="8">+AJ3*AL3</f>
        <v>0</v>
      </c>
      <c r="AN3" s="63">
        <v>0</v>
      </c>
      <c r="AP3" s="60">
        <v>1</v>
      </c>
      <c r="AQ3" s="61">
        <v>0.3</v>
      </c>
      <c r="AR3" s="62">
        <f>+SUM($AQ$3:AQ3)</f>
        <v>0.3</v>
      </c>
      <c r="AS3" s="58">
        <f t="shared" ref="AS3:AS9" si="9">+X3</f>
        <v>7</v>
      </c>
      <c r="AT3" s="58">
        <f>+AQ3*AS3</f>
        <v>2.1</v>
      </c>
      <c r="AU3" s="63">
        <v>0</v>
      </c>
      <c r="AW3" s="60">
        <v>1</v>
      </c>
      <c r="AX3" s="61">
        <v>0</v>
      </c>
      <c r="AY3" s="62">
        <f>+SUM($AX$3:AX3)</f>
        <v>0</v>
      </c>
      <c r="AZ3" s="58">
        <f t="shared" ref="AZ3:AZ9" si="10">+AE3</f>
        <v>7</v>
      </c>
      <c r="BA3" s="58">
        <f t="shared" ref="BA3:BA9" si="11">+AX3*AZ3</f>
        <v>0</v>
      </c>
      <c r="BB3" s="63">
        <v>0</v>
      </c>
      <c r="BD3" s="60">
        <v>1</v>
      </c>
      <c r="BE3" s="61">
        <v>0.06</v>
      </c>
      <c r="BF3" s="62">
        <f>+SUM($BE$3:BE3)</f>
        <v>0.06</v>
      </c>
      <c r="BG3" s="58">
        <f t="shared" ref="BG3:BG9" si="12">+AL3</f>
        <v>7</v>
      </c>
      <c r="BH3" s="58">
        <f t="shared" ref="BH3:BH9" si="13">+BE3*BG3</f>
        <v>0.42</v>
      </c>
      <c r="BI3" s="63">
        <v>0</v>
      </c>
      <c r="BK3" s="60">
        <v>1</v>
      </c>
      <c r="BL3" s="61">
        <v>0.06</v>
      </c>
      <c r="BM3" s="62">
        <f>+SUM($BL$3:BL3)</f>
        <v>0.06</v>
      </c>
      <c r="BN3" s="58">
        <f t="shared" ref="BN3:BN9" si="14">+AS3</f>
        <v>7</v>
      </c>
      <c r="BO3" s="58">
        <f t="shared" ref="BO3:BO9" si="15">+BL3*BN3</f>
        <v>0.42</v>
      </c>
      <c r="BP3" s="63">
        <v>0</v>
      </c>
      <c r="BR3" s="60">
        <v>1</v>
      </c>
      <c r="BS3" s="61">
        <v>0.09</v>
      </c>
      <c r="BT3" s="62">
        <f>+SUM($BS$3:BS3)</f>
        <v>0.09</v>
      </c>
      <c r="BU3" s="58">
        <f t="shared" ref="BU3:BU9" si="16">+AZ3</f>
        <v>7</v>
      </c>
      <c r="BV3" s="58">
        <f t="shared" ref="BV3:BV9" si="17">+BS3*BU3</f>
        <v>0.63</v>
      </c>
      <c r="BW3" s="63">
        <v>0</v>
      </c>
      <c r="BY3" s="60">
        <v>1</v>
      </c>
      <c r="BZ3" s="61">
        <v>0.35</v>
      </c>
      <c r="CA3" s="62">
        <f>+SUM($BZ$3:BZ3)</f>
        <v>0.35</v>
      </c>
      <c r="CB3" s="58">
        <f t="shared" ref="CB3:CB9" si="18">+BG3</f>
        <v>7</v>
      </c>
      <c r="CC3" s="58">
        <f t="shared" ref="CC3:CC9" si="19">+BZ3*CB3</f>
        <v>2.4499999999999997</v>
      </c>
      <c r="CD3" s="63">
        <v>0</v>
      </c>
      <c r="CF3" s="60">
        <v>1</v>
      </c>
      <c r="CG3" s="61">
        <v>0</v>
      </c>
      <c r="CH3" s="62">
        <f>+SUM($CG$3:CG3)</f>
        <v>0</v>
      </c>
      <c r="CI3" s="58">
        <f t="shared" ref="CI3:CI9" si="20">+BG3</f>
        <v>7</v>
      </c>
      <c r="CJ3" s="58">
        <f t="shared" ref="CJ3:CJ9" si="21">+CG3*CI3</f>
        <v>0</v>
      </c>
      <c r="CK3" s="63">
        <v>0</v>
      </c>
      <c r="CM3" s="60">
        <v>1</v>
      </c>
      <c r="CN3" s="61">
        <f>+H3</f>
        <v>0.5</v>
      </c>
      <c r="CO3" s="62">
        <f>+SUM($CN$3:CN3)</f>
        <v>0.5</v>
      </c>
      <c r="CP3" s="83">
        <f>+J3</f>
        <v>7</v>
      </c>
      <c r="CQ3" s="58">
        <f t="shared" ref="CQ3" si="22">+CN3*CP3</f>
        <v>3.5</v>
      </c>
      <c r="CR3" s="63">
        <v>0</v>
      </c>
      <c r="CT3" s="60">
        <v>1</v>
      </c>
      <c r="CU3" s="61">
        <f>+H3</f>
        <v>0.5</v>
      </c>
      <c r="CV3" s="62">
        <f>+SUM($CU$3:CU3)</f>
        <v>0.5</v>
      </c>
      <c r="CW3" s="84">
        <f>+J3*2</f>
        <v>14</v>
      </c>
      <c r="CX3" s="58">
        <f t="shared" ref="CX3" si="23">+CU3*CW3</f>
        <v>7</v>
      </c>
      <c r="CY3" s="63">
        <v>0</v>
      </c>
      <c r="DA3" s="60">
        <v>1</v>
      </c>
      <c r="DB3" s="61">
        <v>0</v>
      </c>
      <c r="DC3" s="62">
        <f>+SUM($DB$3:DB3)</f>
        <v>0</v>
      </c>
      <c r="DD3" s="83">
        <f>+J3</f>
        <v>7</v>
      </c>
      <c r="DE3" s="58">
        <f t="shared" ref="DE3" si="24">+DB3*DD3</f>
        <v>0</v>
      </c>
      <c r="DF3" s="63">
        <v>0</v>
      </c>
    </row>
    <row r="4" spans="1:110" x14ac:dyDescent="0.25">
      <c r="A4" s="3" t="s">
        <v>114</v>
      </c>
      <c r="B4" s="58">
        <f>+E4/D4</f>
        <v>0.1999200319872052</v>
      </c>
      <c r="C4" s="3">
        <v>0</v>
      </c>
      <c r="D4" s="64">
        <f>+R10</f>
        <v>25.009999999999991</v>
      </c>
      <c r="E4" s="3">
        <v>5</v>
      </c>
      <c r="G4" s="60">
        <v>2</v>
      </c>
      <c r="H4" s="61">
        <v>0.32</v>
      </c>
      <c r="I4" s="62">
        <f>+SUM($H$3:H4)</f>
        <v>0.82000000000000006</v>
      </c>
      <c r="J4" s="50">
        <v>10</v>
      </c>
      <c r="K4" s="58">
        <f t="shared" si="0"/>
        <v>3.2</v>
      </c>
      <c r="L4" s="63">
        <v>0</v>
      </c>
      <c r="N4" s="60">
        <v>2</v>
      </c>
      <c r="O4" s="61">
        <v>0.2</v>
      </c>
      <c r="P4" s="62">
        <f>+SUM($O$3:O4)</f>
        <v>0.38</v>
      </c>
      <c r="Q4" s="58">
        <f t="shared" si="1"/>
        <v>10</v>
      </c>
      <c r="R4" s="58">
        <f t="shared" si="2"/>
        <v>2</v>
      </c>
      <c r="S4" s="63">
        <v>0</v>
      </c>
      <c r="U4" s="60">
        <v>2</v>
      </c>
      <c r="V4" s="61">
        <v>0.25</v>
      </c>
      <c r="W4" s="62">
        <f>+SUM($V$3:V4)</f>
        <v>0.35</v>
      </c>
      <c r="X4" s="58">
        <f t="shared" si="3"/>
        <v>10</v>
      </c>
      <c r="Y4" s="58">
        <f t="shared" si="4"/>
        <v>2.5</v>
      </c>
      <c r="Z4" s="63">
        <v>0</v>
      </c>
      <c r="AB4" s="60">
        <v>2</v>
      </c>
      <c r="AC4" s="61">
        <v>0</v>
      </c>
      <c r="AD4" s="62">
        <f>+SUM($AC$3:AC4)</f>
        <v>0</v>
      </c>
      <c r="AE4" s="58">
        <f t="shared" si="5"/>
        <v>10</v>
      </c>
      <c r="AF4" s="58">
        <f t="shared" si="6"/>
        <v>0</v>
      </c>
      <c r="AG4" s="63">
        <v>0</v>
      </c>
      <c r="AI4" s="60">
        <v>2</v>
      </c>
      <c r="AJ4" s="61">
        <v>0</v>
      </c>
      <c r="AK4" s="62">
        <f>+SUM($AJ$3:AJ4)</f>
        <v>0</v>
      </c>
      <c r="AL4" s="58">
        <f t="shared" si="7"/>
        <v>10</v>
      </c>
      <c r="AM4" s="58">
        <f t="shared" si="8"/>
        <v>0</v>
      </c>
      <c r="AN4" s="63">
        <v>0</v>
      </c>
      <c r="AP4" s="60">
        <v>2</v>
      </c>
      <c r="AQ4" s="61">
        <v>0.2</v>
      </c>
      <c r="AR4" s="62">
        <f>+SUM($AQ$3:AQ4)</f>
        <v>0.5</v>
      </c>
      <c r="AS4" s="58">
        <f t="shared" si="9"/>
        <v>10</v>
      </c>
      <c r="AT4" s="58">
        <f t="shared" ref="AT4:AT9" si="25">+AQ4*AS4</f>
        <v>2</v>
      </c>
      <c r="AU4" s="63">
        <v>0</v>
      </c>
      <c r="AW4" s="60">
        <v>2</v>
      </c>
      <c r="AX4" s="61">
        <v>0.04</v>
      </c>
      <c r="AY4" s="62">
        <f>+SUM($AX$3:AX4)</f>
        <v>0.04</v>
      </c>
      <c r="AZ4" s="58">
        <f t="shared" si="10"/>
        <v>10</v>
      </c>
      <c r="BA4" s="58">
        <f t="shared" si="11"/>
        <v>0.4</v>
      </c>
      <c r="BB4" s="63">
        <v>0</v>
      </c>
      <c r="BD4" s="60">
        <v>2</v>
      </c>
      <c r="BE4" s="61">
        <v>0.1</v>
      </c>
      <c r="BF4" s="62">
        <f>+SUM($BE$3:BE4)</f>
        <v>0.16</v>
      </c>
      <c r="BG4" s="58">
        <f t="shared" si="12"/>
        <v>10</v>
      </c>
      <c r="BH4" s="58">
        <f t="shared" si="13"/>
        <v>1</v>
      </c>
      <c r="BI4" s="63">
        <v>0</v>
      </c>
      <c r="BK4" s="60">
        <v>2</v>
      </c>
      <c r="BL4" s="61">
        <v>0.1</v>
      </c>
      <c r="BM4" s="62">
        <f>+SUM($BL$3:BL4)</f>
        <v>0.16</v>
      </c>
      <c r="BN4" s="58">
        <f t="shared" si="14"/>
        <v>10</v>
      </c>
      <c r="BO4" s="58">
        <f t="shared" si="15"/>
        <v>1</v>
      </c>
      <c r="BP4" s="63">
        <v>0</v>
      </c>
      <c r="BR4" s="60">
        <v>2</v>
      </c>
      <c r="BS4" s="61">
        <v>0.1</v>
      </c>
      <c r="BT4" s="62">
        <f>+SUM($BS$3:BS4)</f>
        <v>0.19</v>
      </c>
      <c r="BU4" s="58">
        <f t="shared" si="16"/>
        <v>10</v>
      </c>
      <c r="BV4" s="58">
        <f t="shared" si="17"/>
        <v>1</v>
      </c>
      <c r="BW4" s="63">
        <v>0</v>
      </c>
      <c r="BY4" s="60">
        <v>2</v>
      </c>
      <c r="BZ4" s="61">
        <v>0.3</v>
      </c>
      <c r="CA4" s="62">
        <f>+SUM($BZ$3:BZ4)</f>
        <v>0.64999999999999991</v>
      </c>
      <c r="CB4" s="58">
        <f t="shared" si="18"/>
        <v>10</v>
      </c>
      <c r="CC4" s="58">
        <f t="shared" si="19"/>
        <v>3</v>
      </c>
      <c r="CD4" s="63">
        <v>0</v>
      </c>
      <c r="CF4" s="60">
        <v>2</v>
      </c>
      <c r="CG4" s="61">
        <v>0</v>
      </c>
      <c r="CH4" s="62">
        <f>+SUM($CG$3:CG4)</f>
        <v>0</v>
      </c>
      <c r="CI4" s="58">
        <f t="shared" si="20"/>
        <v>10</v>
      </c>
      <c r="CJ4" s="58">
        <f t="shared" si="21"/>
        <v>0</v>
      </c>
      <c r="CK4" s="63">
        <v>0</v>
      </c>
      <c r="CM4" s="60">
        <v>2</v>
      </c>
      <c r="CN4" s="61">
        <f t="shared" ref="CN4:CN8" si="26">+H4</f>
        <v>0.32</v>
      </c>
      <c r="CO4" s="62">
        <f>+SUM($CN$3:CN4)</f>
        <v>0.82000000000000006</v>
      </c>
      <c r="CP4" s="83">
        <f t="shared" ref="CP4:CP9" si="27">+J4</f>
        <v>10</v>
      </c>
      <c r="CQ4" s="58">
        <f>+CN4*CP4</f>
        <v>3.2</v>
      </c>
      <c r="CR4" s="63">
        <v>0</v>
      </c>
      <c r="CT4" s="60">
        <v>2</v>
      </c>
      <c r="CU4" s="61">
        <f t="shared" ref="CU4:CU8" si="28">+H4</f>
        <v>0.32</v>
      </c>
      <c r="CV4" s="62">
        <f>+SUM($CU$3:CU4)</f>
        <v>0.82000000000000006</v>
      </c>
      <c r="CW4" s="84">
        <f t="shared" ref="CW4:CW9" si="29">+J4*2</f>
        <v>20</v>
      </c>
      <c r="CX4" s="58">
        <f>+CU4*CW4</f>
        <v>6.4</v>
      </c>
      <c r="CY4" s="63">
        <v>0</v>
      </c>
      <c r="DA4" s="60">
        <v>2</v>
      </c>
      <c r="DB4" s="61">
        <v>0</v>
      </c>
      <c r="DC4" s="62">
        <f>+SUM($DB$3:DB4)</f>
        <v>0</v>
      </c>
      <c r="DD4" s="83">
        <f t="shared" ref="DD4:DD9" si="30">+J4</f>
        <v>10</v>
      </c>
      <c r="DE4" s="58">
        <f>+DB4*DD4</f>
        <v>0</v>
      </c>
      <c r="DF4" s="63">
        <v>0</v>
      </c>
    </row>
    <row r="5" spans="1:110" x14ac:dyDescent="0.25">
      <c r="A5" s="3" t="s">
        <v>115</v>
      </c>
      <c r="B5" s="58">
        <f>+E5/D5</f>
        <v>0.26272577996715923</v>
      </c>
      <c r="C5" s="3">
        <v>0</v>
      </c>
      <c r="D5" s="64">
        <f>+Y10</f>
        <v>30.450000000000006</v>
      </c>
      <c r="E5" s="3">
        <v>8</v>
      </c>
      <c r="G5" s="60">
        <v>3</v>
      </c>
      <c r="H5" s="61">
        <v>0.105</v>
      </c>
      <c r="I5" s="62">
        <f>+SUM($H$3:H5)</f>
        <v>0.92500000000000004</v>
      </c>
      <c r="J5" s="50">
        <v>15</v>
      </c>
      <c r="K5" s="58">
        <f t="shared" si="0"/>
        <v>1.575</v>
      </c>
      <c r="L5" s="63">
        <v>0</v>
      </c>
      <c r="N5" s="60">
        <v>3</v>
      </c>
      <c r="O5" s="61">
        <v>0.2</v>
      </c>
      <c r="P5" s="62">
        <f>+SUM($O$3:O5)</f>
        <v>0.58000000000000007</v>
      </c>
      <c r="Q5" s="58">
        <f t="shared" si="1"/>
        <v>15</v>
      </c>
      <c r="R5" s="58">
        <f t="shared" si="2"/>
        <v>3</v>
      </c>
      <c r="S5" s="63">
        <v>0</v>
      </c>
      <c r="U5" s="60">
        <v>3</v>
      </c>
      <c r="V5" s="61">
        <v>0.22</v>
      </c>
      <c r="W5" s="62">
        <f>+SUM($V$3:V5)</f>
        <v>0.56999999999999995</v>
      </c>
      <c r="X5" s="58">
        <f t="shared" si="3"/>
        <v>15</v>
      </c>
      <c r="Y5" s="58">
        <f t="shared" si="4"/>
        <v>3.3</v>
      </c>
      <c r="Z5" s="63">
        <v>0</v>
      </c>
      <c r="AB5" s="60">
        <v>3</v>
      </c>
      <c r="AC5" s="61">
        <v>0.15</v>
      </c>
      <c r="AD5" s="62">
        <f>+SUM($AC$3:AC5)</f>
        <v>0.15</v>
      </c>
      <c r="AE5" s="58">
        <f t="shared" si="5"/>
        <v>15</v>
      </c>
      <c r="AF5" s="58">
        <f t="shared" si="6"/>
        <v>2.25</v>
      </c>
      <c r="AG5" s="63">
        <v>0</v>
      </c>
      <c r="AI5" s="60">
        <v>3</v>
      </c>
      <c r="AJ5" s="61">
        <v>0</v>
      </c>
      <c r="AK5" s="62">
        <f>+SUM($AJ$3:AJ5)</f>
        <v>0</v>
      </c>
      <c r="AL5" s="58">
        <f t="shared" si="7"/>
        <v>15</v>
      </c>
      <c r="AM5" s="58">
        <f t="shared" si="8"/>
        <v>0</v>
      </c>
      <c r="AN5" s="63">
        <v>0</v>
      </c>
      <c r="AP5" s="60">
        <v>3</v>
      </c>
      <c r="AQ5" s="61">
        <v>0.25</v>
      </c>
      <c r="AR5" s="62">
        <f>+SUM($AQ$3:AQ5)</f>
        <v>0.75</v>
      </c>
      <c r="AS5" s="58">
        <f t="shared" si="9"/>
        <v>15</v>
      </c>
      <c r="AT5" s="58">
        <f t="shared" si="25"/>
        <v>3.75</v>
      </c>
      <c r="AU5" s="63">
        <v>0</v>
      </c>
      <c r="AW5" s="60">
        <v>3</v>
      </c>
      <c r="AX5" s="61">
        <v>0.12</v>
      </c>
      <c r="AY5" s="62">
        <f>+SUM($AX$3:AX5)</f>
        <v>0.16</v>
      </c>
      <c r="AZ5" s="58">
        <f t="shared" si="10"/>
        <v>15</v>
      </c>
      <c r="BA5" s="58">
        <f t="shared" si="11"/>
        <v>1.7999999999999998</v>
      </c>
      <c r="BB5" s="63">
        <v>0</v>
      </c>
      <c r="BD5" s="60">
        <v>3</v>
      </c>
      <c r="BE5" s="61">
        <v>0.2</v>
      </c>
      <c r="BF5" s="62">
        <f>+SUM($BE$3:BE5)</f>
        <v>0.36</v>
      </c>
      <c r="BG5" s="58">
        <f t="shared" si="12"/>
        <v>15</v>
      </c>
      <c r="BH5" s="58">
        <f t="shared" si="13"/>
        <v>3</v>
      </c>
      <c r="BI5" s="63">
        <v>0</v>
      </c>
      <c r="BK5" s="60">
        <v>3</v>
      </c>
      <c r="BL5" s="61">
        <v>0.14000000000000001</v>
      </c>
      <c r="BM5" s="62">
        <f>+SUM($BL$3:BL5)</f>
        <v>0.30000000000000004</v>
      </c>
      <c r="BN5" s="58">
        <f t="shared" si="14"/>
        <v>15</v>
      </c>
      <c r="BO5" s="58">
        <f t="shared" si="15"/>
        <v>2.1</v>
      </c>
      <c r="BP5" s="63">
        <v>0</v>
      </c>
      <c r="BR5" s="60">
        <v>3</v>
      </c>
      <c r="BS5" s="61">
        <v>0.2</v>
      </c>
      <c r="BT5" s="62">
        <f>+SUM($BS$3:BS5)</f>
        <v>0.39</v>
      </c>
      <c r="BU5" s="58">
        <f t="shared" si="16"/>
        <v>15</v>
      </c>
      <c r="BV5" s="58">
        <f t="shared" si="17"/>
        <v>3</v>
      </c>
      <c r="BW5" s="63">
        <v>0</v>
      </c>
      <c r="BY5" s="60">
        <v>3</v>
      </c>
      <c r="BZ5" s="61">
        <v>0.2</v>
      </c>
      <c r="CA5" s="62">
        <f>+SUM($BZ$3:BZ5)</f>
        <v>0.84999999999999987</v>
      </c>
      <c r="CB5" s="58">
        <f t="shared" si="18"/>
        <v>15</v>
      </c>
      <c r="CC5" s="58">
        <f t="shared" si="19"/>
        <v>3</v>
      </c>
      <c r="CD5" s="63">
        <v>0</v>
      </c>
      <c r="CF5" s="60">
        <v>3</v>
      </c>
      <c r="CG5" s="61">
        <v>0</v>
      </c>
      <c r="CH5" s="62">
        <f>+SUM($CG$3:CG5)</f>
        <v>0</v>
      </c>
      <c r="CI5" s="58">
        <f t="shared" si="20"/>
        <v>15</v>
      </c>
      <c r="CJ5" s="58">
        <f t="shared" si="21"/>
        <v>0</v>
      </c>
      <c r="CK5" s="63">
        <v>0</v>
      </c>
      <c r="CM5" s="60">
        <v>3</v>
      </c>
      <c r="CN5" s="61">
        <f t="shared" si="26"/>
        <v>0.105</v>
      </c>
      <c r="CO5" s="62">
        <f>+SUM($CN$3:CN5)</f>
        <v>0.92500000000000004</v>
      </c>
      <c r="CP5" s="83">
        <f t="shared" si="27"/>
        <v>15</v>
      </c>
      <c r="CQ5" s="58">
        <f t="shared" ref="CQ5:CQ9" si="31">+CN5*CP5</f>
        <v>1.575</v>
      </c>
      <c r="CR5" s="63">
        <v>0</v>
      </c>
      <c r="CT5" s="60">
        <v>3</v>
      </c>
      <c r="CU5" s="61">
        <f t="shared" si="28"/>
        <v>0.105</v>
      </c>
      <c r="CV5" s="62">
        <f>+SUM($CU$3:CU5)</f>
        <v>0.92500000000000004</v>
      </c>
      <c r="CW5" s="84">
        <f t="shared" si="29"/>
        <v>30</v>
      </c>
      <c r="CX5" s="58">
        <f t="shared" ref="CX5:CX9" si="32">+CU5*CW5</f>
        <v>3.15</v>
      </c>
      <c r="CY5" s="63">
        <v>0</v>
      </c>
      <c r="DA5" s="60">
        <v>3</v>
      </c>
      <c r="DB5" s="61">
        <v>0</v>
      </c>
      <c r="DC5" s="62">
        <f>+SUM($DB$3:DB5)</f>
        <v>0</v>
      </c>
      <c r="DD5" s="83">
        <f t="shared" si="30"/>
        <v>15</v>
      </c>
      <c r="DE5" s="58">
        <f t="shared" ref="DE5:DE9" si="33">+DB5*DD5</f>
        <v>0</v>
      </c>
      <c r="DF5" s="63">
        <v>0</v>
      </c>
    </row>
    <row r="6" spans="1:110" x14ac:dyDescent="0.25">
      <c r="A6" s="80" t="s">
        <v>116</v>
      </c>
      <c r="B6" s="75">
        <f>+E6/D6</f>
        <v>0.29197080291970801</v>
      </c>
      <c r="C6" s="3">
        <v>0</v>
      </c>
      <c r="D6" s="64">
        <f>+AF10</f>
        <v>34.25</v>
      </c>
      <c r="E6" s="3">
        <v>10</v>
      </c>
      <c r="G6" s="60">
        <v>4</v>
      </c>
      <c r="H6" s="61">
        <v>7.0000000000000007E-2</v>
      </c>
      <c r="I6" s="62">
        <f>+SUM($H$3:H6)</f>
        <v>0.99500000000000011</v>
      </c>
      <c r="J6" s="50">
        <v>20</v>
      </c>
      <c r="K6" s="58">
        <f t="shared" si="0"/>
        <v>1.4000000000000001</v>
      </c>
      <c r="L6" s="63">
        <v>0</v>
      </c>
      <c r="N6" s="60">
        <v>4</v>
      </c>
      <c r="O6" s="61">
        <v>0.25</v>
      </c>
      <c r="P6" s="62">
        <f>+SUM($O$3:O6)</f>
        <v>0.83000000000000007</v>
      </c>
      <c r="Q6" s="58">
        <f t="shared" si="1"/>
        <v>20</v>
      </c>
      <c r="R6" s="58">
        <f t="shared" si="2"/>
        <v>5</v>
      </c>
      <c r="S6" s="63">
        <v>0</v>
      </c>
      <c r="U6" s="60">
        <v>4</v>
      </c>
      <c r="V6" s="61">
        <v>0.15</v>
      </c>
      <c r="W6" s="62">
        <f>+SUM($V$3:V6)</f>
        <v>0.72</v>
      </c>
      <c r="X6" s="58">
        <f t="shared" si="3"/>
        <v>20</v>
      </c>
      <c r="Y6" s="58">
        <f t="shared" si="4"/>
        <v>3</v>
      </c>
      <c r="Z6" s="63">
        <v>0</v>
      </c>
      <c r="AB6" s="60">
        <v>4</v>
      </c>
      <c r="AC6" s="61">
        <v>0.35</v>
      </c>
      <c r="AD6" s="62">
        <f>+SUM($AC$3:AC6)</f>
        <v>0.5</v>
      </c>
      <c r="AE6" s="58">
        <f t="shared" si="5"/>
        <v>20</v>
      </c>
      <c r="AF6" s="58">
        <f t="shared" si="6"/>
        <v>7</v>
      </c>
      <c r="AG6" s="63">
        <v>0</v>
      </c>
      <c r="AI6" s="60">
        <v>4</v>
      </c>
      <c r="AJ6" s="61">
        <v>0</v>
      </c>
      <c r="AK6" s="62">
        <f>+SUM($AJ$3:AJ6)</f>
        <v>0</v>
      </c>
      <c r="AL6" s="58">
        <f t="shared" si="7"/>
        <v>20</v>
      </c>
      <c r="AM6" s="58">
        <f t="shared" si="8"/>
        <v>0</v>
      </c>
      <c r="AN6" s="63">
        <v>0</v>
      </c>
      <c r="AP6" s="60">
        <v>4</v>
      </c>
      <c r="AQ6" s="61">
        <f>1-SUM(AQ3:AQ5)</f>
        <v>0.25</v>
      </c>
      <c r="AR6" s="62">
        <f>+SUM($AQ$3:AQ6)</f>
        <v>1</v>
      </c>
      <c r="AS6" s="58">
        <f t="shared" si="9"/>
        <v>20</v>
      </c>
      <c r="AT6" s="58">
        <f t="shared" si="25"/>
        <v>5</v>
      </c>
      <c r="AU6" s="63">
        <v>0</v>
      </c>
      <c r="AW6" s="60">
        <v>4</v>
      </c>
      <c r="AX6" s="61">
        <v>0.35</v>
      </c>
      <c r="AY6" s="62">
        <f>+SUM($AX$3:AX6)</f>
        <v>0.51</v>
      </c>
      <c r="AZ6" s="58">
        <f t="shared" si="10"/>
        <v>20</v>
      </c>
      <c r="BA6" s="58">
        <f t="shared" si="11"/>
        <v>7</v>
      </c>
      <c r="BB6" s="63">
        <v>0</v>
      </c>
      <c r="BD6" s="60">
        <v>4</v>
      </c>
      <c r="BE6" s="61">
        <v>0.2</v>
      </c>
      <c r="BF6" s="62">
        <f>+SUM($BE$3:BE6)</f>
        <v>0.56000000000000005</v>
      </c>
      <c r="BG6" s="58">
        <f t="shared" si="12"/>
        <v>20</v>
      </c>
      <c r="BH6" s="58">
        <f t="shared" si="13"/>
        <v>4</v>
      </c>
      <c r="BI6" s="63">
        <v>0</v>
      </c>
      <c r="BK6" s="60">
        <v>4</v>
      </c>
      <c r="BL6" s="61">
        <v>0.31</v>
      </c>
      <c r="BM6" s="62">
        <f>+SUM($BL$3:BL6)</f>
        <v>0.6100000000000001</v>
      </c>
      <c r="BN6" s="58">
        <f t="shared" si="14"/>
        <v>20</v>
      </c>
      <c r="BO6" s="58">
        <f t="shared" si="15"/>
        <v>6.2</v>
      </c>
      <c r="BP6" s="63">
        <v>0</v>
      </c>
      <c r="BR6" s="60">
        <v>4</v>
      </c>
      <c r="BS6" s="61">
        <v>0.25</v>
      </c>
      <c r="BT6" s="62">
        <f>+SUM($BS$3:BS6)</f>
        <v>0.64</v>
      </c>
      <c r="BU6" s="58">
        <f t="shared" si="16"/>
        <v>20</v>
      </c>
      <c r="BV6" s="58">
        <f t="shared" si="17"/>
        <v>5</v>
      </c>
      <c r="BW6" s="63">
        <v>0</v>
      </c>
      <c r="BY6" s="60">
        <v>4</v>
      </c>
      <c r="BZ6" s="61">
        <v>0.1</v>
      </c>
      <c r="CA6" s="62">
        <f>+SUM($BZ$3:BZ6)</f>
        <v>0.94999999999999984</v>
      </c>
      <c r="CB6" s="58">
        <f t="shared" si="18"/>
        <v>20</v>
      </c>
      <c r="CC6" s="58">
        <f t="shared" si="19"/>
        <v>2</v>
      </c>
      <c r="CD6" s="63">
        <v>0</v>
      </c>
      <c r="CF6" s="60">
        <v>4</v>
      </c>
      <c r="CG6" s="61">
        <v>0</v>
      </c>
      <c r="CH6" s="62">
        <f>+SUM($CG$3:CG6)</f>
        <v>0</v>
      </c>
      <c r="CI6" s="58">
        <f t="shared" si="20"/>
        <v>20</v>
      </c>
      <c r="CJ6" s="58">
        <f t="shared" si="21"/>
        <v>0</v>
      </c>
      <c r="CK6" s="63">
        <v>0</v>
      </c>
      <c r="CM6" s="60">
        <v>4</v>
      </c>
      <c r="CN6" s="61">
        <f t="shared" si="26"/>
        <v>7.0000000000000007E-2</v>
      </c>
      <c r="CO6" s="62">
        <f>+SUM($CN$3:CN6)</f>
        <v>0.99500000000000011</v>
      </c>
      <c r="CP6" s="83">
        <f t="shared" si="27"/>
        <v>20</v>
      </c>
      <c r="CQ6" s="58">
        <f t="shared" si="31"/>
        <v>1.4000000000000001</v>
      </c>
      <c r="CR6" s="63">
        <v>0</v>
      </c>
      <c r="CT6" s="60">
        <v>4</v>
      </c>
      <c r="CU6" s="61">
        <f t="shared" si="28"/>
        <v>7.0000000000000007E-2</v>
      </c>
      <c r="CV6" s="62">
        <f>+SUM($CU$3:CU6)</f>
        <v>0.99500000000000011</v>
      </c>
      <c r="CW6" s="84">
        <f t="shared" si="29"/>
        <v>40</v>
      </c>
      <c r="CX6" s="58">
        <f t="shared" si="32"/>
        <v>2.8000000000000003</v>
      </c>
      <c r="CY6" s="63">
        <v>0</v>
      </c>
      <c r="DA6" s="60">
        <v>4</v>
      </c>
      <c r="DB6" s="61">
        <v>0.16</v>
      </c>
      <c r="DC6" s="62">
        <f>+SUM($DB$3:DB6)</f>
        <v>0.16</v>
      </c>
      <c r="DD6" s="83">
        <f t="shared" si="30"/>
        <v>20</v>
      </c>
      <c r="DE6" s="58">
        <f t="shared" si="33"/>
        <v>3.2</v>
      </c>
      <c r="DF6" s="63">
        <v>0</v>
      </c>
    </row>
    <row r="7" spans="1:110" x14ac:dyDescent="0.25">
      <c r="A7" s="75" t="s">
        <v>133</v>
      </c>
      <c r="B7" s="75">
        <f t="shared" ref="B7:B13" si="34">+E7/D7</f>
        <v>0.29197080291970801</v>
      </c>
      <c r="C7" s="3">
        <v>0</v>
      </c>
      <c r="D7" s="64">
        <f>+AM10</f>
        <v>68.5</v>
      </c>
      <c r="E7" s="3">
        <v>20</v>
      </c>
      <c r="G7" s="60">
        <v>5</v>
      </c>
      <c r="H7" s="61">
        <v>3.0000000000000001E-3</v>
      </c>
      <c r="I7" s="62">
        <f>+SUM($H$3:H7)</f>
        <v>0.99800000000000011</v>
      </c>
      <c r="J7" s="50">
        <v>40</v>
      </c>
      <c r="K7" s="58">
        <f t="shared" si="0"/>
        <v>0.12</v>
      </c>
      <c r="L7" s="63">
        <v>0</v>
      </c>
      <c r="N7" s="60">
        <v>5</v>
      </c>
      <c r="O7" s="61">
        <v>0.1</v>
      </c>
      <c r="P7" s="62">
        <f>+SUM($O$3:O7)</f>
        <v>0.93</v>
      </c>
      <c r="Q7" s="58">
        <f t="shared" si="1"/>
        <v>40</v>
      </c>
      <c r="R7" s="58">
        <f t="shared" si="2"/>
        <v>4</v>
      </c>
      <c r="S7" s="63">
        <v>0</v>
      </c>
      <c r="U7" s="60">
        <v>5</v>
      </c>
      <c r="V7" s="61">
        <v>0.13</v>
      </c>
      <c r="W7" s="62">
        <f>+SUM($V$3:V7)</f>
        <v>0.85</v>
      </c>
      <c r="X7" s="58">
        <f t="shared" si="3"/>
        <v>40</v>
      </c>
      <c r="Y7" s="58">
        <f t="shared" si="4"/>
        <v>5.2</v>
      </c>
      <c r="Z7" s="63">
        <v>0</v>
      </c>
      <c r="AB7" s="60">
        <v>5</v>
      </c>
      <c r="AC7" s="61">
        <v>0.4</v>
      </c>
      <c r="AD7" s="62">
        <f>+SUM($AC$3:AC7)</f>
        <v>0.9</v>
      </c>
      <c r="AE7" s="58">
        <f t="shared" si="5"/>
        <v>40</v>
      </c>
      <c r="AF7" s="58">
        <f t="shared" si="6"/>
        <v>16</v>
      </c>
      <c r="AG7" s="63">
        <v>0</v>
      </c>
      <c r="AI7" s="60">
        <v>5</v>
      </c>
      <c r="AJ7" s="61">
        <v>0.4</v>
      </c>
      <c r="AK7" s="62">
        <f>+SUM($AJ$3:AJ7)</f>
        <v>0.4</v>
      </c>
      <c r="AL7" s="58">
        <f t="shared" si="7"/>
        <v>40</v>
      </c>
      <c r="AM7" s="58">
        <f t="shared" si="8"/>
        <v>16</v>
      </c>
      <c r="AN7" s="63">
        <v>0</v>
      </c>
      <c r="AP7" s="60">
        <v>5</v>
      </c>
      <c r="AQ7" s="61">
        <v>0</v>
      </c>
      <c r="AR7" s="62">
        <f>+SUM($AQ$3:AQ7)</f>
        <v>1</v>
      </c>
      <c r="AS7" s="58">
        <f t="shared" si="9"/>
        <v>40</v>
      </c>
      <c r="AT7" s="58">
        <f t="shared" si="25"/>
        <v>0</v>
      </c>
      <c r="AU7" s="63">
        <v>0</v>
      </c>
      <c r="AW7" s="60">
        <v>5</v>
      </c>
      <c r="AX7" s="61">
        <v>0.38</v>
      </c>
      <c r="AY7" s="62">
        <f>+SUM($AX$3:AX7)</f>
        <v>0.89</v>
      </c>
      <c r="AZ7" s="58">
        <f t="shared" si="10"/>
        <v>40</v>
      </c>
      <c r="BA7" s="58">
        <f t="shared" si="11"/>
        <v>15.2</v>
      </c>
      <c r="BB7" s="63">
        <v>0</v>
      </c>
      <c r="BD7" s="60">
        <v>5</v>
      </c>
      <c r="BE7" s="61">
        <v>0.21</v>
      </c>
      <c r="BF7" s="62">
        <f>+SUM($BE$3:BE7)</f>
        <v>0.77</v>
      </c>
      <c r="BG7" s="58">
        <f t="shared" si="12"/>
        <v>40</v>
      </c>
      <c r="BH7" s="58">
        <f t="shared" si="13"/>
        <v>8.4</v>
      </c>
      <c r="BI7" s="63">
        <v>0</v>
      </c>
      <c r="BK7" s="60">
        <v>5</v>
      </c>
      <c r="BL7" s="61">
        <v>0.21</v>
      </c>
      <c r="BM7" s="62">
        <f>+SUM($BL$3:BL7)</f>
        <v>0.82000000000000006</v>
      </c>
      <c r="BN7" s="58">
        <f t="shared" si="14"/>
        <v>40</v>
      </c>
      <c r="BO7" s="58">
        <f t="shared" si="15"/>
        <v>8.4</v>
      </c>
      <c r="BP7" s="63">
        <v>0</v>
      </c>
      <c r="BR7" s="60">
        <v>5</v>
      </c>
      <c r="BS7" s="61">
        <v>0.16</v>
      </c>
      <c r="BT7" s="62">
        <f>+SUM($BS$3:BS7)</f>
        <v>0.8</v>
      </c>
      <c r="BU7" s="58">
        <f t="shared" si="16"/>
        <v>40</v>
      </c>
      <c r="BV7" s="58">
        <f t="shared" si="17"/>
        <v>6.4</v>
      </c>
      <c r="BW7" s="63">
        <v>0</v>
      </c>
      <c r="BY7" s="60">
        <v>5</v>
      </c>
      <c r="BZ7" s="61">
        <v>0.02</v>
      </c>
      <c r="CA7" s="62">
        <f>+SUM($BZ$3:BZ7)</f>
        <v>0.96999999999999986</v>
      </c>
      <c r="CB7" s="58">
        <f t="shared" si="18"/>
        <v>40</v>
      </c>
      <c r="CC7" s="58">
        <f t="shared" si="19"/>
        <v>0.8</v>
      </c>
      <c r="CD7" s="63">
        <v>0</v>
      </c>
      <c r="CF7" s="60">
        <v>5</v>
      </c>
      <c r="CG7" s="61">
        <v>0.35</v>
      </c>
      <c r="CH7" s="62">
        <f>+SUM($CG$3:CG7)</f>
        <v>0.35</v>
      </c>
      <c r="CI7" s="58">
        <f t="shared" si="20"/>
        <v>40</v>
      </c>
      <c r="CJ7" s="58">
        <f t="shared" si="21"/>
        <v>14</v>
      </c>
      <c r="CK7" s="63">
        <v>0</v>
      </c>
      <c r="CM7" s="60">
        <v>5</v>
      </c>
      <c r="CN7" s="61">
        <f t="shared" si="26"/>
        <v>3.0000000000000001E-3</v>
      </c>
      <c r="CO7" s="62">
        <f>+SUM($CN$3:CN7)</f>
        <v>0.99800000000000011</v>
      </c>
      <c r="CP7" s="83">
        <f t="shared" si="27"/>
        <v>40</v>
      </c>
      <c r="CQ7" s="58">
        <f t="shared" si="31"/>
        <v>0.12</v>
      </c>
      <c r="CR7" s="63">
        <v>0</v>
      </c>
      <c r="CT7" s="60">
        <v>5</v>
      </c>
      <c r="CU7" s="61">
        <f t="shared" si="28"/>
        <v>3.0000000000000001E-3</v>
      </c>
      <c r="CV7" s="62">
        <f>+SUM($CU$3:CU7)</f>
        <v>0.99800000000000011</v>
      </c>
      <c r="CW7" s="84">
        <f t="shared" si="29"/>
        <v>80</v>
      </c>
      <c r="CX7" s="58">
        <f t="shared" si="32"/>
        <v>0.24</v>
      </c>
      <c r="CY7" s="63">
        <v>0</v>
      </c>
      <c r="DA7" s="60">
        <v>5</v>
      </c>
      <c r="DB7" s="61">
        <v>0.25</v>
      </c>
      <c r="DC7" s="62">
        <f>+SUM($DB$3:DB7)</f>
        <v>0.41000000000000003</v>
      </c>
      <c r="DD7" s="83">
        <f t="shared" si="30"/>
        <v>40</v>
      </c>
      <c r="DE7" s="58">
        <f t="shared" si="33"/>
        <v>10</v>
      </c>
      <c r="DF7" s="63">
        <v>0</v>
      </c>
    </row>
    <row r="8" spans="1:110" x14ac:dyDescent="0.25">
      <c r="A8" s="75" t="s">
        <v>134</v>
      </c>
      <c r="B8" s="75">
        <f>+E8/D8</f>
        <v>0.1556420233463035</v>
      </c>
      <c r="C8" s="3">
        <v>0</v>
      </c>
      <c r="D8" s="64">
        <f>+AT10</f>
        <v>12.85</v>
      </c>
      <c r="E8" s="3">
        <v>2</v>
      </c>
      <c r="G8" s="60">
        <v>6</v>
      </c>
      <c r="H8" s="61">
        <v>1E-3</v>
      </c>
      <c r="I8" s="62">
        <f>+SUM($H$3:H8)</f>
        <v>0.99900000000000011</v>
      </c>
      <c r="J8" s="50">
        <v>75</v>
      </c>
      <c r="K8" s="58">
        <f t="shared" si="0"/>
        <v>7.4999999999999997E-2</v>
      </c>
      <c r="L8" s="63">
        <v>0</v>
      </c>
      <c r="N8" s="60">
        <v>6</v>
      </c>
      <c r="O8" s="61">
        <v>0.01</v>
      </c>
      <c r="P8" s="62">
        <f>+SUM($O$3:O8)</f>
        <v>0.94000000000000006</v>
      </c>
      <c r="Q8" s="58">
        <f t="shared" si="1"/>
        <v>75</v>
      </c>
      <c r="R8" s="58">
        <f t="shared" si="2"/>
        <v>0.75</v>
      </c>
      <c r="S8" s="63">
        <v>0</v>
      </c>
      <c r="U8" s="60">
        <v>6</v>
      </c>
      <c r="V8" s="61">
        <v>0.09</v>
      </c>
      <c r="W8" s="62">
        <f>+SUM($V$3:V8)</f>
        <v>0.94</v>
      </c>
      <c r="X8" s="58">
        <f t="shared" si="3"/>
        <v>75</v>
      </c>
      <c r="Y8" s="58">
        <f t="shared" si="4"/>
        <v>6.75</v>
      </c>
      <c r="Z8" s="63">
        <v>0</v>
      </c>
      <c r="AB8" s="60">
        <v>6</v>
      </c>
      <c r="AC8" s="61">
        <v>0.08</v>
      </c>
      <c r="AD8" s="62">
        <f>+SUM($AC$3:AC8)</f>
        <v>0.98</v>
      </c>
      <c r="AE8" s="58">
        <f t="shared" si="5"/>
        <v>75</v>
      </c>
      <c r="AF8" s="58">
        <f t="shared" si="6"/>
        <v>6</v>
      </c>
      <c r="AG8" s="63">
        <v>0</v>
      </c>
      <c r="AI8" s="60">
        <v>6</v>
      </c>
      <c r="AJ8" s="61">
        <v>0.5</v>
      </c>
      <c r="AK8" s="62">
        <f>+SUM($AJ$3:AJ8)</f>
        <v>0.9</v>
      </c>
      <c r="AL8" s="58">
        <f t="shared" si="7"/>
        <v>75</v>
      </c>
      <c r="AM8" s="58">
        <f t="shared" si="8"/>
        <v>37.5</v>
      </c>
      <c r="AN8" s="63">
        <v>0</v>
      </c>
      <c r="AP8" s="60">
        <v>6</v>
      </c>
      <c r="AQ8" s="61">
        <v>0</v>
      </c>
      <c r="AR8" s="62">
        <f>+SUM($AQ$3:AQ8)</f>
        <v>1</v>
      </c>
      <c r="AS8" s="58">
        <f t="shared" si="9"/>
        <v>75</v>
      </c>
      <c r="AT8" s="58">
        <f t="shared" si="25"/>
        <v>0</v>
      </c>
      <c r="AU8" s="63">
        <v>0</v>
      </c>
      <c r="AW8" s="60">
        <v>6</v>
      </c>
      <c r="AX8" s="61">
        <v>0.09</v>
      </c>
      <c r="AY8" s="62">
        <f>+SUM($AX$3:AX8)</f>
        <v>0.98</v>
      </c>
      <c r="AZ8" s="58">
        <f t="shared" si="10"/>
        <v>75</v>
      </c>
      <c r="BA8" s="58">
        <f t="shared" si="11"/>
        <v>6.75</v>
      </c>
      <c r="BB8" s="63">
        <v>0</v>
      </c>
      <c r="BD8" s="60">
        <v>6</v>
      </c>
      <c r="BE8" s="61">
        <v>0.13</v>
      </c>
      <c r="BF8" s="62">
        <f>+SUM($BE$3:BE8)</f>
        <v>0.9</v>
      </c>
      <c r="BG8" s="58">
        <f t="shared" si="12"/>
        <v>75</v>
      </c>
      <c r="BH8" s="58">
        <f t="shared" si="13"/>
        <v>9.75</v>
      </c>
      <c r="BI8" s="63">
        <v>0</v>
      </c>
      <c r="BK8" s="60">
        <v>6</v>
      </c>
      <c r="BL8" s="61">
        <v>0.1</v>
      </c>
      <c r="BM8" s="62">
        <f>+SUM($BL$3:BL8)</f>
        <v>0.92</v>
      </c>
      <c r="BN8" s="58">
        <f t="shared" si="14"/>
        <v>75</v>
      </c>
      <c r="BO8" s="58">
        <f t="shared" si="15"/>
        <v>7.5</v>
      </c>
      <c r="BP8" s="63">
        <v>0</v>
      </c>
      <c r="BR8" s="60">
        <v>6</v>
      </c>
      <c r="BS8" s="61">
        <v>0.11</v>
      </c>
      <c r="BT8" s="62">
        <f>+SUM($BS$3:BS8)</f>
        <v>0.91</v>
      </c>
      <c r="BU8" s="58">
        <f t="shared" si="16"/>
        <v>75</v>
      </c>
      <c r="BV8" s="58">
        <f t="shared" si="17"/>
        <v>8.25</v>
      </c>
      <c r="BW8" s="63">
        <v>0</v>
      </c>
      <c r="BY8" s="60">
        <v>6</v>
      </c>
      <c r="BZ8" s="61">
        <v>0.02</v>
      </c>
      <c r="CA8" s="62">
        <f>+SUM($BZ$3:BZ8)</f>
        <v>0.98999999999999988</v>
      </c>
      <c r="CB8" s="58">
        <f t="shared" si="18"/>
        <v>75</v>
      </c>
      <c r="CC8" s="58">
        <f t="shared" si="19"/>
        <v>1.5</v>
      </c>
      <c r="CD8" s="63">
        <v>0</v>
      </c>
      <c r="CF8" s="60">
        <v>6</v>
      </c>
      <c r="CG8" s="61">
        <v>0.55000000000000004</v>
      </c>
      <c r="CH8" s="62">
        <f>+SUM($CG$3:CG8)</f>
        <v>0.9</v>
      </c>
      <c r="CI8" s="58">
        <f t="shared" si="20"/>
        <v>75</v>
      </c>
      <c r="CJ8" s="58">
        <f t="shared" si="21"/>
        <v>41.25</v>
      </c>
      <c r="CK8" s="63">
        <v>0</v>
      </c>
      <c r="CM8" s="60">
        <v>6</v>
      </c>
      <c r="CN8" s="61">
        <f t="shared" si="26"/>
        <v>1E-3</v>
      </c>
      <c r="CO8" s="62">
        <f>+SUM($CN$3:CN8)</f>
        <v>0.99900000000000011</v>
      </c>
      <c r="CP8" s="83">
        <f t="shared" si="27"/>
        <v>75</v>
      </c>
      <c r="CQ8" s="58">
        <f t="shared" si="31"/>
        <v>7.4999999999999997E-2</v>
      </c>
      <c r="CR8" s="63">
        <v>0</v>
      </c>
      <c r="CT8" s="60">
        <v>6</v>
      </c>
      <c r="CU8" s="61">
        <f t="shared" si="28"/>
        <v>1E-3</v>
      </c>
      <c r="CV8" s="62">
        <f>+SUM($CU$3:CU8)</f>
        <v>0.99900000000000011</v>
      </c>
      <c r="CW8" s="84">
        <f t="shared" si="29"/>
        <v>150</v>
      </c>
      <c r="CX8" s="58">
        <f t="shared" si="32"/>
        <v>0.15</v>
      </c>
      <c r="CY8" s="63">
        <v>0</v>
      </c>
      <c r="DA8" s="60">
        <v>6</v>
      </c>
      <c r="DB8" s="61">
        <v>0.35</v>
      </c>
      <c r="DC8" s="62">
        <f>+SUM($DB$3:DB8)</f>
        <v>0.76</v>
      </c>
      <c r="DD8" s="83">
        <f t="shared" si="30"/>
        <v>75</v>
      </c>
      <c r="DE8" s="58">
        <f t="shared" si="33"/>
        <v>26.25</v>
      </c>
      <c r="DF8" s="63">
        <v>0</v>
      </c>
    </row>
    <row r="9" spans="1:110" x14ac:dyDescent="0.25">
      <c r="A9" s="75" t="s">
        <v>135</v>
      </c>
      <c r="B9" s="75">
        <f t="shared" si="34"/>
        <v>0.29282576866764276</v>
      </c>
      <c r="C9" s="3">
        <v>0</v>
      </c>
      <c r="D9" s="64">
        <f>+BA10</f>
        <v>34.15</v>
      </c>
      <c r="E9" s="3">
        <v>10</v>
      </c>
      <c r="G9" s="60">
        <v>7</v>
      </c>
      <c r="H9" s="66">
        <f>1-SUM(H3:H8)</f>
        <v>9.9999999999988987E-4</v>
      </c>
      <c r="I9" s="62">
        <f>+SUM($H$3:H9)</f>
        <v>1</v>
      </c>
      <c r="J9" s="50">
        <v>150</v>
      </c>
      <c r="K9" s="58">
        <f t="shared" si="0"/>
        <v>0.14999999999998348</v>
      </c>
      <c r="L9" s="63">
        <v>0</v>
      </c>
      <c r="N9" s="60">
        <v>7</v>
      </c>
      <c r="O9" s="66">
        <f>1-SUM(O3:O8)</f>
        <v>5.9999999999999942E-2</v>
      </c>
      <c r="P9" s="62">
        <f>+SUM($O$3:O9)</f>
        <v>1</v>
      </c>
      <c r="Q9" s="58">
        <f t="shared" si="1"/>
        <v>150</v>
      </c>
      <c r="R9" s="58">
        <f t="shared" si="2"/>
        <v>8.9999999999999911</v>
      </c>
      <c r="S9" s="63">
        <v>0</v>
      </c>
      <c r="U9" s="60">
        <v>7</v>
      </c>
      <c r="V9" s="66">
        <f>1-SUM(V3:V8)</f>
        <v>6.0000000000000053E-2</v>
      </c>
      <c r="W9" s="62">
        <f>+SUM($V$3:V9)</f>
        <v>1</v>
      </c>
      <c r="X9" s="58">
        <f t="shared" si="3"/>
        <v>150</v>
      </c>
      <c r="Y9" s="58">
        <f t="shared" si="4"/>
        <v>9.0000000000000071</v>
      </c>
      <c r="Z9" s="63">
        <v>0</v>
      </c>
      <c r="AB9" s="60">
        <v>7</v>
      </c>
      <c r="AC9" s="66">
        <f>1-SUM(AC3:AC8)</f>
        <v>2.0000000000000018E-2</v>
      </c>
      <c r="AD9" s="62">
        <f>+SUM($AC$3:AC9)</f>
        <v>1</v>
      </c>
      <c r="AE9" s="58">
        <f t="shared" si="5"/>
        <v>150</v>
      </c>
      <c r="AF9" s="58">
        <f t="shared" si="6"/>
        <v>3.0000000000000027</v>
      </c>
      <c r="AG9" s="63">
        <v>0</v>
      </c>
      <c r="AI9" s="60">
        <v>7</v>
      </c>
      <c r="AJ9" s="66">
        <f>1-SUM(AJ3:AJ8)</f>
        <v>9.9999999999999978E-2</v>
      </c>
      <c r="AK9" s="62">
        <f>+SUM($AJ$3:AJ9)</f>
        <v>1</v>
      </c>
      <c r="AL9" s="58">
        <f t="shared" si="7"/>
        <v>150</v>
      </c>
      <c r="AM9" s="58">
        <f t="shared" si="8"/>
        <v>14.999999999999996</v>
      </c>
      <c r="AN9" s="63">
        <v>0</v>
      </c>
      <c r="AP9" s="60">
        <v>7</v>
      </c>
      <c r="AQ9" s="66">
        <v>0</v>
      </c>
      <c r="AR9" s="62">
        <f>+SUM($AQ$3:AQ9)</f>
        <v>1</v>
      </c>
      <c r="AS9" s="58">
        <f t="shared" si="9"/>
        <v>150</v>
      </c>
      <c r="AT9" s="58">
        <f t="shared" si="25"/>
        <v>0</v>
      </c>
      <c r="AU9" s="63">
        <v>0</v>
      </c>
      <c r="AW9" s="60">
        <v>7</v>
      </c>
      <c r="AX9" s="66">
        <f>1-SUM(AX3:AX8)</f>
        <v>2.0000000000000018E-2</v>
      </c>
      <c r="AY9" s="62">
        <f>+SUM($AX$3:AX9)</f>
        <v>1</v>
      </c>
      <c r="AZ9" s="58">
        <f t="shared" si="10"/>
        <v>150</v>
      </c>
      <c r="BA9" s="58">
        <f t="shared" si="11"/>
        <v>3.0000000000000027</v>
      </c>
      <c r="BB9" s="63">
        <v>0</v>
      </c>
      <c r="BD9" s="60">
        <v>7</v>
      </c>
      <c r="BE9" s="66">
        <f>1-SUM(BE3:BE8)</f>
        <v>9.9999999999999978E-2</v>
      </c>
      <c r="BF9" s="62">
        <f>+SUM($BE$3:BE9)</f>
        <v>1</v>
      </c>
      <c r="BG9" s="58">
        <f t="shared" si="12"/>
        <v>150</v>
      </c>
      <c r="BH9" s="58">
        <f t="shared" si="13"/>
        <v>14.999999999999996</v>
      </c>
      <c r="BI9" s="63">
        <v>0</v>
      </c>
      <c r="BK9" s="60">
        <v>7</v>
      </c>
      <c r="BL9" s="66">
        <f>1-SUM(BL3:BL8)</f>
        <v>7.999999999999996E-2</v>
      </c>
      <c r="BM9" s="62">
        <f>+SUM($BL$3:BL9)</f>
        <v>1</v>
      </c>
      <c r="BN9" s="58">
        <f t="shared" si="14"/>
        <v>150</v>
      </c>
      <c r="BO9" s="58">
        <f t="shared" si="15"/>
        <v>11.999999999999995</v>
      </c>
      <c r="BP9" s="63">
        <v>0</v>
      </c>
      <c r="BR9" s="60">
        <v>7</v>
      </c>
      <c r="BS9" s="66">
        <f>1-SUM(BS3:BS8)</f>
        <v>8.9999999999999969E-2</v>
      </c>
      <c r="BT9" s="62">
        <f>+SUM($BS$3:BS9)</f>
        <v>1</v>
      </c>
      <c r="BU9" s="58">
        <f t="shared" si="16"/>
        <v>150</v>
      </c>
      <c r="BV9" s="58">
        <f t="shared" si="17"/>
        <v>13.499999999999995</v>
      </c>
      <c r="BW9" s="63">
        <v>0</v>
      </c>
      <c r="BY9" s="60">
        <v>7</v>
      </c>
      <c r="BZ9" s="66">
        <f>1-SUM(BZ3:BZ8)</f>
        <v>1.000000000000012E-2</v>
      </c>
      <c r="CA9" s="62">
        <f>+SUM($BZ$3:BZ9)</f>
        <v>1</v>
      </c>
      <c r="CB9" s="58">
        <f t="shared" si="18"/>
        <v>150</v>
      </c>
      <c r="CC9" s="58">
        <f t="shared" si="19"/>
        <v>1.500000000000018</v>
      </c>
      <c r="CD9" s="63">
        <v>0</v>
      </c>
      <c r="CF9" s="60">
        <v>7</v>
      </c>
      <c r="CG9" s="66">
        <f>1-SUM(CG3:CG8)</f>
        <v>9.9999999999999978E-2</v>
      </c>
      <c r="CH9" s="62">
        <f>+SUM($CG$3:CG9)</f>
        <v>1</v>
      </c>
      <c r="CI9" s="58">
        <f t="shared" si="20"/>
        <v>150</v>
      </c>
      <c r="CJ9" s="58">
        <f t="shared" si="21"/>
        <v>14.999999999999996</v>
      </c>
      <c r="CK9" s="63">
        <v>0</v>
      </c>
      <c r="CM9" s="60">
        <v>7</v>
      </c>
      <c r="CN9" s="66">
        <f>1-SUM(CN3:CN8)</f>
        <v>9.9999999999988987E-4</v>
      </c>
      <c r="CO9" s="62">
        <f>+SUM($CN$3:CN9)</f>
        <v>1</v>
      </c>
      <c r="CP9" s="83">
        <f t="shared" si="27"/>
        <v>150</v>
      </c>
      <c r="CQ9" s="58">
        <f t="shared" si="31"/>
        <v>0.14999999999998348</v>
      </c>
      <c r="CR9" s="63">
        <v>0</v>
      </c>
      <c r="CT9" s="60">
        <v>7</v>
      </c>
      <c r="CU9" s="66">
        <f>1-SUM(CU3:CU8)</f>
        <v>9.9999999999988987E-4</v>
      </c>
      <c r="CV9" s="62">
        <f>+SUM($CU$3:CU9)</f>
        <v>1</v>
      </c>
      <c r="CW9" s="84">
        <f t="shared" si="29"/>
        <v>300</v>
      </c>
      <c r="CX9" s="58">
        <f t="shared" si="32"/>
        <v>0.29999999999996696</v>
      </c>
      <c r="CY9" s="63">
        <v>0</v>
      </c>
      <c r="DA9" s="60">
        <v>7</v>
      </c>
      <c r="DB9" s="66">
        <f>1-SUM(DB3:DB8)</f>
        <v>0.24</v>
      </c>
      <c r="DC9" s="62">
        <f>+SUM($DB$3:DB9)</f>
        <v>1</v>
      </c>
      <c r="DD9" s="83">
        <f t="shared" si="30"/>
        <v>150</v>
      </c>
      <c r="DE9" s="58">
        <f t="shared" si="33"/>
        <v>36</v>
      </c>
      <c r="DF9" s="63">
        <v>0</v>
      </c>
    </row>
    <row r="10" spans="1:110" x14ac:dyDescent="0.25">
      <c r="A10" s="75" t="s">
        <v>136</v>
      </c>
      <c r="B10" s="75">
        <f t="shared" si="34"/>
        <v>0.26461390425787834</v>
      </c>
      <c r="C10" s="3">
        <v>0</v>
      </c>
      <c r="D10" s="64">
        <f>+BH10</f>
        <v>41.569999999999993</v>
      </c>
      <c r="E10" s="3">
        <v>11</v>
      </c>
      <c r="G10" s="50" t="s">
        <v>71</v>
      </c>
      <c r="H10" s="50">
        <f>+SUM(H3:H9)</f>
        <v>1</v>
      </c>
      <c r="I10" s="50"/>
      <c r="J10" s="50"/>
      <c r="K10" s="51">
        <f>+SUM(K3:K9)</f>
        <v>10.019999999999982</v>
      </c>
      <c r="L10" s="51"/>
      <c r="N10" s="50" t="s">
        <v>71</v>
      </c>
      <c r="O10" s="50">
        <f>+SUM(O3:O9)</f>
        <v>1</v>
      </c>
      <c r="P10" s="50"/>
      <c r="Q10" s="50"/>
      <c r="R10" s="51">
        <f>+SUM(R3:R9)</f>
        <v>25.009999999999991</v>
      </c>
      <c r="S10" s="51"/>
      <c r="U10" s="50" t="s">
        <v>71</v>
      </c>
      <c r="V10" s="50">
        <f>+SUM(V3:V9)</f>
        <v>1</v>
      </c>
      <c r="W10" s="50"/>
      <c r="X10" s="50"/>
      <c r="Y10" s="51">
        <f>+SUM(Y3:Y9)</f>
        <v>30.450000000000006</v>
      </c>
      <c r="Z10" s="51"/>
      <c r="AB10" s="50" t="s">
        <v>71</v>
      </c>
      <c r="AC10" s="50">
        <f>+SUM(AC3:AC9)</f>
        <v>1</v>
      </c>
      <c r="AD10" s="50"/>
      <c r="AE10" s="50"/>
      <c r="AF10" s="51">
        <f>+SUM(AF3:AF9)</f>
        <v>34.25</v>
      </c>
      <c r="AG10" s="51"/>
      <c r="AI10" s="50" t="s">
        <v>71</v>
      </c>
      <c r="AJ10" s="50">
        <f>+SUM(AJ3:AJ9)</f>
        <v>1</v>
      </c>
      <c r="AK10" s="50"/>
      <c r="AL10" s="50"/>
      <c r="AM10" s="51">
        <f>+SUM(AM3:AM9)</f>
        <v>68.5</v>
      </c>
      <c r="AN10" s="51"/>
      <c r="AP10" s="50" t="s">
        <v>71</v>
      </c>
      <c r="AQ10" s="50">
        <f>+SUM(AQ3:AQ9)</f>
        <v>1</v>
      </c>
      <c r="AR10" s="50"/>
      <c r="AS10" s="50"/>
      <c r="AT10" s="51">
        <f>+SUM(AT3:AT9)</f>
        <v>12.85</v>
      </c>
      <c r="AU10" s="51"/>
      <c r="AW10" s="50" t="s">
        <v>71</v>
      </c>
      <c r="AX10" s="50">
        <f>+SUM(AX3:AX9)</f>
        <v>1</v>
      </c>
      <c r="AY10" s="50"/>
      <c r="AZ10" s="50"/>
      <c r="BA10" s="51">
        <f>+SUM(BA3:BA9)</f>
        <v>34.15</v>
      </c>
      <c r="BB10" s="51"/>
      <c r="BD10" s="50" t="s">
        <v>71</v>
      </c>
      <c r="BE10" s="50">
        <f>+SUM(BE3:BE9)</f>
        <v>1</v>
      </c>
      <c r="BF10" s="50"/>
      <c r="BG10" s="50"/>
      <c r="BH10" s="51">
        <f>+SUM(BH3:BH9)</f>
        <v>41.569999999999993</v>
      </c>
      <c r="BI10" s="51"/>
      <c r="BK10" s="50" t="s">
        <v>71</v>
      </c>
      <c r="BL10" s="50">
        <f>+SUM(BL3:BL9)</f>
        <v>1</v>
      </c>
      <c r="BM10" s="50"/>
      <c r="BN10" s="50"/>
      <c r="BO10" s="51">
        <f>+SUM(BO3:BO9)</f>
        <v>37.619999999999997</v>
      </c>
      <c r="BP10" s="51"/>
      <c r="BR10" s="50" t="s">
        <v>71</v>
      </c>
      <c r="BS10" s="50">
        <f>+SUM(BS3:BS9)</f>
        <v>1</v>
      </c>
      <c r="BT10" s="50"/>
      <c r="BU10" s="50"/>
      <c r="BV10" s="51">
        <f>+SUM(BV3:BV9)</f>
        <v>37.779999999999994</v>
      </c>
      <c r="BW10" s="51"/>
      <c r="BY10" s="50" t="s">
        <v>71</v>
      </c>
      <c r="BZ10" s="50">
        <f>+SUM(BZ3:BZ9)</f>
        <v>1</v>
      </c>
      <c r="CA10" s="50"/>
      <c r="CB10" s="50"/>
      <c r="CC10" s="51">
        <f>+SUM(CC3:CC9)</f>
        <v>14.250000000000018</v>
      </c>
      <c r="CD10" s="51"/>
      <c r="CF10" s="50" t="s">
        <v>71</v>
      </c>
      <c r="CG10" s="50">
        <f>+SUM(CG3:CG9)</f>
        <v>1</v>
      </c>
      <c r="CH10" s="50"/>
      <c r="CI10" s="50"/>
      <c r="CJ10" s="51">
        <f>+SUM(CJ3:CJ9)</f>
        <v>70.25</v>
      </c>
      <c r="CK10" s="51"/>
      <c r="CM10" s="50" t="s">
        <v>71</v>
      </c>
      <c r="CN10" s="50">
        <f>+SUM(CN3:CN9)</f>
        <v>1</v>
      </c>
      <c r="CO10" s="50"/>
      <c r="CP10" s="50"/>
      <c r="CQ10" s="51">
        <f>+SUM(CQ3:CQ9)</f>
        <v>10.019999999999982</v>
      </c>
      <c r="CR10" s="51"/>
      <c r="CT10" s="50" t="s">
        <v>71</v>
      </c>
      <c r="CU10" s="50">
        <f>+SUM(CU3:CU9)</f>
        <v>1</v>
      </c>
      <c r="CV10" s="50"/>
      <c r="CW10" s="50"/>
      <c r="CX10" s="51">
        <f>+SUM(CX3:CX9)</f>
        <v>20.039999999999964</v>
      </c>
      <c r="CY10" s="51"/>
      <c r="DA10" s="50" t="s">
        <v>71</v>
      </c>
      <c r="DB10" s="50">
        <f>+SUM(DB3:DB9)</f>
        <v>1</v>
      </c>
      <c r="DC10" s="50"/>
      <c r="DD10" s="50"/>
      <c r="DE10" s="51">
        <f>+SUM(DE3:DE9)</f>
        <v>75.45</v>
      </c>
      <c r="DF10" s="51"/>
    </row>
    <row r="11" spans="1:110" x14ac:dyDescent="0.25">
      <c r="A11" s="75" t="s">
        <v>137</v>
      </c>
      <c r="B11" s="75">
        <f t="shared" si="34"/>
        <v>0.29239766081871349</v>
      </c>
      <c r="C11" s="3">
        <v>0</v>
      </c>
      <c r="D11" s="64">
        <f>+BO10</f>
        <v>37.619999999999997</v>
      </c>
      <c r="E11" s="3">
        <v>11</v>
      </c>
    </row>
    <row r="12" spans="1:110" x14ac:dyDescent="0.25">
      <c r="A12" s="75" t="s">
        <v>138</v>
      </c>
      <c r="B12" s="75">
        <f t="shared" si="34"/>
        <v>0.26469031233456858</v>
      </c>
      <c r="C12" s="3">
        <v>0</v>
      </c>
      <c r="D12" s="64">
        <f>+BV10</f>
        <v>37.779999999999994</v>
      </c>
      <c r="E12" s="3">
        <v>10</v>
      </c>
    </row>
    <row r="13" spans="1:110" x14ac:dyDescent="0.25">
      <c r="A13" s="85" t="s">
        <v>171</v>
      </c>
      <c r="B13" s="75">
        <f t="shared" si="34"/>
        <v>0.11614035087719284</v>
      </c>
      <c r="C13" s="3">
        <f>1/B13/Summary!$C$7</f>
        <v>8.610271903323273E-3</v>
      </c>
      <c r="D13" s="64">
        <f>+CC10</f>
        <v>14.250000000000018</v>
      </c>
      <c r="E13" s="3">
        <f>1+E3</f>
        <v>1.655</v>
      </c>
    </row>
    <row r="14" spans="1:110" x14ac:dyDescent="0.25">
      <c r="A14" s="85" t="s">
        <v>166</v>
      </c>
      <c r="B14" s="58">
        <f>+E14/D14</f>
        <v>0.13073852295409205</v>
      </c>
      <c r="C14" s="3">
        <f>1/B14/Summary!$C$7</f>
        <v>7.6488549618320472E-3</v>
      </c>
      <c r="D14" s="86">
        <f>+CQ10</f>
        <v>10.019999999999982</v>
      </c>
      <c r="E14" s="3">
        <f>+E3*2</f>
        <v>1.31</v>
      </c>
    </row>
    <row r="15" spans="1:110" x14ac:dyDescent="0.25">
      <c r="A15" s="85" t="s">
        <v>167</v>
      </c>
      <c r="B15" s="58">
        <f>+E15/D15</f>
        <v>6.5369261477046026E-2</v>
      </c>
      <c r="C15" s="3">
        <f>1/B15/Summary!$C$7</f>
        <v>1.5297709923664094E-2</v>
      </c>
      <c r="D15" s="86">
        <f>+CX10</f>
        <v>20.039999999999964</v>
      </c>
      <c r="E15" s="3">
        <f>+E14</f>
        <v>1.31</v>
      </c>
    </row>
    <row r="16" spans="1:110" x14ac:dyDescent="0.25">
      <c r="A16" s="75" t="s">
        <v>165</v>
      </c>
      <c r="B16" s="58">
        <f>+E16/D16</f>
        <v>0.26507620941020543</v>
      </c>
      <c r="C16" s="3">
        <v>0</v>
      </c>
      <c r="D16" s="86">
        <f>+DE10</f>
        <v>75.45</v>
      </c>
      <c r="E16" s="3">
        <v>20</v>
      </c>
    </row>
    <row r="17" spans="1:5" x14ac:dyDescent="0.25">
      <c r="A17" s="3" t="s">
        <v>117</v>
      </c>
      <c r="B17" s="58">
        <f>+E17/D17</f>
        <v>0.71174377224199292</v>
      </c>
      <c r="C17" s="3">
        <v>0</v>
      </c>
      <c r="D17" s="64">
        <f>+CJ10</f>
        <v>70.25</v>
      </c>
      <c r="E17" s="3">
        <v>50</v>
      </c>
    </row>
    <row r="18" spans="1:5" x14ac:dyDescent="0.25">
      <c r="A18" s="3" t="s">
        <v>118</v>
      </c>
      <c r="B18" s="65" t="str">
        <f>+CONCATENATE("x",J3," - x",J9)</f>
        <v>x7 - x150</v>
      </c>
    </row>
    <row r="20" spans="1:5" x14ac:dyDescent="0.25">
      <c r="A20" t="s">
        <v>172</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91" operator="lessThan">
      <formula>0</formula>
    </cfRule>
    <cfRule type="cellIs" priority="92" operator="greaterThan">
      <formula>1</formula>
    </cfRule>
  </conditionalFormatting>
  <conditionalFormatting sqref="H3:H9 O3:O9 CG3:CG9 V3:V9 AC3:AC9 AJ3:AJ9 AQ3:AQ9 AX3:AX9 BZ3:BZ9 BE3:BE9 BL3:BL9 BS3:BS9">
    <cfRule type="cellIs" priority="90" operator="equal">
      <formula>0</formula>
    </cfRule>
  </conditionalFormatting>
  <conditionalFormatting sqref="B3:B17">
    <cfRule type="cellIs" priority="88" operator="greaterThan">
      <formula>1</formula>
    </cfRule>
    <cfRule type="cellIs" priority="89" operator="lessThan">
      <formula>0</formula>
    </cfRule>
  </conditionalFormatting>
  <conditionalFormatting sqref="H3:H9 O3:O9 V3:V9 AC3:AC9">
    <cfRule type="cellIs" priority="86" operator="lessThan">
      <formula>0</formula>
    </cfRule>
    <cfRule type="cellIs" priority="87" operator="greaterThan">
      <formula>1</formula>
    </cfRule>
  </conditionalFormatting>
  <conditionalFormatting sqref="H3:H9 O3:O9 V3:V9 AC3:AC9">
    <cfRule type="cellIs" priority="85" operator="equal">
      <formula>0</formula>
    </cfRule>
  </conditionalFormatting>
  <conditionalFormatting sqref="H3:H9">
    <cfRule type="cellIs" priority="83" operator="lessThan">
      <formula>0</formula>
    </cfRule>
    <cfRule type="cellIs" priority="84" operator="greaterThan">
      <formula>1</formula>
    </cfRule>
  </conditionalFormatting>
  <conditionalFormatting sqref="H3:H9">
    <cfRule type="cellIs" priority="82" operator="equal">
      <formula>0</formula>
    </cfRule>
  </conditionalFormatting>
  <conditionalFormatting sqref="H3:H9">
    <cfRule type="cellIs" priority="80" operator="lessThan">
      <formula>0</formula>
    </cfRule>
    <cfRule type="cellIs" priority="81" operator="greaterThan">
      <formula>1</formula>
    </cfRule>
  </conditionalFormatting>
  <conditionalFormatting sqref="H3:H9">
    <cfRule type="cellIs" priority="79" operator="equal">
      <formula>0</formula>
    </cfRule>
  </conditionalFormatting>
  <conditionalFormatting sqref="CG3:CG9">
    <cfRule type="cellIs" priority="77" operator="lessThan">
      <formula>0</formula>
    </cfRule>
    <cfRule type="cellIs" priority="78" operator="greaterThan">
      <formula>1</formula>
    </cfRule>
  </conditionalFormatting>
  <conditionalFormatting sqref="CG3:CG9">
    <cfRule type="cellIs" priority="76" operator="equal">
      <formula>0</formula>
    </cfRule>
  </conditionalFormatting>
  <conditionalFormatting sqref="H3:H9 O3:O9 V3:V9 AC3:AC9">
    <cfRule type="cellIs" priority="74" operator="lessThan">
      <formula>0</formula>
    </cfRule>
    <cfRule type="cellIs" priority="75" operator="greaterThan">
      <formula>1</formula>
    </cfRule>
  </conditionalFormatting>
  <conditionalFormatting sqref="H3:H9 O3:O9 V3:V9 AC3:AC9">
    <cfRule type="cellIs" priority="73" operator="equal">
      <formula>0</formula>
    </cfRule>
  </conditionalFormatting>
  <conditionalFormatting sqref="H3:H9 O3:O9 V3:V9 AC3:AC9">
    <cfRule type="cellIs" priority="71" operator="lessThan">
      <formula>0</formula>
    </cfRule>
    <cfRule type="cellIs" priority="72" operator="greaterThan">
      <formula>1</formula>
    </cfRule>
  </conditionalFormatting>
  <conditionalFormatting sqref="H3:H9 O3:O9 V3:V9 AC3:AC9">
    <cfRule type="cellIs" priority="70" operator="equal">
      <formula>0</formula>
    </cfRule>
  </conditionalFormatting>
  <conditionalFormatting sqref="CG3:CG9">
    <cfRule type="cellIs" priority="68" operator="lessThan">
      <formula>0</formula>
    </cfRule>
    <cfRule type="cellIs" priority="69" operator="greaterThan">
      <formula>1</formula>
    </cfRule>
  </conditionalFormatting>
  <conditionalFormatting sqref="CG3:CG9">
    <cfRule type="cellIs" priority="67" operator="equal">
      <formula>0</formula>
    </cfRule>
  </conditionalFormatting>
  <conditionalFormatting sqref="CG7:CG8">
    <cfRule type="cellIs" priority="65" operator="lessThan">
      <formula>0</formula>
    </cfRule>
    <cfRule type="cellIs" priority="66" operator="greaterThan">
      <formula>1</formula>
    </cfRule>
  </conditionalFormatting>
  <conditionalFormatting sqref="CG7:CG8">
    <cfRule type="cellIs" priority="64" operator="equal">
      <formula>0</formula>
    </cfRule>
  </conditionalFormatting>
  <conditionalFormatting sqref="CG3:CG9">
    <cfRule type="cellIs" priority="62" operator="lessThan">
      <formula>0</formula>
    </cfRule>
    <cfRule type="cellIs" priority="63" operator="greaterThan">
      <formula>1</formula>
    </cfRule>
  </conditionalFormatting>
  <conditionalFormatting sqref="CG3:CG9">
    <cfRule type="cellIs" priority="61" operator="equal">
      <formula>0</formula>
    </cfRule>
  </conditionalFormatting>
  <conditionalFormatting sqref="CG7:CG8">
    <cfRule type="cellIs" priority="59" operator="lessThan">
      <formula>0</formula>
    </cfRule>
    <cfRule type="cellIs" priority="60" operator="greaterThan">
      <formula>1</formula>
    </cfRule>
  </conditionalFormatting>
  <conditionalFormatting sqref="CG7:CG8">
    <cfRule type="cellIs" priority="58" operator="equal">
      <formula>0</formula>
    </cfRule>
  </conditionalFormatting>
  <conditionalFormatting sqref="H3:H9 O3:O9 V3:V9 AC3:AC9">
    <cfRule type="cellIs" priority="56" operator="lessThan">
      <formula>0</formula>
    </cfRule>
    <cfRule type="cellIs" priority="57" operator="greaterThan">
      <formula>1</formula>
    </cfRule>
  </conditionalFormatting>
  <conditionalFormatting sqref="H3:H9 O3:O9 V3:V9 AC3:AC9">
    <cfRule type="cellIs" priority="55" operator="equal">
      <formula>0</formula>
    </cfRule>
  </conditionalFormatting>
  <conditionalFormatting sqref="CG3:CG9">
    <cfRule type="cellIs" priority="53" operator="lessThan">
      <formula>0</formula>
    </cfRule>
    <cfRule type="cellIs" priority="54" operator="greaterThan">
      <formula>1</formula>
    </cfRule>
  </conditionalFormatting>
  <conditionalFormatting sqref="CG3:CG9">
    <cfRule type="cellIs" priority="52" operator="equal">
      <formula>0</formula>
    </cfRule>
  </conditionalFormatting>
  <conditionalFormatting sqref="CG7:CG8">
    <cfRule type="cellIs" priority="50" operator="lessThan">
      <formula>0</formula>
    </cfRule>
    <cfRule type="cellIs" priority="51" operator="greaterThan">
      <formula>1</formula>
    </cfRule>
  </conditionalFormatting>
  <conditionalFormatting sqref="CG7:CG8">
    <cfRule type="cellIs" priority="49" operator="equal">
      <formula>0</formula>
    </cfRule>
  </conditionalFormatting>
  <conditionalFormatting sqref="H3:H9 O3:O9 V3:V9 AC3:AC9">
    <cfRule type="cellIs" priority="47" operator="lessThan">
      <formula>0</formula>
    </cfRule>
    <cfRule type="cellIs" priority="48" operator="greaterThan">
      <formula>1</formula>
    </cfRule>
  </conditionalFormatting>
  <conditionalFormatting sqref="H3:H9 O3:O9 V3:V9 AC3:AC9">
    <cfRule type="cellIs" priority="46" operator="equal">
      <formula>0</formula>
    </cfRule>
  </conditionalFormatting>
  <conditionalFormatting sqref="O3:O9">
    <cfRule type="cellIs" priority="44" operator="lessThan">
      <formula>0</formula>
    </cfRule>
    <cfRule type="cellIs" priority="45" operator="greaterThan">
      <formula>1</formula>
    </cfRule>
  </conditionalFormatting>
  <conditionalFormatting sqref="O3:O9">
    <cfRule type="cellIs" priority="43" operator="equal">
      <formula>0</formula>
    </cfRule>
  </conditionalFormatting>
  <conditionalFormatting sqref="V3:V8">
    <cfRule type="cellIs" priority="41" operator="lessThan">
      <formula>0</formula>
    </cfRule>
    <cfRule type="cellIs" priority="42" operator="greaterThan">
      <formula>1</formula>
    </cfRule>
  </conditionalFormatting>
  <conditionalFormatting sqref="V3:V8">
    <cfRule type="cellIs" priority="40" operator="equal">
      <formula>0</formula>
    </cfRule>
  </conditionalFormatting>
  <conditionalFormatting sqref="AC3:AC8">
    <cfRule type="cellIs" priority="38" operator="lessThan">
      <formula>0</formula>
    </cfRule>
    <cfRule type="cellIs" priority="39" operator="greaterThan">
      <formula>1</formula>
    </cfRule>
  </conditionalFormatting>
  <conditionalFormatting sqref="AC3:AC8">
    <cfRule type="cellIs" priority="37" operator="equal">
      <formula>0</formula>
    </cfRule>
  </conditionalFormatting>
  <conditionalFormatting sqref="H3:H9 O3:O9 V3:V9 AC3:AC9">
    <cfRule type="cellIs" priority="35" operator="lessThan">
      <formula>0</formula>
    </cfRule>
    <cfRule type="cellIs" priority="36" operator="greaterThan">
      <formula>1</formula>
    </cfRule>
  </conditionalFormatting>
  <conditionalFormatting sqref="H3:H9 O3:O9 V3:V9 AC3:AC9">
    <cfRule type="cellIs" priority="34" operator="equal">
      <formula>0</formula>
    </cfRule>
  </conditionalFormatting>
  <conditionalFormatting sqref="CG3:CG9">
    <cfRule type="cellIs" priority="32" operator="lessThan">
      <formula>0</formula>
    </cfRule>
    <cfRule type="cellIs" priority="33" operator="greaterThan">
      <formula>1</formula>
    </cfRule>
  </conditionalFormatting>
  <conditionalFormatting sqref="CG3:CG9">
    <cfRule type="cellIs" priority="31" operator="equal">
      <formula>0</formula>
    </cfRule>
  </conditionalFormatting>
  <conditionalFormatting sqref="CN3:CN9">
    <cfRule type="cellIs" priority="29" operator="lessThan">
      <formula>0</formula>
    </cfRule>
    <cfRule type="cellIs" priority="30" operator="greaterThan">
      <formula>1</formula>
    </cfRule>
  </conditionalFormatting>
  <conditionalFormatting sqref="CN3:CN9">
    <cfRule type="cellIs" priority="28" operator="equal">
      <formula>0</formula>
    </cfRule>
  </conditionalFormatting>
  <conditionalFormatting sqref="CU3:CU9">
    <cfRule type="cellIs" priority="26" operator="lessThan">
      <formula>0</formula>
    </cfRule>
    <cfRule type="cellIs" priority="27" operator="greaterThan">
      <formula>1</formula>
    </cfRule>
  </conditionalFormatting>
  <conditionalFormatting sqref="CU3:CU9">
    <cfRule type="cellIs" priority="25" operator="equal">
      <formula>0</formula>
    </cfRule>
  </conditionalFormatting>
  <conditionalFormatting sqref="DB3:DB9">
    <cfRule type="cellIs" priority="23" operator="lessThan">
      <formula>0</formula>
    </cfRule>
    <cfRule type="cellIs" priority="24" operator="greaterThan">
      <formula>1</formula>
    </cfRule>
  </conditionalFormatting>
  <conditionalFormatting sqref="DB3:DB9">
    <cfRule type="cellIs" priority="22" operator="equal">
      <formula>0</formula>
    </cfRule>
  </conditionalFormatting>
  <conditionalFormatting sqref="CN3:CN9">
    <cfRule type="cellIs" priority="20" operator="lessThan">
      <formula>0</formula>
    </cfRule>
    <cfRule type="cellIs" priority="21" operator="greaterThan">
      <formula>1</formula>
    </cfRule>
  </conditionalFormatting>
  <conditionalFormatting sqref="CN3:CN9">
    <cfRule type="cellIs" priority="19" operator="equal">
      <formula>0</formula>
    </cfRule>
  </conditionalFormatting>
  <conditionalFormatting sqref="CU3:CU9">
    <cfRule type="cellIs" priority="17" operator="lessThan">
      <formula>0</formula>
    </cfRule>
    <cfRule type="cellIs" priority="18" operator="greaterThan">
      <formula>1</formula>
    </cfRule>
  </conditionalFormatting>
  <conditionalFormatting sqref="CU3:CU9">
    <cfRule type="cellIs" priority="16" operator="equal">
      <formula>0</formula>
    </cfRule>
  </conditionalFormatting>
  <conditionalFormatting sqref="DB3:DB9">
    <cfRule type="cellIs" priority="14" operator="lessThan">
      <formula>0</formula>
    </cfRule>
    <cfRule type="cellIs" priority="15" operator="greaterThan">
      <formula>1</formula>
    </cfRule>
  </conditionalFormatting>
  <conditionalFormatting sqref="DB3:DB9">
    <cfRule type="cellIs" priority="13" operator="equal">
      <formula>0</formula>
    </cfRule>
  </conditionalFormatting>
  <conditionalFormatting sqref="B14:B16">
    <cfRule type="cellIs" priority="11" operator="greaterThan">
      <formula>1</formula>
    </cfRule>
    <cfRule type="cellIs" priority="12" operator="lessThan">
      <formula>0</formula>
    </cfRule>
  </conditionalFormatting>
  <conditionalFormatting sqref="B14:B16">
    <cfRule type="cellIs" priority="9" operator="greaterThan">
      <formula>1</formula>
    </cfRule>
    <cfRule type="cellIs" priority="10" operator="lessThan">
      <formula>0</formula>
    </cfRule>
  </conditionalFormatting>
  <conditionalFormatting sqref="B14:B16">
    <cfRule type="cellIs" priority="7" operator="greaterThan">
      <formula>1</formula>
    </cfRule>
    <cfRule type="cellIs" priority="8" operator="lessThan">
      <formula>0</formula>
    </cfRule>
  </conditionalFormatting>
  <conditionalFormatting sqref="B14:B16">
    <cfRule type="cellIs" priority="5" operator="greaterThan">
      <formula>1</formula>
    </cfRule>
    <cfRule type="cellIs" priority="6" operator="lessThan">
      <formula>0</formula>
    </cfRule>
  </conditionalFormatting>
  <conditionalFormatting sqref="B14:B16">
    <cfRule type="cellIs" priority="3" operator="greaterThan">
      <formula>1</formula>
    </cfRule>
    <cfRule type="cellIs" priority="4" operator="lessThan">
      <formula>0</formula>
    </cfRule>
  </conditionalFormatting>
  <conditionalFormatting sqref="B14:B16">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1"/>
  <dimension ref="A1:DF20"/>
  <sheetViews>
    <sheetView workbookViewId="0">
      <pane xSplit="6" ySplit="1" topLeftCell="G2" activePane="bottomRight" state="frozen"/>
      <selection pane="topRight" activeCell="G1" sqref="G1"/>
      <selection pane="bottomLeft" activeCell="A2" sqref="A2"/>
      <selection pane="bottomRight" activeCell="A20" sqref="A20"/>
    </sheetView>
  </sheetViews>
  <sheetFormatPr defaultColWidth="8.85546875" defaultRowHeight="15" x14ac:dyDescent="0.25"/>
  <cols>
    <col min="1" max="1" width="37.85546875" bestFit="1" customWidth="1"/>
    <col min="2" max="2" width="11.5703125" customWidth="1"/>
    <col min="3" max="3" width="17.28515625" customWidth="1"/>
    <col min="4" max="4" width="10.7109375" bestFit="1" customWidth="1"/>
    <col min="5" max="5" width="7.28515625" customWidth="1"/>
    <col min="6" max="6" width="14.28515625" customWidth="1"/>
    <col min="7" max="8" width="11.5703125" customWidth="1"/>
    <col min="9" max="9" width="16.28515625" customWidth="1"/>
    <col min="10" max="29" width="11.5703125" customWidth="1"/>
    <col min="30" max="30" width="15.5703125" bestFit="1" customWidth="1"/>
    <col min="31" max="36" width="11.5703125" customWidth="1"/>
    <col min="37" max="37" width="15.5703125" bestFit="1" customWidth="1"/>
    <col min="38" max="43" width="11.5703125" customWidth="1"/>
    <col min="44" max="44" width="15.5703125" bestFit="1" customWidth="1"/>
    <col min="45" max="50" width="11.5703125" customWidth="1"/>
    <col min="51" max="51" width="15.5703125" bestFit="1" customWidth="1"/>
    <col min="52" max="1074" width="11.5703125" customWidth="1"/>
  </cols>
  <sheetData>
    <row r="1" spans="1:110" x14ac:dyDescent="0.25">
      <c r="A1" s="2" t="s">
        <v>122</v>
      </c>
      <c r="G1" s="98" t="s">
        <v>104</v>
      </c>
      <c r="H1" s="98"/>
      <c r="I1" s="98"/>
      <c r="J1" s="98"/>
      <c r="K1" s="98"/>
      <c r="L1" s="98"/>
      <c r="N1" s="98" t="s">
        <v>105</v>
      </c>
      <c r="O1" s="98"/>
      <c r="P1" s="98"/>
      <c r="Q1" s="98"/>
      <c r="R1" s="98"/>
      <c r="S1" s="98"/>
      <c r="U1" s="98" t="s">
        <v>106</v>
      </c>
      <c r="V1" s="98"/>
      <c r="W1" s="98"/>
      <c r="X1" s="98"/>
      <c r="Y1" s="98"/>
      <c r="Z1" s="98"/>
      <c r="AB1" s="98" t="s">
        <v>107</v>
      </c>
      <c r="AC1" s="98"/>
      <c r="AD1" s="98"/>
      <c r="AE1" s="98"/>
      <c r="AF1" s="98"/>
      <c r="AG1" s="98"/>
      <c r="AI1" s="98" t="s">
        <v>139</v>
      </c>
      <c r="AJ1" s="98"/>
      <c r="AK1" s="98"/>
      <c r="AL1" s="98"/>
      <c r="AM1" s="98"/>
      <c r="AN1" s="98"/>
      <c r="AP1" s="98" t="s">
        <v>140</v>
      </c>
      <c r="AQ1" s="98"/>
      <c r="AR1" s="98"/>
      <c r="AS1" s="98"/>
      <c r="AT1" s="98"/>
      <c r="AU1" s="98"/>
      <c r="AW1" s="98" t="s">
        <v>141</v>
      </c>
      <c r="AX1" s="98"/>
      <c r="AY1" s="98"/>
      <c r="AZ1" s="98"/>
      <c r="BA1" s="98"/>
      <c r="BB1" s="98"/>
      <c r="BD1" s="98" t="s">
        <v>142</v>
      </c>
      <c r="BE1" s="98"/>
      <c r="BF1" s="98"/>
      <c r="BG1" s="98"/>
      <c r="BH1" s="98"/>
      <c r="BI1" s="98"/>
      <c r="BK1" s="98" t="s">
        <v>143</v>
      </c>
      <c r="BL1" s="98"/>
      <c r="BM1" s="98"/>
      <c r="BN1" s="98"/>
      <c r="BO1" s="98"/>
      <c r="BP1" s="98"/>
      <c r="BR1" s="98" t="s">
        <v>144</v>
      </c>
      <c r="BS1" s="98"/>
      <c r="BT1" s="98"/>
      <c r="BU1" s="98"/>
      <c r="BV1" s="98"/>
      <c r="BW1" s="98"/>
      <c r="BY1" s="98" t="s">
        <v>145</v>
      </c>
      <c r="BZ1" s="98"/>
      <c r="CA1" s="98"/>
      <c r="CB1" s="98"/>
      <c r="CC1" s="98"/>
      <c r="CD1" s="98"/>
      <c r="CF1" s="98" t="s">
        <v>108</v>
      </c>
      <c r="CG1" s="98"/>
      <c r="CH1" s="98"/>
      <c r="CI1" s="98"/>
      <c r="CJ1" s="98"/>
      <c r="CK1" s="98"/>
      <c r="CM1" s="98" t="s">
        <v>168</v>
      </c>
      <c r="CN1" s="98"/>
      <c r="CO1" s="98"/>
      <c r="CP1" s="98"/>
      <c r="CQ1" s="98"/>
      <c r="CR1" s="98"/>
      <c r="CT1" s="98" t="s">
        <v>170</v>
      </c>
      <c r="CU1" s="98"/>
      <c r="CV1" s="98"/>
      <c r="CW1" s="98"/>
      <c r="CX1" s="98"/>
      <c r="CY1" s="98"/>
      <c r="DA1" s="98" t="s">
        <v>169</v>
      </c>
      <c r="DB1" s="98"/>
      <c r="DC1" s="98"/>
      <c r="DD1" s="98"/>
      <c r="DE1" s="98"/>
      <c r="DF1" s="98"/>
    </row>
    <row r="2" spans="1:110" x14ac:dyDescent="0.25">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x14ac:dyDescent="0.25">
      <c r="A3" s="58" t="s">
        <v>173</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0.1</v>
      </c>
      <c r="W3" s="62">
        <f>+SUM($V3:V$3)</f>
        <v>0.1</v>
      </c>
      <c r="X3" s="58">
        <f t="shared" ref="X3:X9" si="3">+J3</f>
        <v>10</v>
      </c>
      <c r="Y3" s="58">
        <f t="shared" ref="Y3:Y9" si="4">+V3*X3</f>
        <v>1</v>
      </c>
      <c r="Z3" s="63">
        <v>0</v>
      </c>
      <c r="AB3" s="60">
        <v>1</v>
      </c>
      <c r="AC3" s="61">
        <v>0.01</v>
      </c>
      <c r="AD3" s="62">
        <f>+SUM($AC$3:AC3)</f>
        <v>0.01</v>
      </c>
      <c r="AE3" s="58">
        <f t="shared" ref="AE3:AE9" si="5">+J3</f>
        <v>10</v>
      </c>
      <c r="AF3" s="58">
        <f t="shared" ref="AF3:AF9" si="6">+AC3*AE3</f>
        <v>0.1</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0.01</v>
      </c>
      <c r="AY3" s="62">
        <f>+SUM($AX$3:AX3)</f>
        <v>0.01</v>
      </c>
      <c r="AZ3" s="58">
        <f t="shared" ref="AZ3:AZ9" si="10">+AE3</f>
        <v>10</v>
      </c>
      <c r="BA3" s="58">
        <f t="shared" ref="BA3:BA9" si="11">+AX3*AZ3</f>
        <v>0.1</v>
      </c>
      <c r="BB3" s="63">
        <v>0</v>
      </c>
      <c r="BD3" s="60">
        <v>1</v>
      </c>
      <c r="BE3" s="61">
        <v>0.06</v>
      </c>
      <c r="BF3" s="62">
        <f>+SUM($BE$3:BE3)</f>
        <v>0.06</v>
      </c>
      <c r="BG3" s="58">
        <f t="shared" ref="BG3:BG9" si="12">+AL3</f>
        <v>10</v>
      </c>
      <c r="BH3" s="58">
        <f t="shared" ref="BH3:BH9" si="13">+BE3*BG3</f>
        <v>0.6</v>
      </c>
      <c r="BI3" s="63">
        <v>0</v>
      </c>
      <c r="BK3" s="60">
        <v>1</v>
      </c>
      <c r="BL3" s="61">
        <v>0.06</v>
      </c>
      <c r="BM3" s="62">
        <f>+SUM($BL$3:BL3)</f>
        <v>0.06</v>
      </c>
      <c r="BN3" s="58">
        <f t="shared" ref="BN3:BN9" si="14">+AS3</f>
        <v>10</v>
      </c>
      <c r="BO3" s="58">
        <f t="shared" ref="BO3:BO9" si="15">+BL3*BN3</f>
        <v>0.6</v>
      </c>
      <c r="BP3" s="63">
        <v>0</v>
      </c>
      <c r="BR3" s="60">
        <v>1</v>
      </c>
      <c r="BS3" s="61">
        <v>0.09</v>
      </c>
      <c r="BT3" s="62">
        <f>+SUM($BS$3:BS3)</f>
        <v>0.09</v>
      </c>
      <c r="BU3" s="58">
        <f t="shared" ref="BU3:BU9" si="16">+AZ3</f>
        <v>10</v>
      </c>
      <c r="BV3" s="58">
        <f t="shared" ref="BV3:BV9" si="17">+BS3*BU3</f>
        <v>0.89999999999999991</v>
      </c>
      <c r="BW3" s="63">
        <v>0</v>
      </c>
      <c r="BY3" s="60">
        <v>1</v>
      </c>
      <c r="BZ3" s="61">
        <v>0.35</v>
      </c>
      <c r="CA3" s="62">
        <f>+SUM($BZ$3:BZ3)</f>
        <v>0.35</v>
      </c>
      <c r="CB3" s="58">
        <f t="shared" ref="CB3:CB9" si="18">+BG3</f>
        <v>10</v>
      </c>
      <c r="CC3" s="58">
        <f t="shared" ref="CC3:CC9" si="19">+BZ3*CB3</f>
        <v>3.5</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x14ac:dyDescent="0.25">
      <c r="A4" s="3" t="s">
        <v>114</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0.25</v>
      </c>
      <c r="W4" s="62">
        <f>+SUM($V$3:V4)</f>
        <v>0.35</v>
      </c>
      <c r="X4" s="58">
        <f t="shared" si="3"/>
        <v>15</v>
      </c>
      <c r="Y4" s="58">
        <f t="shared" si="4"/>
        <v>3.75</v>
      </c>
      <c r="Z4" s="63">
        <v>0</v>
      </c>
      <c r="AB4" s="60">
        <v>2</v>
      </c>
      <c r="AC4" s="61">
        <v>0.05</v>
      </c>
      <c r="AD4" s="62">
        <f>+SUM($AC$3:AC4)</f>
        <v>6.0000000000000005E-2</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7.0000000000000007E-2</v>
      </c>
      <c r="AY4" s="62">
        <f>+SUM($AX$3:AX4)</f>
        <v>0.08</v>
      </c>
      <c r="AZ4" s="58">
        <f t="shared" si="10"/>
        <v>15</v>
      </c>
      <c r="BA4" s="58">
        <f t="shared" si="11"/>
        <v>1.05</v>
      </c>
      <c r="BB4" s="63">
        <v>0</v>
      </c>
      <c r="BD4" s="60">
        <v>2</v>
      </c>
      <c r="BE4" s="61">
        <v>0.1</v>
      </c>
      <c r="BF4" s="62">
        <f>+SUM($BE$3:BE4)</f>
        <v>0.16</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0.19</v>
      </c>
      <c r="BU4" s="58">
        <f t="shared" si="16"/>
        <v>15</v>
      </c>
      <c r="BV4" s="58">
        <f t="shared" si="17"/>
        <v>1.5</v>
      </c>
      <c r="BW4" s="63">
        <v>0</v>
      </c>
      <c r="BY4" s="60">
        <v>2</v>
      </c>
      <c r="BZ4" s="61">
        <v>0.3</v>
      </c>
      <c r="CA4" s="62">
        <f>+SUM($BZ$3:BZ4)</f>
        <v>0.64999999999999991</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x14ac:dyDescent="0.25">
      <c r="A5" s="3" t="s">
        <v>115</v>
      </c>
      <c r="B5" s="58">
        <f>+E5/D5</f>
        <v>0.17297297297297293</v>
      </c>
      <c r="C5" s="3">
        <v>0</v>
      </c>
      <c r="D5" s="64">
        <f>+Y10</f>
        <v>46.250000000000014</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0.2</v>
      </c>
      <c r="W5" s="62">
        <f>+SUM($V$3:V5)</f>
        <v>0.55000000000000004</v>
      </c>
      <c r="X5" s="58">
        <f t="shared" si="3"/>
        <v>20</v>
      </c>
      <c r="Y5" s="58">
        <f t="shared" si="4"/>
        <v>4</v>
      </c>
      <c r="Z5" s="63">
        <v>0</v>
      </c>
      <c r="AB5" s="60">
        <v>3</v>
      </c>
      <c r="AC5" s="61">
        <v>0.16</v>
      </c>
      <c r="AD5" s="62">
        <f>+SUM($AC$3:AC5)</f>
        <v>0.22</v>
      </c>
      <c r="AE5" s="58">
        <f t="shared" si="5"/>
        <v>20</v>
      </c>
      <c r="AF5" s="58">
        <f t="shared" si="6"/>
        <v>3.2</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v>
      </c>
      <c r="BF5" s="62">
        <f>+SUM($BE$3:BE5)</f>
        <v>0.36</v>
      </c>
      <c r="BG5" s="58">
        <f t="shared" si="12"/>
        <v>20</v>
      </c>
      <c r="BH5" s="58">
        <f t="shared" si="13"/>
        <v>4</v>
      </c>
      <c r="BI5" s="63">
        <v>0</v>
      </c>
      <c r="BK5" s="60">
        <v>3</v>
      </c>
      <c r="BL5" s="61">
        <v>0.15</v>
      </c>
      <c r="BM5" s="62">
        <f>+SUM($BL$3:BL5)</f>
        <v>0.31</v>
      </c>
      <c r="BN5" s="58">
        <f t="shared" si="14"/>
        <v>20</v>
      </c>
      <c r="BO5" s="58">
        <f t="shared" si="15"/>
        <v>3</v>
      </c>
      <c r="BP5" s="63">
        <v>0</v>
      </c>
      <c r="BR5" s="60">
        <v>3</v>
      </c>
      <c r="BS5" s="61">
        <v>0.2</v>
      </c>
      <c r="BT5" s="62">
        <f>+SUM($BS$3:BS5)</f>
        <v>0.39</v>
      </c>
      <c r="BU5" s="58">
        <f t="shared" si="16"/>
        <v>20</v>
      </c>
      <c r="BV5" s="58">
        <f t="shared" si="17"/>
        <v>4</v>
      </c>
      <c r="BW5" s="63">
        <v>0</v>
      </c>
      <c r="BY5" s="60">
        <v>3</v>
      </c>
      <c r="BZ5" s="61">
        <v>0.2</v>
      </c>
      <c r="CA5" s="62">
        <f>+SUM($BZ$3:BZ5)</f>
        <v>0.84999999999999987</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x14ac:dyDescent="0.25">
      <c r="A6" s="80" t="s">
        <v>116</v>
      </c>
      <c r="B6" s="75">
        <f>+E6/D6</f>
        <v>0.19342359767891681</v>
      </c>
      <c r="C6" s="3">
        <v>0</v>
      </c>
      <c r="D6" s="64">
        <f>+AF10</f>
        <v>51.7</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0.75</v>
      </c>
      <c r="X6" s="58">
        <f t="shared" si="3"/>
        <v>40</v>
      </c>
      <c r="Y6" s="58">
        <f t="shared" si="4"/>
        <v>8</v>
      </c>
      <c r="Z6" s="63">
        <v>0</v>
      </c>
      <c r="AB6" s="60">
        <v>4</v>
      </c>
      <c r="AC6" s="61">
        <v>0.36</v>
      </c>
      <c r="AD6" s="62">
        <f>+SUM($AC$3:AC6)</f>
        <v>0.57999999999999996</v>
      </c>
      <c r="AE6" s="58">
        <f t="shared" si="5"/>
        <v>40</v>
      </c>
      <c r="AF6" s="58">
        <f t="shared" si="6"/>
        <v>14.399999999999999</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v>
      </c>
      <c r="BF6" s="62">
        <f>+SUM($BE$3:BE6)</f>
        <v>0.56000000000000005</v>
      </c>
      <c r="BG6" s="58">
        <f t="shared" si="12"/>
        <v>40</v>
      </c>
      <c r="BH6" s="58">
        <f t="shared" si="13"/>
        <v>8</v>
      </c>
      <c r="BI6" s="63">
        <v>0</v>
      </c>
      <c r="BK6" s="60">
        <v>4</v>
      </c>
      <c r="BL6" s="61">
        <v>0.3</v>
      </c>
      <c r="BM6" s="62">
        <f>+SUM($BL$3:BL6)</f>
        <v>0.61</v>
      </c>
      <c r="BN6" s="58">
        <f t="shared" si="14"/>
        <v>40</v>
      </c>
      <c r="BO6" s="58">
        <f t="shared" si="15"/>
        <v>12</v>
      </c>
      <c r="BP6" s="63">
        <v>0</v>
      </c>
      <c r="BR6" s="60">
        <v>4</v>
      </c>
      <c r="BS6" s="61">
        <v>0.25</v>
      </c>
      <c r="BT6" s="62">
        <f>+SUM($BS$3:BS6)</f>
        <v>0.64</v>
      </c>
      <c r="BU6" s="58">
        <f t="shared" si="16"/>
        <v>40</v>
      </c>
      <c r="BV6" s="58">
        <f t="shared" si="17"/>
        <v>10</v>
      </c>
      <c r="BW6" s="63">
        <v>0</v>
      </c>
      <c r="BY6" s="60">
        <v>4</v>
      </c>
      <c r="BZ6" s="61">
        <v>0.1</v>
      </c>
      <c r="CA6" s="62">
        <f>+SUM($BZ$3:BZ6)</f>
        <v>0.94999999999999984</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x14ac:dyDescent="0.25">
      <c r="A7" s="75" t="s">
        <v>133</v>
      </c>
      <c r="B7" s="75">
        <f t="shared" ref="B7:B13"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v>
      </c>
      <c r="W7" s="62">
        <f>+SUM($V$3:V7)</f>
        <v>0.85</v>
      </c>
      <c r="X7" s="58">
        <f t="shared" si="3"/>
        <v>75</v>
      </c>
      <c r="Y7" s="58">
        <f t="shared" si="4"/>
        <v>7.5</v>
      </c>
      <c r="Z7" s="63">
        <v>0</v>
      </c>
      <c r="AB7" s="60">
        <v>5</v>
      </c>
      <c r="AC7" s="61">
        <v>0.39</v>
      </c>
      <c r="AD7" s="62">
        <f>+SUM($AC$3:AC7)</f>
        <v>0.97</v>
      </c>
      <c r="AE7" s="58">
        <f t="shared" si="5"/>
        <v>75</v>
      </c>
      <c r="AF7" s="58">
        <f t="shared" si="6"/>
        <v>29.25</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0.77</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0.8</v>
      </c>
      <c r="BU7" s="58">
        <f t="shared" si="16"/>
        <v>75</v>
      </c>
      <c r="BV7" s="58">
        <f t="shared" si="17"/>
        <v>12</v>
      </c>
      <c r="BW7" s="63">
        <v>0</v>
      </c>
      <c r="BY7" s="60">
        <v>5</v>
      </c>
      <c r="BZ7" s="61">
        <v>0.02</v>
      </c>
      <c r="CA7" s="62">
        <f>+SUM($BZ$3:BZ7)</f>
        <v>0.96999999999999986</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x14ac:dyDescent="0.25">
      <c r="A8" s="75" t="s">
        <v>134</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0.08</v>
      </c>
      <c r="W8" s="62">
        <f>+SUM($V$3:V8)</f>
        <v>0.92999999999999994</v>
      </c>
      <c r="X8" s="58">
        <f t="shared" si="3"/>
        <v>100</v>
      </c>
      <c r="Y8" s="58">
        <f t="shared" si="4"/>
        <v>8</v>
      </c>
      <c r="Z8" s="63">
        <v>0</v>
      </c>
      <c r="AB8" s="60">
        <v>6</v>
      </c>
      <c r="AC8" s="61">
        <v>0.02</v>
      </c>
      <c r="AD8" s="62">
        <f>+SUM($AC$3:AC8)</f>
        <v>0.99</v>
      </c>
      <c r="AE8" s="58">
        <f t="shared" si="5"/>
        <v>100</v>
      </c>
      <c r="AF8" s="58">
        <f t="shared" si="6"/>
        <v>2</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0.13</v>
      </c>
      <c r="BF8" s="62">
        <f>+SUM($BE$3:BE8)</f>
        <v>0.9</v>
      </c>
      <c r="BG8" s="58">
        <f t="shared" si="12"/>
        <v>100</v>
      </c>
      <c r="BH8" s="58">
        <f t="shared" si="13"/>
        <v>13</v>
      </c>
      <c r="BI8" s="63">
        <v>0</v>
      </c>
      <c r="BK8" s="60">
        <v>6</v>
      </c>
      <c r="BL8" s="61">
        <v>0.1</v>
      </c>
      <c r="BM8" s="62">
        <f>+SUM($BL$3:BL8)</f>
        <v>0.94</v>
      </c>
      <c r="BN8" s="58">
        <f t="shared" si="14"/>
        <v>100</v>
      </c>
      <c r="BO8" s="58">
        <f t="shared" si="15"/>
        <v>10</v>
      </c>
      <c r="BP8" s="63">
        <v>0</v>
      </c>
      <c r="BR8" s="60">
        <v>6</v>
      </c>
      <c r="BS8" s="61">
        <v>0.11</v>
      </c>
      <c r="BT8" s="62">
        <f>+SUM($BS$3:BS8)</f>
        <v>0.91</v>
      </c>
      <c r="BU8" s="58">
        <f t="shared" si="16"/>
        <v>100</v>
      </c>
      <c r="BV8" s="58">
        <f t="shared" si="17"/>
        <v>11</v>
      </c>
      <c r="BW8" s="63">
        <v>0</v>
      </c>
      <c r="BY8" s="60">
        <v>6</v>
      </c>
      <c r="BZ8" s="61">
        <v>0.02</v>
      </c>
      <c r="CA8" s="62">
        <f>+SUM($BZ$3:BZ8)</f>
        <v>0.98999999999999988</v>
      </c>
      <c r="CB8" s="58">
        <f t="shared" si="18"/>
        <v>100</v>
      </c>
      <c r="CC8" s="58">
        <f t="shared" si="19"/>
        <v>2</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x14ac:dyDescent="0.25">
      <c r="A9" s="75" t="s">
        <v>135</v>
      </c>
      <c r="B9" s="75">
        <f t="shared" si="34"/>
        <v>0.19083969465648856</v>
      </c>
      <c r="C9" s="3">
        <v>0</v>
      </c>
      <c r="D9" s="64">
        <f>+BA10</f>
        <v>52.4</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7.0000000000000062E-2</v>
      </c>
      <c r="W9" s="62">
        <f>+SUM($V$3:V9)</f>
        <v>1</v>
      </c>
      <c r="X9" s="58">
        <f t="shared" si="3"/>
        <v>200</v>
      </c>
      <c r="Y9" s="58">
        <f t="shared" si="4"/>
        <v>14.000000000000012</v>
      </c>
      <c r="Z9" s="63">
        <v>0</v>
      </c>
      <c r="AB9" s="60">
        <v>7</v>
      </c>
      <c r="AC9" s="66">
        <f>1-SUM(AC3:AC8)</f>
        <v>1.0000000000000009E-2</v>
      </c>
      <c r="AD9" s="62">
        <f>+SUM($AC$3:AC9)</f>
        <v>1</v>
      </c>
      <c r="AE9" s="58">
        <f t="shared" si="5"/>
        <v>200</v>
      </c>
      <c r="AF9" s="58">
        <f t="shared" si="6"/>
        <v>2.0000000000000018</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9.9999999999999978E-2</v>
      </c>
      <c r="BF9" s="62">
        <f>+SUM($BE$3:BE9)</f>
        <v>1</v>
      </c>
      <c r="BG9" s="58">
        <f t="shared" si="12"/>
        <v>200</v>
      </c>
      <c r="BH9" s="58">
        <f t="shared" si="13"/>
        <v>19.999999999999996</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1.000000000000012E-2</v>
      </c>
      <c r="CA9" s="62">
        <f>+SUM($BZ$3:BZ9)</f>
        <v>1</v>
      </c>
      <c r="CB9" s="58">
        <f t="shared" si="18"/>
        <v>200</v>
      </c>
      <c r="CC9" s="58">
        <f t="shared" si="19"/>
        <v>2.000000000000024</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x14ac:dyDescent="0.25">
      <c r="A10" s="75" t="s">
        <v>136</v>
      </c>
      <c r="B10" s="75">
        <f t="shared" si="34"/>
        <v>0.17501988862370726</v>
      </c>
      <c r="C10" s="3">
        <v>0</v>
      </c>
      <c r="D10" s="64">
        <f>+BH10</f>
        <v>62.849999999999994</v>
      </c>
      <c r="E10" s="3">
        <v>11</v>
      </c>
      <c r="G10" s="50" t="s">
        <v>71</v>
      </c>
      <c r="H10" s="50">
        <f>+SUM(H3:H9)</f>
        <v>1</v>
      </c>
      <c r="I10" s="50"/>
      <c r="J10" s="50"/>
      <c r="K10" s="51">
        <f>+SUM(K3:K9)</f>
        <v>15.224999999999978</v>
      </c>
      <c r="L10" s="51"/>
      <c r="N10" s="50" t="s">
        <v>71</v>
      </c>
      <c r="O10" s="50">
        <f>+SUM(O3:O9)</f>
        <v>1</v>
      </c>
      <c r="P10" s="50"/>
      <c r="Q10" s="50"/>
      <c r="R10" s="51">
        <f>+SUM(R3:R9)</f>
        <v>37.849999999999994</v>
      </c>
      <c r="S10" s="51"/>
      <c r="U10" s="50" t="s">
        <v>71</v>
      </c>
      <c r="V10" s="50">
        <f>+SUM(V3:V9)</f>
        <v>1</v>
      </c>
      <c r="W10" s="50"/>
      <c r="X10" s="50"/>
      <c r="Y10" s="51">
        <f>+SUM(Y3:Y9)</f>
        <v>46.250000000000014</v>
      </c>
      <c r="Z10" s="51"/>
      <c r="AB10" s="50" t="s">
        <v>71</v>
      </c>
      <c r="AC10" s="50">
        <f>+SUM(AC3:AC9)</f>
        <v>1</v>
      </c>
      <c r="AD10" s="50"/>
      <c r="AE10" s="50"/>
      <c r="AF10" s="51">
        <f>+SUM(AF3:AF9)</f>
        <v>51.7</v>
      </c>
      <c r="AG10" s="51"/>
      <c r="AI10" s="50" t="s">
        <v>71</v>
      </c>
      <c r="AJ10" s="50">
        <f>+SUM(AJ3:AJ9)</f>
        <v>1</v>
      </c>
      <c r="AK10" s="50"/>
      <c r="AL10" s="50"/>
      <c r="AM10" s="51">
        <f>+SUM(AM3:AM9)</f>
        <v>104.25</v>
      </c>
      <c r="AN10" s="51"/>
      <c r="AP10" s="50" t="s">
        <v>71</v>
      </c>
      <c r="AQ10" s="50">
        <f>+SUM(AQ3:AQ9)</f>
        <v>1</v>
      </c>
      <c r="AR10" s="50"/>
      <c r="AS10" s="50"/>
      <c r="AT10" s="51">
        <f>+SUM(AT3:AT9)</f>
        <v>21.25</v>
      </c>
      <c r="AU10" s="51"/>
      <c r="AW10" s="50" t="s">
        <v>71</v>
      </c>
      <c r="AX10" s="50">
        <f>+SUM(AX3:AX9)</f>
        <v>1</v>
      </c>
      <c r="AY10" s="50"/>
      <c r="AZ10" s="50"/>
      <c r="BA10" s="51">
        <f>+SUM(BA3:BA9)</f>
        <v>52.4</v>
      </c>
      <c r="BB10" s="51"/>
      <c r="BD10" s="50" t="s">
        <v>71</v>
      </c>
      <c r="BE10" s="50">
        <f>+SUM(BE3:BE9)</f>
        <v>1</v>
      </c>
      <c r="BF10" s="50"/>
      <c r="BG10" s="50"/>
      <c r="BH10" s="51">
        <f>+SUM(BH3:BH9)</f>
        <v>62.849999999999994</v>
      </c>
      <c r="BI10" s="51"/>
      <c r="BK10" s="50" t="s">
        <v>71</v>
      </c>
      <c r="BL10" s="50">
        <f>+SUM(BL3:BL9)</f>
        <v>1</v>
      </c>
      <c r="BM10" s="50"/>
      <c r="BN10" s="50"/>
      <c r="BO10" s="51">
        <f>+SUM(BO3:BO9)</f>
        <v>56.350000000000009</v>
      </c>
      <c r="BP10" s="51"/>
      <c r="BR10" s="50" t="s">
        <v>71</v>
      </c>
      <c r="BS10" s="50">
        <f>+SUM(BS3:BS9)</f>
        <v>1</v>
      </c>
      <c r="BT10" s="50"/>
      <c r="BU10" s="50"/>
      <c r="BV10" s="51">
        <f>+SUM(BV3:BV9)</f>
        <v>57.399999999999991</v>
      </c>
      <c r="BW10" s="51"/>
      <c r="BY10" s="50" t="s">
        <v>71</v>
      </c>
      <c r="BZ10" s="50">
        <f>+SUM(BZ3:BZ9)</f>
        <v>1</v>
      </c>
      <c r="CA10" s="50"/>
      <c r="CB10" s="50"/>
      <c r="CC10" s="51">
        <f>+SUM(CC3:CC9)</f>
        <v>21.500000000000025</v>
      </c>
      <c r="CD10" s="51"/>
      <c r="CF10" s="50" t="s">
        <v>71</v>
      </c>
      <c r="CG10" s="50">
        <f>+SUM(CG3:CG9)</f>
        <v>1</v>
      </c>
      <c r="CH10" s="50"/>
      <c r="CI10" s="50"/>
      <c r="CJ10" s="51">
        <f>+SUM(CJ3:CJ9)</f>
        <v>100</v>
      </c>
      <c r="CK10" s="51"/>
      <c r="CM10" s="50" t="s">
        <v>71</v>
      </c>
      <c r="CN10" s="50">
        <f>+SUM(CN3:CN9)</f>
        <v>1</v>
      </c>
      <c r="CO10" s="50"/>
      <c r="CP10" s="50"/>
      <c r="CQ10" s="51">
        <f>+SUM(CQ3:CQ9)</f>
        <v>15.224999999999978</v>
      </c>
      <c r="CR10" s="51"/>
      <c r="CT10" s="50" t="s">
        <v>71</v>
      </c>
      <c r="CU10" s="50">
        <f>+SUM(CU3:CU9)</f>
        <v>1</v>
      </c>
      <c r="CV10" s="50"/>
      <c r="CW10" s="50"/>
      <c r="CX10" s="51">
        <f>+SUM(CX3:CX9)</f>
        <v>30.449999999999957</v>
      </c>
      <c r="CY10" s="51"/>
      <c r="DA10" s="50" t="s">
        <v>71</v>
      </c>
      <c r="DB10" s="50">
        <f>+SUM(DB3:DB9)</f>
        <v>1</v>
      </c>
      <c r="DC10" s="50"/>
      <c r="DD10" s="50"/>
      <c r="DE10" s="51">
        <f>+SUM(DE3:DE9)</f>
        <v>116</v>
      </c>
      <c r="DF10" s="51"/>
    </row>
    <row r="11" spans="1:110" x14ac:dyDescent="0.25">
      <c r="A11" s="75" t="s">
        <v>137</v>
      </c>
      <c r="B11" s="75">
        <f t="shared" si="34"/>
        <v>0.19520851818988463</v>
      </c>
      <c r="C11" s="3">
        <v>0</v>
      </c>
      <c r="D11" s="64">
        <f>+BO10</f>
        <v>56.350000000000009</v>
      </c>
      <c r="E11" s="3">
        <v>11</v>
      </c>
    </row>
    <row r="12" spans="1:110" x14ac:dyDescent="0.25">
      <c r="A12" s="75" t="s">
        <v>138</v>
      </c>
      <c r="B12" s="75">
        <f t="shared" si="34"/>
        <v>0.1742160278745645</v>
      </c>
      <c r="C12" s="3">
        <v>0</v>
      </c>
      <c r="D12" s="64">
        <f>+BV10</f>
        <v>57.399999999999991</v>
      </c>
      <c r="E12" s="3">
        <v>10</v>
      </c>
    </row>
    <row r="13" spans="1:110" x14ac:dyDescent="0.25">
      <c r="A13" s="85" t="s">
        <v>171</v>
      </c>
      <c r="B13" s="75">
        <f t="shared" si="34"/>
        <v>7.6976744186046428E-2</v>
      </c>
      <c r="C13" s="3">
        <f>1/B13/Summary!$C$7</f>
        <v>1.2990936555891253E-2</v>
      </c>
      <c r="D13" s="64">
        <f>+CC10</f>
        <v>21.500000000000025</v>
      </c>
      <c r="E13" s="3">
        <f>1+E3</f>
        <v>1.655</v>
      </c>
    </row>
    <row r="14" spans="1:110" x14ac:dyDescent="0.25">
      <c r="A14" s="85" t="s">
        <v>166</v>
      </c>
      <c r="B14" s="58">
        <f>+E14/D14</f>
        <v>8.6042692939244783E-2</v>
      </c>
      <c r="C14" s="3">
        <f>1/B14/Summary!$C$7</f>
        <v>1.1622137404580136E-2</v>
      </c>
      <c r="D14" s="86">
        <f>+CQ10</f>
        <v>15.224999999999978</v>
      </c>
      <c r="E14" s="3">
        <f>+E3*2</f>
        <v>1.31</v>
      </c>
    </row>
    <row r="15" spans="1:110" x14ac:dyDescent="0.25">
      <c r="A15" s="85" t="s">
        <v>167</v>
      </c>
      <c r="B15" s="58">
        <f>+E15/D15</f>
        <v>4.3021346469622392E-2</v>
      </c>
      <c r="C15" s="3">
        <f>1/B15/Summary!$C$7</f>
        <v>2.3244274809160272E-2</v>
      </c>
      <c r="D15" s="86">
        <f>+CX10</f>
        <v>30.449999999999957</v>
      </c>
      <c r="E15" s="3">
        <f>+E14</f>
        <v>1.31</v>
      </c>
    </row>
    <row r="16" spans="1:110" x14ac:dyDescent="0.25">
      <c r="A16" s="75" t="s">
        <v>165</v>
      </c>
      <c r="B16" s="58">
        <f>+E16/D16</f>
        <v>0.17241379310344829</v>
      </c>
      <c r="C16" s="3">
        <v>0</v>
      </c>
      <c r="D16" s="86">
        <f>+DE10</f>
        <v>116</v>
      </c>
      <c r="E16" s="3">
        <v>20</v>
      </c>
    </row>
    <row r="17" spans="1:5" x14ac:dyDescent="0.25">
      <c r="A17" s="3" t="s">
        <v>117</v>
      </c>
      <c r="B17" s="58">
        <f>+E17/D17</f>
        <v>0.5</v>
      </c>
      <c r="C17" s="3">
        <v>0</v>
      </c>
      <c r="D17" s="64">
        <f>+CJ10</f>
        <v>100</v>
      </c>
      <c r="E17" s="3">
        <v>50</v>
      </c>
    </row>
    <row r="18" spans="1:5" x14ac:dyDescent="0.25">
      <c r="A18" s="3" t="s">
        <v>118</v>
      </c>
      <c r="B18" s="65" t="str">
        <f>+CONCATENATE("x",J3," - x",J9)</f>
        <v>x10 - x200</v>
      </c>
    </row>
    <row r="20" spans="1:5" x14ac:dyDescent="0.25">
      <c r="A20" t="s">
        <v>172</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102" operator="lessThan">
      <formula>0</formula>
    </cfRule>
    <cfRule type="cellIs" priority="103" operator="greaterThan">
      <formula>1</formula>
    </cfRule>
  </conditionalFormatting>
  <conditionalFormatting sqref="H3:H9 O3:O9 CG3:CG9 V3:V9 AC3:AC9 AJ3:AJ9 AQ3:AQ9 AX3:AX9 BZ3:BZ9 BE3:BE9 BL3:BL9 BS3:BS9">
    <cfRule type="cellIs" priority="101" operator="equal">
      <formula>0</formula>
    </cfRule>
  </conditionalFormatting>
  <conditionalFormatting sqref="B3:B17">
    <cfRule type="cellIs" priority="99" operator="greaterThan">
      <formula>1</formula>
    </cfRule>
    <cfRule type="cellIs" priority="100" operator="lessThan">
      <formula>0</formula>
    </cfRule>
  </conditionalFormatting>
  <conditionalFormatting sqref="H3:H9 O3:O9 V3:V9 AC3:AC9">
    <cfRule type="cellIs" priority="97" operator="lessThan">
      <formula>0</formula>
    </cfRule>
    <cfRule type="cellIs" priority="98" operator="greaterThan">
      <formula>1</formula>
    </cfRule>
  </conditionalFormatting>
  <conditionalFormatting sqref="H3:H9 O3:O9 V3:V9 AC3:AC9">
    <cfRule type="cellIs" priority="96" operator="equal">
      <formula>0</formula>
    </cfRule>
  </conditionalFormatting>
  <conditionalFormatting sqref="H3:H9">
    <cfRule type="cellIs" priority="94" operator="lessThan">
      <formula>0</formula>
    </cfRule>
    <cfRule type="cellIs" priority="95" operator="greaterThan">
      <formula>1</formula>
    </cfRule>
  </conditionalFormatting>
  <conditionalFormatting sqref="H3:H9">
    <cfRule type="cellIs" priority="93" operator="equal">
      <formula>0</formula>
    </cfRule>
  </conditionalFormatting>
  <conditionalFormatting sqref="H3:H9">
    <cfRule type="cellIs" priority="91" operator="lessThan">
      <formula>0</formula>
    </cfRule>
    <cfRule type="cellIs" priority="92" operator="greaterThan">
      <formula>1</formula>
    </cfRule>
  </conditionalFormatting>
  <conditionalFormatting sqref="H3:H9">
    <cfRule type="cellIs" priority="90" operator="equal">
      <formula>0</formula>
    </cfRule>
  </conditionalFormatting>
  <conditionalFormatting sqref="CG3:CG9">
    <cfRule type="cellIs" priority="88" operator="lessThan">
      <formula>0</formula>
    </cfRule>
    <cfRule type="cellIs" priority="89" operator="greaterThan">
      <formula>1</formula>
    </cfRule>
  </conditionalFormatting>
  <conditionalFormatting sqref="CG3:CG9">
    <cfRule type="cellIs" priority="87" operator="equal">
      <formula>0</formula>
    </cfRule>
  </conditionalFormatting>
  <conditionalFormatting sqref="H3:H9 O3:O9 V3:V9 AC3:AC9">
    <cfRule type="cellIs" priority="85" operator="lessThan">
      <formula>0</formula>
    </cfRule>
    <cfRule type="cellIs" priority="86" operator="greaterThan">
      <formula>1</formula>
    </cfRule>
  </conditionalFormatting>
  <conditionalFormatting sqref="H3:H9 O3:O9 V3:V9 AC3:AC9">
    <cfRule type="cellIs" priority="84" operator="equal">
      <formula>0</formula>
    </cfRule>
  </conditionalFormatting>
  <conditionalFormatting sqref="H3:H9 O3:O9 V3:V9 AC3:AC9">
    <cfRule type="cellIs" priority="82" operator="lessThan">
      <formula>0</formula>
    </cfRule>
    <cfRule type="cellIs" priority="83" operator="greaterThan">
      <formula>1</formula>
    </cfRule>
  </conditionalFormatting>
  <conditionalFormatting sqref="H3:H9 O3:O9 V3:V9 AC3:AC9">
    <cfRule type="cellIs" priority="81" operator="equal">
      <formula>0</formula>
    </cfRule>
  </conditionalFormatting>
  <conditionalFormatting sqref="CG3:CG9">
    <cfRule type="cellIs" priority="79" operator="lessThan">
      <formula>0</formula>
    </cfRule>
    <cfRule type="cellIs" priority="80" operator="greaterThan">
      <formula>1</formula>
    </cfRule>
  </conditionalFormatting>
  <conditionalFormatting sqref="CG3:CG9">
    <cfRule type="cellIs" priority="78" operator="equal">
      <formula>0</formula>
    </cfRule>
  </conditionalFormatting>
  <conditionalFormatting sqref="CG7:CG8">
    <cfRule type="cellIs" priority="76" operator="lessThan">
      <formula>0</formula>
    </cfRule>
    <cfRule type="cellIs" priority="77" operator="greaterThan">
      <formula>1</formula>
    </cfRule>
  </conditionalFormatting>
  <conditionalFormatting sqref="CG7:CG8">
    <cfRule type="cellIs" priority="75" operator="equal">
      <formula>0</formula>
    </cfRule>
  </conditionalFormatting>
  <conditionalFormatting sqref="CG3:CG9">
    <cfRule type="cellIs" priority="73" operator="lessThan">
      <formula>0</formula>
    </cfRule>
    <cfRule type="cellIs" priority="74" operator="greaterThan">
      <formula>1</formula>
    </cfRule>
  </conditionalFormatting>
  <conditionalFormatting sqref="CG3:CG9">
    <cfRule type="cellIs" priority="72" operator="equal">
      <formula>0</formula>
    </cfRule>
  </conditionalFormatting>
  <conditionalFormatting sqref="CG7:CG8">
    <cfRule type="cellIs" priority="70" operator="lessThan">
      <formula>0</formula>
    </cfRule>
    <cfRule type="cellIs" priority="71" operator="greaterThan">
      <formula>1</formula>
    </cfRule>
  </conditionalFormatting>
  <conditionalFormatting sqref="CG7:CG8">
    <cfRule type="cellIs" priority="69" operator="equal">
      <formula>0</formula>
    </cfRule>
  </conditionalFormatting>
  <conditionalFormatting sqref="H3:H9 O3:O9 V3:V9 AC3:AC9">
    <cfRule type="cellIs" priority="67" operator="lessThan">
      <formula>0</formula>
    </cfRule>
    <cfRule type="cellIs" priority="68" operator="greaterThan">
      <formula>1</formula>
    </cfRule>
  </conditionalFormatting>
  <conditionalFormatting sqref="H3:H9 O3:O9 V3:V9 AC3:AC9">
    <cfRule type="cellIs" priority="66" operator="equal">
      <formula>0</formula>
    </cfRule>
  </conditionalFormatting>
  <conditionalFormatting sqref="CG3:CG9">
    <cfRule type="cellIs" priority="64" operator="lessThan">
      <formula>0</formula>
    </cfRule>
    <cfRule type="cellIs" priority="65" operator="greaterThan">
      <formula>1</formula>
    </cfRule>
  </conditionalFormatting>
  <conditionalFormatting sqref="CG3:CG9">
    <cfRule type="cellIs" priority="63" operator="equal">
      <formula>0</formula>
    </cfRule>
  </conditionalFormatting>
  <conditionalFormatting sqref="CG7:CG8">
    <cfRule type="cellIs" priority="61" operator="lessThan">
      <formula>0</formula>
    </cfRule>
    <cfRule type="cellIs" priority="62" operator="greaterThan">
      <formula>1</formula>
    </cfRule>
  </conditionalFormatting>
  <conditionalFormatting sqref="CG7:CG8">
    <cfRule type="cellIs" priority="60" operator="equal">
      <formula>0</formula>
    </cfRule>
  </conditionalFormatting>
  <conditionalFormatting sqref="H3:H9 O3:O9 V3:V9 AC3:AC9">
    <cfRule type="cellIs" priority="58" operator="lessThan">
      <formula>0</formula>
    </cfRule>
    <cfRule type="cellIs" priority="59" operator="greaterThan">
      <formula>1</formula>
    </cfRule>
  </conditionalFormatting>
  <conditionalFormatting sqref="H3:H9 O3:O9 V3:V9 AC3:AC9">
    <cfRule type="cellIs" priority="57" operator="equal">
      <formula>0</formula>
    </cfRule>
  </conditionalFormatting>
  <conditionalFormatting sqref="O3:O9">
    <cfRule type="cellIs" priority="55" operator="lessThan">
      <formula>0</formula>
    </cfRule>
    <cfRule type="cellIs" priority="56" operator="greaterThan">
      <formula>1</formula>
    </cfRule>
  </conditionalFormatting>
  <conditionalFormatting sqref="O3:O9">
    <cfRule type="cellIs" priority="54" operator="equal">
      <formula>0</formula>
    </cfRule>
  </conditionalFormatting>
  <conditionalFormatting sqref="V3:V8">
    <cfRule type="cellIs" priority="52" operator="lessThan">
      <formula>0</formula>
    </cfRule>
    <cfRule type="cellIs" priority="53" operator="greaterThan">
      <formula>1</formula>
    </cfRule>
  </conditionalFormatting>
  <conditionalFormatting sqref="V3:V8">
    <cfRule type="cellIs" priority="51" operator="equal">
      <formula>0</formula>
    </cfRule>
  </conditionalFormatting>
  <conditionalFormatting sqref="AC3:AC8">
    <cfRule type="cellIs" priority="49" operator="lessThan">
      <formula>0</formula>
    </cfRule>
    <cfRule type="cellIs" priority="50" operator="greaterThan">
      <formula>1</formula>
    </cfRule>
  </conditionalFormatting>
  <conditionalFormatting sqref="AC3:AC8">
    <cfRule type="cellIs" priority="48" operator="equal">
      <formula>0</formula>
    </cfRule>
  </conditionalFormatting>
  <conditionalFormatting sqref="H3:H9 O3:O9 V3:V9 AC3:AC9">
    <cfRule type="cellIs" priority="46" operator="lessThan">
      <formula>0</formula>
    </cfRule>
    <cfRule type="cellIs" priority="47" operator="greaterThan">
      <formula>1</formula>
    </cfRule>
  </conditionalFormatting>
  <conditionalFormatting sqref="H3:H9 O3:O9 V3:V9 AC3:AC9">
    <cfRule type="cellIs" priority="45" operator="equal">
      <formula>0</formula>
    </cfRule>
  </conditionalFormatting>
  <conditionalFormatting sqref="CG3:CG9">
    <cfRule type="cellIs" priority="43" operator="lessThan">
      <formula>0</formula>
    </cfRule>
    <cfRule type="cellIs" priority="44" operator="greaterThan">
      <formula>1</formula>
    </cfRule>
  </conditionalFormatting>
  <conditionalFormatting sqref="CG3:CG9">
    <cfRule type="cellIs" priority="42" operator="equal">
      <formula>0</formula>
    </cfRule>
  </conditionalFormatting>
  <conditionalFormatting sqref="H3:H9 O3:O9 V3:V9 AC3:AC9">
    <cfRule type="cellIs" priority="40" operator="lessThan">
      <formula>0</formula>
    </cfRule>
    <cfRule type="cellIs" priority="41" operator="greaterThan">
      <formula>1</formula>
    </cfRule>
  </conditionalFormatting>
  <conditionalFormatting sqref="H3:H9 O3:O9 V3:V9 AC3:AC9">
    <cfRule type="cellIs" priority="39" operator="equal">
      <formula>0</formula>
    </cfRule>
  </conditionalFormatting>
  <conditionalFormatting sqref="CG3:CG9">
    <cfRule type="cellIs" priority="37" operator="lessThan">
      <formula>0</formula>
    </cfRule>
    <cfRule type="cellIs" priority="38" operator="greaterThan">
      <formula>1</formula>
    </cfRule>
  </conditionalFormatting>
  <conditionalFormatting sqref="CG3:CG9">
    <cfRule type="cellIs" priority="36" operator="equal">
      <formula>0</formula>
    </cfRule>
  </conditionalFormatting>
  <conditionalFormatting sqref="CG3:CG8">
    <cfRule type="cellIs" priority="34" operator="lessThan">
      <formula>0</formula>
    </cfRule>
    <cfRule type="cellIs" priority="35" operator="greaterThan">
      <formula>1</formula>
    </cfRule>
  </conditionalFormatting>
  <conditionalFormatting sqref="CG3:CG8">
    <cfRule type="cellIs" priority="33" operator="equal">
      <formula>0</formula>
    </cfRule>
  </conditionalFormatting>
  <conditionalFormatting sqref="CN3:CN9">
    <cfRule type="cellIs" priority="31" operator="lessThan">
      <formula>0</formula>
    </cfRule>
    <cfRule type="cellIs" priority="32" operator="greaterThan">
      <formula>1</formula>
    </cfRule>
  </conditionalFormatting>
  <conditionalFormatting sqref="CN3:CN9">
    <cfRule type="cellIs" priority="30" operator="equal">
      <formula>0</formula>
    </cfRule>
  </conditionalFormatting>
  <conditionalFormatting sqref="CU3:CU9">
    <cfRule type="cellIs" priority="28" operator="lessThan">
      <formula>0</formula>
    </cfRule>
    <cfRule type="cellIs" priority="29" operator="greaterThan">
      <formula>1</formula>
    </cfRule>
  </conditionalFormatting>
  <conditionalFormatting sqref="CU3:CU9">
    <cfRule type="cellIs" priority="27" operator="equal">
      <formula>0</formula>
    </cfRule>
  </conditionalFormatting>
  <conditionalFormatting sqref="DB3:DB9">
    <cfRule type="cellIs" priority="25" operator="lessThan">
      <formula>0</formula>
    </cfRule>
    <cfRule type="cellIs" priority="26" operator="greaterThan">
      <formula>1</formula>
    </cfRule>
  </conditionalFormatting>
  <conditionalFormatting sqref="DB3:DB9">
    <cfRule type="cellIs" priority="24" operator="equal">
      <formula>0</formula>
    </cfRule>
  </conditionalFormatting>
  <conditionalFormatting sqref="CN3:CN9">
    <cfRule type="cellIs" priority="22" operator="lessThan">
      <formula>0</formula>
    </cfRule>
    <cfRule type="cellIs" priority="23" operator="greaterThan">
      <formula>1</formula>
    </cfRule>
  </conditionalFormatting>
  <conditionalFormatting sqref="CN3:CN9">
    <cfRule type="cellIs" priority="21" operator="equal">
      <formula>0</formula>
    </cfRule>
  </conditionalFormatting>
  <conditionalFormatting sqref="CU3:CU9">
    <cfRule type="cellIs" priority="19" operator="lessThan">
      <formula>0</formula>
    </cfRule>
    <cfRule type="cellIs" priority="20" operator="greaterThan">
      <formula>1</formula>
    </cfRule>
  </conditionalFormatting>
  <conditionalFormatting sqref="CU3:CU9">
    <cfRule type="cellIs" priority="18" operator="equal">
      <formula>0</formula>
    </cfRule>
  </conditionalFormatting>
  <conditionalFormatting sqref="DB3:DB9">
    <cfRule type="cellIs" priority="16" operator="lessThan">
      <formula>0</formula>
    </cfRule>
    <cfRule type="cellIs" priority="17" operator="greaterThan">
      <formula>1</formula>
    </cfRule>
  </conditionalFormatting>
  <conditionalFormatting sqref="DB3:DB9">
    <cfRule type="cellIs" priority="15" operator="equal">
      <formula>0</formula>
    </cfRule>
  </conditionalFormatting>
  <conditionalFormatting sqref="B14:B16">
    <cfRule type="cellIs" priority="13" operator="greaterThan">
      <formula>1</formula>
    </cfRule>
    <cfRule type="cellIs" priority="14" operator="lessThan">
      <formula>0</formula>
    </cfRule>
  </conditionalFormatting>
  <conditionalFormatting sqref="B14:B16">
    <cfRule type="cellIs" priority="11" operator="greaterThan">
      <formula>1</formula>
    </cfRule>
    <cfRule type="cellIs" priority="12" operator="lessThan">
      <formula>0</formula>
    </cfRule>
  </conditionalFormatting>
  <conditionalFormatting sqref="B14:B16">
    <cfRule type="cellIs" priority="9" operator="greaterThan">
      <formula>1</formula>
    </cfRule>
    <cfRule type="cellIs" priority="10" operator="lessThan">
      <formula>0</formula>
    </cfRule>
  </conditionalFormatting>
  <conditionalFormatting sqref="B14:B16">
    <cfRule type="cellIs" priority="7" operator="greaterThan">
      <formula>1</formula>
    </cfRule>
    <cfRule type="cellIs" priority="8" operator="lessThan">
      <formula>0</formula>
    </cfRule>
  </conditionalFormatting>
  <conditionalFormatting sqref="B14:B16">
    <cfRule type="cellIs" priority="5" operator="greaterThan">
      <formula>1</formula>
    </cfRule>
    <cfRule type="cellIs" priority="6" operator="lessThan">
      <formula>0</formula>
    </cfRule>
  </conditionalFormatting>
  <conditionalFormatting sqref="B14:B16">
    <cfRule type="cellIs" priority="3" operator="greaterThan">
      <formula>1</formula>
    </cfRule>
    <cfRule type="cellIs" priority="4" operator="lessThan">
      <formula>0</formula>
    </cfRule>
  </conditionalFormatting>
  <conditionalFormatting sqref="B14:B16">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2"/>
  <dimension ref="A1:DF20"/>
  <sheetViews>
    <sheetView workbookViewId="0">
      <pane xSplit="6" ySplit="1" topLeftCell="DA2" activePane="bottomRight" state="frozen"/>
      <selection pane="topRight" activeCell="G1" sqref="G1"/>
      <selection pane="bottomLeft" activeCell="A2" sqref="A2"/>
      <selection pane="bottomRight" activeCell="A20" sqref="A20"/>
    </sheetView>
  </sheetViews>
  <sheetFormatPr defaultColWidth="8.85546875" defaultRowHeight="15" x14ac:dyDescent="0.25"/>
  <cols>
    <col min="1" max="1" width="37.85546875" bestFit="1" customWidth="1"/>
    <col min="2" max="2" width="11.5703125" customWidth="1"/>
    <col min="3" max="3" width="17.28515625" customWidth="1"/>
    <col min="4" max="4" width="10.7109375" bestFit="1" customWidth="1"/>
    <col min="5" max="5" width="7.28515625" customWidth="1"/>
    <col min="6" max="6" width="14.28515625" customWidth="1"/>
    <col min="7" max="8" width="11.5703125" customWidth="1"/>
    <col min="9" max="9" width="16.28515625" customWidth="1"/>
    <col min="10" max="29" width="11.5703125" customWidth="1"/>
    <col min="30" max="30" width="15.5703125" bestFit="1" customWidth="1"/>
    <col min="31" max="36" width="11.5703125" customWidth="1"/>
    <col min="37" max="37" width="15.5703125" bestFit="1" customWidth="1"/>
    <col min="38" max="43" width="11.5703125" customWidth="1"/>
    <col min="44" max="44" width="15.5703125" bestFit="1" customWidth="1"/>
    <col min="45" max="50" width="11.5703125" customWidth="1"/>
    <col min="51" max="51" width="15.5703125" bestFit="1" customWidth="1"/>
    <col min="52" max="1074" width="11.5703125" customWidth="1"/>
  </cols>
  <sheetData>
    <row r="1" spans="1:110" x14ac:dyDescent="0.25">
      <c r="A1" s="2" t="s">
        <v>123</v>
      </c>
      <c r="G1" s="98" t="s">
        <v>104</v>
      </c>
      <c r="H1" s="99"/>
      <c r="I1" s="99"/>
      <c r="J1" s="99"/>
      <c r="K1" s="99"/>
      <c r="L1" s="99"/>
      <c r="N1" s="98" t="s">
        <v>105</v>
      </c>
      <c r="O1" s="99"/>
      <c r="P1" s="99"/>
      <c r="Q1" s="99"/>
      <c r="R1" s="99"/>
      <c r="S1" s="99"/>
      <c r="U1" s="98" t="s">
        <v>106</v>
      </c>
      <c r="V1" s="99"/>
      <c r="W1" s="99"/>
      <c r="X1" s="99"/>
      <c r="Y1" s="99"/>
      <c r="Z1" s="99"/>
      <c r="AB1" s="98" t="s">
        <v>107</v>
      </c>
      <c r="AC1" s="99"/>
      <c r="AD1" s="99"/>
      <c r="AE1" s="99"/>
      <c r="AF1" s="99"/>
      <c r="AG1" s="99"/>
      <c r="AI1" s="98" t="s">
        <v>139</v>
      </c>
      <c r="AJ1" s="98"/>
      <c r="AK1" s="98"/>
      <c r="AL1" s="98"/>
      <c r="AM1" s="98"/>
      <c r="AN1" s="98"/>
      <c r="AP1" s="98" t="s">
        <v>140</v>
      </c>
      <c r="AQ1" s="98"/>
      <c r="AR1" s="98"/>
      <c r="AS1" s="98"/>
      <c r="AT1" s="98"/>
      <c r="AU1" s="98"/>
      <c r="AW1" s="98" t="s">
        <v>141</v>
      </c>
      <c r="AX1" s="98"/>
      <c r="AY1" s="98"/>
      <c r="AZ1" s="98"/>
      <c r="BA1" s="98"/>
      <c r="BB1" s="98"/>
      <c r="BD1" s="98" t="s">
        <v>142</v>
      </c>
      <c r="BE1" s="98"/>
      <c r="BF1" s="98"/>
      <c r="BG1" s="98"/>
      <c r="BH1" s="98"/>
      <c r="BI1" s="98"/>
      <c r="BK1" s="98" t="s">
        <v>143</v>
      </c>
      <c r="BL1" s="98"/>
      <c r="BM1" s="98"/>
      <c r="BN1" s="98"/>
      <c r="BO1" s="98"/>
      <c r="BP1" s="98"/>
      <c r="BR1" s="98" t="s">
        <v>144</v>
      </c>
      <c r="BS1" s="98"/>
      <c r="BT1" s="98"/>
      <c r="BU1" s="98"/>
      <c r="BV1" s="98"/>
      <c r="BW1" s="98"/>
      <c r="BY1" s="98" t="s">
        <v>145</v>
      </c>
      <c r="BZ1" s="98"/>
      <c r="CA1" s="98"/>
      <c r="CB1" s="98"/>
      <c r="CC1" s="98"/>
      <c r="CD1" s="98"/>
      <c r="CF1" s="98" t="s">
        <v>108</v>
      </c>
      <c r="CG1" s="98"/>
      <c r="CH1" s="98"/>
      <c r="CI1" s="98"/>
      <c r="CJ1" s="98"/>
      <c r="CK1" s="98"/>
      <c r="CM1" s="98" t="s">
        <v>168</v>
      </c>
      <c r="CN1" s="98"/>
      <c r="CO1" s="98"/>
      <c r="CP1" s="98"/>
      <c r="CQ1" s="98"/>
      <c r="CR1" s="98"/>
      <c r="CT1" s="98" t="s">
        <v>170</v>
      </c>
      <c r="CU1" s="98"/>
      <c r="CV1" s="98"/>
      <c r="CW1" s="98"/>
      <c r="CX1" s="98"/>
      <c r="CY1" s="98"/>
      <c r="DA1" s="98" t="s">
        <v>169</v>
      </c>
      <c r="DB1" s="98"/>
      <c r="DC1" s="98"/>
      <c r="DD1" s="98"/>
      <c r="DE1" s="98"/>
      <c r="DF1" s="98"/>
    </row>
    <row r="2" spans="1:110" x14ac:dyDescent="0.25">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x14ac:dyDescent="0.25">
      <c r="A3" s="58" t="s">
        <v>173</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0.05</v>
      </c>
      <c r="W3" s="62">
        <f>+SUM($V3:V$3)</f>
        <v>0.05</v>
      </c>
      <c r="X3" s="58">
        <f t="shared" ref="X3:X9" si="3">+J3</f>
        <v>10</v>
      </c>
      <c r="Y3" s="58">
        <f t="shared" ref="Y3:Y9" si="4">+V3*X3</f>
        <v>0.5</v>
      </c>
      <c r="Z3" s="63">
        <v>0</v>
      </c>
      <c r="AB3" s="60">
        <v>1</v>
      </c>
      <c r="AC3" s="61">
        <v>0.03</v>
      </c>
      <c r="AD3" s="62">
        <f>+SUM($AC$3:AC3)</f>
        <v>0.03</v>
      </c>
      <c r="AE3" s="58">
        <f t="shared" ref="AE3:AE9" si="5">+J3</f>
        <v>10</v>
      </c>
      <c r="AF3" s="58">
        <f t="shared" ref="AF3:AF9" si="6">+AC3*AE3</f>
        <v>0.3</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0.02</v>
      </c>
      <c r="AY3" s="62">
        <f>+SUM($AX$3:AX3)</f>
        <v>0.02</v>
      </c>
      <c r="AZ3" s="58">
        <f t="shared" ref="AZ3:AZ9" si="10">+AE3</f>
        <v>10</v>
      </c>
      <c r="BA3" s="58">
        <f t="shared" ref="BA3:BA9" si="11">+AX3*AZ3</f>
        <v>0.2</v>
      </c>
      <c r="BB3" s="63">
        <v>0</v>
      </c>
      <c r="BD3" s="60">
        <v>1</v>
      </c>
      <c r="BE3" s="61">
        <v>0.03</v>
      </c>
      <c r="BF3" s="62">
        <f>+SUM($BE$3:BE3)</f>
        <v>0.03</v>
      </c>
      <c r="BG3" s="58">
        <f t="shared" ref="BG3:BG9" si="12">+AL3</f>
        <v>10</v>
      </c>
      <c r="BH3" s="58">
        <f t="shared" ref="BH3:BH9" si="13">+BE3*BG3</f>
        <v>0.3</v>
      </c>
      <c r="BI3" s="63">
        <v>0</v>
      </c>
      <c r="BK3" s="60">
        <v>1</v>
      </c>
      <c r="BL3" s="61">
        <v>0.06</v>
      </c>
      <c r="BM3" s="62">
        <f>+SUM($BL$3:BL3)</f>
        <v>0.06</v>
      </c>
      <c r="BN3" s="58">
        <f t="shared" ref="BN3:BN9" si="14">+AS3</f>
        <v>10</v>
      </c>
      <c r="BO3" s="58">
        <f t="shared" ref="BO3:BO9" si="15">+BL3*BN3</f>
        <v>0.6</v>
      </c>
      <c r="BP3" s="63">
        <v>0</v>
      </c>
      <c r="BR3" s="60">
        <v>1</v>
      </c>
      <c r="BS3" s="61">
        <v>0.08</v>
      </c>
      <c r="BT3" s="62">
        <f>+SUM($BS$3:BS3)</f>
        <v>0.08</v>
      </c>
      <c r="BU3" s="58">
        <f t="shared" ref="BU3:BU9" si="16">+AZ3</f>
        <v>10</v>
      </c>
      <c r="BV3" s="58">
        <f t="shared" ref="BV3:BV9" si="17">+BS3*BU3</f>
        <v>0.8</v>
      </c>
      <c r="BW3" s="63">
        <v>0</v>
      </c>
      <c r="BY3" s="60">
        <v>1</v>
      </c>
      <c r="BZ3" s="61">
        <v>0.34</v>
      </c>
      <c r="CA3" s="62">
        <f>+SUM($BZ$3:BZ3)</f>
        <v>0.34</v>
      </c>
      <c r="CB3" s="58">
        <f t="shared" ref="CB3:CB9" si="18">+BG3</f>
        <v>10</v>
      </c>
      <c r="CC3" s="58">
        <f t="shared" ref="CC3:CC9" si="19">+BZ3*CB3</f>
        <v>3.4000000000000004</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x14ac:dyDescent="0.25">
      <c r="A4" s="3" t="s">
        <v>114</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0.3</v>
      </c>
      <c r="W4" s="62">
        <f>+SUM($V$3:V4)</f>
        <v>0.35</v>
      </c>
      <c r="X4" s="58">
        <f t="shared" si="3"/>
        <v>15</v>
      </c>
      <c r="Y4" s="58">
        <f t="shared" si="4"/>
        <v>4.5</v>
      </c>
      <c r="Z4" s="63">
        <v>0</v>
      </c>
      <c r="AB4" s="60">
        <v>2</v>
      </c>
      <c r="AC4" s="61">
        <v>0.05</v>
      </c>
      <c r="AD4" s="62">
        <f>+SUM($AC$3:AC4)</f>
        <v>0.08</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0.06</v>
      </c>
      <c r="AY4" s="62">
        <f>+SUM($AX$3:AX4)</f>
        <v>0.08</v>
      </c>
      <c r="AZ4" s="58">
        <f t="shared" si="10"/>
        <v>15</v>
      </c>
      <c r="BA4" s="58">
        <f t="shared" si="11"/>
        <v>0.89999999999999991</v>
      </c>
      <c r="BB4" s="63">
        <v>0</v>
      </c>
      <c r="BD4" s="60">
        <v>2</v>
      </c>
      <c r="BE4" s="61">
        <v>0.1</v>
      </c>
      <c r="BF4" s="62">
        <f>+SUM($BE$3:BE4)</f>
        <v>0.13</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0.18</v>
      </c>
      <c r="BU4" s="58">
        <f t="shared" si="16"/>
        <v>15</v>
      </c>
      <c r="BV4" s="58">
        <f t="shared" si="17"/>
        <v>1.5</v>
      </c>
      <c r="BW4" s="63">
        <v>0</v>
      </c>
      <c r="BY4" s="60">
        <v>2</v>
      </c>
      <c r="BZ4" s="61">
        <v>0.3</v>
      </c>
      <c r="CA4" s="62">
        <f>+SUM($BZ$3:BZ4)</f>
        <v>0.64</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x14ac:dyDescent="0.25">
      <c r="A5" s="3" t="s">
        <v>115</v>
      </c>
      <c r="B5" s="58">
        <f>+E5/D5</f>
        <v>0.17167381974248924</v>
      </c>
      <c r="C5" s="3">
        <v>0</v>
      </c>
      <c r="D5" s="64">
        <f>+Y10</f>
        <v>46.600000000000009</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0.18</v>
      </c>
      <c r="W5" s="62">
        <f>+SUM($V$3:V5)</f>
        <v>0.53</v>
      </c>
      <c r="X5" s="58">
        <f t="shared" si="3"/>
        <v>20</v>
      </c>
      <c r="Y5" s="58">
        <f t="shared" si="4"/>
        <v>3.5999999999999996</v>
      </c>
      <c r="Z5" s="63">
        <v>0</v>
      </c>
      <c r="AB5" s="60">
        <v>3</v>
      </c>
      <c r="AC5" s="61">
        <v>0.23</v>
      </c>
      <c r="AD5" s="62">
        <f>+SUM($AC$3:AC5)</f>
        <v>0.31</v>
      </c>
      <c r="AE5" s="58">
        <f t="shared" si="5"/>
        <v>20</v>
      </c>
      <c r="AF5" s="58">
        <f t="shared" si="6"/>
        <v>4.6000000000000005</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0.21</v>
      </c>
      <c r="BF5" s="62">
        <f>+SUM($BE$3:BE5)</f>
        <v>0.33999999999999997</v>
      </c>
      <c r="BG5" s="58">
        <f t="shared" si="12"/>
        <v>20</v>
      </c>
      <c r="BH5" s="58">
        <f t="shared" si="13"/>
        <v>4.2</v>
      </c>
      <c r="BI5" s="63">
        <v>0</v>
      </c>
      <c r="BK5" s="60">
        <v>3</v>
      </c>
      <c r="BL5" s="61">
        <v>0.15</v>
      </c>
      <c r="BM5" s="62">
        <f>+SUM($BL$3:BL5)</f>
        <v>0.31</v>
      </c>
      <c r="BN5" s="58">
        <f t="shared" si="14"/>
        <v>20</v>
      </c>
      <c r="BO5" s="58">
        <f t="shared" si="15"/>
        <v>3</v>
      </c>
      <c r="BP5" s="63">
        <v>0</v>
      </c>
      <c r="BR5" s="60">
        <v>3</v>
      </c>
      <c r="BS5" s="61">
        <v>0.2</v>
      </c>
      <c r="BT5" s="62">
        <f>+SUM($BS$3:BS5)</f>
        <v>0.38</v>
      </c>
      <c r="BU5" s="58">
        <f t="shared" si="16"/>
        <v>20</v>
      </c>
      <c r="BV5" s="58">
        <f t="shared" si="17"/>
        <v>4</v>
      </c>
      <c r="BW5" s="63">
        <v>0</v>
      </c>
      <c r="BY5" s="60">
        <v>3</v>
      </c>
      <c r="BZ5" s="61">
        <v>0.2</v>
      </c>
      <c r="CA5" s="62">
        <f>+SUM($BZ$3:BZ5)</f>
        <v>0.84000000000000008</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x14ac:dyDescent="0.25">
      <c r="A6" s="80" t="s">
        <v>116</v>
      </c>
      <c r="B6" s="75">
        <f>+E6/D6</f>
        <v>0.19286403085824502</v>
      </c>
      <c r="C6" s="3">
        <v>0</v>
      </c>
      <c r="D6" s="64">
        <f>+AF10</f>
        <v>51.84999999999998</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0.73</v>
      </c>
      <c r="X6" s="58">
        <f t="shared" si="3"/>
        <v>40</v>
      </c>
      <c r="Y6" s="58">
        <f t="shared" si="4"/>
        <v>8</v>
      </c>
      <c r="Z6" s="63">
        <v>0</v>
      </c>
      <c r="AB6" s="60">
        <v>4</v>
      </c>
      <c r="AC6" s="61">
        <v>0.23</v>
      </c>
      <c r="AD6" s="62">
        <f>+SUM($AC$3:AC6)</f>
        <v>0.54</v>
      </c>
      <c r="AE6" s="58">
        <f t="shared" si="5"/>
        <v>40</v>
      </c>
      <c r="AF6" s="58">
        <f t="shared" si="6"/>
        <v>9.2000000000000011</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0.21</v>
      </c>
      <c r="BF6" s="62">
        <f>+SUM($BE$3:BE6)</f>
        <v>0.54999999999999993</v>
      </c>
      <c r="BG6" s="58">
        <f t="shared" si="12"/>
        <v>40</v>
      </c>
      <c r="BH6" s="58">
        <f t="shared" si="13"/>
        <v>8.4</v>
      </c>
      <c r="BI6" s="63">
        <v>0</v>
      </c>
      <c r="BK6" s="60">
        <v>4</v>
      </c>
      <c r="BL6" s="61">
        <v>0.3</v>
      </c>
      <c r="BM6" s="62">
        <f>+SUM($BL$3:BL6)</f>
        <v>0.61</v>
      </c>
      <c r="BN6" s="58">
        <f t="shared" si="14"/>
        <v>40</v>
      </c>
      <c r="BO6" s="58">
        <f t="shared" si="15"/>
        <v>12</v>
      </c>
      <c r="BP6" s="63">
        <v>0</v>
      </c>
      <c r="BR6" s="60">
        <v>4</v>
      </c>
      <c r="BS6" s="61">
        <v>0.25</v>
      </c>
      <c r="BT6" s="62">
        <f>+SUM($BS$3:BS6)</f>
        <v>0.63</v>
      </c>
      <c r="BU6" s="58">
        <f t="shared" si="16"/>
        <v>40</v>
      </c>
      <c r="BV6" s="58">
        <f t="shared" si="17"/>
        <v>10</v>
      </c>
      <c r="BW6" s="63">
        <v>0</v>
      </c>
      <c r="BY6" s="60">
        <v>4</v>
      </c>
      <c r="BZ6" s="61">
        <v>0.1</v>
      </c>
      <c r="CA6" s="62">
        <f>+SUM($BZ$3:BZ6)</f>
        <v>0.94000000000000006</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x14ac:dyDescent="0.25">
      <c r="A7" s="75" t="s">
        <v>133</v>
      </c>
      <c r="B7" s="75">
        <f t="shared" ref="B7:B13"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0.12</v>
      </c>
      <c r="W7" s="62">
        <f>+SUM($V$3:V7)</f>
        <v>0.85</v>
      </c>
      <c r="X7" s="58">
        <f t="shared" si="3"/>
        <v>75</v>
      </c>
      <c r="Y7" s="58">
        <f t="shared" si="4"/>
        <v>9</v>
      </c>
      <c r="Z7" s="63">
        <v>0</v>
      </c>
      <c r="AB7" s="60">
        <v>5</v>
      </c>
      <c r="AC7" s="61">
        <v>0.4</v>
      </c>
      <c r="AD7" s="62">
        <f>+SUM($AC$3:AC7)</f>
        <v>0.94000000000000006</v>
      </c>
      <c r="AE7" s="58">
        <f t="shared" si="5"/>
        <v>75</v>
      </c>
      <c r="AF7" s="58">
        <f t="shared" si="6"/>
        <v>30</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0.7599999999999999</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0.79</v>
      </c>
      <c r="BU7" s="58">
        <f t="shared" si="16"/>
        <v>75</v>
      </c>
      <c r="BV7" s="58">
        <f t="shared" si="17"/>
        <v>12</v>
      </c>
      <c r="BW7" s="63">
        <v>0</v>
      </c>
      <c r="BY7" s="60">
        <v>5</v>
      </c>
      <c r="BZ7" s="61">
        <v>0.02</v>
      </c>
      <c r="CA7" s="62">
        <f>+SUM($BZ$3:BZ7)</f>
        <v>0.96000000000000008</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x14ac:dyDescent="0.25">
      <c r="A8" s="75" t="s">
        <v>134</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0.09</v>
      </c>
      <c r="W8" s="62">
        <f>+SUM($V$3:V8)</f>
        <v>0.94</v>
      </c>
      <c r="X8" s="58">
        <f t="shared" si="3"/>
        <v>100</v>
      </c>
      <c r="Y8" s="58">
        <f t="shared" si="4"/>
        <v>9</v>
      </c>
      <c r="Z8" s="63">
        <v>0</v>
      </c>
      <c r="AB8" s="60">
        <v>6</v>
      </c>
      <c r="AC8" s="61">
        <v>0.05</v>
      </c>
      <c r="AD8" s="62">
        <f>+SUM($AC$3:AC8)</f>
        <v>0.9900000000000001</v>
      </c>
      <c r="AE8" s="58">
        <f t="shared" si="5"/>
        <v>100</v>
      </c>
      <c r="AF8" s="58">
        <f t="shared" si="6"/>
        <v>5</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0.14000000000000001</v>
      </c>
      <c r="BF8" s="62">
        <f>+SUM($BE$3:BE8)</f>
        <v>0.89999999999999991</v>
      </c>
      <c r="BG8" s="58">
        <f t="shared" si="12"/>
        <v>100</v>
      </c>
      <c r="BH8" s="58">
        <f t="shared" si="13"/>
        <v>14.000000000000002</v>
      </c>
      <c r="BI8" s="63">
        <v>0</v>
      </c>
      <c r="BK8" s="60">
        <v>6</v>
      </c>
      <c r="BL8" s="61">
        <v>0.1</v>
      </c>
      <c r="BM8" s="62">
        <f>+SUM($BL$3:BL8)</f>
        <v>0.94</v>
      </c>
      <c r="BN8" s="58">
        <f t="shared" si="14"/>
        <v>100</v>
      </c>
      <c r="BO8" s="58">
        <f t="shared" si="15"/>
        <v>10</v>
      </c>
      <c r="BP8" s="63">
        <v>0</v>
      </c>
      <c r="BR8" s="60">
        <v>6</v>
      </c>
      <c r="BS8" s="61">
        <v>0.12</v>
      </c>
      <c r="BT8" s="62">
        <f>+SUM($BS$3:BS8)</f>
        <v>0.91</v>
      </c>
      <c r="BU8" s="58">
        <f t="shared" si="16"/>
        <v>100</v>
      </c>
      <c r="BV8" s="58">
        <f t="shared" si="17"/>
        <v>12</v>
      </c>
      <c r="BW8" s="63">
        <v>0</v>
      </c>
      <c r="BY8" s="60">
        <v>6</v>
      </c>
      <c r="BZ8" s="61">
        <v>0.03</v>
      </c>
      <c r="CA8" s="62">
        <f>+SUM($BZ$3:BZ8)</f>
        <v>0.9900000000000001</v>
      </c>
      <c r="CB8" s="58">
        <f t="shared" si="18"/>
        <v>100</v>
      </c>
      <c r="CC8" s="58">
        <f t="shared" si="19"/>
        <v>3</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x14ac:dyDescent="0.25">
      <c r="A9" s="75" t="s">
        <v>135</v>
      </c>
      <c r="B9" s="75">
        <f t="shared" si="34"/>
        <v>0.19102196752626552</v>
      </c>
      <c r="C9" s="3">
        <v>0</v>
      </c>
      <c r="D9" s="64">
        <f>+BA10</f>
        <v>52.35</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6.0000000000000053E-2</v>
      </c>
      <c r="W9" s="62">
        <f>+SUM($V$3:V9)</f>
        <v>1</v>
      </c>
      <c r="X9" s="58">
        <f t="shared" si="3"/>
        <v>200</v>
      </c>
      <c r="Y9" s="58">
        <f t="shared" si="4"/>
        <v>12.000000000000011</v>
      </c>
      <c r="Z9" s="63">
        <v>0</v>
      </c>
      <c r="AB9" s="60">
        <v>7</v>
      </c>
      <c r="AC9" s="66">
        <f>1-SUM(AC3:AC8)</f>
        <v>9.9999999999998979E-3</v>
      </c>
      <c r="AD9" s="62">
        <f>+SUM($AC$3:AC9)</f>
        <v>1</v>
      </c>
      <c r="AE9" s="58">
        <f t="shared" si="5"/>
        <v>200</v>
      </c>
      <c r="AF9" s="58">
        <f t="shared" si="6"/>
        <v>1.9999999999999796</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0.10000000000000009</v>
      </c>
      <c r="BF9" s="62">
        <f>+SUM($BE$3:BE9)</f>
        <v>1</v>
      </c>
      <c r="BG9" s="58">
        <f t="shared" si="12"/>
        <v>200</v>
      </c>
      <c r="BH9" s="58">
        <f t="shared" si="13"/>
        <v>20.000000000000018</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9.9999999999998979E-3</v>
      </c>
      <c r="CA9" s="62">
        <f>+SUM($BZ$3:BZ9)</f>
        <v>1</v>
      </c>
      <c r="CB9" s="58">
        <f t="shared" si="18"/>
        <v>200</v>
      </c>
      <c r="CC9" s="58">
        <f t="shared" si="19"/>
        <v>1.9999999999999796</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x14ac:dyDescent="0.25">
      <c r="A10" s="75" t="s">
        <v>136</v>
      </c>
      <c r="B10" s="75">
        <f t="shared" si="34"/>
        <v>0.17147310989867492</v>
      </c>
      <c r="C10" s="3">
        <v>0</v>
      </c>
      <c r="D10" s="64">
        <f>+BH10</f>
        <v>64.15000000000002</v>
      </c>
      <c r="E10" s="3">
        <v>11</v>
      </c>
      <c r="G10" s="50" t="s">
        <v>71</v>
      </c>
      <c r="H10" s="50">
        <f>+SUM(H3:H9)</f>
        <v>1</v>
      </c>
      <c r="I10" s="50"/>
      <c r="J10" s="50"/>
      <c r="K10" s="51">
        <f>+SUM(K3:K9)</f>
        <v>15.224999999999978</v>
      </c>
      <c r="L10" s="51"/>
      <c r="N10" s="50" t="s">
        <v>71</v>
      </c>
      <c r="O10" s="50">
        <f>+SUM(O3:O9)</f>
        <v>1</v>
      </c>
      <c r="P10" s="50"/>
      <c r="Q10" s="50"/>
      <c r="R10" s="51">
        <f>+SUM(R3:R9)</f>
        <v>37.849999999999994</v>
      </c>
      <c r="S10" s="51"/>
      <c r="U10" s="50" t="s">
        <v>71</v>
      </c>
      <c r="V10" s="50">
        <f>+SUM(V3:V9)</f>
        <v>1</v>
      </c>
      <c r="W10" s="50"/>
      <c r="X10" s="50"/>
      <c r="Y10" s="51">
        <f>+SUM(Y3:Y9)</f>
        <v>46.600000000000009</v>
      </c>
      <c r="Z10" s="51"/>
      <c r="AB10" s="50" t="s">
        <v>71</v>
      </c>
      <c r="AC10" s="50">
        <f>+SUM(AC3:AC9)</f>
        <v>1</v>
      </c>
      <c r="AD10" s="50"/>
      <c r="AE10" s="50"/>
      <c r="AF10" s="51">
        <f>+SUM(AF3:AF9)</f>
        <v>51.84999999999998</v>
      </c>
      <c r="AG10" s="51"/>
      <c r="AI10" s="50" t="s">
        <v>71</v>
      </c>
      <c r="AJ10" s="50">
        <f>+SUM(AJ3:AJ9)</f>
        <v>1</v>
      </c>
      <c r="AK10" s="50"/>
      <c r="AL10" s="50"/>
      <c r="AM10" s="51">
        <f>+SUM(AM3:AM9)</f>
        <v>104.25</v>
      </c>
      <c r="AN10" s="51"/>
      <c r="AP10" s="50" t="s">
        <v>71</v>
      </c>
      <c r="AQ10" s="50">
        <f>+SUM(AQ3:AQ9)</f>
        <v>1</v>
      </c>
      <c r="AR10" s="50"/>
      <c r="AS10" s="50"/>
      <c r="AT10" s="51">
        <f>+SUM(AT3:AT9)</f>
        <v>21.25</v>
      </c>
      <c r="AU10" s="51"/>
      <c r="AW10" s="50" t="s">
        <v>71</v>
      </c>
      <c r="AX10" s="50">
        <f>+SUM(AX3:AX9)</f>
        <v>1</v>
      </c>
      <c r="AY10" s="50"/>
      <c r="AZ10" s="50"/>
      <c r="BA10" s="51">
        <f>+SUM(BA3:BA9)</f>
        <v>52.35</v>
      </c>
      <c r="BB10" s="51"/>
      <c r="BD10" s="50" t="s">
        <v>71</v>
      </c>
      <c r="BE10" s="50">
        <f>+SUM(BE3:BE9)</f>
        <v>1</v>
      </c>
      <c r="BF10" s="50"/>
      <c r="BG10" s="50"/>
      <c r="BH10" s="51">
        <f>+SUM(BH3:BH9)</f>
        <v>64.15000000000002</v>
      </c>
      <c r="BI10" s="51"/>
      <c r="BK10" s="50" t="s">
        <v>71</v>
      </c>
      <c r="BL10" s="50">
        <f>+SUM(BL3:BL9)</f>
        <v>1</v>
      </c>
      <c r="BM10" s="50"/>
      <c r="BN10" s="50"/>
      <c r="BO10" s="51">
        <f>+SUM(BO3:BO9)</f>
        <v>56.350000000000009</v>
      </c>
      <c r="BP10" s="51"/>
      <c r="BR10" s="50" t="s">
        <v>71</v>
      </c>
      <c r="BS10" s="50">
        <f>+SUM(BS3:BS9)</f>
        <v>1</v>
      </c>
      <c r="BT10" s="50"/>
      <c r="BU10" s="50"/>
      <c r="BV10" s="51">
        <f>+SUM(BV3:BV9)</f>
        <v>58.29999999999999</v>
      </c>
      <c r="BW10" s="51"/>
      <c r="BY10" s="50" t="s">
        <v>71</v>
      </c>
      <c r="BZ10" s="50">
        <f>+SUM(BZ3:BZ9)</f>
        <v>1</v>
      </c>
      <c r="CA10" s="50"/>
      <c r="CB10" s="50"/>
      <c r="CC10" s="51">
        <f>+SUM(CC3:CC9)</f>
        <v>22.399999999999977</v>
      </c>
      <c r="CD10" s="51"/>
      <c r="CF10" s="50" t="s">
        <v>71</v>
      </c>
      <c r="CG10" s="50">
        <f>+SUM(CG3:CG9)</f>
        <v>1</v>
      </c>
      <c r="CH10" s="50"/>
      <c r="CI10" s="50"/>
      <c r="CJ10" s="51">
        <f>+SUM(CJ3:CJ9)</f>
        <v>100</v>
      </c>
      <c r="CK10" s="51"/>
      <c r="CM10" s="50" t="s">
        <v>71</v>
      </c>
      <c r="CN10" s="50">
        <f>+SUM(CN3:CN9)</f>
        <v>1</v>
      </c>
      <c r="CO10" s="50"/>
      <c r="CP10" s="50"/>
      <c r="CQ10" s="51">
        <f>+SUM(CQ3:CQ9)</f>
        <v>15.224999999999978</v>
      </c>
      <c r="CR10" s="51"/>
      <c r="CT10" s="50" t="s">
        <v>71</v>
      </c>
      <c r="CU10" s="50">
        <f>+SUM(CU3:CU9)</f>
        <v>1</v>
      </c>
      <c r="CV10" s="50"/>
      <c r="CW10" s="50"/>
      <c r="CX10" s="51">
        <f>+SUM(CX3:CX9)</f>
        <v>30.449999999999957</v>
      </c>
      <c r="CY10" s="51"/>
      <c r="DA10" s="50" t="s">
        <v>71</v>
      </c>
      <c r="DB10" s="50">
        <f>+SUM(DB3:DB9)</f>
        <v>1</v>
      </c>
      <c r="DC10" s="50"/>
      <c r="DD10" s="50"/>
      <c r="DE10" s="51">
        <f>+SUM(DE3:DE9)</f>
        <v>116</v>
      </c>
      <c r="DF10" s="51"/>
    </row>
    <row r="11" spans="1:110" x14ac:dyDescent="0.25">
      <c r="A11" s="75" t="s">
        <v>137</v>
      </c>
      <c r="B11" s="75">
        <f t="shared" si="34"/>
        <v>0.19520851818988463</v>
      </c>
      <c r="C11" s="3">
        <v>0</v>
      </c>
      <c r="D11" s="64">
        <f>+BO10</f>
        <v>56.350000000000009</v>
      </c>
      <c r="E11" s="3">
        <v>11</v>
      </c>
    </row>
    <row r="12" spans="1:110" x14ac:dyDescent="0.25">
      <c r="A12" s="75" t="s">
        <v>138</v>
      </c>
      <c r="B12" s="75">
        <f t="shared" si="34"/>
        <v>0.17152658662092626</v>
      </c>
      <c r="C12" s="3">
        <v>0</v>
      </c>
      <c r="D12" s="64">
        <f>+BV10</f>
        <v>58.29999999999999</v>
      </c>
      <c r="E12" s="3">
        <v>10</v>
      </c>
    </row>
    <row r="13" spans="1:110" x14ac:dyDescent="0.25">
      <c r="A13" s="85" t="s">
        <v>171</v>
      </c>
      <c r="B13" s="75">
        <f t="shared" si="34"/>
        <v>7.3883928571428642E-2</v>
      </c>
      <c r="C13" s="3">
        <f>1/B13/Summary!$C$7</f>
        <v>1.3534743202416905E-2</v>
      </c>
      <c r="D13" s="64">
        <f>+CC10</f>
        <v>22.399999999999977</v>
      </c>
      <c r="E13" s="3">
        <f>1+E3</f>
        <v>1.655</v>
      </c>
    </row>
    <row r="14" spans="1:110" x14ac:dyDescent="0.25">
      <c r="A14" s="85" t="s">
        <v>166</v>
      </c>
      <c r="B14" s="58">
        <f>+E14/D14</f>
        <v>8.6042692939244783E-2</v>
      </c>
      <c r="C14" s="3">
        <f>1/B14/Summary!$C$7</f>
        <v>1.1622137404580136E-2</v>
      </c>
      <c r="D14" s="86">
        <f>+CQ10</f>
        <v>15.224999999999978</v>
      </c>
      <c r="E14" s="3">
        <f>+E3*2</f>
        <v>1.31</v>
      </c>
    </row>
    <row r="15" spans="1:110" x14ac:dyDescent="0.25">
      <c r="A15" s="85" t="s">
        <v>167</v>
      </c>
      <c r="B15" s="58">
        <f>+E15/D15</f>
        <v>4.3021346469622392E-2</v>
      </c>
      <c r="C15" s="3">
        <f>1/B15/Summary!$C$7</f>
        <v>2.3244274809160272E-2</v>
      </c>
      <c r="D15" s="86">
        <f>+CX10</f>
        <v>30.449999999999957</v>
      </c>
      <c r="E15" s="3">
        <f>+E14</f>
        <v>1.31</v>
      </c>
    </row>
    <row r="16" spans="1:110" x14ac:dyDescent="0.25">
      <c r="A16" s="75" t="s">
        <v>165</v>
      </c>
      <c r="B16" s="58">
        <f>+E16/D16</f>
        <v>0.17241379310344829</v>
      </c>
      <c r="C16" s="3">
        <v>0</v>
      </c>
      <c r="D16" s="86">
        <f>+DE10</f>
        <v>116</v>
      </c>
      <c r="E16" s="3">
        <v>20</v>
      </c>
    </row>
    <row r="17" spans="1:5" x14ac:dyDescent="0.25">
      <c r="A17" s="3" t="s">
        <v>117</v>
      </c>
      <c r="B17" s="58">
        <f>+E17/D17</f>
        <v>0.5</v>
      </c>
      <c r="C17" s="3">
        <v>0</v>
      </c>
      <c r="D17" s="64">
        <f>+CJ10</f>
        <v>100</v>
      </c>
      <c r="E17" s="3">
        <v>50</v>
      </c>
    </row>
    <row r="18" spans="1:5" x14ac:dyDescent="0.25">
      <c r="A18" s="3" t="s">
        <v>118</v>
      </c>
      <c r="B18" s="65" t="str">
        <f>+CONCATENATE("x",J3," - x",J9)</f>
        <v>x10 - x200</v>
      </c>
    </row>
    <row r="20" spans="1:5" x14ac:dyDescent="0.25">
      <c r="A20" t="s">
        <v>172</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116" operator="lessThan">
      <formula>0</formula>
    </cfRule>
    <cfRule type="cellIs" priority="117" operator="greaterThan">
      <formula>1</formula>
    </cfRule>
  </conditionalFormatting>
  <conditionalFormatting sqref="H3:H9 O3:O9 CG3:CG9 V3:V9 AC3:AC9 AJ3:AJ9 AQ3:AQ9 AX3:AX9 BZ3:BZ9 BE3:BE9 BL3:BL9 BS3:BS9">
    <cfRule type="cellIs" priority="115" operator="equal">
      <formula>0</formula>
    </cfRule>
  </conditionalFormatting>
  <conditionalFormatting sqref="B3:B17">
    <cfRule type="cellIs" priority="113" operator="greaterThan">
      <formula>1</formula>
    </cfRule>
    <cfRule type="cellIs" priority="114" operator="lessThan">
      <formula>0</formula>
    </cfRule>
  </conditionalFormatting>
  <conditionalFormatting sqref="H3:H9 O3:O9 V3:V9 AC3:AC9">
    <cfRule type="cellIs" priority="111" operator="lessThan">
      <formula>0</formula>
    </cfRule>
    <cfRule type="cellIs" priority="112" operator="greaterThan">
      <formula>1</formula>
    </cfRule>
  </conditionalFormatting>
  <conditionalFormatting sqref="H3:H9 O3:O9 V3:V9 AC3:AC9">
    <cfRule type="cellIs" priority="110" operator="equal">
      <formula>0</formula>
    </cfRule>
  </conditionalFormatting>
  <conditionalFormatting sqref="H3:H9">
    <cfRule type="cellIs" priority="108" operator="lessThan">
      <formula>0</formula>
    </cfRule>
    <cfRule type="cellIs" priority="109" operator="greaterThan">
      <formula>1</formula>
    </cfRule>
  </conditionalFormatting>
  <conditionalFormatting sqref="H3:H9">
    <cfRule type="cellIs" priority="107" operator="equal">
      <formula>0</formula>
    </cfRule>
  </conditionalFormatting>
  <conditionalFormatting sqref="H3:H9">
    <cfRule type="cellIs" priority="105" operator="lessThan">
      <formula>0</formula>
    </cfRule>
    <cfRule type="cellIs" priority="106" operator="greaterThan">
      <formula>1</formula>
    </cfRule>
  </conditionalFormatting>
  <conditionalFormatting sqref="H3:H9">
    <cfRule type="cellIs" priority="104" operator="equal">
      <formula>0</formula>
    </cfRule>
  </conditionalFormatting>
  <conditionalFormatting sqref="CG3:CG9">
    <cfRule type="cellIs" priority="102" operator="lessThan">
      <formula>0</formula>
    </cfRule>
    <cfRule type="cellIs" priority="103" operator="greaterThan">
      <formula>1</formula>
    </cfRule>
  </conditionalFormatting>
  <conditionalFormatting sqref="CG3:CG9">
    <cfRule type="cellIs" priority="101" operator="equal">
      <formula>0</formula>
    </cfRule>
  </conditionalFormatting>
  <conditionalFormatting sqref="H3:H9 O3:O9 V3:V9 AC3:AC9">
    <cfRule type="cellIs" priority="99" operator="lessThan">
      <formula>0</formula>
    </cfRule>
    <cfRule type="cellIs" priority="100" operator="greaterThan">
      <formula>1</formula>
    </cfRule>
  </conditionalFormatting>
  <conditionalFormatting sqref="H3:H9 O3:O9 V3:V9 AC3:AC9">
    <cfRule type="cellIs" priority="98" operator="equal">
      <formula>0</formula>
    </cfRule>
  </conditionalFormatting>
  <conditionalFormatting sqref="H3:H9 O3:O9 V3:V9 AC3:AC9">
    <cfRule type="cellIs" priority="96" operator="lessThan">
      <formula>0</formula>
    </cfRule>
    <cfRule type="cellIs" priority="97" operator="greaterThan">
      <formula>1</formula>
    </cfRule>
  </conditionalFormatting>
  <conditionalFormatting sqref="H3:H9 O3:O9 V3:V9 AC3:AC9">
    <cfRule type="cellIs" priority="95" operator="equal">
      <formula>0</formula>
    </cfRule>
  </conditionalFormatting>
  <conditionalFormatting sqref="CG3:CG9">
    <cfRule type="cellIs" priority="93" operator="lessThan">
      <formula>0</formula>
    </cfRule>
    <cfRule type="cellIs" priority="94" operator="greaterThan">
      <formula>1</formula>
    </cfRule>
  </conditionalFormatting>
  <conditionalFormatting sqref="CG3:CG9">
    <cfRule type="cellIs" priority="92" operator="equal">
      <formula>0</formula>
    </cfRule>
  </conditionalFormatting>
  <conditionalFormatting sqref="CG7:CG8">
    <cfRule type="cellIs" priority="90" operator="lessThan">
      <formula>0</formula>
    </cfRule>
    <cfRule type="cellIs" priority="91" operator="greaterThan">
      <formula>1</formula>
    </cfRule>
  </conditionalFormatting>
  <conditionalFormatting sqref="CG7:CG8">
    <cfRule type="cellIs" priority="89" operator="equal">
      <formula>0</formula>
    </cfRule>
  </conditionalFormatting>
  <conditionalFormatting sqref="CG3:CG9">
    <cfRule type="cellIs" priority="87" operator="lessThan">
      <formula>0</formula>
    </cfRule>
    <cfRule type="cellIs" priority="88" operator="greaterThan">
      <formula>1</formula>
    </cfRule>
  </conditionalFormatting>
  <conditionalFormatting sqref="CG3:CG9">
    <cfRule type="cellIs" priority="86" operator="equal">
      <formula>0</formula>
    </cfRule>
  </conditionalFormatting>
  <conditionalFormatting sqref="CG7:CG8">
    <cfRule type="cellIs" priority="84" operator="lessThan">
      <formula>0</formula>
    </cfRule>
    <cfRule type="cellIs" priority="85" operator="greaterThan">
      <formula>1</formula>
    </cfRule>
  </conditionalFormatting>
  <conditionalFormatting sqref="CG7:CG8">
    <cfRule type="cellIs" priority="83" operator="equal">
      <formula>0</formula>
    </cfRule>
  </conditionalFormatting>
  <conditionalFormatting sqref="H3:H9 O3:O9 V3:V9 AC3:AC9">
    <cfRule type="cellIs" priority="81" operator="lessThan">
      <formula>0</formula>
    </cfRule>
    <cfRule type="cellIs" priority="82" operator="greaterThan">
      <formula>1</formula>
    </cfRule>
  </conditionalFormatting>
  <conditionalFormatting sqref="H3:H9 O3:O9 V3:V9 AC3:AC9">
    <cfRule type="cellIs" priority="80" operator="equal">
      <formula>0</formula>
    </cfRule>
  </conditionalFormatting>
  <conditionalFormatting sqref="CG3:CG9">
    <cfRule type="cellIs" priority="78" operator="lessThan">
      <formula>0</formula>
    </cfRule>
    <cfRule type="cellIs" priority="79" operator="greaterThan">
      <formula>1</formula>
    </cfRule>
  </conditionalFormatting>
  <conditionalFormatting sqref="CG3:CG9">
    <cfRule type="cellIs" priority="77" operator="equal">
      <formula>0</formula>
    </cfRule>
  </conditionalFormatting>
  <conditionalFormatting sqref="CG7:CG8">
    <cfRule type="cellIs" priority="75" operator="lessThan">
      <formula>0</formula>
    </cfRule>
    <cfRule type="cellIs" priority="76" operator="greaterThan">
      <formula>1</formula>
    </cfRule>
  </conditionalFormatting>
  <conditionalFormatting sqref="CG7:CG8">
    <cfRule type="cellIs" priority="74" operator="equal">
      <formula>0</formula>
    </cfRule>
  </conditionalFormatting>
  <conditionalFormatting sqref="H3:H9 O3:O9 V3:V9 AC3:AC9">
    <cfRule type="cellIs" priority="72" operator="lessThan">
      <formula>0</formula>
    </cfRule>
    <cfRule type="cellIs" priority="73" operator="greaterThan">
      <formula>1</formula>
    </cfRule>
  </conditionalFormatting>
  <conditionalFormatting sqref="H3:H9 O3:O9 V3:V9 AC3:AC9">
    <cfRule type="cellIs" priority="71" operator="equal">
      <formula>0</formula>
    </cfRule>
  </conditionalFormatting>
  <conditionalFormatting sqref="O3:O9">
    <cfRule type="cellIs" priority="69" operator="lessThan">
      <formula>0</formula>
    </cfRule>
    <cfRule type="cellIs" priority="70" operator="greaterThan">
      <formula>1</formula>
    </cfRule>
  </conditionalFormatting>
  <conditionalFormatting sqref="O3:O9">
    <cfRule type="cellIs" priority="68" operator="equal">
      <formula>0</formula>
    </cfRule>
  </conditionalFormatting>
  <conditionalFormatting sqref="V3:V8">
    <cfRule type="cellIs" priority="66" operator="lessThan">
      <formula>0</formula>
    </cfRule>
    <cfRule type="cellIs" priority="67" operator="greaterThan">
      <formula>1</formula>
    </cfRule>
  </conditionalFormatting>
  <conditionalFormatting sqref="V3:V8">
    <cfRule type="cellIs" priority="65" operator="equal">
      <formula>0</formula>
    </cfRule>
  </conditionalFormatting>
  <conditionalFormatting sqref="AC3:AC8">
    <cfRule type="cellIs" priority="63" operator="lessThan">
      <formula>0</formula>
    </cfRule>
    <cfRule type="cellIs" priority="64" operator="greaterThan">
      <formula>1</formula>
    </cfRule>
  </conditionalFormatting>
  <conditionalFormatting sqref="AC3:AC8">
    <cfRule type="cellIs" priority="62" operator="equal">
      <formula>0</formula>
    </cfRule>
  </conditionalFormatting>
  <conditionalFormatting sqref="H3:H9 O3:O9 V3:V9 AC3:AC9">
    <cfRule type="cellIs" priority="60" operator="lessThan">
      <formula>0</formula>
    </cfRule>
    <cfRule type="cellIs" priority="61" operator="greaterThan">
      <formula>1</formula>
    </cfRule>
  </conditionalFormatting>
  <conditionalFormatting sqref="H3:H9 O3:O9 V3:V9 AC3:AC9">
    <cfRule type="cellIs" priority="59" operator="equal">
      <formula>0</formula>
    </cfRule>
  </conditionalFormatting>
  <conditionalFormatting sqref="CG3:CG9">
    <cfRule type="cellIs" priority="57" operator="lessThan">
      <formula>0</formula>
    </cfRule>
    <cfRule type="cellIs" priority="58" operator="greaterThan">
      <formula>1</formula>
    </cfRule>
  </conditionalFormatting>
  <conditionalFormatting sqref="CG3:CG9">
    <cfRule type="cellIs" priority="56" operator="equal">
      <formula>0</formula>
    </cfRule>
  </conditionalFormatting>
  <conditionalFormatting sqref="H3:H9 O3:O9 V3:V9 AC3:AC9">
    <cfRule type="cellIs" priority="54" operator="lessThan">
      <formula>0</formula>
    </cfRule>
    <cfRule type="cellIs" priority="55" operator="greaterThan">
      <formula>1</formula>
    </cfRule>
  </conditionalFormatting>
  <conditionalFormatting sqref="H3:H9 O3:O9 V3:V9 AC3:AC9">
    <cfRule type="cellIs" priority="53" operator="equal">
      <formula>0</formula>
    </cfRule>
  </conditionalFormatting>
  <conditionalFormatting sqref="CG3:CG9">
    <cfRule type="cellIs" priority="51" operator="lessThan">
      <formula>0</formula>
    </cfRule>
    <cfRule type="cellIs" priority="52" operator="greaterThan">
      <formula>1</formula>
    </cfRule>
  </conditionalFormatting>
  <conditionalFormatting sqref="CG3:CG9">
    <cfRule type="cellIs" priority="50" operator="equal">
      <formula>0</formula>
    </cfRule>
  </conditionalFormatting>
  <conditionalFormatting sqref="CG3:CG8">
    <cfRule type="cellIs" priority="48" operator="lessThan">
      <formula>0</formula>
    </cfRule>
    <cfRule type="cellIs" priority="49" operator="greaterThan">
      <formula>1</formula>
    </cfRule>
  </conditionalFormatting>
  <conditionalFormatting sqref="CG3:CG8">
    <cfRule type="cellIs" priority="47" operator="equal">
      <formula>0</formula>
    </cfRule>
  </conditionalFormatting>
  <conditionalFormatting sqref="H3:H9 O3:O9 V3:V9 AC3:AC9">
    <cfRule type="cellIs" priority="45" operator="lessThan">
      <formula>0</formula>
    </cfRule>
    <cfRule type="cellIs" priority="46" operator="greaterThan">
      <formula>1</formula>
    </cfRule>
  </conditionalFormatting>
  <conditionalFormatting sqref="H3:H9 O3:O9 V3:V9 AC3:AC9">
    <cfRule type="cellIs" priority="44" operator="equal">
      <formula>0</formula>
    </cfRule>
  </conditionalFormatting>
  <conditionalFormatting sqref="CG3:CG9">
    <cfRule type="cellIs" priority="42" operator="lessThan">
      <formula>0</formula>
    </cfRule>
    <cfRule type="cellIs" priority="43" operator="greaterThan">
      <formula>1</formula>
    </cfRule>
  </conditionalFormatting>
  <conditionalFormatting sqref="CG3:CG9">
    <cfRule type="cellIs" priority="41" operator="equal">
      <formula>0</formula>
    </cfRule>
  </conditionalFormatting>
  <conditionalFormatting sqref="AQ3:AQ9">
    <cfRule type="cellIs" priority="39" operator="lessThan">
      <formula>0</formula>
    </cfRule>
    <cfRule type="cellIs" priority="40" operator="greaterThan">
      <formula>1</formula>
    </cfRule>
  </conditionalFormatting>
  <conditionalFormatting sqref="AQ3:AQ9">
    <cfRule type="cellIs" priority="38" operator="equal">
      <formula>0</formula>
    </cfRule>
  </conditionalFormatting>
  <conditionalFormatting sqref="AJ3:AJ9">
    <cfRule type="cellIs" priority="36" operator="lessThan">
      <formula>0</formula>
    </cfRule>
    <cfRule type="cellIs" priority="37" operator="greaterThan">
      <formula>1</formula>
    </cfRule>
  </conditionalFormatting>
  <conditionalFormatting sqref="AJ3:AJ9">
    <cfRule type="cellIs" priority="35" operator="equal">
      <formula>0</formula>
    </cfRule>
  </conditionalFormatting>
  <conditionalFormatting sqref="CN3:CN9">
    <cfRule type="cellIs" priority="33" operator="lessThan">
      <formula>0</formula>
    </cfRule>
    <cfRule type="cellIs" priority="34" operator="greaterThan">
      <formula>1</formula>
    </cfRule>
  </conditionalFormatting>
  <conditionalFormatting sqref="CN3:CN9">
    <cfRule type="cellIs" priority="32" operator="equal">
      <formula>0</formula>
    </cfRule>
  </conditionalFormatting>
  <conditionalFormatting sqref="CU3:CU9">
    <cfRule type="cellIs" priority="30" operator="lessThan">
      <formula>0</formula>
    </cfRule>
    <cfRule type="cellIs" priority="31" operator="greaterThan">
      <formula>1</formula>
    </cfRule>
  </conditionalFormatting>
  <conditionalFormatting sqref="CU3:CU9">
    <cfRule type="cellIs" priority="29" operator="equal">
      <formula>0</formula>
    </cfRule>
  </conditionalFormatting>
  <conditionalFormatting sqref="DB3:DB9">
    <cfRule type="cellIs" priority="27" operator="lessThan">
      <formula>0</formula>
    </cfRule>
    <cfRule type="cellIs" priority="28" operator="greaterThan">
      <formula>1</formula>
    </cfRule>
  </conditionalFormatting>
  <conditionalFormatting sqref="DB3:DB9">
    <cfRule type="cellIs" priority="26" operator="equal">
      <formula>0</formula>
    </cfRule>
  </conditionalFormatting>
  <conditionalFormatting sqref="CN3:CN9">
    <cfRule type="cellIs" priority="24" operator="lessThan">
      <formula>0</formula>
    </cfRule>
    <cfRule type="cellIs" priority="25" operator="greaterThan">
      <formula>1</formula>
    </cfRule>
  </conditionalFormatting>
  <conditionalFormatting sqref="CN3:CN9">
    <cfRule type="cellIs" priority="23" operator="equal">
      <formula>0</formula>
    </cfRule>
  </conditionalFormatting>
  <conditionalFormatting sqref="CU3:CU9">
    <cfRule type="cellIs" priority="21" operator="lessThan">
      <formula>0</formula>
    </cfRule>
    <cfRule type="cellIs" priority="22" operator="greaterThan">
      <formula>1</formula>
    </cfRule>
  </conditionalFormatting>
  <conditionalFormatting sqref="CU3:CU9">
    <cfRule type="cellIs" priority="20" operator="equal">
      <formula>0</formula>
    </cfRule>
  </conditionalFormatting>
  <conditionalFormatting sqref="DB3:DB9">
    <cfRule type="cellIs" priority="18" operator="lessThan">
      <formula>0</formula>
    </cfRule>
    <cfRule type="cellIs" priority="19" operator="greaterThan">
      <formula>1</formula>
    </cfRule>
  </conditionalFormatting>
  <conditionalFormatting sqref="DB3:DB9">
    <cfRule type="cellIs" priority="17" operator="equal">
      <formula>0</formula>
    </cfRule>
  </conditionalFormatting>
  <conditionalFormatting sqref="B14:B16">
    <cfRule type="cellIs" priority="15" operator="greaterThan">
      <formula>1</formula>
    </cfRule>
    <cfRule type="cellIs" priority="16" operator="lessThan">
      <formula>0</formula>
    </cfRule>
  </conditionalFormatting>
  <conditionalFormatting sqref="B14:B16">
    <cfRule type="cellIs" priority="13" operator="greaterThan">
      <formula>1</formula>
    </cfRule>
    <cfRule type="cellIs" priority="14" operator="lessThan">
      <formula>0</formula>
    </cfRule>
  </conditionalFormatting>
  <conditionalFormatting sqref="B14:B16">
    <cfRule type="cellIs" priority="11" operator="greaterThan">
      <formula>1</formula>
    </cfRule>
    <cfRule type="cellIs" priority="12" operator="lessThan">
      <formula>0</formula>
    </cfRule>
  </conditionalFormatting>
  <conditionalFormatting sqref="B14:B16">
    <cfRule type="cellIs" priority="9" operator="greaterThan">
      <formula>1</formula>
    </cfRule>
    <cfRule type="cellIs" priority="10" operator="lessThan">
      <formula>0</formula>
    </cfRule>
  </conditionalFormatting>
  <conditionalFormatting sqref="B14:B16">
    <cfRule type="cellIs" priority="7" operator="greaterThan">
      <formula>1</formula>
    </cfRule>
    <cfRule type="cellIs" priority="8" operator="lessThan">
      <formula>0</formula>
    </cfRule>
  </conditionalFormatting>
  <conditionalFormatting sqref="B14:B16">
    <cfRule type="cellIs" priority="5" operator="greaterThan">
      <formula>1</formula>
    </cfRule>
    <cfRule type="cellIs" priority="6" operator="lessThan">
      <formula>0</formula>
    </cfRule>
  </conditionalFormatting>
  <conditionalFormatting sqref="B14:B16">
    <cfRule type="cellIs" priority="3" operator="greaterThan">
      <formula>1</formula>
    </cfRule>
    <cfRule type="cellIs" priority="4" operator="lessThan">
      <formula>0</formula>
    </cfRule>
  </conditionalFormatting>
  <conditionalFormatting sqref="B14:B16">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3"/>
  <dimension ref="A1:DF20"/>
  <sheetViews>
    <sheetView workbookViewId="0">
      <pane xSplit="6" ySplit="1" topLeftCell="CX2" activePane="bottomRight" state="frozen"/>
      <selection pane="topRight" activeCell="G1" sqref="G1"/>
      <selection pane="bottomLeft" activeCell="A2" sqref="A2"/>
      <selection pane="bottomRight" activeCell="A14" sqref="A14:E16"/>
    </sheetView>
  </sheetViews>
  <sheetFormatPr defaultColWidth="8.85546875" defaultRowHeight="15" x14ac:dyDescent="0.25"/>
  <cols>
    <col min="1" max="1" width="37.85546875" bestFit="1" customWidth="1"/>
    <col min="2" max="2" width="11.5703125" customWidth="1"/>
    <col min="3" max="3" width="17.28515625" customWidth="1"/>
    <col min="4" max="4" width="10.7109375" bestFit="1" customWidth="1"/>
    <col min="5" max="5" width="7.28515625" customWidth="1"/>
    <col min="6" max="6" width="14.28515625" customWidth="1"/>
    <col min="7" max="8" width="11.5703125" customWidth="1"/>
    <col min="9" max="9" width="16.28515625" customWidth="1"/>
    <col min="10" max="29" width="11.5703125" customWidth="1"/>
    <col min="30" max="30" width="15.5703125" bestFit="1" customWidth="1"/>
    <col min="31" max="36" width="11.5703125" customWidth="1"/>
    <col min="37" max="37" width="15.5703125" bestFit="1" customWidth="1"/>
    <col min="38" max="43" width="11.5703125" customWidth="1"/>
    <col min="44" max="44" width="15.5703125" bestFit="1" customWidth="1"/>
    <col min="45" max="50" width="11.5703125" customWidth="1"/>
    <col min="51" max="51" width="15.5703125" bestFit="1" customWidth="1"/>
    <col min="52" max="108" width="11.5703125" customWidth="1"/>
    <col min="109" max="109" width="12.42578125" customWidth="1"/>
    <col min="110" max="1074" width="11.5703125" customWidth="1"/>
  </cols>
  <sheetData>
    <row r="1" spans="1:110" x14ac:dyDescent="0.25">
      <c r="A1" s="2" t="s">
        <v>124</v>
      </c>
      <c r="G1" s="98" t="s">
        <v>104</v>
      </c>
      <c r="H1" s="98"/>
      <c r="I1" s="98"/>
      <c r="J1" s="98"/>
      <c r="K1" s="98"/>
      <c r="L1" s="98"/>
      <c r="N1" s="98" t="s">
        <v>105</v>
      </c>
      <c r="O1" s="98"/>
      <c r="P1" s="98"/>
      <c r="Q1" s="98"/>
      <c r="R1" s="98"/>
      <c r="S1" s="98"/>
      <c r="U1" s="98" t="s">
        <v>106</v>
      </c>
      <c r="V1" s="98"/>
      <c r="W1" s="98"/>
      <c r="X1" s="98"/>
      <c r="Y1" s="98"/>
      <c r="Z1" s="98"/>
      <c r="AB1" s="98" t="s">
        <v>107</v>
      </c>
      <c r="AC1" s="98"/>
      <c r="AD1" s="98"/>
      <c r="AE1" s="98"/>
      <c r="AF1" s="98"/>
      <c r="AG1" s="98"/>
      <c r="AI1" s="98" t="s">
        <v>139</v>
      </c>
      <c r="AJ1" s="98"/>
      <c r="AK1" s="98"/>
      <c r="AL1" s="98"/>
      <c r="AM1" s="98"/>
      <c r="AN1" s="98"/>
      <c r="AP1" s="98" t="s">
        <v>140</v>
      </c>
      <c r="AQ1" s="98"/>
      <c r="AR1" s="98"/>
      <c r="AS1" s="98"/>
      <c r="AT1" s="98"/>
      <c r="AU1" s="98"/>
      <c r="AW1" s="98" t="s">
        <v>141</v>
      </c>
      <c r="AX1" s="98"/>
      <c r="AY1" s="98"/>
      <c r="AZ1" s="98"/>
      <c r="BA1" s="98"/>
      <c r="BB1" s="98"/>
      <c r="BD1" s="98" t="s">
        <v>142</v>
      </c>
      <c r="BE1" s="98"/>
      <c r="BF1" s="98"/>
      <c r="BG1" s="98"/>
      <c r="BH1" s="98"/>
      <c r="BI1" s="98"/>
      <c r="BK1" s="98" t="s">
        <v>143</v>
      </c>
      <c r="BL1" s="98"/>
      <c r="BM1" s="98"/>
      <c r="BN1" s="98"/>
      <c r="BO1" s="98"/>
      <c r="BP1" s="98"/>
      <c r="BR1" s="98" t="s">
        <v>144</v>
      </c>
      <c r="BS1" s="98"/>
      <c r="BT1" s="98"/>
      <c r="BU1" s="98"/>
      <c r="BV1" s="98"/>
      <c r="BW1" s="98"/>
      <c r="BY1" s="98" t="s">
        <v>145</v>
      </c>
      <c r="BZ1" s="98"/>
      <c r="CA1" s="98"/>
      <c r="CB1" s="98"/>
      <c r="CC1" s="98"/>
      <c r="CD1" s="98"/>
      <c r="CF1" s="98" t="s">
        <v>108</v>
      </c>
      <c r="CG1" s="98"/>
      <c r="CH1" s="98"/>
      <c r="CI1" s="98"/>
      <c r="CJ1" s="98"/>
      <c r="CK1" s="98"/>
      <c r="CM1" s="98" t="s">
        <v>168</v>
      </c>
      <c r="CN1" s="98"/>
      <c r="CO1" s="98"/>
      <c r="CP1" s="98"/>
      <c r="CQ1" s="98"/>
      <c r="CR1" s="98"/>
      <c r="CT1" s="98" t="s">
        <v>170</v>
      </c>
      <c r="CU1" s="98"/>
      <c r="CV1" s="98"/>
      <c r="CW1" s="98"/>
      <c r="CX1" s="98"/>
      <c r="CY1" s="98"/>
      <c r="DA1" s="98" t="s">
        <v>169</v>
      </c>
      <c r="DB1" s="98"/>
      <c r="DC1" s="98"/>
      <c r="DD1" s="98"/>
      <c r="DE1" s="98"/>
      <c r="DF1" s="98"/>
    </row>
    <row r="2" spans="1:110" x14ac:dyDescent="0.25">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x14ac:dyDescent="0.25">
      <c r="A3" s="58" t="s">
        <v>173</v>
      </c>
      <c r="B3" s="58">
        <f>+E3/D3</f>
        <v>3.9696969696969694E-3</v>
      </c>
      <c r="C3" s="3">
        <f>1/B3/Summary!$C$7</f>
        <v>0.25190839694656492</v>
      </c>
      <c r="D3" s="59">
        <f>+K10</f>
        <v>165.00000000000003</v>
      </c>
      <c r="E3" s="3">
        <v>0.65500000000000003</v>
      </c>
      <c r="G3" s="60">
        <v>1</v>
      </c>
      <c r="H3" s="61">
        <v>0.3</v>
      </c>
      <c r="I3" s="62">
        <f>+SUM($H3:H3)</f>
        <v>0.3</v>
      </c>
      <c r="J3" s="50">
        <v>50</v>
      </c>
      <c r="K3" s="58">
        <f t="shared" ref="K3:K9" si="0">+H3*J3</f>
        <v>15</v>
      </c>
      <c r="L3" s="63">
        <v>0</v>
      </c>
      <c r="N3" s="60">
        <v>1</v>
      </c>
      <c r="O3" s="61">
        <v>0.04</v>
      </c>
      <c r="P3" s="62">
        <f>+SUM($O3:O$3)</f>
        <v>0.04</v>
      </c>
      <c r="Q3" s="58">
        <f t="shared" ref="Q3:Q9" si="1">+J3</f>
        <v>50</v>
      </c>
      <c r="R3" s="58">
        <f t="shared" ref="R3:R9" si="2">+O3*Q3</f>
        <v>2</v>
      </c>
      <c r="S3" s="63">
        <v>0</v>
      </c>
      <c r="U3" s="60">
        <v>1</v>
      </c>
      <c r="V3" s="61">
        <v>0.04</v>
      </c>
      <c r="W3" s="62">
        <f>+SUM($V3:V$3)</f>
        <v>0.04</v>
      </c>
      <c r="X3" s="58">
        <f t="shared" ref="X3:X9" si="3">+J3</f>
        <v>50</v>
      </c>
      <c r="Y3" s="58">
        <f t="shared" ref="Y3:Y9" si="4">+V3*X3</f>
        <v>2</v>
      </c>
      <c r="Z3" s="63">
        <v>0</v>
      </c>
      <c r="AB3" s="60">
        <v>1</v>
      </c>
      <c r="AC3" s="61">
        <v>0</v>
      </c>
      <c r="AD3" s="62">
        <f>+SUM($AC$3:AC3)</f>
        <v>0</v>
      </c>
      <c r="AE3" s="58">
        <f t="shared" ref="AE3:AE9" si="5">+J3</f>
        <v>50</v>
      </c>
      <c r="AF3" s="58">
        <f t="shared" ref="AF3:AF9" si="6">+AC3*AE3</f>
        <v>0</v>
      </c>
      <c r="AG3" s="63">
        <v>0</v>
      </c>
      <c r="AI3" s="60">
        <v>1</v>
      </c>
      <c r="AJ3" s="61">
        <v>0</v>
      </c>
      <c r="AK3" s="62">
        <f>+SUM(AJ3:$AJ3)</f>
        <v>0</v>
      </c>
      <c r="AL3" s="58">
        <f t="shared" ref="AL3:AL9" si="7">+Q3</f>
        <v>50</v>
      </c>
      <c r="AM3" s="58">
        <f t="shared" ref="AM3:AM9" si="8">+AJ3*AL3</f>
        <v>0</v>
      </c>
      <c r="AN3" s="63">
        <v>0</v>
      </c>
      <c r="AP3" s="60">
        <v>1</v>
      </c>
      <c r="AQ3" s="61">
        <v>0.3</v>
      </c>
      <c r="AR3" s="62">
        <f>+SUM($AQ$3:AQ3)</f>
        <v>0.3</v>
      </c>
      <c r="AS3" s="58">
        <f t="shared" ref="AS3:AS9" si="9">+X3</f>
        <v>50</v>
      </c>
      <c r="AT3" s="58">
        <f>+AQ3*AS3</f>
        <v>15</v>
      </c>
      <c r="AU3" s="63">
        <v>0</v>
      </c>
      <c r="AW3" s="60">
        <v>1</v>
      </c>
      <c r="AX3" s="61">
        <v>0.05</v>
      </c>
      <c r="AY3" s="62">
        <f>+SUM($AX$3:AX3)</f>
        <v>0.05</v>
      </c>
      <c r="AZ3" s="58">
        <f t="shared" ref="AZ3:AZ9" si="10">+AE3</f>
        <v>50</v>
      </c>
      <c r="BA3" s="58">
        <f t="shared" ref="BA3:BA9" si="11">+AX3*AZ3</f>
        <v>2.5</v>
      </c>
      <c r="BB3" s="63">
        <v>0</v>
      </c>
      <c r="BD3" s="60">
        <v>1</v>
      </c>
      <c r="BE3" s="61">
        <v>0.11</v>
      </c>
      <c r="BF3" s="62">
        <f>+SUM($BE$3:BE3)</f>
        <v>0.11</v>
      </c>
      <c r="BG3" s="58">
        <f t="shared" ref="BG3:BG9" si="12">+AL3</f>
        <v>50</v>
      </c>
      <c r="BH3" s="58">
        <f t="shared" ref="BH3:BH9" si="13">+BE3*BG3</f>
        <v>5.5</v>
      </c>
      <c r="BI3" s="63">
        <v>0</v>
      </c>
      <c r="BK3" s="60">
        <v>1</v>
      </c>
      <c r="BL3" s="61">
        <v>0.2</v>
      </c>
      <c r="BM3" s="62">
        <f>+SUM($BL$3:BL3)</f>
        <v>0.2</v>
      </c>
      <c r="BN3" s="58">
        <f t="shared" ref="BN3:BN9" si="14">+AS3</f>
        <v>50</v>
      </c>
      <c r="BO3" s="58">
        <f t="shared" ref="BO3:BO9" si="15">+BL3*BN3</f>
        <v>10</v>
      </c>
      <c r="BP3" s="63">
        <v>0</v>
      </c>
      <c r="BR3" s="60">
        <v>1</v>
      </c>
      <c r="BS3" s="61">
        <v>0.2</v>
      </c>
      <c r="BT3" s="62">
        <f>+SUM($BS$3:BS3)</f>
        <v>0.2</v>
      </c>
      <c r="BU3" s="58">
        <f t="shared" ref="BU3:BU9" si="16">+AZ3</f>
        <v>50</v>
      </c>
      <c r="BV3" s="58">
        <f t="shared" ref="BV3:BV9" si="17">+BS3*BU3</f>
        <v>10</v>
      </c>
      <c r="BW3" s="63">
        <v>0</v>
      </c>
      <c r="BY3" s="60">
        <v>1</v>
      </c>
      <c r="BZ3" s="61">
        <v>0.34</v>
      </c>
      <c r="CA3" s="62">
        <f>+SUM($BZ$3:BZ3)</f>
        <v>0.34</v>
      </c>
      <c r="CB3" s="58">
        <f t="shared" ref="CB3:CB9" si="18">+BG3</f>
        <v>50</v>
      </c>
      <c r="CC3" s="58">
        <f t="shared" ref="CC3:CC9" si="19">+BZ3*CB3</f>
        <v>17</v>
      </c>
      <c r="CD3" s="63">
        <v>0</v>
      </c>
      <c r="CF3" s="60">
        <v>1</v>
      </c>
      <c r="CG3" s="61">
        <v>0</v>
      </c>
      <c r="CH3" s="62">
        <f>+SUM($CG$3:CG3)</f>
        <v>0</v>
      </c>
      <c r="CI3" s="58">
        <f t="shared" ref="CI3:CI9" si="20">+BG3</f>
        <v>50</v>
      </c>
      <c r="CJ3" s="58">
        <f t="shared" ref="CJ3:CJ9" si="21">+CG3*CI3</f>
        <v>0</v>
      </c>
      <c r="CK3" s="63">
        <v>0</v>
      </c>
      <c r="CM3" s="60">
        <v>1</v>
      </c>
      <c r="CN3" s="61">
        <f>+H3</f>
        <v>0.3</v>
      </c>
      <c r="CO3" s="62">
        <f>+SUM($CN$3:CN3)</f>
        <v>0.3</v>
      </c>
      <c r="CP3" s="83">
        <f>+J3</f>
        <v>50</v>
      </c>
      <c r="CQ3" s="58">
        <f t="shared" ref="CQ3" si="22">+CN3*CP3</f>
        <v>15</v>
      </c>
      <c r="CR3" s="63">
        <v>0</v>
      </c>
      <c r="CT3" s="60">
        <v>1</v>
      </c>
      <c r="CU3" s="61">
        <f>+H3</f>
        <v>0.3</v>
      </c>
      <c r="CV3" s="62">
        <f>+SUM($CU$3:CU3)</f>
        <v>0.3</v>
      </c>
      <c r="CW3" s="84">
        <f>+J3*2</f>
        <v>100</v>
      </c>
      <c r="CX3" s="58">
        <f t="shared" ref="CX3" si="23">+CU3*CW3</f>
        <v>30</v>
      </c>
      <c r="CY3" s="63">
        <v>0</v>
      </c>
      <c r="DA3" s="60">
        <v>1</v>
      </c>
      <c r="DB3" s="61">
        <v>0</v>
      </c>
      <c r="DC3" s="62">
        <f>+SUM($DB$3:DB3)</f>
        <v>0</v>
      </c>
      <c r="DD3" s="83">
        <f>+J3</f>
        <v>50</v>
      </c>
      <c r="DE3" s="58">
        <f t="shared" ref="DE3" si="24">+DB3*DD3</f>
        <v>0</v>
      </c>
      <c r="DF3" s="63">
        <v>0</v>
      </c>
    </row>
    <row r="4" spans="1:110" x14ac:dyDescent="0.25">
      <c r="A4" s="3" t="s">
        <v>114</v>
      </c>
      <c r="B4" s="58">
        <f>+E4/D4</f>
        <v>1.7574692442882248E-2</v>
      </c>
      <c r="C4" s="3">
        <v>0</v>
      </c>
      <c r="D4" s="64">
        <f>+R10</f>
        <v>284.50000000000006</v>
      </c>
      <c r="E4" s="3">
        <v>5</v>
      </c>
      <c r="G4" s="60">
        <v>2</v>
      </c>
      <c r="H4" s="61">
        <v>0.45</v>
      </c>
      <c r="I4" s="62">
        <f>+SUM($H$3:H4)</f>
        <v>0.75</v>
      </c>
      <c r="J4" s="50">
        <v>100</v>
      </c>
      <c r="K4" s="58">
        <f t="shared" si="0"/>
        <v>45</v>
      </c>
      <c r="L4" s="63">
        <v>0</v>
      </c>
      <c r="N4" s="60">
        <v>2</v>
      </c>
      <c r="O4" s="61">
        <v>0.3</v>
      </c>
      <c r="P4" s="62">
        <f>+SUM($O$3:O4)</f>
        <v>0.33999999999999997</v>
      </c>
      <c r="Q4" s="58">
        <f t="shared" si="1"/>
        <v>100</v>
      </c>
      <c r="R4" s="58">
        <f t="shared" si="2"/>
        <v>30</v>
      </c>
      <c r="S4" s="63">
        <v>0</v>
      </c>
      <c r="U4" s="60">
        <v>2</v>
      </c>
      <c r="V4" s="61">
        <v>0.2</v>
      </c>
      <c r="W4" s="62">
        <f>+SUM($V$3:V4)</f>
        <v>0.24000000000000002</v>
      </c>
      <c r="X4" s="58">
        <f t="shared" si="3"/>
        <v>100</v>
      </c>
      <c r="Y4" s="58">
        <f t="shared" si="4"/>
        <v>20</v>
      </c>
      <c r="Z4" s="63">
        <v>0</v>
      </c>
      <c r="AB4" s="60">
        <v>2</v>
      </c>
      <c r="AC4" s="61">
        <v>0.15</v>
      </c>
      <c r="AD4" s="62">
        <f>+SUM($AC$3:AC4)</f>
        <v>0.15</v>
      </c>
      <c r="AE4" s="58">
        <f t="shared" si="5"/>
        <v>100</v>
      </c>
      <c r="AF4" s="58">
        <f t="shared" si="6"/>
        <v>15</v>
      </c>
      <c r="AG4" s="63">
        <v>0</v>
      </c>
      <c r="AI4" s="60">
        <v>2</v>
      </c>
      <c r="AJ4" s="61">
        <v>0</v>
      </c>
      <c r="AK4" s="62">
        <f>+SUM($AJ$3:AJ4)</f>
        <v>0</v>
      </c>
      <c r="AL4" s="58">
        <f t="shared" si="7"/>
        <v>100</v>
      </c>
      <c r="AM4" s="58">
        <f t="shared" si="8"/>
        <v>0</v>
      </c>
      <c r="AN4" s="63">
        <v>0</v>
      </c>
      <c r="AP4" s="60">
        <v>2</v>
      </c>
      <c r="AQ4" s="61">
        <v>0.25</v>
      </c>
      <c r="AR4" s="62">
        <f>+SUM($AQ$3:AQ4)</f>
        <v>0.55000000000000004</v>
      </c>
      <c r="AS4" s="58">
        <f t="shared" si="9"/>
        <v>100</v>
      </c>
      <c r="AT4" s="58">
        <f t="shared" ref="AT4:AT9" si="25">+AQ4*AS4</f>
        <v>25</v>
      </c>
      <c r="AU4" s="63">
        <v>0</v>
      </c>
      <c r="AW4" s="60">
        <v>2</v>
      </c>
      <c r="AX4" s="61">
        <v>0.15</v>
      </c>
      <c r="AY4" s="62">
        <f>+SUM($AX$3:AX4)</f>
        <v>0.2</v>
      </c>
      <c r="AZ4" s="58">
        <f t="shared" si="10"/>
        <v>100</v>
      </c>
      <c r="BA4" s="58">
        <f t="shared" si="11"/>
        <v>15</v>
      </c>
      <c r="BB4" s="63">
        <v>0</v>
      </c>
      <c r="BD4" s="60">
        <v>2</v>
      </c>
      <c r="BE4" s="61">
        <v>0.12</v>
      </c>
      <c r="BF4" s="62">
        <f>+SUM($BE$3:BE4)</f>
        <v>0.22999999999999998</v>
      </c>
      <c r="BG4" s="58">
        <f t="shared" si="12"/>
        <v>100</v>
      </c>
      <c r="BH4" s="58">
        <f t="shared" si="13"/>
        <v>12</v>
      </c>
      <c r="BI4" s="63">
        <v>0</v>
      </c>
      <c r="BK4" s="60">
        <v>2</v>
      </c>
      <c r="BL4" s="61">
        <v>0.2</v>
      </c>
      <c r="BM4" s="62">
        <f>+SUM($BL$3:BL4)</f>
        <v>0.4</v>
      </c>
      <c r="BN4" s="58">
        <f t="shared" si="14"/>
        <v>100</v>
      </c>
      <c r="BO4" s="58">
        <f t="shared" si="15"/>
        <v>20</v>
      </c>
      <c r="BP4" s="63">
        <v>0</v>
      </c>
      <c r="BR4" s="60">
        <v>2</v>
      </c>
      <c r="BS4" s="61">
        <v>0.25</v>
      </c>
      <c r="BT4" s="62">
        <f>+SUM($BS$3:BS4)</f>
        <v>0.45</v>
      </c>
      <c r="BU4" s="58">
        <f t="shared" si="16"/>
        <v>100</v>
      </c>
      <c r="BV4" s="58">
        <f t="shared" si="17"/>
        <v>25</v>
      </c>
      <c r="BW4" s="63">
        <v>0</v>
      </c>
      <c r="BY4" s="60">
        <v>2</v>
      </c>
      <c r="BZ4" s="61">
        <v>0.3</v>
      </c>
      <c r="CA4" s="62">
        <f>+SUM($BZ$3:BZ4)</f>
        <v>0.64</v>
      </c>
      <c r="CB4" s="58">
        <f t="shared" si="18"/>
        <v>100</v>
      </c>
      <c r="CC4" s="58">
        <f t="shared" si="19"/>
        <v>30</v>
      </c>
      <c r="CD4" s="63">
        <v>0</v>
      </c>
      <c r="CF4" s="60">
        <v>2</v>
      </c>
      <c r="CG4" s="61">
        <v>0.1</v>
      </c>
      <c r="CH4" s="62">
        <f>+SUM($CG$3:CG4)</f>
        <v>0.1</v>
      </c>
      <c r="CI4" s="58">
        <f t="shared" si="20"/>
        <v>100</v>
      </c>
      <c r="CJ4" s="58">
        <f t="shared" si="21"/>
        <v>10</v>
      </c>
      <c r="CK4" s="63">
        <v>0</v>
      </c>
      <c r="CM4" s="60">
        <v>2</v>
      </c>
      <c r="CN4" s="61">
        <f t="shared" ref="CN4:CN8" si="26">+H4</f>
        <v>0.45</v>
      </c>
      <c r="CO4" s="62">
        <f>+SUM($CN$3:CN4)</f>
        <v>0.75</v>
      </c>
      <c r="CP4" s="83">
        <f t="shared" ref="CP4:CP9" si="27">+J4</f>
        <v>100</v>
      </c>
      <c r="CQ4" s="58">
        <f>+CN4*CP4</f>
        <v>45</v>
      </c>
      <c r="CR4" s="63">
        <v>0</v>
      </c>
      <c r="CT4" s="60">
        <v>2</v>
      </c>
      <c r="CU4" s="61">
        <f t="shared" ref="CU4:CU8" si="28">+H4</f>
        <v>0.45</v>
      </c>
      <c r="CV4" s="62">
        <f>+SUM($CU$3:CU4)</f>
        <v>0.75</v>
      </c>
      <c r="CW4" s="84">
        <f t="shared" ref="CW4:CW9" si="29">+J4*2</f>
        <v>200</v>
      </c>
      <c r="CX4" s="58">
        <f>+CU4*CW4</f>
        <v>90</v>
      </c>
      <c r="CY4" s="63">
        <v>0</v>
      </c>
      <c r="DA4" s="60">
        <v>2</v>
      </c>
      <c r="DB4" s="61">
        <v>0</v>
      </c>
      <c r="DC4" s="62">
        <f>+SUM($DB$3:DB4)</f>
        <v>0</v>
      </c>
      <c r="DD4" s="83">
        <f t="shared" ref="DD4:DD9" si="30">+J4</f>
        <v>100</v>
      </c>
      <c r="DE4" s="58">
        <f>+DB4*DD4</f>
        <v>0</v>
      </c>
      <c r="DF4" s="63">
        <v>0</v>
      </c>
    </row>
    <row r="5" spans="1:110" x14ac:dyDescent="0.25">
      <c r="A5" s="3" t="s">
        <v>115</v>
      </c>
      <c r="B5" s="58">
        <f>+E5/D5</f>
        <v>2.3564064801178199E-2</v>
      </c>
      <c r="C5" s="3">
        <v>0</v>
      </c>
      <c r="D5" s="64">
        <f>+Y10</f>
        <v>339.50000000000006</v>
      </c>
      <c r="E5" s="3">
        <v>8</v>
      </c>
      <c r="G5" s="60">
        <v>3</v>
      </c>
      <c r="H5" s="61">
        <v>0.15</v>
      </c>
      <c r="I5" s="62">
        <f>+SUM($H$3:H5)</f>
        <v>0.9</v>
      </c>
      <c r="J5" s="50">
        <v>200</v>
      </c>
      <c r="K5" s="58">
        <f t="shared" si="0"/>
        <v>30</v>
      </c>
      <c r="L5" s="63">
        <v>0</v>
      </c>
      <c r="N5" s="60">
        <v>3</v>
      </c>
      <c r="O5" s="61">
        <v>0.45</v>
      </c>
      <c r="P5" s="62">
        <f>+SUM($O$3:O5)</f>
        <v>0.79</v>
      </c>
      <c r="Q5" s="58">
        <f t="shared" si="1"/>
        <v>200</v>
      </c>
      <c r="R5" s="58">
        <f t="shared" si="2"/>
        <v>90</v>
      </c>
      <c r="S5" s="63">
        <v>0</v>
      </c>
      <c r="U5" s="60">
        <v>3</v>
      </c>
      <c r="V5" s="61">
        <v>0.4</v>
      </c>
      <c r="W5" s="62">
        <f>+SUM($V$3:V5)</f>
        <v>0.64</v>
      </c>
      <c r="X5" s="58">
        <f t="shared" si="3"/>
        <v>200</v>
      </c>
      <c r="Y5" s="58">
        <f t="shared" si="4"/>
        <v>80</v>
      </c>
      <c r="Z5" s="63">
        <v>0</v>
      </c>
      <c r="AB5" s="60">
        <v>3</v>
      </c>
      <c r="AC5" s="61">
        <v>0.4</v>
      </c>
      <c r="AD5" s="62">
        <f>+SUM($AC$3:AC5)</f>
        <v>0.55000000000000004</v>
      </c>
      <c r="AE5" s="58">
        <f t="shared" si="5"/>
        <v>200</v>
      </c>
      <c r="AF5" s="58">
        <f t="shared" si="6"/>
        <v>80</v>
      </c>
      <c r="AG5" s="63">
        <v>0</v>
      </c>
      <c r="AI5" s="60">
        <v>3</v>
      </c>
      <c r="AJ5" s="61">
        <v>0</v>
      </c>
      <c r="AK5" s="62">
        <f>+SUM($AJ$3:AJ5)</f>
        <v>0</v>
      </c>
      <c r="AL5" s="58">
        <f t="shared" si="7"/>
        <v>200</v>
      </c>
      <c r="AM5" s="58">
        <f t="shared" si="8"/>
        <v>0</v>
      </c>
      <c r="AN5" s="63">
        <v>0</v>
      </c>
      <c r="AP5" s="60">
        <v>3</v>
      </c>
      <c r="AQ5" s="61">
        <v>0.25</v>
      </c>
      <c r="AR5" s="62">
        <f>+SUM($AQ$3:AQ5)</f>
        <v>0.8</v>
      </c>
      <c r="AS5" s="58">
        <f t="shared" si="9"/>
        <v>200</v>
      </c>
      <c r="AT5" s="58">
        <f t="shared" si="25"/>
        <v>50</v>
      </c>
      <c r="AU5" s="63">
        <v>0</v>
      </c>
      <c r="AW5" s="60">
        <v>3</v>
      </c>
      <c r="AX5" s="61">
        <v>0.3</v>
      </c>
      <c r="AY5" s="62">
        <f>+SUM($AX$3:AX5)</f>
        <v>0.5</v>
      </c>
      <c r="AZ5" s="58">
        <f t="shared" si="10"/>
        <v>200</v>
      </c>
      <c r="BA5" s="58">
        <f t="shared" si="11"/>
        <v>60</v>
      </c>
      <c r="BB5" s="63">
        <v>0</v>
      </c>
      <c r="BD5" s="60">
        <v>3</v>
      </c>
      <c r="BE5" s="61">
        <v>0.22</v>
      </c>
      <c r="BF5" s="62">
        <f>+SUM($BE$3:BE5)</f>
        <v>0.44999999999999996</v>
      </c>
      <c r="BG5" s="58">
        <f t="shared" si="12"/>
        <v>200</v>
      </c>
      <c r="BH5" s="58">
        <f t="shared" si="13"/>
        <v>44</v>
      </c>
      <c r="BI5" s="63">
        <v>0</v>
      </c>
      <c r="BK5" s="60">
        <v>3</v>
      </c>
      <c r="BL5" s="61">
        <v>0.15</v>
      </c>
      <c r="BM5" s="62">
        <f>+SUM($BL$3:BL5)</f>
        <v>0.55000000000000004</v>
      </c>
      <c r="BN5" s="58">
        <f t="shared" si="14"/>
        <v>200</v>
      </c>
      <c r="BO5" s="58">
        <f t="shared" si="15"/>
        <v>30</v>
      </c>
      <c r="BP5" s="63">
        <v>0</v>
      </c>
      <c r="BR5" s="60">
        <v>3</v>
      </c>
      <c r="BS5" s="61">
        <v>0.16</v>
      </c>
      <c r="BT5" s="62">
        <f>+SUM($BS$3:BS5)</f>
        <v>0.61</v>
      </c>
      <c r="BU5" s="58">
        <f t="shared" si="16"/>
        <v>200</v>
      </c>
      <c r="BV5" s="58">
        <f t="shared" si="17"/>
        <v>32</v>
      </c>
      <c r="BW5" s="63">
        <v>0</v>
      </c>
      <c r="BY5" s="60">
        <v>3</v>
      </c>
      <c r="BZ5" s="61">
        <v>0.2</v>
      </c>
      <c r="CA5" s="62">
        <f>+SUM($BZ$3:BZ5)</f>
        <v>0.84000000000000008</v>
      </c>
      <c r="CB5" s="58">
        <f t="shared" si="18"/>
        <v>200</v>
      </c>
      <c r="CC5" s="58">
        <f t="shared" si="19"/>
        <v>40</v>
      </c>
      <c r="CD5" s="63">
        <v>0</v>
      </c>
      <c r="CF5" s="60">
        <v>3</v>
      </c>
      <c r="CG5" s="61">
        <v>0.4</v>
      </c>
      <c r="CH5" s="62">
        <f>+SUM($CG$3:CG5)</f>
        <v>0.5</v>
      </c>
      <c r="CI5" s="58">
        <f t="shared" si="20"/>
        <v>200</v>
      </c>
      <c r="CJ5" s="58">
        <f t="shared" si="21"/>
        <v>80</v>
      </c>
      <c r="CK5" s="63">
        <v>0</v>
      </c>
      <c r="CM5" s="60">
        <v>3</v>
      </c>
      <c r="CN5" s="61">
        <f t="shared" si="26"/>
        <v>0.15</v>
      </c>
      <c r="CO5" s="62">
        <f>+SUM($CN$3:CN5)</f>
        <v>0.9</v>
      </c>
      <c r="CP5" s="83">
        <f t="shared" si="27"/>
        <v>200</v>
      </c>
      <c r="CQ5" s="58">
        <f t="shared" ref="CQ5:CQ9" si="31">+CN5*CP5</f>
        <v>30</v>
      </c>
      <c r="CR5" s="63">
        <v>0</v>
      </c>
      <c r="CT5" s="60">
        <v>3</v>
      </c>
      <c r="CU5" s="61">
        <f t="shared" si="28"/>
        <v>0.15</v>
      </c>
      <c r="CV5" s="62">
        <f>+SUM($CU$3:CU5)</f>
        <v>0.9</v>
      </c>
      <c r="CW5" s="84">
        <f t="shared" si="29"/>
        <v>400</v>
      </c>
      <c r="CX5" s="58">
        <f t="shared" ref="CX5:CX9" si="32">+CU5*CW5</f>
        <v>60</v>
      </c>
      <c r="CY5" s="63">
        <v>0</v>
      </c>
      <c r="DA5" s="60">
        <v>3</v>
      </c>
      <c r="DB5" s="61">
        <v>0</v>
      </c>
      <c r="DC5" s="62">
        <f>+SUM($DB$3:DB5)</f>
        <v>0</v>
      </c>
      <c r="DD5" s="83">
        <f t="shared" si="30"/>
        <v>200</v>
      </c>
      <c r="DE5" s="58">
        <f t="shared" ref="DE5:DE9" si="33">+DB5*DD5</f>
        <v>0</v>
      </c>
      <c r="DF5" s="63">
        <v>0</v>
      </c>
    </row>
    <row r="6" spans="1:110" x14ac:dyDescent="0.25">
      <c r="A6" s="80" t="s">
        <v>116</v>
      </c>
      <c r="B6" s="75">
        <f>+E6/D6</f>
        <v>2.5641025641025651E-2</v>
      </c>
      <c r="C6" s="3">
        <v>0</v>
      </c>
      <c r="D6" s="64">
        <f>+AF10</f>
        <v>389.99999999999983</v>
      </c>
      <c r="E6" s="3">
        <v>10</v>
      </c>
      <c r="G6" s="60">
        <v>4</v>
      </c>
      <c r="H6" s="61">
        <v>0.06</v>
      </c>
      <c r="I6" s="62">
        <f>+SUM($H$3:H6)</f>
        <v>0.96</v>
      </c>
      <c r="J6" s="50">
        <v>500</v>
      </c>
      <c r="K6" s="58">
        <f t="shared" si="0"/>
        <v>30</v>
      </c>
      <c r="L6" s="63">
        <v>0</v>
      </c>
      <c r="N6" s="60">
        <v>4</v>
      </c>
      <c r="O6" s="61">
        <v>0.1</v>
      </c>
      <c r="P6" s="62">
        <f>+SUM($O$3:O6)</f>
        <v>0.89</v>
      </c>
      <c r="Q6" s="58">
        <f t="shared" si="1"/>
        <v>500</v>
      </c>
      <c r="R6" s="58">
        <f t="shared" si="2"/>
        <v>50</v>
      </c>
      <c r="S6" s="63">
        <v>0</v>
      </c>
      <c r="U6" s="60">
        <v>4</v>
      </c>
      <c r="V6" s="61">
        <v>0.25</v>
      </c>
      <c r="W6" s="62">
        <f>+SUM($V$3:V6)</f>
        <v>0.89</v>
      </c>
      <c r="X6" s="58">
        <f t="shared" si="3"/>
        <v>500</v>
      </c>
      <c r="Y6" s="58">
        <f t="shared" si="4"/>
        <v>125</v>
      </c>
      <c r="Z6" s="63">
        <v>0</v>
      </c>
      <c r="AB6" s="60">
        <v>4</v>
      </c>
      <c r="AC6" s="61">
        <v>0.3</v>
      </c>
      <c r="AD6" s="62">
        <f>+SUM($AC$3:AC6)</f>
        <v>0.85000000000000009</v>
      </c>
      <c r="AE6" s="58">
        <f t="shared" si="5"/>
        <v>500</v>
      </c>
      <c r="AF6" s="58">
        <f t="shared" si="6"/>
        <v>150</v>
      </c>
      <c r="AG6" s="63">
        <v>0</v>
      </c>
      <c r="AI6" s="60">
        <v>4</v>
      </c>
      <c r="AJ6" s="61">
        <v>0</v>
      </c>
      <c r="AK6" s="62">
        <f>+SUM($AJ$3:AJ6)</f>
        <v>0</v>
      </c>
      <c r="AL6" s="58">
        <f t="shared" si="7"/>
        <v>500</v>
      </c>
      <c r="AM6" s="58">
        <f t="shared" si="8"/>
        <v>0</v>
      </c>
      <c r="AN6" s="63">
        <v>0</v>
      </c>
      <c r="AP6" s="60">
        <v>4</v>
      </c>
      <c r="AQ6" s="61">
        <f>1-SUM(AQ3:AQ5)</f>
        <v>0.19999999999999996</v>
      </c>
      <c r="AR6" s="62">
        <f>+SUM($AQ$3:AQ6)</f>
        <v>1</v>
      </c>
      <c r="AS6" s="58">
        <f t="shared" si="9"/>
        <v>500</v>
      </c>
      <c r="AT6" s="58">
        <f t="shared" si="25"/>
        <v>99.999999999999972</v>
      </c>
      <c r="AU6" s="63">
        <v>0</v>
      </c>
      <c r="AW6" s="60">
        <v>4</v>
      </c>
      <c r="AX6" s="61">
        <v>0.3</v>
      </c>
      <c r="AY6" s="62">
        <f>+SUM($AX$3:AX6)</f>
        <v>0.8</v>
      </c>
      <c r="AZ6" s="58">
        <f t="shared" si="10"/>
        <v>500</v>
      </c>
      <c r="BA6" s="58">
        <f t="shared" si="11"/>
        <v>150</v>
      </c>
      <c r="BB6" s="63">
        <v>0</v>
      </c>
      <c r="BD6" s="60">
        <v>4</v>
      </c>
      <c r="BE6" s="61">
        <v>0.2</v>
      </c>
      <c r="BF6" s="62">
        <f>+SUM($BE$3:BE6)</f>
        <v>0.64999999999999991</v>
      </c>
      <c r="BG6" s="58">
        <f t="shared" si="12"/>
        <v>500</v>
      </c>
      <c r="BH6" s="58">
        <f t="shared" si="13"/>
        <v>100</v>
      </c>
      <c r="BI6" s="63">
        <v>0</v>
      </c>
      <c r="BK6" s="60">
        <v>4</v>
      </c>
      <c r="BL6" s="61">
        <v>0.15</v>
      </c>
      <c r="BM6" s="62">
        <f>+SUM($BL$3:BL6)</f>
        <v>0.70000000000000007</v>
      </c>
      <c r="BN6" s="58">
        <f t="shared" si="14"/>
        <v>500</v>
      </c>
      <c r="BO6" s="58">
        <f t="shared" si="15"/>
        <v>75</v>
      </c>
      <c r="BP6" s="63">
        <v>0</v>
      </c>
      <c r="BR6" s="60">
        <v>4</v>
      </c>
      <c r="BS6" s="61">
        <v>0.12</v>
      </c>
      <c r="BT6" s="62">
        <f>+SUM($BS$3:BS6)</f>
        <v>0.73</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0.06</v>
      </c>
      <c r="CO6" s="62">
        <f>+SUM($CN$3:CN6)</f>
        <v>0.96</v>
      </c>
      <c r="CP6" s="83">
        <f t="shared" si="27"/>
        <v>500</v>
      </c>
      <c r="CQ6" s="58">
        <f t="shared" si="31"/>
        <v>30</v>
      </c>
      <c r="CR6" s="63">
        <v>0</v>
      </c>
      <c r="CT6" s="60">
        <v>4</v>
      </c>
      <c r="CU6" s="61">
        <f t="shared" si="28"/>
        <v>0.06</v>
      </c>
      <c r="CV6" s="62">
        <f>+SUM($CU$3:CU6)</f>
        <v>0.96</v>
      </c>
      <c r="CW6" s="84">
        <f t="shared" si="29"/>
        <v>1000</v>
      </c>
      <c r="CX6" s="58">
        <f t="shared" si="32"/>
        <v>60</v>
      </c>
      <c r="CY6" s="63">
        <v>0</v>
      </c>
      <c r="DA6" s="60">
        <v>4</v>
      </c>
      <c r="DB6" s="61">
        <v>0.2</v>
      </c>
      <c r="DC6" s="62">
        <f>+SUM($DB$3:DB6)</f>
        <v>0.2</v>
      </c>
      <c r="DD6" s="83">
        <f t="shared" si="30"/>
        <v>500</v>
      </c>
      <c r="DE6" s="58">
        <f t="shared" si="33"/>
        <v>100</v>
      </c>
      <c r="DF6" s="63">
        <v>0</v>
      </c>
    </row>
    <row r="7" spans="1:110" x14ac:dyDescent="0.25">
      <c r="A7" s="75" t="s">
        <v>133</v>
      </c>
      <c r="B7" s="75">
        <f t="shared" ref="B7:B13" si="34">+E7/D7</f>
        <v>2.0779220779220779E-2</v>
      </c>
      <c r="C7" s="3">
        <v>0</v>
      </c>
      <c r="D7" s="64">
        <f>+AM10</f>
        <v>962.5</v>
      </c>
      <c r="E7" s="3">
        <v>20</v>
      </c>
      <c r="G7" s="60">
        <v>5</v>
      </c>
      <c r="H7" s="61">
        <v>0.02</v>
      </c>
      <c r="I7" s="62">
        <f>+SUM($H$3:H7)</f>
        <v>0.98</v>
      </c>
      <c r="J7" s="50">
        <v>750</v>
      </c>
      <c r="K7" s="58">
        <f t="shared" si="0"/>
        <v>15</v>
      </c>
      <c r="L7" s="63">
        <v>0</v>
      </c>
      <c r="N7" s="60">
        <v>5</v>
      </c>
      <c r="O7" s="61">
        <v>7.0000000000000007E-2</v>
      </c>
      <c r="P7" s="62">
        <f>+SUM($O$3:O7)</f>
        <v>0.96</v>
      </c>
      <c r="Q7" s="58">
        <f t="shared" si="1"/>
        <v>750</v>
      </c>
      <c r="R7" s="58">
        <f t="shared" si="2"/>
        <v>52.500000000000007</v>
      </c>
      <c r="S7" s="63">
        <v>0</v>
      </c>
      <c r="U7" s="60">
        <v>5</v>
      </c>
      <c r="V7" s="61">
        <v>7.0000000000000007E-2</v>
      </c>
      <c r="W7" s="62">
        <f>+SUM($V$3:V7)</f>
        <v>0.96</v>
      </c>
      <c r="X7" s="58">
        <f t="shared" si="3"/>
        <v>750</v>
      </c>
      <c r="Y7" s="58">
        <f t="shared" si="4"/>
        <v>52.500000000000007</v>
      </c>
      <c r="Z7" s="63">
        <v>0</v>
      </c>
      <c r="AB7" s="60">
        <v>5</v>
      </c>
      <c r="AC7" s="61">
        <v>0.1</v>
      </c>
      <c r="AD7" s="62">
        <f>+SUM($AC$3:AC7)</f>
        <v>0.95000000000000007</v>
      </c>
      <c r="AE7" s="58">
        <f t="shared" si="5"/>
        <v>750</v>
      </c>
      <c r="AF7" s="58">
        <f t="shared" si="6"/>
        <v>75</v>
      </c>
      <c r="AG7" s="63">
        <v>0</v>
      </c>
      <c r="AI7" s="60">
        <v>5</v>
      </c>
      <c r="AJ7" s="61">
        <v>0.55000000000000004</v>
      </c>
      <c r="AK7" s="62">
        <f>+SUM($AJ$3:AJ7)</f>
        <v>0.55000000000000004</v>
      </c>
      <c r="AL7" s="58">
        <f t="shared" si="7"/>
        <v>750</v>
      </c>
      <c r="AM7" s="58">
        <f t="shared" si="8"/>
        <v>412.50000000000006</v>
      </c>
      <c r="AN7" s="63">
        <v>0</v>
      </c>
      <c r="AP7" s="60">
        <v>5</v>
      </c>
      <c r="AQ7" s="61">
        <v>0</v>
      </c>
      <c r="AR7" s="62">
        <f>+SUM($AQ$3:AQ7)</f>
        <v>1</v>
      </c>
      <c r="AS7" s="58">
        <f t="shared" si="9"/>
        <v>750</v>
      </c>
      <c r="AT7" s="58">
        <f t="shared" si="25"/>
        <v>0</v>
      </c>
      <c r="AU7" s="63">
        <v>0</v>
      </c>
      <c r="AW7" s="60">
        <v>5</v>
      </c>
      <c r="AX7" s="61">
        <v>0.15</v>
      </c>
      <c r="AY7" s="62">
        <f>+SUM($AX$3:AX7)</f>
        <v>0.95000000000000007</v>
      </c>
      <c r="AZ7" s="58">
        <f t="shared" si="10"/>
        <v>750</v>
      </c>
      <c r="BA7" s="58">
        <f t="shared" si="11"/>
        <v>112.5</v>
      </c>
      <c r="BB7" s="63">
        <v>0</v>
      </c>
      <c r="BD7" s="60">
        <v>5</v>
      </c>
      <c r="BE7" s="61">
        <v>0.18</v>
      </c>
      <c r="BF7" s="62">
        <f>+SUM($BE$3:BE7)</f>
        <v>0.82999999999999985</v>
      </c>
      <c r="BG7" s="58">
        <f t="shared" si="12"/>
        <v>750</v>
      </c>
      <c r="BH7" s="58">
        <f t="shared" si="13"/>
        <v>135</v>
      </c>
      <c r="BI7" s="63">
        <v>0</v>
      </c>
      <c r="BK7" s="60">
        <v>5</v>
      </c>
      <c r="BL7" s="61">
        <v>0.15</v>
      </c>
      <c r="BM7" s="62">
        <f>+SUM($BL$3:BL7)</f>
        <v>0.85000000000000009</v>
      </c>
      <c r="BN7" s="58">
        <f t="shared" si="14"/>
        <v>750</v>
      </c>
      <c r="BO7" s="58">
        <f t="shared" si="15"/>
        <v>112.5</v>
      </c>
      <c r="BP7" s="63">
        <v>0</v>
      </c>
      <c r="BR7" s="60">
        <v>5</v>
      </c>
      <c r="BS7" s="61">
        <v>0.1</v>
      </c>
      <c r="BT7" s="62">
        <f>+SUM($BS$3:BS7)</f>
        <v>0.83</v>
      </c>
      <c r="BU7" s="58">
        <f t="shared" si="16"/>
        <v>750</v>
      </c>
      <c r="BV7" s="58">
        <f t="shared" si="17"/>
        <v>75</v>
      </c>
      <c r="BW7" s="63">
        <v>0</v>
      </c>
      <c r="BY7" s="60">
        <v>5</v>
      </c>
      <c r="BZ7" s="61">
        <v>0.02</v>
      </c>
      <c r="CA7" s="62">
        <f>+SUM($BZ$3:BZ7)</f>
        <v>0.96000000000000008</v>
      </c>
      <c r="CB7" s="58">
        <f t="shared" si="18"/>
        <v>750</v>
      </c>
      <c r="CC7" s="58">
        <f t="shared" si="19"/>
        <v>15</v>
      </c>
      <c r="CD7" s="63">
        <v>0</v>
      </c>
      <c r="CF7" s="60">
        <v>5</v>
      </c>
      <c r="CG7" s="61">
        <v>0.1</v>
      </c>
      <c r="CH7" s="62">
        <f>+SUM($CG$3:CG7)</f>
        <v>0.95</v>
      </c>
      <c r="CI7" s="58">
        <f t="shared" si="20"/>
        <v>750</v>
      </c>
      <c r="CJ7" s="58">
        <f t="shared" si="21"/>
        <v>75</v>
      </c>
      <c r="CK7" s="63">
        <v>0</v>
      </c>
      <c r="CM7" s="60">
        <v>5</v>
      </c>
      <c r="CN7" s="61">
        <f t="shared" si="26"/>
        <v>0.02</v>
      </c>
      <c r="CO7" s="62">
        <f>+SUM($CN$3:CN7)</f>
        <v>0.98</v>
      </c>
      <c r="CP7" s="83">
        <f t="shared" si="27"/>
        <v>750</v>
      </c>
      <c r="CQ7" s="58">
        <f t="shared" si="31"/>
        <v>15</v>
      </c>
      <c r="CR7" s="63">
        <v>0</v>
      </c>
      <c r="CT7" s="60">
        <v>5</v>
      </c>
      <c r="CU7" s="61">
        <f t="shared" si="28"/>
        <v>0.02</v>
      </c>
      <c r="CV7" s="62">
        <f>+SUM($CU$3:CU7)</f>
        <v>0.98</v>
      </c>
      <c r="CW7" s="84">
        <f t="shared" si="29"/>
        <v>1500</v>
      </c>
      <c r="CX7" s="58">
        <f t="shared" si="32"/>
        <v>30</v>
      </c>
      <c r="CY7" s="63">
        <v>0</v>
      </c>
      <c r="DA7" s="60">
        <v>5</v>
      </c>
      <c r="DB7" s="61">
        <v>0.3</v>
      </c>
      <c r="DC7" s="62">
        <f>+SUM($DB$3:DB7)</f>
        <v>0.5</v>
      </c>
      <c r="DD7" s="83">
        <f t="shared" si="30"/>
        <v>750</v>
      </c>
      <c r="DE7" s="58">
        <f t="shared" si="33"/>
        <v>225</v>
      </c>
      <c r="DF7" s="63">
        <v>0</v>
      </c>
    </row>
    <row r="8" spans="1:110" x14ac:dyDescent="0.25">
      <c r="A8" s="75" t="s">
        <v>134</v>
      </c>
      <c r="B8" s="75">
        <f>+E8/D8</f>
        <v>1.0526315789473686E-2</v>
      </c>
      <c r="C8" s="3">
        <v>0</v>
      </c>
      <c r="D8" s="64">
        <f>+AT10</f>
        <v>189.99999999999997</v>
      </c>
      <c r="E8" s="3">
        <v>2</v>
      </c>
      <c r="G8" s="60">
        <v>6</v>
      </c>
      <c r="H8" s="61">
        <v>0.01</v>
      </c>
      <c r="I8" s="62">
        <f>+SUM($H$3:H8)</f>
        <v>0.99</v>
      </c>
      <c r="J8" s="50">
        <v>1000</v>
      </c>
      <c r="K8" s="58">
        <f t="shared" si="0"/>
        <v>10</v>
      </c>
      <c r="L8" s="63">
        <v>0</v>
      </c>
      <c r="N8" s="60">
        <v>6</v>
      </c>
      <c r="O8" s="61">
        <v>0.02</v>
      </c>
      <c r="P8" s="62">
        <f>+SUM($O$3:O8)</f>
        <v>0.98</v>
      </c>
      <c r="Q8" s="58">
        <f t="shared" si="1"/>
        <v>1000</v>
      </c>
      <c r="R8" s="58">
        <f t="shared" si="2"/>
        <v>20</v>
      </c>
      <c r="S8" s="63">
        <v>0</v>
      </c>
      <c r="U8" s="60">
        <v>6</v>
      </c>
      <c r="V8" s="61">
        <v>0.02</v>
      </c>
      <c r="W8" s="62">
        <f>+SUM($V$3:V8)</f>
        <v>0.98</v>
      </c>
      <c r="X8" s="58">
        <f t="shared" si="3"/>
        <v>1000</v>
      </c>
      <c r="Y8" s="58">
        <f t="shared" si="4"/>
        <v>20</v>
      </c>
      <c r="Z8" s="63">
        <v>0</v>
      </c>
      <c r="AB8" s="60">
        <v>6</v>
      </c>
      <c r="AC8" s="61">
        <v>0.03</v>
      </c>
      <c r="AD8" s="62">
        <f>+SUM($AC$3:AC8)</f>
        <v>0.98000000000000009</v>
      </c>
      <c r="AE8" s="58">
        <f t="shared" si="5"/>
        <v>1000</v>
      </c>
      <c r="AF8" s="58">
        <f t="shared" si="6"/>
        <v>30</v>
      </c>
      <c r="AG8" s="63">
        <v>0</v>
      </c>
      <c r="AI8" s="60">
        <v>6</v>
      </c>
      <c r="AJ8" s="61">
        <v>0.35</v>
      </c>
      <c r="AK8" s="62">
        <f>+SUM($AJ$3:AJ8)</f>
        <v>0.9</v>
      </c>
      <c r="AL8" s="58">
        <f t="shared" si="7"/>
        <v>1000</v>
      </c>
      <c r="AM8" s="58">
        <f t="shared" si="8"/>
        <v>350</v>
      </c>
      <c r="AN8" s="63">
        <v>0</v>
      </c>
      <c r="AP8" s="60">
        <v>6</v>
      </c>
      <c r="AQ8" s="61">
        <v>0</v>
      </c>
      <c r="AR8" s="62">
        <f>+SUM($AQ$3:AQ8)</f>
        <v>1</v>
      </c>
      <c r="AS8" s="58">
        <f t="shared" si="9"/>
        <v>1000</v>
      </c>
      <c r="AT8" s="58">
        <f t="shared" si="25"/>
        <v>0</v>
      </c>
      <c r="AU8" s="63">
        <v>0</v>
      </c>
      <c r="AW8" s="60">
        <v>6</v>
      </c>
      <c r="AX8" s="61">
        <v>0.03</v>
      </c>
      <c r="AY8" s="62">
        <f>+SUM($AX$3:AX8)</f>
        <v>0.98000000000000009</v>
      </c>
      <c r="AZ8" s="58">
        <f t="shared" si="10"/>
        <v>1000</v>
      </c>
      <c r="BA8" s="58">
        <f t="shared" si="11"/>
        <v>30</v>
      </c>
      <c r="BB8" s="63">
        <v>0</v>
      </c>
      <c r="BD8" s="60">
        <v>6</v>
      </c>
      <c r="BE8" s="61">
        <v>0.14000000000000001</v>
      </c>
      <c r="BF8" s="62">
        <f>+SUM($BE$3:BE8)</f>
        <v>0.96999999999999986</v>
      </c>
      <c r="BG8" s="58">
        <f t="shared" si="12"/>
        <v>1000</v>
      </c>
      <c r="BH8" s="58">
        <f t="shared" si="13"/>
        <v>140</v>
      </c>
      <c r="BI8" s="63">
        <v>0</v>
      </c>
      <c r="BK8" s="60">
        <v>6</v>
      </c>
      <c r="BL8" s="61">
        <v>0.1</v>
      </c>
      <c r="BM8" s="62">
        <f>+SUM($BL$3:BL8)</f>
        <v>0.95000000000000007</v>
      </c>
      <c r="BN8" s="58">
        <f t="shared" si="14"/>
        <v>1000</v>
      </c>
      <c r="BO8" s="58">
        <f t="shared" si="15"/>
        <v>100</v>
      </c>
      <c r="BP8" s="63">
        <v>0</v>
      </c>
      <c r="BR8" s="60">
        <v>6</v>
      </c>
      <c r="BS8" s="61">
        <v>0.1</v>
      </c>
      <c r="BT8" s="62">
        <f>+SUM($BS$3:BS8)</f>
        <v>0.92999999999999994</v>
      </c>
      <c r="BU8" s="58">
        <f t="shared" si="16"/>
        <v>1000</v>
      </c>
      <c r="BV8" s="58">
        <f t="shared" si="17"/>
        <v>100</v>
      </c>
      <c r="BW8" s="63">
        <v>0</v>
      </c>
      <c r="BY8" s="60">
        <v>6</v>
      </c>
      <c r="BZ8" s="61">
        <v>0.03</v>
      </c>
      <c r="CA8" s="62">
        <f>+SUM($BZ$3:BZ8)</f>
        <v>0.9900000000000001</v>
      </c>
      <c r="CB8" s="58">
        <f t="shared" si="18"/>
        <v>1000</v>
      </c>
      <c r="CC8" s="58">
        <f t="shared" si="19"/>
        <v>30</v>
      </c>
      <c r="CD8" s="63">
        <v>0</v>
      </c>
      <c r="CF8" s="60">
        <v>6</v>
      </c>
      <c r="CG8" s="61">
        <v>0.03</v>
      </c>
      <c r="CH8" s="62">
        <f>+SUM($CG$3:CG8)</f>
        <v>0.98</v>
      </c>
      <c r="CI8" s="58">
        <f t="shared" si="20"/>
        <v>1000</v>
      </c>
      <c r="CJ8" s="58">
        <f t="shared" si="21"/>
        <v>30</v>
      </c>
      <c r="CK8" s="63">
        <v>0</v>
      </c>
      <c r="CM8" s="60">
        <v>6</v>
      </c>
      <c r="CN8" s="61">
        <f t="shared" si="26"/>
        <v>0.01</v>
      </c>
      <c r="CO8" s="62">
        <f>+SUM($CN$3:CN8)</f>
        <v>0.99</v>
      </c>
      <c r="CP8" s="83">
        <f t="shared" si="27"/>
        <v>1000</v>
      </c>
      <c r="CQ8" s="58">
        <f t="shared" si="31"/>
        <v>10</v>
      </c>
      <c r="CR8" s="63">
        <v>0</v>
      </c>
      <c r="CT8" s="60">
        <v>6</v>
      </c>
      <c r="CU8" s="61">
        <f t="shared" si="28"/>
        <v>0.01</v>
      </c>
      <c r="CV8" s="62">
        <f>+SUM($CU$3:CU8)</f>
        <v>0.99</v>
      </c>
      <c r="CW8" s="84">
        <f t="shared" si="29"/>
        <v>2000</v>
      </c>
      <c r="CX8" s="58">
        <f t="shared" si="32"/>
        <v>20</v>
      </c>
      <c r="CY8" s="63">
        <v>0</v>
      </c>
      <c r="DA8" s="60">
        <v>6</v>
      </c>
      <c r="DB8" s="61">
        <v>0.4</v>
      </c>
      <c r="DC8" s="62">
        <f>+SUM($DB$3:DB8)</f>
        <v>0.9</v>
      </c>
      <c r="DD8" s="83">
        <f t="shared" si="30"/>
        <v>1000</v>
      </c>
      <c r="DE8" s="58">
        <f t="shared" si="33"/>
        <v>400</v>
      </c>
      <c r="DF8" s="63">
        <v>0</v>
      </c>
    </row>
    <row r="9" spans="1:110" x14ac:dyDescent="0.25">
      <c r="A9" s="75" t="s">
        <v>135</v>
      </c>
      <c r="B9" s="75">
        <f t="shared" si="34"/>
        <v>2.4390243902439036E-2</v>
      </c>
      <c r="C9" s="3">
        <v>0</v>
      </c>
      <c r="D9" s="64">
        <f>+BA10</f>
        <v>409.99999999999983</v>
      </c>
      <c r="E9" s="3">
        <v>10</v>
      </c>
      <c r="G9" s="60">
        <v>7</v>
      </c>
      <c r="H9" s="66">
        <f>1-SUM(H3:H8)</f>
        <v>1.0000000000000009E-2</v>
      </c>
      <c r="I9" s="62">
        <f>+SUM($H$3:H9)</f>
        <v>1</v>
      </c>
      <c r="J9" s="50">
        <v>2000</v>
      </c>
      <c r="K9" s="58">
        <f t="shared" si="0"/>
        <v>20.000000000000018</v>
      </c>
      <c r="L9" s="63">
        <v>0</v>
      </c>
      <c r="N9" s="60">
        <v>7</v>
      </c>
      <c r="O9" s="66">
        <f>1-SUM(O3:O8)</f>
        <v>2.0000000000000018E-2</v>
      </c>
      <c r="P9" s="62">
        <f>+SUM($O$3:O9)</f>
        <v>1</v>
      </c>
      <c r="Q9" s="58">
        <f t="shared" si="1"/>
        <v>2000</v>
      </c>
      <c r="R9" s="58">
        <f t="shared" si="2"/>
        <v>40.000000000000036</v>
      </c>
      <c r="S9" s="63">
        <v>0</v>
      </c>
      <c r="U9" s="60">
        <v>7</v>
      </c>
      <c r="V9" s="66">
        <f>1-SUM(V3:V8)</f>
        <v>2.0000000000000018E-2</v>
      </c>
      <c r="W9" s="62">
        <f>+SUM($V$3:V9)</f>
        <v>1</v>
      </c>
      <c r="X9" s="58">
        <f t="shared" si="3"/>
        <v>2000</v>
      </c>
      <c r="Y9" s="58">
        <f t="shared" si="4"/>
        <v>40.000000000000036</v>
      </c>
      <c r="Z9" s="63">
        <v>0</v>
      </c>
      <c r="AB9" s="60">
        <v>7</v>
      </c>
      <c r="AC9" s="66">
        <f>1-SUM(AC3:AC8)</f>
        <v>1.9999999999999907E-2</v>
      </c>
      <c r="AD9" s="62">
        <f>+SUM($AC$3:AC9)</f>
        <v>1</v>
      </c>
      <c r="AE9" s="58">
        <f t="shared" si="5"/>
        <v>2000</v>
      </c>
      <c r="AF9" s="58">
        <f t="shared" si="6"/>
        <v>39.999999999999815</v>
      </c>
      <c r="AG9" s="63">
        <v>0</v>
      </c>
      <c r="AI9" s="60">
        <v>7</v>
      </c>
      <c r="AJ9" s="66">
        <f>1-SUM(AJ3:AJ8)</f>
        <v>9.9999999999999978E-2</v>
      </c>
      <c r="AK9" s="62">
        <f>+SUM($AJ$3:AJ9)</f>
        <v>1</v>
      </c>
      <c r="AL9" s="58">
        <f t="shared" si="7"/>
        <v>2000</v>
      </c>
      <c r="AM9" s="58">
        <f t="shared" si="8"/>
        <v>199.99999999999994</v>
      </c>
      <c r="AN9" s="63">
        <v>0</v>
      </c>
      <c r="AP9" s="60">
        <v>7</v>
      </c>
      <c r="AQ9" s="66">
        <v>0</v>
      </c>
      <c r="AR9" s="62">
        <f>+SUM($AQ$3:AQ9)</f>
        <v>1</v>
      </c>
      <c r="AS9" s="58">
        <f t="shared" si="9"/>
        <v>2000</v>
      </c>
      <c r="AT9" s="58">
        <f t="shared" si="25"/>
        <v>0</v>
      </c>
      <c r="AU9" s="63">
        <v>0</v>
      </c>
      <c r="AW9" s="60">
        <v>7</v>
      </c>
      <c r="AX9" s="66">
        <f>1-SUM(AX3:AX8)</f>
        <v>1.9999999999999907E-2</v>
      </c>
      <c r="AY9" s="62">
        <f>+SUM($AX$3:AX9)</f>
        <v>1</v>
      </c>
      <c r="AZ9" s="58">
        <f t="shared" si="10"/>
        <v>2000</v>
      </c>
      <c r="BA9" s="58">
        <f t="shared" si="11"/>
        <v>39.999999999999815</v>
      </c>
      <c r="BB9" s="63">
        <v>0</v>
      </c>
      <c r="BD9" s="60">
        <v>7</v>
      </c>
      <c r="BE9" s="66">
        <f>1-SUM(BE3:BE8)</f>
        <v>3.0000000000000138E-2</v>
      </c>
      <c r="BF9" s="62">
        <f>+SUM($BE$3:BE9)</f>
        <v>1</v>
      </c>
      <c r="BG9" s="58">
        <f t="shared" si="12"/>
        <v>2000</v>
      </c>
      <c r="BH9" s="58">
        <f t="shared" si="13"/>
        <v>60.000000000000277</v>
      </c>
      <c r="BI9" s="63">
        <v>0</v>
      </c>
      <c r="BK9" s="60">
        <v>7</v>
      </c>
      <c r="BL9" s="66">
        <f>1-SUM(BL3:BL8)</f>
        <v>4.9999999999999933E-2</v>
      </c>
      <c r="BM9" s="62">
        <f>+SUM($BL$3:BL9)</f>
        <v>1</v>
      </c>
      <c r="BN9" s="58">
        <f t="shared" si="14"/>
        <v>2000</v>
      </c>
      <c r="BO9" s="58">
        <f t="shared" si="15"/>
        <v>99.999999999999872</v>
      </c>
      <c r="BP9" s="63">
        <v>0</v>
      </c>
      <c r="BR9" s="60">
        <v>7</v>
      </c>
      <c r="BS9" s="66">
        <f>1-SUM(BS3:BS8)</f>
        <v>7.0000000000000062E-2</v>
      </c>
      <c r="BT9" s="62">
        <f>+SUM($BS$3:BS9)</f>
        <v>1</v>
      </c>
      <c r="BU9" s="58">
        <f t="shared" si="16"/>
        <v>2000</v>
      </c>
      <c r="BV9" s="58">
        <f t="shared" si="17"/>
        <v>140.00000000000011</v>
      </c>
      <c r="BW9" s="63">
        <v>0</v>
      </c>
      <c r="BY9" s="60">
        <v>7</v>
      </c>
      <c r="BZ9" s="66">
        <f>1-SUM(BZ3:BZ8)</f>
        <v>9.9999999999998979E-3</v>
      </c>
      <c r="CA9" s="62">
        <f>+SUM($BZ$3:BZ9)</f>
        <v>1</v>
      </c>
      <c r="CB9" s="58">
        <f t="shared" si="18"/>
        <v>2000</v>
      </c>
      <c r="CC9" s="58">
        <f t="shared" si="19"/>
        <v>19.999999999999794</v>
      </c>
      <c r="CD9" s="63">
        <v>0</v>
      </c>
      <c r="CF9" s="60">
        <v>7</v>
      </c>
      <c r="CG9" s="66">
        <f>1-SUM(CG3:CG8)</f>
        <v>2.0000000000000018E-2</v>
      </c>
      <c r="CH9" s="62">
        <f>+SUM($CG$3:CG9)</f>
        <v>1</v>
      </c>
      <c r="CI9" s="58">
        <f t="shared" si="20"/>
        <v>2000</v>
      </c>
      <c r="CJ9" s="58">
        <f t="shared" si="21"/>
        <v>40.000000000000036</v>
      </c>
      <c r="CK9" s="63">
        <v>0</v>
      </c>
      <c r="CM9" s="60">
        <v>7</v>
      </c>
      <c r="CN9" s="66">
        <f>1-SUM(CN3:CN8)</f>
        <v>1.0000000000000009E-2</v>
      </c>
      <c r="CO9" s="62">
        <f>+SUM($CN$3:CN9)</f>
        <v>1</v>
      </c>
      <c r="CP9" s="83">
        <f t="shared" si="27"/>
        <v>2000</v>
      </c>
      <c r="CQ9" s="58">
        <f t="shared" si="31"/>
        <v>20.000000000000018</v>
      </c>
      <c r="CR9" s="63">
        <v>0</v>
      </c>
      <c r="CT9" s="60">
        <v>7</v>
      </c>
      <c r="CU9" s="66">
        <f>1-SUM(CU3:CU8)</f>
        <v>1.0000000000000009E-2</v>
      </c>
      <c r="CV9" s="62">
        <f>+SUM($CU$3:CU9)</f>
        <v>1</v>
      </c>
      <c r="CW9" s="84">
        <f t="shared" si="29"/>
        <v>4000</v>
      </c>
      <c r="CX9" s="58">
        <f t="shared" si="32"/>
        <v>40.000000000000036</v>
      </c>
      <c r="CY9" s="63">
        <v>0</v>
      </c>
      <c r="DA9" s="60">
        <v>7</v>
      </c>
      <c r="DB9" s="66">
        <f>1-SUM(DB3:DB8)</f>
        <v>9.9999999999999978E-2</v>
      </c>
      <c r="DC9" s="62">
        <f>+SUM($DB$3:DB9)</f>
        <v>1</v>
      </c>
      <c r="DD9" s="83">
        <f t="shared" si="30"/>
        <v>2000</v>
      </c>
      <c r="DE9" s="58">
        <f t="shared" si="33"/>
        <v>199.99999999999994</v>
      </c>
      <c r="DF9" s="63">
        <v>0</v>
      </c>
    </row>
    <row r="10" spans="1:110" x14ac:dyDescent="0.25">
      <c r="A10" s="75" t="s">
        <v>136</v>
      </c>
      <c r="B10" s="75">
        <f t="shared" si="34"/>
        <v>2.2155085599194348E-2</v>
      </c>
      <c r="C10" s="3">
        <v>0</v>
      </c>
      <c r="D10" s="64">
        <f>+BH10</f>
        <v>496.50000000000028</v>
      </c>
      <c r="E10" s="3">
        <v>11</v>
      </c>
      <c r="G10" s="50" t="s">
        <v>71</v>
      </c>
      <c r="H10" s="50">
        <f>+SUM(H3:H9)</f>
        <v>1</v>
      </c>
      <c r="I10" s="50"/>
      <c r="J10" s="50"/>
      <c r="K10" s="51">
        <f>+SUM(K3:K9)</f>
        <v>165.00000000000003</v>
      </c>
      <c r="L10" s="51"/>
      <c r="N10" s="50" t="s">
        <v>71</v>
      </c>
      <c r="O10" s="50">
        <f>+SUM(O3:O9)</f>
        <v>1</v>
      </c>
      <c r="P10" s="50"/>
      <c r="Q10" s="50"/>
      <c r="R10" s="51">
        <f>+SUM(R3:R9)</f>
        <v>284.50000000000006</v>
      </c>
      <c r="S10" s="51"/>
      <c r="U10" s="50" t="s">
        <v>71</v>
      </c>
      <c r="V10" s="50">
        <f>+SUM(V3:V9)</f>
        <v>1</v>
      </c>
      <c r="W10" s="50"/>
      <c r="X10" s="50"/>
      <c r="Y10" s="51">
        <f>+SUM(Y3:Y9)</f>
        <v>339.50000000000006</v>
      </c>
      <c r="Z10" s="51"/>
      <c r="AB10" s="50" t="s">
        <v>71</v>
      </c>
      <c r="AC10" s="50">
        <f>+SUM(AC3:AC9)</f>
        <v>1</v>
      </c>
      <c r="AD10" s="50"/>
      <c r="AE10" s="50"/>
      <c r="AF10" s="51">
        <f>+SUM(AF3:AF9)</f>
        <v>389.99999999999983</v>
      </c>
      <c r="AG10" s="51"/>
      <c r="AI10" s="50" t="s">
        <v>71</v>
      </c>
      <c r="AJ10" s="50">
        <f>+SUM(AJ3:AJ9)</f>
        <v>1</v>
      </c>
      <c r="AK10" s="50"/>
      <c r="AL10" s="50"/>
      <c r="AM10" s="51">
        <f>+SUM(AM3:AM9)</f>
        <v>962.5</v>
      </c>
      <c r="AN10" s="51"/>
      <c r="AP10" s="50" t="s">
        <v>71</v>
      </c>
      <c r="AQ10" s="50">
        <f>+SUM(AQ3:AQ9)</f>
        <v>1</v>
      </c>
      <c r="AR10" s="50"/>
      <c r="AS10" s="50"/>
      <c r="AT10" s="51">
        <f>+SUM(AT3:AT9)</f>
        <v>189.99999999999997</v>
      </c>
      <c r="AU10" s="51"/>
      <c r="AW10" s="50" t="s">
        <v>71</v>
      </c>
      <c r="AX10" s="50">
        <f>+SUM(AX3:AX9)</f>
        <v>1</v>
      </c>
      <c r="AY10" s="50"/>
      <c r="AZ10" s="50"/>
      <c r="BA10" s="51">
        <f>+SUM(BA3:BA9)</f>
        <v>409.99999999999983</v>
      </c>
      <c r="BB10" s="51"/>
      <c r="BD10" s="50" t="s">
        <v>71</v>
      </c>
      <c r="BE10" s="50">
        <f>+SUM(BE3:BE9)</f>
        <v>1</v>
      </c>
      <c r="BF10" s="50"/>
      <c r="BG10" s="50"/>
      <c r="BH10" s="51">
        <f>+SUM(BH3:BH9)</f>
        <v>496.50000000000028</v>
      </c>
      <c r="BI10" s="51"/>
      <c r="BK10" s="50" t="s">
        <v>71</v>
      </c>
      <c r="BL10" s="50">
        <f>+SUM(BL3:BL9)</f>
        <v>1</v>
      </c>
      <c r="BM10" s="50"/>
      <c r="BN10" s="50"/>
      <c r="BO10" s="51">
        <f>+SUM(BO3:BO9)</f>
        <v>447.49999999999989</v>
      </c>
      <c r="BP10" s="51"/>
      <c r="BR10" s="50" t="s">
        <v>71</v>
      </c>
      <c r="BS10" s="50">
        <f>+SUM(BS3:BS9)</f>
        <v>1</v>
      </c>
      <c r="BT10" s="50"/>
      <c r="BU10" s="50"/>
      <c r="BV10" s="51">
        <f>+SUM(BV3:BV9)</f>
        <v>442.00000000000011</v>
      </c>
      <c r="BW10" s="51"/>
      <c r="BY10" s="50" t="s">
        <v>71</v>
      </c>
      <c r="BZ10" s="50">
        <f>+SUM(BZ3:BZ9)</f>
        <v>1</v>
      </c>
      <c r="CA10" s="50"/>
      <c r="CB10" s="50"/>
      <c r="CC10" s="51">
        <f>+SUM(CC3:CC9)</f>
        <v>201.9999999999998</v>
      </c>
      <c r="CD10" s="51"/>
      <c r="CF10" s="50" t="s">
        <v>71</v>
      </c>
      <c r="CG10" s="50">
        <f>+SUM(CG3:CG9)</f>
        <v>1</v>
      </c>
      <c r="CH10" s="50"/>
      <c r="CI10" s="50"/>
      <c r="CJ10" s="51">
        <f>+SUM(CJ3:CJ9)</f>
        <v>410.00000000000006</v>
      </c>
      <c r="CK10" s="51"/>
      <c r="CM10" s="50" t="s">
        <v>71</v>
      </c>
      <c r="CN10" s="50">
        <f>+SUM(CN3:CN9)</f>
        <v>1</v>
      </c>
      <c r="CO10" s="50"/>
      <c r="CP10" s="50"/>
      <c r="CQ10" s="51">
        <f>+SUM(CQ3:CQ9)</f>
        <v>165.00000000000003</v>
      </c>
      <c r="CR10" s="51"/>
      <c r="CT10" s="50" t="s">
        <v>71</v>
      </c>
      <c r="CU10" s="50">
        <f>+SUM(CU3:CU9)</f>
        <v>1</v>
      </c>
      <c r="CV10" s="50"/>
      <c r="CW10" s="50"/>
      <c r="CX10" s="51">
        <f>+SUM(CX3:CX9)</f>
        <v>330.00000000000006</v>
      </c>
      <c r="CY10" s="51"/>
      <c r="DA10" s="50" t="s">
        <v>71</v>
      </c>
      <c r="DB10" s="50">
        <f>+SUM(DB3:DB9)</f>
        <v>1</v>
      </c>
      <c r="DC10" s="50"/>
      <c r="DD10" s="50"/>
      <c r="DE10" s="51">
        <f>+SUM(DE3:DE9)</f>
        <v>925</v>
      </c>
      <c r="DF10" s="51"/>
    </row>
    <row r="11" spans="1:110" x14ac:dyDescent="0.25">
      <c r="A11" s="75" t="s">
        <v>137</v>
      </c>
      <c r="B11" s="75">
        <f t="shared" si="34"/>
        <v>2.4581005586592184E-2</v>
      </c>
      <c r="C11" s="3">
        <v>0</v>
      </c>
      <c r="D11" s="64">
        <f>+BO10</f>
        <v>447.49999999999989</v>
      </c>
      <c r="E11" s="3">
        <v>11</v>
      </c>
    </row>
    <row r="12" spans="1:110" x14ac:dyDescent="0.25">
      <c r="A12" s="75" t="s">
        <v>138</v>
      </c>
      <c r="B12" s="75">
        <f t="shared" si="34"/>
        <v>2.2624434389140264E-2</v>
      </c>
      <c r="C12" s="3">
        <v>0</v>
      </c>
      <c r="D12" s="64">
        <f>+BV10</f>
        <v>442.00000000000011</v>
      </c>
      <c r="E12" s="3">
        <v>10</v>
      </c>
    </row>
    <row r="13" spans="1:110" x14ac:dyDescent="0.25">
      <c r="A13" s="85" t="s">
        <v>171</v>
      </c>
      <c r="B13" s="75">
        <f t="shared" si="34"/>
        <v>8.1930693069307021E-3</v>
      </c>
      <c r="C13" s="3">
        <f>1/B13/Summary!$C$7</f>
        <v>0.12205438066465243</v>
      </c>
      <c r="D13" s="64">
        <f>+CC10</f>
        <v>201.9999999999998</v>
      </c>
      <c r="E13" s="3">
        <f>1+E3</f>
        <v>1.655</v>
      </c>
    </row>
    <row r="14" spans="1:110" x14ac:dyDescent="0.25">
      <c r="A14" s="85" t="s">
        <v>166</v>
      </c>
      <c r="B14" s="58">
        <f>+E14/D14</f>
        <v>7.9393939393939388E-3</v>
      </c>
      <c r="C14" s="3">
        <f>1/B14/Summary!$C$7</f>
        <v>0.12595419847328246</v>
      </c>
      <c r="D14" s="86">
        <f>+CQ10</f>
        <v>165.00000000000003</v>
      </c>
      <c r="E14" s="3">
        <f>+E3*2</f>
        <v>1.31</v>
      </c>
    </row>
    <row r="15" spans="1:110" x14ac:dyDescent="0.25">
      <c r="A15" s="85" t="s">
        <v>167</v>
      </c>
      <c r="B15" s="58">
        <f>+E15/D15</f>
        <v>3.9696969696969694E-3</v>
      </c>
      <c r="C15" s="3">
        <f>1/B15/Summary!$C$7</f>
        <v>0.25190839694656492</v>
      </c>
      <c r="D15" s="86">
        <f>+CX10</f>
        <v>330.00000000000006</v>
      </c>
      <c r="E15" s="3">
        <f>+E14</f>
        <v>1.31</v>
      </c>
    </row>
    <row r="16" spans="1:110" x14ac:dyDescent="0.25">
      <c r="A16" s="75" t="s">
        <v>165</v>
      </c>
      <c r="B16" s="58">
        <f>+E16/D16</f>
        <v>2.1621621621621623E-2</v>
      </c>
      <c r="C16" s="3">
        <v>0</v>
      </c>
      <c r="D16" s="86">
        <f>+DE10</f>
        <v>925</v>
      </c>
      <c r="E16" s="3">
        <v>20</v>
      </c>
    </row>
    <row r="17" spans="1:5" x14ac:dyDescent="0.25">
      <c r="A17" s="3" t="s">
        <v>117</v>
      </c>
      <c r="B17" s="58">
        <f>+E17/D17</f>
        <v>0.12195121951219511</v>
      </c>
      <c r="C17" s="3">
        <v>0</v>
      </c>
      <c r="D17" s="64">
        <f>+CJ10</f>
        <v>410.00000000000006</v>
      </c>
      <c r="E17" s="3">
        <v>50</v>
      </c>
    </row>
    <row r="18" spans="1:5" x14ac:dyDescent="0.25">
      <c r="A18" s="3" t="s">
        <v>118</v>
      </c>
      <c r="B18" s="65" t="str">
        <f>+CONCATENATE("x",J3," - x",J9)</f>
        <v>x50 - x2000</v>
      </c>
    </row>
    <row r="20" spans="1:5" x14ac:dyDescent="0.25">
      <c r="A20" t="s">
        <v>172</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136" operator="lessThan">
      <formula>0</formula>
    </cfRule>
    <cfRule type="cellIs" priority="137" operator="greaterThan">
      <formula>1</formula>
    </cfRule>
  </conditionalFormatting>
  <conditionalFormatting sqref="H3:H9 O3:O9 CG3:CG9 V3:V9 AC3:AC9 AJ3:AJ9 AQ3:AQ9 AX3:AX9 BZ3:BZ9 BE3:BE9 BL3:BL9 BS3:BS9">
    <cfRule type="cellIs" priority="135" operator="equal">
      <formula>0</formula>
    </cfRule>
  </conditionalFormatting>
  <conditionalFormatting sqref="B3:B17">
    <cfRule type="cellIs" priority="133" operator="greaterThan">
      <formula>1</formula>
    </cfRule>
    <cfRule type="cellIs" priority="134" operator="lessThan">
      <formula>0</formula>
    </cfRule>
  </conditionalFormatting>
  <conditionalFormatting sqref="H3:H9 O3:O9 V3:V9 AC3:AC9">
    <cfRule type="cellIs" priority="131" operator="lessThan">
      <formula>0</formula>
    </cfRule>
    <cfRule type="cellIs" priority="132" operator="greaterThan">
      <formula>1</formula>
    </cfRule>
  </conditionalFormatting>
  <conditionalFormatting sqref="H3:H9 O3:O9 V3:V9 AC3:AC9">
    <cfRule type="cellIs" priority="130" operator="equal">
      <formula>0</formula>
    </cfRule>
  </conditionalFormatting>
  <conditionalFormatting sqref="H3:H9">
    <cfRule type="cellIs" priority="128" operator="lessThan">
      <formula>0</formula>
    </cfRule>
    <cfRule type="cellIs" priority="129" operator="greaterThan">
      <formula>1</formula>
    </cfRule>
  </conditionalFormatting>
  <conditionalFormatting sqref="H3:H9">
    <cfRule type="cellIs" priority="127" operator="equal">
      <formula>0</formula>
    </cfRule>
  </conditionalFormatting>
  <conditionalFormatting sqref="H3:H9">
    <cfRule type="cellIs" priority="125" operator="lessThan">
      <formula>0</formula>
    </cfRule>
    <cfRule type="cellIs" priority="126" operator="greaterThan">
      <formula>1</formula>
    </cfRule>
  </conditionalFormatting>
  <conditionalFormatting sqref="H3:H9">
    <cfRule type="cellIs" priority="124" operator="equal">
      <formula>0</formula>
    </cfRule>
  </conditionalFormatting>
  <conditionalFormatting sqref="CG3:CG9">
    <cfRule type="cellIs" priority="122" operator="lessThan">
      <formula>0</formula>
    </cfRule>
    <cfRule type="cellIs" priority="123" operator="greaterThan">
      <formula>1</formula>
    </cfRule>
  </conditionalFormatting>
  <conditionalFormatting sqref="CG3:CG9">
    <cfRule type="cellIs" priority="121" operator="equal">
      <formula>0</formula>
    </cfRule>
  </conditionalFormatting>
  <conditionalFormatting sqref="H3:H9 O3:O9 V3:V9 AC3:AC9">
    <cfRule type="cellIs" priority="119" operator="lessThan">
      <formula>0</formula>
    </cfRule>
    <cfRule type="cellIs" priority="120" operator="greaterThan">
      <formula>1</formula>
    </cfRule>
  </conditionalFormatting>
  <conditionalFormatting sqref="H3:H9 O3:O9 V3:V9 AC3:AC9">
    <cfRule type="cellIs" priority="118" operator="equal">
      <formula>0</formula>
    </cfRule>
  </conditionalFormatting>
  <conditionalFormatting sqref="H3:H9 O3:O9 V3:V9 AC3:AC9">
    <cfRule type="cellIs" priority="116" operator="lessThan">
      <formula>0</formula>
    </cfRule>
    <cfRule type="cellIs" priority="117" operator="greaterThan">
      <formula>1</formula>
    </cfRule>
  </conditionalFormatting>
  <conditionalFormatting sqref="H3:H9 O3:O9 V3:V9 AC3:AC9">
    <cfRule type="cellIs" priority="115" operator="equal">
      <formula>0</formula>
    </cfRule>
  </conditionalFormatting>
  <conditionalFormatting sqref="CG3:CG9">
    <cfRule type="cellIs" priority="113" operator="lessThan">
      <formula>0</formula>
    </cfRule>
    <cfRule type="cellIs" priority="114" operator="greaterThan">
      <formula>1</formula>
    </cfRule>
  </conditionalFormatting>
  <conditionalFormatting sqref="CG3:CG9">
    <cfRule type="cellIs" priority="112" operator="equal">
      <formula>0</formula>
    </cfRule>
  </conditionalFormatting>
  <conditionalFormatting sqref="CG7:CG8">
    <cfRule type="cellIs" priority="110" operator="lessThan">
      <formula>0</formula>
    </cfRule>
    <cfRule type="cellIs" priority="111" operator="greaterThan">
      <formula>1</formula>
    </cfRule>
  </conditionalFormatting>
  <conditionalFormatting sqref="CG7:CG8">
    <cfRule type="cellIs" priority="109" operator="equal">
      <formula>0</formula>
    </cfRule>
  </conditionalFormatting>
  <conditionalFormatting sqref="CG3:CG9">
    <cfRule type="cellIs" priority="107" operator="lessThan">
      <formula>0</formula>
    </cfRule>
    <cfRule type="cellIs" priority="108" operator="greaterThan">
      <formula>1</formula>
    </cfRule>
  </conditionalFormatting>
  <conditionalFormatting sqref="CG3:CG9">
    <cfRule type="cellIs" priority="106" operator="equal">
      <formula>0</formula>
    </cfRule>
  </conditionalFormatting>
  <conditionalFormatting sqref="CG7:CG8">
    <cfRule type="cellIs" priority="104" operator="lessThan">
      <formula>0</formula>
    </cfRule>
    <cfRule type="cellIs" priority="105" operator="greaterThan">
      <formula>1</formula>
    </cfRule>
  </conditionalFormatting>
  <conditionalFormatting sqref="CG7:CG8">
    <cfRule type="cellIs" priority="103" operator="equal">
      <formula>0</formula>
    </cfRule>
  </conditionalFormatting>
  <conditionalFormatting sqref="H3:H9 O3:O9 V3:V9 AC3:AC9">
    <cfRule type="cellIs" priority="101" operator="lessThan">
      <formula>0</formula>
    </cfRule>
    <cfRule type="cellIs" priority="102" operator="greaterThan">
      <formula>1</formula>
    </cfRule>
  </conditionalFormatting>
  <conditionalFormatting sqref="H3:H9 O3:O9 V3:V9 AC3:AC9">
    <cfRule type="cellIs" priority="100" operator="equal">
      <formula>0</formula>
    </cfRule>
  </conditionalFormatting>
  <conditionalFormatting sqref="CG3:CG9">
    <cfRule type="cellIs" priority="98" operator="lessThan">
      <formula>0</formula>
    </cfRule>
    <cfRule type="cellIs" priority="99" operator="greaterThan">
      <formula>1</formula>
    </cfRule>
  </conditionalFormatting>
  <conditionalFormatting sqref="CG3:CG9">
    <cfRule type="cellIs" priority="97" operator="equal">
      <formula>0</formula>
    </cfRule>
  </conditionalFormatting>
  <conditionalFormatting sqref="CG7:CG8">
    <cfRule type="cellIs" priority="95" operator="lessThan">
      <formula>0</formula>
    </cfRule>
    <cfRule type="cellIs" priority="96" operator="greaterThan">
      <formula>1</formula>
    </cfRule>
  </conditionalFormatting>
  <conditionalFormatting sqref="CG7:CG8">
    <cfRule type="cellIs" priority="94" operator="equal">
      <formula>0</formula>
    </cfRule>
  </conditionalFormatting>
  <conditionalFormatting sqref="H3:H9 O3:O9 V3:V9 AC3:AC9">
    <cfRule type="cellIs" priority="92" operator="lessThan">
      <formula>0</formula>
    </cfRule>
    <cfRule type="cellIs" priority="93" operator="greaterThan">
      <formula>1</formula>
    </cfRule>
  </conditionalFormatting>
  <conditionalFormatting sqref="H3:H9 O3:O9 V3:V9 AC3:AC9">
    <cfRule type="cellIs" priority="91" operator="equal">
      <formula>0</formula>
    </cfRule>
  </conditionalFormatting>
  <conditionalFormatting sqref="O3:O9">
    <cfRule type="cellIs" priority="89" operator="lessThan">
      <formula>0</formula>
    </cfRule>
    <cfRule type="cellIs" priority="90" operator="greaterThan">
      <formula>1</formula>
    </cfRule>
  </conditionalFormatting>
  <conditionalFormatting sqref="O3:O9">
    <cfRule type="cellIs" priority="88" operator="equal">
      <formula>0</formula>
    </cfRule>
  </conditionalFormatting>
  <conditionalFormatting sqref="V3:V8">
    <cfRule type="cellIs" priority="86" operator="lessThan">
      <formula>0</formula>
    </cfRule>
    <cfRule type="cellIs" priority="87" operator="greaterThan">
      <formula>1</formula>
    </cfRule>
  </conditionalFormatting>
  <conditionalFormatting sqref="V3:V8">
    <cfRule type="cellIs" priority="85" operator="equal">
      <formula>0</formula>
    </cfRule>
  </conditionalFormatting>
  <conditionalFormatting sqref="AC3:AC8">
    <cfRule type="cellIs" priority="83" operator="lessThan">
      <formula>0</formula>
    </cfRule>
    <cfRule type="cellIs" priority="84" operator="greaterThan">
      <formula>1</formula>
    </cfRule>
  </conditionalFormatting>
  <conditionalFormatting sqref="AC3:AC8">
    <cfRule type="cellIs" priority="82" operator="equal">
      <formula>0</formula>
    </cfRule>
  </conditionalFormatting>
  <conditionalFormatting sqref="H3:H9 O3:O9 V3:V9 AC3:AC9">
    <cfRule type="cellIs" priority="80" operator="lessThan">
      <formula>0</formula>
    </cfRule>
    <cfRule type="cellIs" priority="81" operator="greaterThan">
      <formula>1</formula>
    </cfRule>
  </conditionalFormatting>
  <conditionalFormatting sqref="H3:H9 O3:O9 V3:V9 AC3:AC9">
    <cfRule type="cellIs" priority="79" operator="equal">
      <formula>0</formula>
    </cfRule>
  </conditionalFormatting>
  <conditionalFormatting sqref="CG3:CG9">
    <cfRule type="cellIs" priority="77" operator="lessThan">
      <formula>0</formula>
    </cfRule>
    <cfRule type="cellIs" priority="78" operator="greaterThan">
      <formula>1</formula>
    </cfRule>
  </conditionalFormatting>
  <conditionalFormatting sqref="CG3:CG9">
    <cfRule type="cellIs" priority="76" operator="equal">
      <formula>0</formula>
    </cfRule>
  </conditionalFormatting>
  <conditionalFormatting sqref="H3:H9 O3:O9 V3:V9 AC3:AC9">
    <cfRule type="cellIs" priority="74" operator="lessThan">
      <formula>0</formula>
    </cfRule>
    <cfRule type="cellIs" priority="75" operator="greaterThan">
      <formula>1</formula>
    </cfRule>
  </conditionalFormatting>
  <conditionalFormatting sqref="H3:H9 O3:O9 V3:V9 AC3:AC9">
    <cfRule type="cellIs" priority="73" operator="equal">
      <formula>0</formula>
    </cfRule>
  </conditionalFormatting>
  <conditionalFormatting sqref="CG3:CG9">
    <cfRule type="cellIs" priority="71" operator="lessThan">
      <formula>0</formula>
    </cfRule>
    <cfRule type="cellIs" priority="72" operator="greaterThan">
      <formula>1</formula>
    </cfRule>
  </conditionalFormatting>
  <conditionalFormatting sqref="CG3:CG9">
    <cfRule type="cellIs" priority="70" operator="equal">
      <formula>0</formula>
    </cfRule>
  </conditionalFormatting>
  <conditionalFormatting sqref="CG3:CG8">
    <cfRule type="cellIs" priority="68" operator="lessThan">
      <formula>0</formula>
    </cfRule>
    <cfRule type="cellIs" priority="69" operator="greaterThan">
      <formula>1</formula>
    </cfRule>
  </conditionalFormatting>
  <conditionalFormatting sqref="CG3:CG8">
    <cfRule type="cellIs" priority="67" operator="equal">
      <formula>0</formula>
    </cfRule>
  </conditionalFormatting>
  <conditionalFormatting sqref="H3:H9 O3:O9 V3:V9 AC3:AC9">
    <cfRule type="cellIs" priority="65" operator="lessThan">
      <formula>0</formula>
    </cfRule>
    <cfRule type="cellIs" priority="66" operator="greaterThan">
      <formula>1</formula>
    </cfRule>
  </conditionalFormatting>
  <conditionalFormatting sqref="H3:H9 O3:O9 V3:V9 AC3:AC9">
    <cfRule type="cellIs" priority="64" operator="equal">
      <formula>0</formula>
    </cfRule>
  </conditionalFormatting>
  <conditionalFormatting sqref="CG3:CG9">
    <cfRule type="cellIs" priority="62" operator="lessThan">
      <formula>0</formula>
    </cfRule>
    <cfRule type="cellIs" priority="63" operator="greaterThan">
      <formula>1</formula>
    </cfRule>
  </conditionalFormatting>
  <conditionalFormatting sqref="CG3:CG9">
    <cfRule type="cellIs" priority="61" operator="equal">
      <formula>0</formula>
    </cfRule>
  </conditionalFormatting>
  <conditionalFormatting sqref="H3:H9 O3:O9 V3:V9 AC3:AC9">
    <cfRule type="cellIs" priority="59" operator="lessThan">
      <formula>0</formula>
    </cfRule>
    <cfRule type="cellIs" priority="60" operator="greaterThan">
      <formula>1</formula>
    </cfRule>
  </conditionalFormatting>
  <conditionalFormatting sqref="H3:H9 O3:O9 V3:V9 AC3:AC9">
    <cfRule type="cellIs" priority="58" operator="equal">
      <formula>0</formula>
    </cfRule>
  </conditionalFormatting>
  <conditionalFormatting sqref="CG3:CG9">
    <cfRule type="cellIs" priority="56" operator="lessThan">
      <formula>0</formula>
    </cfRule>
    <cfRule type="cellIs" priority="57" operator="greaterThan">
      <formula>1</formula>
    </cfRule>
  </conditionalFormatting>
  <conditionalFormatting sqref="CG3:CG9">
    <cfRule type="cellIs" priority="55" operator="equal">
      <formula>0</formula>
    </cfRule>
  </conditionalFormatting>
  <conditionalFormatting sqref="CN3:CN9">
    <cfRule type="cellIs" priority="53" operator="lessThan">
      <formula>0</formula>
    </cfRule>
    <cfRule type="cellIs" priority="54" operator="greaterThan">
      <formula>1</formula>
    </cfRule>
  </conditionalFormatting>
  <conditionalFormatting sqref="CN3:CN9">
    <cfRule type="cellIs" priority="52" operator="equal">
      <formula>0</formula>
    </cfRule>
  </conditionalFormatting>
  <conditionalFormatting sqref="CU3:CU9">
    <cfRule type="cellIs" priority="50" operator="lessThan">
      <formula>0</formula>
    </cfRule>
    <cfRule type="cellIs" priority="51" operator="greaterThan">
      <formula>1</formula>
    </cfRule>
  </conditionalFormatting>
  <conditionalFormatting sqref="CU3:CU9">
    <cfRule type="cellIs" priority="49" operator="equal">
      <formula>0</formula>
    </cfRule>
  </conditionalFormatting>
  <conditionalFormatting sqref="DB3:DB9">
    <cfRule type="cellIs" priority="47" operator="lessThan">
      <formula>0</formula>
    </cfRule>
    <cfRule type="cellIs" priority="48" operator="greaterThan">
      <formula>1</formula>
    </cfRule>
  </conditionalFormatting>
  <conditionalFormatting sqref="DB3:DB9">
    <cfRule type="cellIs" priority="46" operator="equal">
      <formula>0</formula>
    </cfRule>
  </conditionalFormatting>
  <conditionalFormatting sqref="CN3:CN9">
    <cfRule type="cellIs" priority="44" operator="lessThan">
      <formula>0</formula>
    </cfRule>
    <cfRule type="cellIs" priority="45" operator="greaterThan">
      <formula>1</formula>
    </cfRule>
  </conditionalFormatting>
  <conditionalFormatting sqref="CN3:CN9">
    <cfRule type="cellIs" priority="43" operator="equal">
      <formula>0</formula>
    </cfRule>
  </conditionalFormatting>
  <conditionalFormatting sqref="CU3:CU9">
    <cfRule type="cellIs" priority="41" operator="lessThan">
      <formula>0</formula>
    </cfRule>
    <cfRule type="cellIs" priority="42" operator="greaterThan">
      <formula>1</formula>
    </cfRule>
  </conditionalFormatting>
  <conditionalFormatting sqref="CU3:CU9">
    <cfRule type="cellIs" priority="40" operator="equal">
      <formula>0</formula>
    </cfRule>
  </conditionalFormatting>
  <conditionalFormatting sqref="DB3:DB9">
    <cfRule type="cellIs" priority="38" operator="lessThan">
      <formula>0</formula>
    </cfRule>
    <cfRule type="cellIs" priority="39" operator="greaterThan">
      <formula>1</formula>
    </cfRule>
  </conditionalFormatting>
  <conditionalFormatting sqref="DB3:DB9">
    <cfRule type="cellIs" priority="37" operator="equal">
      <formula>0</formula>
    </cfRule>
  </conditionalFormatting>
  <conditionalFormatting sqref="CN3:CN9">
    <cfRule type="cellIs" priority="35" operator="lessThan">
      <formula>0</formula>
    </cfRule>
    <cfRule type="cellIs" priority="36" operator="greaterThan">
      <formula>1</formula>
    </cfRule>
  </conditionalFormatting>
  <conditionalFormatting sqref="CN3:CN9">
    <cfRule type="cellIs" priority="34" operator="equal">
      <formula>0</formula>
    </cfRule>
  </conditionalFormatting>
  <conditionalFormatting sqref="CU3:CU9">
    <cfRule type="cellIs" priority="32" operator="lessThan">
      <formula>0</formula>
    </cfRule>
    <cfRule type="cellIs" priority="33" operator="greaterThan">
      <formula>1</formula>
    </cfRule>
  </conditionalFormatting>
  <conditionalFormatting sqref="CU3:CU9">
    <cfRule type="cellIs" priority="31" operator="equal">
      <formula>0</formula>
    </cfRule>
  </conditionalFormatting>
  <conditionalFormatting sqref="DB3:DB9">
    <cfRule type="cellIs" priority="29" operator="lessThan">
      <formula>0</formula>
    </cfRule>
    <cfRule type="cellIs" priority="30" operator="greaterThan">
      <formula>1</formula>
    </cfRule>
  </conditionalFormatting>
  <conditionalFormatting sqref="DB3:DB9">
    <cfRule type="cellIs" priority="28" operator="equal">
      <formula>0</formula>
    </cfRule>
  </conditionalFormatting>
  <conditionalFormatting sqref="CN3:CN9">
    <cfRule type="cellIs" priority="26" operator="lessThan">
      <formula>0</formula>
    </cfRule>
    <cfRule type="cellIs" priority="27" operator="greaterThan">
      <formula>1</formula>
    </cfRule>
  </conditionalFormatting>
  <conditionalFormatting sqref="CN3:CN9">
    <cfRule type="cellIs" priority="25" operator="equal">
      <formula>0</formula>
    </cfRule>
  </conditionalFormatting>
  <conditionalFormatting sqref="CU3:CU9">
    <cfRule type="cellIs" priority="23" operator="lessThan">
      <formula>0</formula>
    </cfRule>
    <cfRule type="cellIs" priority="24" operator="greaterThan">
      <formula>1</formula>
    </cfRule>
  </conditionalFormatting>
  <conditionalFormatting sqref="CU3:CU9">
    <cfRule type="cellIs" priority="22" operator="equal">
      <formula>0</formula>
    </cfRule>
  </conditionalFormatting>
  <conditionalFormatting sqref="DB3:DB9">
    <cfRule type="cellIs" priority="20" operator="lessThan">
      <formula>0</formula>
    </cfRule>
    <cfRule type="cellIs" priority="21" operator="greaterThan">
      <formula>1</formula>
    </cfRule>
  </conditionalFormatting>
  <conditionalFormatting sqref="DB3:DB9">
    <cfRule type="cellIs" priority="19" operator="equal">
      <formula>0</formula>
    </cfRule>
  </conditionalFormatting>
  <conditionalFormatting sqref="B14:B16">
    <cfRule type="cellIs" priority="17" operator="greaterThan">
      <formula>1</formula>
    </cfRule>
    <cfRule type="cellIs" priority="18" operator="lessThan">
      <formula>0</formula>
    </cfRule>
  </conditionalFormatting>
  <conditionalFormatting sqref="B14:B16">
    <cfRule type="cellIs" priority="15" operator="greaterThan">
      <formula>1</formula>
    </cfRule>
    <cfRule type="cellIs" priority="16" operator="lessThan">
      <formula>0</formula>
    </cfRule>
  </conditionalFormatting>
  <conditionalFormatting sqref="B14:B16">
    <cfRule type="cellIs" priority="13" operator="greaterThan">
      <formula>1</formula>
    </cfRule>
    <cfRule type="cellIs" priority="14" operator="lessThan">
      <formula>0</formula>
    </cfRule>
  </conditionalFormatting>
  <conditionalFormatting sqref="B14:B16">
    <cfRule type="cellIs" priority="11" operator="greaterThan">
      <formula>1</formula>
    </cfRule>
    <cfRule type="cellIs" priority="12" operator="lessThan">
      <formula>0</formula>
    </cfRule>
  </conditionalFormatting>
  <conditionalFormatting sqref="B14:B16">
    <cfRule type="cellIs" priority="9" operator="greaterThan">
      <formula>1</formula>
    </cfRule>
    <cfRule type="cellIs" priority="10" operator="lessThan">
      <formula>0</formula>
    </cfRule>
  </conditionalFormatting>
  <conditionalFormatting sqref="B14:B16">
    <cfRule type="cellIs" priority="7" operator="greaterThan">
      <formula>1</formula>
    </cfRule>
    <cfRule type="cellIs" priority="8" operator="lessThan">
      <formula>0</formula>
    </cfRule>
  </conditionalFormatting>
  <conditionalFormatting sqref="B14:B16">
    <cfRule type="cellIs" priority="5" operator="greaterThan">
      <formula>1</formula>
    </cfRule>
    <cfRule type="cellIs" priority="6" operator="lessThan">
      <formula>0</formula>
    </cfRule>
  </conditionalFormatting>
  <conditionalFormatting sqref="B14:B16">
    <cfRule type="cellIs" priority="3" operator="greaterThan">
      <formula>1</formula>
    </cfRule>
    <cfRule type="cellIs" priority="4" operator="lessThan">
      <formula>0</formula>
    </cfRule>
  </conditionalFormatting>
  <conditionalFormatting sqref="B14:B16">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4"/>
  <dimension ref="A1:DF20"/>
  <sheetViews>
    <sheetView workbookViewId="0">
      <pane xSplit="6" ySplit="1" topLeftCell="CW2" activePane="bottomRight" state="frozen"/>
      <selection pane="topRight" activeCell="G1" sqref="G1"/>
      <selection pane="bottomLeft" activeCell="A2" sqref="A2"/>
      <selection pane="bottomRight" activeCell="DB7" sqref="DB7"/>
    </sheetView>
  </sheetViews>
  <sheetFormatPr defaultColWidth="8.85546875" defaultRowHeight="15" x14ac:dyDescent="0.25"/>
  <cols>
    <col min="1" max="1" width="37.85546875" bestFit="1" customWidth="1"/>
    <col min="2" max="2" width="11.5703125" customWidth="1"/>
    <col min="3" max="3" width="17.28515625" customWidth="1"/>
    <col min="4" max="4" width="10.7109375" bestFit="1" customWidth="1"/>
    <col min="5" max="5" width="7.28515625" customWidth="1"/>
    <col min="6" max="6" width="14.28515625" customWidth="1"/>
    <col min="7" max="8" width="11.5703125" customWidth="1"/>
    <col min="9" max="9" width="16.28515625" customWidth="1"/>
    <col min="10" max="29" width="11.5703125" customWidth="1"/>
    <col min="30" max="30" width="15.5703125" bestFit="1" customWidth="1"/>
    <col min="31" max="36" width="11.5703125" customWidth="1"/>
    <col min="37" max="37" width="15.5703125" bestFit="1" customWidth="1"/>
    <col min="38" max="38" width="11.5703125" customWidth="1"/>
    <col min="39" max="39" width="11.7109375" customWidth="1"/>
    <col min="40" max="43" width="11.5703125" customWidth="1"/>
    <col min="44" max="44" width="15.5703125" bestFit="1" customWidth="1"/>
    <col min="45" max="50" width="11.5703125" customWidth="1"/>
    <col min="51" max="51" width="15.5703125" bestFit="1" customWidth="1"/>
    <col min="52" max="108" width="11.5703125" customWidth="1"/>
    <col min="109" max="109" width="12.42578125" customWidth="1"/>
    <col min="110" max="1074" width="11.5703125" customWidth="1"/>
  </cols>
  <sheetData>
    <row r="1" spans="1:110" x14ac:dyDescent="0.25">
      <c r="A1" s="2" t="s">
        <v>125</v>
      </c>
      <c r="G1" s="98" t="s">
        <v>104</v>
      </c>
      <c r="H1" s="98"/>
      <c r="I1" s="98"/>
      <c r="J1" s="98"/>
      <c r="K1" s="98"/>
      <c r="L1" s="98"/>
      <c r="N1" s="98" t="s">
        <v>105</v>
      </c>
      <c r="O1" s="98"/>
      <c r="P1" s="98"/>
      <c r="Q1" s="98"/>
      <c r="R1" s="98"/>
      <c r="S1" s="98"/>
      <c r="U1" s="98" t="s">
        <v>106</v>
      </c>
      <c r="V1" s="98"/>
      <c r="W1" s="98"/>
      <c r="X1" s="98"/>
      <c r="Y1" s="98"/>
      <c r="Z1" s="98"/>
      <c r="AB1" s="98" t="s">
        <v>107</v>
      </c>
      <c r="AC1" s="98"/>
      <c r="AD1" s="98"/>
      <c r="AE1" s="98"/>
      <c r="AF1" s="98"/>
      <c r="AG1" s="98"/>
      <c r="AI1" s="98" t="s">
        <v>139</v>
      </c>
      <c r="AJ1" s="98"/>
      <c r="AK1" s="98"/>
      <c r="AL1" s="98"/>
      <c r="AM1" s="98"/>
      <c r="AN1" s="98"/>
      <c r="AP1" s="98" t="s">
        <v>140</v>
      </c>
      <c r="AQ1" s="98"/>
      <c r="AR1" s="98"/>
      <c r="AS1" s="98"/>
      <c r="AT1" s="98"/>
      <c r="AU1" s="98"/>
      <c r="AW1" s="98" t="s">
        <v>141</v>
      </c>
      <c r="AX1" s="98"/>
      <c r="AY1" s="98"/>
      <c r="AZ1" s="98"/>
      <c r="BA1" s="98"/>
      <c r="BB1" s="98"/>
      <c r="BD1" s="98" t="s">
        <v>142</v>
      </c>
      <c r="BE1" s="98"/>
      <c r="BF1" s="98"/>
      <c r="BG1" s="98"/>
      <c r="BH1" s="98"/>
      <c r="BI1" s="98"/>
      <c r="BK1" s="98" t="s">
        <v>143</v>
      </c>
      <c r="BL1" s="98"/>
      <c r="BM1" s="98"/>
      <c r="BN1" s="98"/>
      <c r="BO1" s="98"/>
      <c r="BP1" s="98"/>
      <c r="BR1" s="98" t="s">
        <v>144</v>
      </c>
      <c r="BS1" s="98"/>
      <c r="BT1" s="98"/>
      <c r="BU1" s="98"/>
      <c r="BV1" s="98"/>
      <c r="BW1" s="98"/>
      <c r="BY1" s="98" t="s">
        <v>145</v>
      </c>
      <c r="BZ1" s="98"/>
      <c r="CA1" s="98"/>
      <c r="CB1" s="98"/>
      <c r="CC1" s="98"/>
      <c r="CD1" s="98"/>
      <c r="CF1" s="98" t="s">
        <v>108</v>
      </c>
      <c r="CG1" s="98"/>
      <c r="CH1" s="98"/>
      <c r="CI1" s="98"/>
      <c r="CJ1" s="98"/>
      <c r="CK1" s="98"/>
      <c r="CM1" s="98" t="s">
        <v>168</v>
      </c>
      <c r="CN1" s="98"/>
      <c r="CO1" s="98"/>
      <c r="CP1" s="98"/>
      <c r="CQ1" s="98"/>
      <c r="CR1" s="98"/>
      <c r="CT1" s="98" t="s">
        <v>170</v>
      </c>
      <c r="CU1" s="98"/>
      <c r="CV1" s="98"/>
      <c r="CW1" s="98"/>
      <c r="CX1" s="98"/>
      <c r="CY1" s="98"/>
      <c r="DA1" s="98" t="s">
        <v>169</v>
      </c>
      <c r="DB1" s="98"/>
      <c r="DC1" s="98"/>
      <c r="DD1" s="98"/>
      <c r="DE1" s="98"/>
      <c r="DF1" s="98"/>
    </row>
    <row r="2" spans="1:110" x14ac:dyDescent="0.25">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x14ac:dyDescent="0.25">
      <c r="A3" s="58" t="s">
        <v>173</v>
      </c>
      <c r="B3" s="58">
        <f>+E3/D3</f>
        <v>2.5889328063241103E-3</v>
      </c>
      <c r="C3" s="3">
        <f>1/B3/Summary!$C$7</f>
        <v>0.38625954198473289</v>
      </c>
      <c r="D3" s="59">
        <f>+K10</f>
        <v>253.00000000000003</v>
      </c>
      <c r="E3" s="3">
        <v>0.65500000000000003</v>
      </c>
      <c r="G3" s="60">
        <v>1</v>
      </c>
      <c r="H3" s="61">
        <v>0.2</v>
      </c>
      <c r="I3" s="62">
        <f>+SUM($H3:H3)</f>
        <v>0.2</v>
      </c>
      <c r="J3" s="50">
        <v>75</v>
      </c>
      <c r="K3" s="58">
        <f t="shared" ref="K3:K9" si="0">+H3*J3</f>
        <v>15</v>
      </c>
      <c r="L3" s="63">
        <v>0</v>
      </c>
      <c r="N3" s="60">
        <v>1</v>
      </c>
      <c r="O3" s="61">
        <v>0.1</v>
      </c>
      <c r="P3" s="62">
        <f>+SUM($O3:O$3)</f>
        <v>0.1</v>
      </c>
      <c r="Q3" s="58">
        <f t="shared" ref="Q3:Q9" si="1">+J3</f>
        <v>75</v>
      </c>
      <c r="R3" s="58">
        <f t="shared" ref="R3:R9" si="2">+O3*Q3</f>
        <v>7.5</v>
      </c>
      <c r="S3" s="63">
        <v>0</v>
      </c>
      <c r="U3" s="60">
        <v>1</v>
      </c>
      <c r="V3" s="61">
        <v>0.19</v>
      </c>
      <c r="W3" s="62">
        <f>+SUM($V3:V$3)</f>
        <v>0.19</v>
      </c>
      <c r="X3" s="58">
        <f t="shared" ref="X3:X9" si="3">+J3</f>
        <v>75</v>
      </c>
      <c r="Y3" s="58">
        <f t="shared" ref="Y3:Y9" si="4">+V3*X3</f>
        <v>14.25</v>
      </c>
      <c r="Z3" s="63">
        <v>0</v>
      </c>
      <c r="AB3" s="60">
        <v>1</v>
      </c>
      <c r="AC3" s="61">
        <v>0.05</v>
      </c>
      <c r="AD3" s="62">
        <f>+SUM($AC$3:AC3)</f>
        <v>0.05</v>
      </c>
      <c r="AE3" s="58">
        <f t="shared" ref="AE3:AE9" si="5">+J3</f>
        <v>75</v>
      </c>
      <c r="AF3" s="58">
        <f t="shared" ref="AF3:AF9" si="6">+AC3*AE3</f>
        <v>3.75</v>
      </c>
      <c r="AG3" s="63">
        <v>0</v>
      </c>
      <c r="AI3" s="60">
        <v>1</v>
      </c>
      <c r="AJ3" s="61">
        <v>0</v>
      </c>
      <c r="AK3" s="62">
        <f>+SUM(AJ3:$AJ3)</f>
        <v>0</v>
      </c>
      <c r="AL3" s="58">
        <f t="shared" ref="AL3:AL9" si="7">+Q3</f>
        <v>75</v>
      </c>
      <c r="AM3" s="58">
        <f t="shared" ref="AM3:AM9" si="8">+AJ3*AL3</f>
        <v>0</v>
      </c>
      <c r="AN3" s="63">
        <v>0</v>
      </c>
      <c r="AP3" s="60">
        <v>1</v>
      </c>
      <c r="AQ3" s="61">
        <v>0.3</v>
      </c>
      <c r="AR3" s="62">
        <f>+SUM($AQ$3:AQ3)</f>
        <v>0.3</v>
      </c>
      <c r="AS3" s="58">
        <f t="shared" ref="AS3:AS9" si="9">+X3</f>
        <v>75</v>
      </c>
      <c r="AT3" s="58">
        <f>+AQ3*AS3</f>
        <v>22.5</v>
      </c>
      <c r="AU3" s="63">
        <v>0</v>
      </c>
      <c r="AW3" s="60">
        <v>1</v>
      </c>
      <c r="AX3" s="61">
        <v>0.05</v>
      </c>
      <c r="AY3" s="62">
        <f>+SUM($AX$3:AX3)</f>
        <v>0.05</v>
      </c>
      <c r="AZ3" s="58">
        <f t="shared" ref="AZ3:AZ9" si="10">+AE3</f>
        <v>75</v>
      </c>
      <c r="BA3" s="58">
        <f t="shared" ref="BA3:BA9" si="11">+AX3*AZ3</f>
        <v>3.75</v>
      </c>
      <c r="BB3" s="63">
        <v>0</v>
      </c>
      <c r="BD3" s="60">
        <v>1</v>
      </c>
      <c r="BE3" s="61">
        <v>0.12</v>
      </c>
      <c r="BF3" s="62">
        <f>+SUM($BE$3:BE3)</f>
        <v>0.12</v>
      </c>
      <c r="BG3" s="58">
        <f t="shared" ref="BG3:BG9" si="12">+AL3</f>
        <v>75</v>
      </c>
      <c r="BH3" s="58">
        <f t="shared" ref="BH3:BH9" si="13">+BE3*BG3</f>
        <v>9</v>
      </c>
      <c r="BI3" s="63">
        <v>0</v>
      </c>
      <c r="BK3" s="60">
        <v>1</v>
      </c>
      <c r="BL3" s="61">
        <v>0.25</v>
      </c>
      <c r="BM3" s="62">
        <f>+SUM($BL$3:BL3)</f>
        <v>0.25</v>
      </c>
      <c r="BN3" s="58">
        <f t="shared" ref="BN3:BN9" si="14">+AS3</f>
        <v>75</v>
      </c>
      <c r="BO3" s="58">
        <f t="shared" ref="BO3:BO9" si="15">+BL3*BN3</f>
        <v>18.75</v>
      </c>
      <c r="BP3" s="63">
        <v>0</v>
      </c>
      <c r="BR3" s="60">
        <v>1</v>
      </c>
      <c r="BS3" s="61">
        <v>0.3</v>
      </c>
      <c r="BT3" s="62">
        <f>+SUM($BS$3:BS3)</f>
        <v>0.3</v>
      </c>
      <c r="BU3" s="58">
        <f t="shared" ref="BU3:BU9" si="16">+AZ3</f>
        <v>75</v>
      </c>
      <c r="BV3" s="58">
        <f t="shared" ref="BV3:BV9" si="17">+BS3*BU3</f>
        <v>22.5</v>
      </c>
      <c r="BW3" s="63">
        <v>0</v>
      </c>
      <c r="BY3" s="60">
        <v>1</v>
      </c>
      <c r="BZ3" s="61">
        <v>0.34</v>
      </c>
      <c r="CA3" s="62">
        <f>+SUM($BZ$3:BZ3)</f>
        <v>0.34</v>
      </c>
      <c r="CB3" s="58">
        <f t="shared" ref="CB3:CB9" si="18">+BG3</f>
        <v>75</v>
      </c>
      <c r="CC3" s="58">
        <f t="shared" ref="CC3:CC9" si="19">+BZ3*CB3</f>
        <v>25.500000000000004</v>
      </c>
      <c r="CD3" s="63">
        <v>0</v>
      </c>
      <c r="CF3" s="60">
        <v>1</v>
      </c>
      <c r="CG3" s="61">
        <v>0</v>
      </c>
      <c r="CH3" s="62">
        <f>+SUM($CG$3:CG3)</f>
        <v>0</v>
      </c>
      <c r="CI3" s="58">
        <f t="shared" ref="CI3:CI9" si="20">+BG3</f>
        <v>75</v>
      </c>
      <c r="CJ3" s="58">
        <f t="shared" ref="CJ3:CJ9" si="21">+CG3*CI3</f>
        <v>0</v>
      </c>
      <c r="CK3" s="63">
        <v>0</v>
      </c>
      <c r="CM3" s="60">
        <v>1</v>
      </c>
      <c r="CN3" s="61">
        <f>+H3</f>
        <v>0.2</v>
      </c>
      <c r="CO3" s="62">
        <f>+SUM($CN$3:CN3)</f>
        <v>0.2</v>
      </c>
      <c r="CP3" s="83">
        <f>+J3</f>
        <v>75</v>
      </c>
      <c r="CQ3" s="58">
        <f t="shared" ref="CQ3" si="22">+CN3*CP3</f>
        <v>15</v>
      </c>
      <c r="CR3" s="63">
        <v>0</v>
      </c>
      <c r="CT3" s="60">
        <v>1</v>
      </c>
      <c r="CU3" s="61">
        <f>+H3</f>
        <v>0.2</v>
      </c>
      <c r="CV3" s="62">
        <f>+SUM($CU$3:CU3)</f>
        <v>0.2</v>
      </c>
      <c r="CW3" s="84">
        <f>+J3*2</f>
        <v>150</v>
      </c>
      <c r="CX3" s="58">
        <f t="shared" ref="CX3" si="23">+CU3*CW3</f>
        <v>30</v>
      </c>
      <c r="CY3" s="63">
        <v>0</v>
      </c>
      <c r="DA3" s="60">
        <v>1</v>
      </c>
      <c r="DB3" s="61">
        <v>0</v>
      </c>
      <c r="DC3" s="62">
        <f>+SUM($DB$3:DB3)</f>
        <v>0</v>
      </c>
      <c r="DD3" s="83">
        <f>+J3</f>
        <v>75</v>
      </c>
      <c r="DE3" s="58">
        <f t="shared" ref="DE3" si="24">+DB3*DD3</f>
        <v>0</v>
      </c>
      <c r="DF3" s="63">
        <v>0</v>
      </c>
    </row>
    <row r="4" spans="1:110" x14ac:dyDescent="0.25">
      <c r="A4" s="3" t="s">
        <v>114</v>
      </c>
      <c r="B4" s="58">
        <f>+E4/D4</f>
        <v>1.1627906976744184E-2</v>
      </c>
      <c r="C4" s="3">
        <v>0</v>
      </c>
      <c r="D4" s="64">
        <f>+R10</f>
        <v>430.00000000000006</v>
      </c>
      <c r="E4" s="3">
        <v>5</v>
      </c>
      <c r="G4" s="60">
        <v>2</v>
      </c>
      <c r="H4" s="61">
        <v>0.32</v>
      </c>
      <c r="I4" s="62">
        <f>+SUM($H$3:H4)</f>
        <v>0.52</v>
      </c>
      <c r="J4" s="50">
        <v>150</v>
      </c>
      <c r="K4" s="58">
        <f t="shared" si="0"/>
        <v>48</v>
      </c>
      <c r="L4" s="63">
        <v>0</v>
      </c>
      <c r="N4" s="60">
        <v>2</v>
      </c>
      <c r="O4" s="61">
        <v>0.25</v>
      </c>
      <c r="P4" s="62">
        <f>+SUM($O$3:O4)</f>
        <v>0.35</v>
      </c>
      <c r="Q4" s="58">
        <f t="shared" si="1"/>
        <v>150</v>
      </c>
      <c r="R4" s="58">
        <f t="shared" si="2"/>
        <v>37.5</v>
      </c>
      <c r="S4" s="63">
        <v>0</v>
      </c>
      <c r="U4" s="60">
        <v>2</v>
      </c>
      <c r="V4" s="61">
        <v>0.24</v>
      </c>
      <c r="W4" s="62">
        <f>+SUM($V$3:V4)</f>
        <v>0.43</v>
      </c>
      <c r="X4" s="58">
        <f t="shared" si="3"/>
        <v>150</v>
      </c>
      <c r="Y4" s="58">
        <f t="shared" si="4"/>
        <v>36</v>
      </c>
      <c r="Z4" s="63">
        <v>0</v>
      </c>
      <c r="AB4" s="60">
        <v>2</v>
      </c>
      <c r="AC4" s="61">
        <v>0.25</v>
      </c>
      <c r="AD4" s="62">
        <f>+SUM($AC$3:AC4)</f>
        <v>0.3</v>
      </c>
      <c r="AE4" s="58">
        <f t="shared" si="5"/>
        <v>150</v>
      </c>
      <c r="AF4" s="58">
        <f t="shared" si="6"/>
        <v>37.5</v>
      </c>
      <c r="AG4" s="63">
        <v>0</v>
      </c>
      <c r="AI4" s="60">
        <v>2</v>
      </c>
      <c r="AJ4" s="61">
        <v>0</v>
      </c>
      <c r="AK4" s="62">
        <f>+SUM($AJ$3:AJ4)</f>
        <v>0</v>
      </c>
      <c r="AL4" s="58">
        <f t="shared" si="7"/>
        <v>150</v>
      </c>
      <c r="AM4" s="58">
        <f t="shared" si="8"/>
        <v>0</v>
      </c>
      <c r="AN4" s="63">
        <v>0</v>
      </c>
      <c r="AP4" s="60">
        <v>2</v>
      </c>
      <c r="AQ4" s="61">
        <v>0.2</v>
      </c>
      <c r="AR4" s="62">
        <f>+SUM($AQ$3:AQ4)</f>
        <v>0.5</v>
      </c>
      <c r="AS4" s="58">
        <f t="shared" si="9"/>
        <v>150</v>
      </c>
      <c r="AT4" s="58">
        <f t="shared" ref="AT4:AT9" si="25">+AQ4*AS4</f>
        <v>30</v>
      </c>
      <c r="AU4" s="63">
        <v>0</v>
      </c>
      <c r="AW4" s="60">
        <v>2</v>
      </c>
      <c r="AX4" s="61">
        <v>0.2</v>
      </c>
      <c r="AY4" s="62">
        <f>+SUM($AX$3:AX4)</f>
        <v>0.25</v>
      </c>
      <c r="AZ4" s="58">
        <f t="shared" si="10"/>
        <v>150</v>
      </c>
      <c r="BA4" s="58">
        <f t="shared" si="11"/>
        <v>30</v>
      </c>
      <c r="BB4" s="63">
        <v>0</v>
      </c>
      <c r="BD4" s="60">
        <v>2</v>
      </c>
      <c r="BE4" s="61">
        <v>0.2</v>
      </c>
      <c r="BF4" s="62">
        <f>+SUM($BE$3:BE4)</f>
        <v>0.32</v>
      </c>
      <c r="BG4" s="58">
        <f t="shared" si="12"/>
        <v>150</v>
      </c>
      <c r="BH4" s="58">
        <f t="shared" si="13"/>
        <v>30</v>
      </c>
      <c r="BI4" s="63">
        <v>0</v>
      </c>
      <c r="BK4" s="60">
        <v>2</v>
      </c>
      <c r="BL4" s="61">
        <v>0.25</v>
      </c>
      <c r="BM4" s="62">
        <f>+SUM($BL$3:BL4)</f>
        <v>0.5</v>
      </c>
      <c r="BN4" s="58">
        <f t="shared" si="14"/>
        <v>150</v>
      </c>
      <c r="BO4" s="58">
        <f t="shared" si="15"/>
        <v>37.5</v>
      </c>
      <c r="BP4" s="63">
        <v>0</v>
      </c>
      <c r="BR4" s="60">
        <v>2</v>
      </c>
      <c r="BS4" s="61">
        <v>0.2</v>
      </c>
      <c r="BT4" s="62">
        <f>+SUM($BS$3:BS4)</f>
        <v>0.5</v>
      </c>
      <c r="BU4" s="58">
        <f t="shared" si="16"/>
        <v>150</v>
      </c>
      <c r="BV4" s="58">
        <f t="shared" si="17"/>
        <v>30</v>
      </c>
      <c r="BW4" s="63">
        <v>0</v>
      </c>
      <c r="BY4" s="60">
        <v>2</v>
      </c>
      <c r="BZ4" s="61">
        <v>0.3</v>
      </c>
      <c r="CA4" s="62">
        <f>+SUM($BZ$3:BZ4)</f>
        <v>0.64</v>
      </c>
      <c r="CB4" s="58">
        <f t="shared" si="18"/>
        <v>150</v>
      </c>
      <c r="CC4" s="58">
        <f t="shared" si="19"/>
        <v>45</v>
      </c>
      <c r="CD4" s="63">
        <v>0</v>
      </c>
      <c r="CF4" s="60">
        <v>2</v>
      </c>
      <c r="CG4" s="61">
        <v>0.1</v>
      </c>
      <c r="CH4" s="62">
        <f>+SUM($CG$3:CG4)</f>
        <v>0.1</v>
      </c>
      <c r="CI4" s="58">
        <f t="shared" si="20"/>
        <v>150</v>
      </c>
      <c r="CJ4" s="58">
        <f t="shared" si="21"/>
        <v>15</v>
      </c>
      <c r="CK4" s="63">
        <v>0</v>
      </c>
      <c r="CM4" s="60">
        <v>2</v>
      </c>
      <c r="CN4" s="61">
        <f t="shared" ref="CN4:CN8" si="26">+H4</f>
        <v>0.32</v>
      </c>
      <c r="CO4" s="62">
        <f>+SUM($CN$3:CN4)</f>
        <v>0.52</v>
      </c>
      <c r="CP4" s="83">
        <f t="shared" ref="CP4:CP9" si="27">+J4</f>
        <v>150</v>
      </c>
      <c r="CQ4" s="58">
        <f>+CN4*CP4</f>
        <v>48</v>
      </c>
      <c r="CR4" s="63">
        <v>0</v>
      </c>
      <c r="CT4" s="60">
        <v>2</v>
      </c>
      <c r="CU4" s="61">
        <f t="shared" ref="CU4:CU8" si="28">+H4</f>
        <v>0.32</v>
      </c>
      <c r="CV4" s="62">
        <f>+SUM($CU$3:CU4)</f>
        <v>0.52</v>
      </c>
      <c r="CW4" s="84">
        <f t="shared" ref="CW4:CW9" si="29">+J4*2</f>
        <v>300</v>
      </c>
      <c r="CX4" s="58">
        <f>+CU4*CW4</f>
        <v>96</v>
      </c>
      <c r="CY4" s="63">
        <v>0</v>
      </c>
      <c r="DA4" s="60">
        <v>2</v>
      </c>
      <c r="DB4" s="61">
        <v>0</v>
      </c>
      <c r="DC4" s="62">
        <f>+SUM($DB$3:DB4)</f>
        <v>0</v>
      </c>
      <c r="DD4" s="83">
        <f t="shared" ref="DD4:DD9" si="30">+J4</f>
        <v>150</v>
      </c>
      <c r="DE4" s="58">
        <f>+DB4*DD4</f>
        <v>0</v>
      </c>
      <c r="DF4" s="63">
        <v>0</v>
      </c>
    </row>
    <row r="5" spans="1:110" x14ac:dyDescent="0.25">
      <c r="A5" s="3" t="s">
        <v>115</v>
      </c>
      <c r="B5" s="58">
        <f>+E5/D5</f>
        <v>1.5377222489187888E-2</v>
      </c>
      <c r="C5" s="3">
        <v>0</v>
      </c>
      <c r="D5" s="64">
        <f>+Y10</f>
        <v>520.25000000000011</v>
      </c>
      <c r="E5" s="3">
        <v>8</v>
      </c>
      <c r="G5" s="60">
        <v>3</v>
      </c>
      <c r="H5" s="61">
        <v>0.4</v>
      </c>
      <c r="I5" s="62">
        <f>+SUM($H$3:H5)</f>
        <v>0.92</v>
      </c>
      <c r="J5" s="50">
        <v>300</v>
      </c>
      <c r="K5" s="58">
        <f t="shared" si="0"/>
        <v>120</v>
      </c>
      <c r="L5" s="63">
        <v>0</v>
      </c>
      <c r="N5" s="60">
        <v>3</v>
      </c>
      <c r="O5" s="61">
        <v>0.4</v>
      </c>
      <c r="P5" s="62">
        <f>+SUM($O$3:O5)</f>
        <v>0.75</v>
      </c>
      <c r="Q5" s="58">
        <f t="shared" si="1"/>
        <v>300</v>
      </c>
      <c r="R5" s="58">
        <f t="shared" si="2"/>
        <v>120</v>
      </c>
      <c r="S5" s="63">
        <v>0</v>
      </c>
      <c r="U5" s="60">
        <v>3</v>
      </c>
      <c r="V5" s="61">
        <v>0.2</v>
      </c>
      <c r="W5" s="62">
        <f>+SUM($V$3:V5)</f>
        <v>0.63</v>
      </c>
      <c r="X5" s="58">
        <f t="shared" si="3"/>
        <v>300</v>
      </c>
      <c r="Y5" s="58">
        <f t="shared" si="4"/>
        <v>60</v>
      </c>
      <c r="Z5" s="63">
        <v>0</v>
      </c>
      <c r="AB5" s="60">
        <v>3</v>
      </c>
      <c r="AC5" s="61">
        <v>0.3</v>
      </c>
      <c r="AD5" s="62">
        <f>+SUM($AC$3:AC5)</f>
        <v>0.6</v>
      </c>
      <c r="AE5" s="58">
        <f t="shared" si="5"/>
        <v>300</v>
      </c>
      <c r="AF5" s="58">
        <f t="shared" si="6"/>
        <v>90</v>
      </c>
      <c r="AG5" s="63">
        <v>0</v>
      </c>
      <c r="AI5" s="60">
        <v>3</v>
      </c>
      <c r="AJ5" s="61">
        <v>0</v>
      </c>
      <c r="AK5" s="62">
        <f>+SUM($AJ$3:AJ5)</f>
        <v>0</v>
      </c>
      <c r="AL5" s="58">
        <f t="shared" si="7"/>
        <v>300</v>
      </c>
      <c r="AM5" s="58">
        <f t="shared" si="8"/>
        <v>0</v>
      </c>
      <c r="AN5" s="63">
        <v>0</v>
      </c>
      <c r="AP5" s="60">
        <v>3</v>
      </c>
      <c r="AQ5" s="61">
        <v>0.25</v>
      </c>
      <c r="AR5" s="62">
        <f>+SUM($AQ$3:AQ5)</f>
        <v>0.75</v>
      </c>
      <c r="AS5" s="58">
        <f t="shared" si="9"/>
        <v>300</v>
      </c>
      <c r="AT5" s="58">
        <f t="shared" si="25"/>
        <v>75</v>
      </c>
      <c r="AU5" s="63">
        <v>0</v>
      </c>
      <c r="AW5" s="60">
        <v>3</v>
      </c>
      <c r="AX5" s="61">
        <v>0.3</v>
      </c>
      <c r="AY5" s="62">
        <f>+SUM($AX$3:AX5)</f>
        <v>0.55000000000000004</v>
      </c>
      <c r="AZ5" s="58">
        <f t="shared" si="10"/>
        <v>300</v>
      </c>
      <c r="BA5" s="58">
        <f t="shared" si="11"/>
        <v>90</v>
      </c>
      <c r="BB5" s="63">
        <v>0</v>
      </c>
      <c r="BD5" s="60">
        <v>3</v>
      </c>
      <c r="BE5" s="61">
        <v>0.23</v>
      </c>
      <c r="BF5" s="62">
        <f>+SUM($BE$3:BE5)</f>
        <v>0.55000000000000004</v>
      </c>
      <c r="BG5" s="58">
        <f t="shared" si="12"/>
        <v>300</v>
      </c>
      <c r="BH5" s="58">
        <f t="shared" si="13"/>
        <v>69</v>
      </c>
      <c r="BI5" s="63">
        <v>0</v>
      </c>
      <c r="BK5" s="60">
        <v>3</v>
      </c>
      <c r="BL5" s="61">
        <v>0.17</v>
      </c>
      <c r="BM5" s="62">
        <f>+SUM($BL$3:BL5)</f>
        <v>0.67</v>
      </c>
      <c r="BN5" s="58">
        <f t="shared" si="14"/>
        <v>300</v>
      </c>
      <c r="BO5" s="58">
        <f t="shared" si="15"/>
        <v>51.000000000000007</v>
      </c>
      <c r="BP5" s="63">
        <v>0</v>
      </c>
      <c r="BR5" s="60">
        <v>3</v>
      </c>
      <c r="BS5" s="61">
        <v>0.2</v>
      </c>
      <c r="BT5" s="62">
        <f>+SUM($BS$3:BS5)</f>
        <v>0.7</v>
      </c>
      <c r="BU5" s="58">
        <f t="shared" si="16"/>
        <v>300</v>
      </c>
      <c r="BV5" s="58">
        <f t="shared" si="17"/>
        <v>60</v>
      </c>
      <c r="BW5" s="63">
        <v>0</v>
      </c>
      <c r="BY5" s="60">
        <v>3</v>
      </c>
      <c r="BZ5" s="61">
        <v>0.2</v>
      </c>
      <c r="CA5" s="62">
        <f>+SUM($BZ$3:BZ5)</f>
        <v>0.84000000000000008</v>
      </c>
      <c r="CB5" s="58">
        <f t="shared" si="18"/>
        <v>300</v>
      </c>
      <c r="CC5" s="58">
        <f t="shared" si="19"/>
        <v>60</v>
      </c>
      <c r="CD5" s="63">
        <v>0</v>
      </c>
      <c r="CF5" s="60">
        <v>3</v>
      </c>
      <c r="CG5" s="61">
        <v>0.4</v>
      </c>
      <c r="CH5" s="62">
        <f>+SUM($CG$3:CG5)</f>
        <v>0.5</v>
      </c>
      <c r="CI5" s="58">
        <f t="shared" si="20"/>
        <v>300</v>
      </c>
      <c r="CJ5" s="58">
        <f t="shared" si="21"/>
        <v>120</v>
      </c>
      <c r="CK5" s="63">
        <v>0</v>
      </c>
      <c r="CM5" s="60">
        <v>3</v>
      </c>
      <c r="CN5" s="61">
        <f t="shared" si="26"/>
        <v>0.4</v>
      </c>
      <c r="CO5" s="62">
        <f>+SUM($CN$3:CN5)</f>
        <v>0.92</v>
      </c>
      <c r="CP5" s="83">
        <f t="shared" si="27"/>
        <v>300</v>
      </c>
      <c r="CQ5" s="58">
        <f t="shared" ref="CQ5:CQ9" si="31">+CN5*CP5</f>
        <v>120</v>
      </c>
      <c r="CR5" s="63">
        <v>0</v>
      </c>
      <c r="CT5" s="60">
        <v>3</v>
      </c>
      <c r="CU5" s="61">
        <f t="shared" si="28"/>
        <v>0.4</v>
      </c>
      <c r="CV5" s="62">
        <f>+SUM($CU$3:CU5)</f>
        <v>0.92</v>
      </c>
      <c r="CW5" s="84">
        <f t="shared" si="29"/>
        <v>600</v>
      </c>
      <c r="CX5" s="58">
        <f t="shared" ref="CX5:CX9" si="32">+CU5*CW5</f>
        <v>240</v>
      </c>
      <c r="CY5" s="63">
        <v>0</v>
      </c>
      <c r="DA5" s="60">
        <v>3</v>
      </c>
      <c r="DB5" s="61">
        <v>0.1</v>
      </c>
      <c r="DC5" s="62">
        <f>+SUM($DB$3:DB5)</f>
        <v>0.1</v>
      </c>
      <c r="DD5" s="83">
        <f t="shared" si="30"/>
        <v>300</v>
      </c>
      <c r="DE5" s="58">
        <f t="shared" ref="DE5:DE9" si="33">+DB5*DD5</f>
        <v>30</v>
      </c>
      <c r="DF5" s="63">
        <v>0</v>
      </c>
    </row>
    <row r="6" spans="1:110" x14ac:dyDescent="0.25">
      <c r="A6" s="80" t="s">
        <v>116</v>
      </c>
      <c r="B6" s="75">
        <f>+E6/D6</f>
        <v>1.8306636155606404E-2</v>
      </c>
      <c r="C6" s="3">
        <v>0</v>
      </c>
      <c r="D6" s="64">
        <f>+AF10</f>
        <v>546.25000000000011</v>
      </c>
      <c r="E6" s="3">
        <v>10</v>
      </c>
      <c r="G6" s="60">
        <v>4</v>
      </c>
      <c r="H6" s="61">
        <v>7.0000000000000007E-2</v>
      </c>
      <c r="I6" s="62">
        <f>+SUM($H$3:H6)</f>
        <v>0.99</v>
      </c>
      <c r="J6" s="50">
        <v>500</v>
      </c>
      <c r="K6" s="58">
        <f t="shared" si="0"/>
        <v>35</v>
      </c>
      <c r="L6" s="63">
        <v>0</v>
      </c>
      <c r="N6" s="60">
        <v>4</v>
      </c>
      <c r="O6" s="61">
        <v>0.13</v>
      </c>
      <c r="P6" s="62">
        <f>+SUM($O$3:O6)</f>
        <v>0.88</v>
      </c>
      <c r="Q6" s="58">
        <f t="shared" si="1"/>
        <v>500</v>
      </c>
      <c r="R6" s="58">
        <f t="shared" si="2"/>
        <v>65</v>
      </c>
      <c r="S6" s="63">
        <v>0</v>
      </c>
      <c r="U6" s="60">
        <v>4</v>
      </c>
      <c r="V6" s="61">
        <v>0.2</v>
      </c>
      <c r="W6" s="62">
        <f>+SUM($V$3:V6)</f>
        <v>0.83000000000000007</v>
      </c>
      <c r="X6" s="58">
        <f t="shared" si="3"/>
        <v>500</v>
      </c>
      <c r="Y6" s="58">
        <f t="shared" si="4"/>
        <v>100</v>
      </c>
      <c r="Z6" s="63">
        <v>0</v>
      </c>
      <c r="AB6" s="60">
        <v>4</v>
      </c>
      <c r="AC6" s="61">
        <v>0.23</v>
      </c>
      <c r="AD6" s="62">
        <f>+SUM($AC$3:AC6)</f>
        <v>0.83</v>
      </c>
      <c r="AE6" s="58">
        <f t="shared" si="5"/>
        <v>500</v>
      </c>
      <c r="AF6" s="58">
        <f t="shared" si="6"/>
        <v>115</v>
      </c>
      <c r="AG6" s="63">
        <v>0</v>
      </c>
      <c r="AI6" s="60">
        <v>4</v>
      </c>
      <c r="AJ6" s="61">
        <v>0</v>
      </c>
      <c r="AK6" s="62">
        <f>+SUM($AJ$3:AJ6)</f>
        <v>0</v>
      </c>
      <c r="AL6" s="58">
        <f t="shared" si="7"/>
        <v>500</v>
      </c>
      <c r="AM6" s="58">
        <f t="shared" si="8"/>
        <v>0</v>
      </c>
      <c r="AN6" s="63">
        <v>0</v>
      </c>
      <c r="AP6" s="60">
        <v>4</v>
      </c>
      <c r="AQ6" s="61">
        <f>1-SUM(AQ3:AQ5)</f>
        <v>0.25</v>
      </c>
      <c r="AR6" s="62">
        <f>+SUM($AQ$3:AQ6)</f>
        <v>1</v>
      </c>
      <c r="AS6" s="58">
        <f t="shared" si="9"/>
        <v>500</v>
      </c>
      <c r="AT6" s="58">
        <f t="shared" si="25"/>
        <v>125</v>
      </c>
      <c r="AU6" s="63">
        <v>0</v>
      </c>
      <c r="AW6" s="60">
        <v>4</v>
      </c>
      <c r="AX6" s="61">
        <v>0.3</v>
      </c>
      <c r="AY6" s="62">
        <f>+SUM($AX$3:AX6)</f>
        <v>0.85000000000000009</v>
      </c>
      <c r="AZ6" s="58">
        <f t="shared" si="10"/>
        <v>500</v>
      </c>
      <c r="BA6" s="58">
        <f t="shared" si="11"/>
        <v>150</v>
      </c>
      <c r="BB6" s="63">
        <v>0</v>
      </c>
      <c r="BD6" s="60">
        <v>4</v>
      </c>
      <c r="BE6" s="61">
        <v>0.18</v>
      </c>
      <c r="BF6" s="62">
        <f>+SUM($BE$3:BE6)</f>
        <v>0.73</v>
      </c>
      <c r="BG6" s="58">
        <f t="shared" si="12"/>
        <v>500</v>
      </c>
      <c r="BH6" s="58">
        <f t="shared" si="13"/>
        <v>90</v>
      </c>
      <c r="BI6" s="63">
        <v>0</v>
      </c>
      <c r="BK6" s="60">
        <v>4</v>
      </c>
      <c r="BL6" s="61">
        <v>0.15</v>
      </c>
      <c r="BM6" s="62">
        <f>+SUM($BL$3:BL6)</f>
        <v>0.82000000000000006</v>
      </c>
      <c r="BN6" s="58">
        <f t="shared" si="14"/>
        <v>500</v>
      </c>
      <c r="BO6" s="58">
        <f t="shared" si="15"/>
        <v>75</v>
      </c>
      <c r="BP6" s="63">
        <v>0</v>
      </c>
      <c r="BR6" s="60">
        <v>4</v>
      </c>
      <c r="BS6" s="61">
        <v>0.12</v>
      </c>
      <c r="BT6" s="62">
        <f>+SUM($BS$3:BS6)</f>
        <v>0.82</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7.0000000000000007E-2</v>
      </c>
      <c r="CO6" s="62">
        <f>+SUM($CN$3:CN6)</f>
        <v>0.99</v>
      </c>
      <c r="CP6" s="83">
        <f t="shared" si="27"/>
        <v>500</v>
      </c>
      <c r="CQ6" s="58">
        <f t="shared" si="31"/>
        <v>35</v>
      </c>
      <c r="CR6" s="63">
        <v>0</v>
      </c>
      <c r="CT6" s="60">
        <v>4</v>
      </c>
      <c r="CU6" s="61">
        <f t="shared" si="28"/>
        <v>7.0000000000000007E-2</v>
      </c>
      <c r="CV6" s="62">
        <f>+SUM($CU$3:CU6)</f>
        <v>0.99</v>
      </c>
      <c r="CW6" s="84">
        <f t="shared" si="29"/>
        <v>1000</v>
      </c>
      <c r="CX6" s="58">
        <f t="shared" si="32"/>
        <v>70</v>
      </c>
      <c r="CY6" s="63">
        <v>0</v>
      </c>
      <c r="DA6" s="60">
        <v>4</v>
      </c>
      <c r="DB6" s="61">
        <v>0.1</v>
      </c>
      <c r="DC6" s="62">
        <f>+SUM($DB$3:DB6)</f>
        <v>0.2</v>
      </c>
      <c r="DD6" s="83">
        <f t="shared" si="30"/>
        <v>500</v>
      </c>
      <c r="DE6" s="58">
        <f t="shared" si="33"/>
        <v>50</v>
      </c>
      <c r="DF6" s="63">
        <v>0</v>
      </c>
    </row>
    <row r="7" spans="1:110" x14ac:dyDescent="0.25">
      <c r="A7" s="75" t="s">
        <v>133</v>
      </c>
      <c r="B7" s="75">
        <f t="shared" ref="B7:B13" si="34">+E7/D7</f>
        <v>1.4814814814814821E-2</v>
      </c>
      <c r="C7" s="3">
        <v>0</v>
      </c>
      <c r="D7" s="64">
        <f>+AM10</f>
        <v>1349.9999999999995</v>
      </c>
      <c r="E7" s="3">
        <v>20</v>
      </c>
      <c r="G7" s="60">
        <v>5</v>
      </c>
      <c r="H7" s="61">
        <v>3.0000000000000001E-3</v>
      </c>
      <c r="I7" s="62">
        <f>+SUM($H$3:H7)</f>
        <v>0.99299999999999999</v>
      </c>
      <c r="J7" s="50">
        <v>1000</v>
      </c>
      <c r="K7" s="58">
        <f t="shared" si="0"/>
        <v>3</v>
      </c>
      <c r="L7" s="63">
        <v>0</v>
      </c>
      <c r="N7" s="60">
        <v>5</v>
      </c>
      <c r="O7" s="61">
        <v>7.0000000000000007E-2</v>
      </c>
      <c r="P7" s="62">
        <f>+SUM($O$3:O7)</f>
        <v>0.95</v>
      </c>
      <c r="Q7" s="58">
        <f t="shared" si="1"/>
        <v>1000</v>
      </c>
      <c r="R7" s="58">
        <f t="shared" si="2"/>
        <v>70</v>
      </c>
      <c r="S7" s="63">
        <v>0</v>
      </c>
      <c r="U7" s="60">
        <v>5</v>
      </c>
      <c r="V7" s="61">
        <v>0.09</v>
      </c>
      <c r="W7" s="62">
        <f>+SUM($V$3:V7)</f>
        <v>0.92</v>
      </c>
      <c r="X7" s="58">
        <f t="shared" si="3"/>
        <v>1000</v>
      </c>
      <c r="Y7" s="58">
        <f t="shared" si="4"/>
        <v>90</v>
      </c>
      <c r="Z7" s="63">
        <v>0</v>
      </c>
      <c r="AB7" s="60">
        <v>5</v>
      </c>
      <c r="AC7" s="61">
        <v>0.1</v>
      </c>
      <c r="AD7" s="62">
        <f>+SUM($AC$3:AC7)</f>
        <v>0.92999999999999994</v>
      </c>
      <c r="AE7" s="58">
        <f t="shared" si="5"/>
        <v>1000</v>
      </c>
      <c r="AF7" s="58">
        <f t="shared" si="6"/>
        <v>100</v>
      </c>
      <c r="AG7" s="63">
        <v>0</v>
      </c>
      <c r="AI7" s="60">
        <v>5</v>
      </c>
      <c r="AJ7" s="61">
        <v>0.8</v>
      </c>
      <c r="AK7" s="62">
        <f>+SUM($AJ$3:AJ7)</f>
        <v>0.8</v>
      </c>
      <c r="AL7" s="58">
        <f t="shared" si="7"/>
        <v>1000</v>
      </c>
      <c r="AM7" s="58">
        <f t="shared" si="8"/>
        <v>800</v>
      </c>
      <c r="AN7" s="63">
        <v>0</v>
      </c>
      <c r="AP7" s="60">
        <v>5</v>
      </c>
      <c r="AQ7" s="61">
        <v>0</v>
      </c>
      <c r="AR7" s="62">
        <f>+SUM($AQ$3:AQ7)</f>
        <v>1</v>
      </c>
      <c r="AS7" s="58">
        <f t="shared" si="9"/>
        <v>1000</v>
      </c>
      <c r="AT7" s="58">
        <f t="shared" si="25"/>
        <v>0</v>
      </c>
      <c r="AU7" s="63">
        <v>0</v>
      </c>
      <c r="AW7" s="60">
        <v>5</v>
      </c>
      <c r="AX7" s="61">
        <v>0.1</v>
      </c>
      <c r="AY7" s="62">
        <f>+SUM($AX$3:AX7)</f>
        <v>0.95000000000000007</v>
      </c>
      <c r="AZ7" s="58">
        <f t="shared" si="10"/>
        <v>1000</v>
      </c>
      <c r="BA7" s="58">
        <f t="shared" si="11"/>
        <v>100</v>
      </c>
      <c r="BB7" s="63">
        <v>0</v>
      </c>
      <c r="BD7" s="60">
        <v>5</v>
      </c>
      <c r="BE7" s="61">
        <v>0.15</v>
      </c>
      <c r="BF7" s="62">
        <f>+SUM($BE$3:BE7)</f>
        <v>0.88</v>
      </c>
      <c r="BG7" s="58">
        <f t="shared" si="12"/>
        <v>1000</v>
      </c>
      <c r="BH7" s="58">
        <f t="shared" si="13"/>
        <v>150</v>
      </c>
      <c r="BI7" s="63">
        <v>0</v>
      </c>
      <c r="BK7" s="60">
        <v>5</v>
      </c>
      <c r="BL7" s="61">
        <v>0.08</v>
      </c>
      <c r="BM7" s="62">
        <f>+SUM($BL$3:BL7)</f>
        <v>0.9</v>
      </c>
      <c r="BN7" s="58">
        <f t="shared" si="14"/>
        <v>1000</v>
      </c>
      <c r="BO7" s="58">
        <f t="shared" si="15"/>
        <v>80</v>
      </c>
      <c r="BP7" s="63">
        <v>0</v>
      </c>
      <c r="BR7" s="60">
        <v>5</v>
      </c>
      <c r="BS7" s="61">
        <v>7.0000000000000007E-2</v>
      </c>
      <c r="BT7" s="62">
        <f>+SUM($BS$3:BS7)</f>
        <v>0.8899999999999999</v>
      </c>
      <c r="BU7" s="58">
        <f t="shared" si="16"/>
        <v>1000</v>
      </c>
      <c r="BV7" s="58">
        <f t="shared" si="17"/>
        <v>70</v>
      </c>
      <c r="BW7" s="63">
        <v>0</v>
      </c>
      <c r="BY7" s="60">
        <v>5</v>
      </c>
      <c r="BZ7" s="61">
        <v>0.02</v>
      </c>
      <c r="CA7" s="62">
        <f>+SUM($BZ$3:BZ7)</f>
        <v>0.96000000000000008</v>
      </c>
      <c r="CB7" s="58">
        <f t="shared" si="18"/>
        <v>1000</v>
      </c>
      <c r="CC7" s="58">
        <f t="shared" si="19"/>
        <v>20</v>
      </c>
      <c r="CD7" s="63">
        <v>0</v>
      </c>
      <c r="CF7" s="60">
        <v>5</v>
      </c>
      <c r="CG7" s="61">
        <v>0.1</v>
      </c>
      <c r="CH7" s="62">
        <f>+SUM($CG$3:CG7)</f>
        <v>0.95</v>
      </c>
      <c r="CI7" s="58">
        <f t="shared" si="20"/>
        <v>1000</v>
      </c>
      <c r="CJ7" s="58">
        <f t="shared" si="21"/>
        <v>100</v>
      </c>
      <c r="CK7" s="63">
        <v>0</v>
      </c>
      <c r="CM7" s="60">
        <v>5</v>
      </c>
      <c r="CN7" s="61">
        <f t="shared" si="26"/>
        <v>3.0000000000000001E-3</v>
      </c>
      <c r="CO7" s="62">
        <f>+SUM($CN$3:CN7)</f>
        <v>0.99299999999999999</v>
      </c>
      <c r="CP7" s="83">
        <f t="shared" si="27"/>
        <v>1000</v>
      </c>
      <c r="CQ7" s="58">
        <f t="shared" si="31"/>
        <v>3</v>
      </c>
      <c r="CR7" s="63">
        <v>0</v>
      </c>
      <c r="CT7" s="60">
        <v>5</v>
      </c>
      <c r="CU7" s="61">
        <f t="shared" si="28"/>
        <v>3.0000000000000001E-3</v>
      </c>
      <c r="CV7" s="62">
        <f>+SUM($CU$3:CU7)</f>
        <v>0.99299999999999999</v>
      </c>
      <c r="CW7" s="84">
        <f t="shared" si="29"/>
        <v>2000</v>
      </c>
      <c r="CX7" s="58">
        <f t="shared" si="32"/>
        <v>6</v>
      </c>
      <c r="CY7" s="63">
        <v>0</v>
      </c>
      <c r="DA7" s="60">
        <v>5</v>
      </c>
      <c r="DB7" s="61">
        <v>0.35</v>
      </c>
      <c r="DC7" s="62">
        <f>+SUM($DB$3:DB7)</f>
        <v>0.55000000000000004</v>
      </c>
      <c r="DD7" s="83">
        <f t="shared" si="30"/>
        <v>1000</v>
      </c>
      <c r="DE7" s="58">
        <f t="shared" si="33"/>
        <v>350</v>
      </c>
      <c r="DF7" s="63">
        <v>0</v>
      </c>
    </row>
    <row r="8" spans="1:110" x14ac:dyDescent="0.25">
      <c r="A8" s="75" t="s">
        <v>134</v>
      </c>
      <c r="B8" s="75">
        <f>+E8/D8</f>
        <v>7.9207920792079209E-3</v>
      </c>
      <c r="C8" s="3">
        <v>0</v>
      </c>
      <c r="D8" s="64">
        <f>+AT10</f>
        <v>252.5</v>
      </c>
      <c r="E8" s="3">
        <v>2</v>
      </c>
      <c r="G8" s="60">
        <v>6</v>
      </c>
      <c r="H8" s="61">
        <v>1E-3</v>
      </c>
      <c r="I8" s="62">
        <f>+SUM($H$3:H8)</f>
        <v>0.99399999999999999</v>
      </c>
      <c r="J8" s="50">
        <v>2000</v>
      </c>
      <c r="K8" s="58">
        <f t="shared" si="0"/>
        <v>2</v>
      </c>
      <c r="L8" s="63">
        <v>0</v>
      </c>
      <c r="N8" s="60">
        <v>6</v>
      </c>
      <c r="O8" s="61">
        <v>0.04</v>
      </c>
      <c r="P8" s="62">
        <f>+SUM($O$3:O8)</f>
        <v>0.99</v>
      </c>
      <c r="Q8" s="58">
        <f t="shared" si="1"/>
        <v>2000</v>
      </c>
      <c r="R8" s="58">
        <f t="shared" si="2"/>
        <v>80</v>
      </c>
      <c r="S8" s="63">
        <v>0</v>
      </c>
      <c r="U8" s="60">
        <v>6</v>
      </c>
      <c r="V8" s="61">
        <v>0.06</v>
      </c>
      <c r="W8" s="62">
        <f>+SUM($V$3:V8)</f>
        <v>0.98</v>
      </c>
      <c r="X8" s="58">
        <f t="shared" si="3"/>
        <v>2000</v>
      </c>
      <c r="Y8" s="58">
        <f t="shared" si="4"/>
        <v>120</v>
      </c>
      <c r="Z8" s="63">
        <v>0</v>
      </c>
      <c r="AB8" s="60">
        <v>6</v>
      </c>
      <c r="AC8" s="61">
        <v>0.05</v>
      </c>
      <c r="AD8" s="62">
        <f>+SUM($AC$3:AC8)</f>
        <v>0.98</v>
      </c>
      <c r="AE8" s="58">
        <f t="shared" si="5"/>
        <v>2000</v>
      </c>
      <c r="AF8" s="58">
        <f t="shared" si="6"/>
        <v>100</v>
      </c>
      <c r="AG8" s="63">
        <v>0</v>
      </c>
      <c r="AI8" s="60">
        <v>6</v>
      </c>
      <c r="AJ8" s="61">
        <v>0.15</v>
      </c>
      <c r="AK8" s="62">
        <f>+SUM($AJ$3:AJ8)</f>
        <v>0.95000000000000007</v>
      </c>
      <c r="AL8" s="58">
        <f t="shared" si="7"/>
        <v>2000</v>
      </c>
      <c r="AM8" s="58">
        <f t="shared" si="8"/>
        <v>300</v>
      </c>
      <c r="AN8" s="63">
        <v>0</v>
      </c>
      <c r="AP8" s="60">
        <v>6</v>
      </c>
      <c r="AQ8" s="61">
        <v>0</v>
      </c>
      <c r="AR8" s="62">
        <f>+SUM($AQ$3:AQ8)</f>
        <v>1</v>
      </c>
      <c r="AS8" s="58">
        <f t="shared" si="9"/>
        <v>2000</v>
      </c>
      <c r="AT8" s="58">
        <f t="shared" si="25"/>
        <v>0</v>
      </c>
      <c r="AU8" s="63">
        <v>0</v>
      </c>
      <c r="AW8" s="60">
        <v>6</v>
      </c>
      <c r="AX8" s="61">
        <v>0.03</v>
      </c>
      <c r="AY8" s="62">
        <f>+SUM($AX$3:AX8)</f>
        <v>0.98000000000000009</v>
      </c>
      <c r="AZ8" s="58">
        <f t="shared" si="10"/>
        <v>2000</v>
      </c>
      <c r="BA8" s="58">
        <f t="shared" si="11"/>
        <v>60</v>
      </c>
      <c r="BB8" s="63">
        <v>0</v>
      </c>
      <c r="BD8" s="60">
        <v>6</v>
      </c>
      <c r="BE8" s="61">
        <v>0.08</v>
      </c>
      <c r="BF8" s="62">
        <f>+SUM($BE$3:BE8)</f>
        <v>0.96</v>
      </c>
      <c r="BG8" s="58">
        <f t="shared" si="12"/>
        <v>2000</v>
      </c>
      <c r="BH8" s="58">
        <f t="shared" si="13"/>
        <v>160</v>
      </c>
      <c r="BI8" s="63">
        <v>0</v>
      </c>
      <c r="BK8" s="60">
        <v>6</v>
      </c>
      <c r="BL8" s="61">
        <v>0.05</v>
      </c>
      <c r="BM8" s="62">
        <f>+SUM($BL$3:BL8)</f>
        <v>0.95000000000000007</v>
      </c>
      <c r="BN8" s="58">
        <f t="shared" si="14"/>
        <v>2000</v>
      </c>
      <c r="BO8" s="58">
        <f t="shared" si="15"/>
        <v>100</v>
      </c>
      <c r="BP8" s="63">
        <v>0</v>
      </c>
      <c r="BR8" s="60">
        <v>6</v>
      </c>
      <c r="BS8" s="61">
        <v>0.06</v>
      </c>
      <c r="BT8" s="62">
        <f>+SUM($BS$3:BS8)</f>
        <v>0.95</v>
      </c>
      <c r="BU8" s="58">
        <f t="shared" si="16"/>
        <v>2000</v>
      </c>
      <c r="BV8" s="58">
        <f t="shared" si="17"/>
        <v>120</v>
      </c>
      <c r="BW8" s="63">
        <v>0</v>
      </c>
      <c r="BY8" s="60">
        <v>6</v>
      </c>
      <c r="BZ8" s="61">
        <v>0.03</v>
      </c>
      <c r="CA8" s="62">
        <f>+SUM($BZ$3:BZ8)</f>
        <v>0.9900000000000001</v>
      </c>
      <c r="CB8" s="58">
        <f t="shared" si="18"/>
        <v>2000</v>
      </c>
      <c r="CC8" s="58">
        <f t="shared" si="19"/>
        <v>60</v>
      </c>
      <c r="CD8" s="63">
        <v>0</v>
      </c>
      <c r="CF8" s="60">
        <v>6</v>
      </c>
      <c r="CG8" s="61">
        <v>0.03</v>
      </c>
      <c r="CH8" s="62">
        <f>+SUM($CG$3:CG8)</f>
        <v>0.98</v>
      </c>
      <c r="CI8" s="58">
        <f t="shared" si="20"/>
        <v>2000</v>
      </c>
      <c r="CJ8" s="58">
        <f t="shared" si="21"/>
        <v>60</v>
      </c>
      <c r="CK8" s="63">
        <v>0</v>
      </c>
      <c r="CM8" s="60">
        <v>6</v>
      </c>
      <c r="CN8" s="61">
        <f t="shared" si="26"/>
        <v>1E-3</v>
      </c>
      <c r="CO8" s="62">
        <f>+SUM($CN$3:CN8)</f>
        <v>0.99399999999999999</v>
      </c>
      <c r="CP8" s="83">
        <f t="shared" si="27"/>
        <v>2000</v>
      </c>
      <c r="CQ8" s="58">
        <f t="shared" si="31"/>
        <v>2</v>
      </c>
      <c r="CR8" s="63">
        <v>0</v>
      </c>
      <c r="CT8" s="60">
        <v>6</v>
      </c>
      <c r="CU8" s="61">
        <f t="shared" si="28"/>
        <v>1E-3</v>
      </c>
      <c r="CV8" s="62">
        <f>+SUM($CU$3:CU8)</f>
        <v>0.99399999999999999</v>
      </c>
      <c r="CW8" s="84">
        <f t="shared" si="29"/>
        <v>4000</v>
      </c>
      <c r="CX8" s="58">
        <f t="shared" si="32"/>
        <v>4</v>
      </c>
      <c r="CY8" s="63">
        <v>0</v>
      </c>
      <c r="DA8" s="60">
        <v>6</v>
      </c>
      <c r="DB8" s="61">
        <v>0.4</v>
      </c>
      <c r="DC8" s="62">
        <f>+SUM($DB$3:DB8)</f>
        <v>0.95000000000000007</v>
      </c>
      <c r="DD8" s="83">
        <f t="shared" si="30"/>
        <v>2000</v>
      </c>
      <c r="DE8" s="58">
        <f t="shared" si="33"/>
        <v>800</v>
      </c>
      <c r="DF8" s="63">
        <v>0</v>
      </c>
    </row>
    <row r="9" spans="1:110" x14ac:dyDescent="0.25">
      <c r="A9" s="75" t="s">
        <v>135</v>
      </c>
      <c r="B9" s="75">
        <f t="shared" si="34"/>
        <v>1.8735362997658097E-2</v>
      </c>
      <c r="C9" s="3">
        <v>0</v>
      </c>
      <c r="D9" s="64">
        <f>+BA10</f>
        <v>533.74999999999955</v>
      </c>
      <c r="E9" s="3">
        <v>10</v>
      </c>
      <c r="G9" s="60">
        <v>7</v>
      </c>
      <c r="H9" s="66">
        <f>1-SUM(H3:H8)</f>
        <v>6.0000000000000053E-3</v>
      </c>
      <c r="I9" s="62">
        <f>+SUM($H$3:H9)</f>
        <v>1</v>
      </c>
      <c r="J9" s="50">
        <v>5000</v>
      </c>
      <c r="K9" s="58">
        <f t="shared" si="0"/>
        <v>30.000000000000028</v>
      </c>
      <c r="L9" s="63">
        <v>0</v>
      </c>
      <c r="N9" s="60">
        <v>7</v>
      </c>
      <c r="O9" s="66">
        <f>1-SUM(O3:O8)</f>
        <v>1.0000000000000009E-2</v>
      </c>
      <c r="P9" s="62">
        <f>+SUM($O$3:O9)</f>
        <v>1</v>
      </c>
      <c r="Q9" s="58">
        <f t="shared" si="1"/>
        <v>5000</v>
      </c>
      <c r="R9" s="58">
        <f t="shared" si="2"/>
        <v>50.000000000000043</v>
      </c>
      <c r="S9" s="63">
        <v>0</v>
      </c>
      <c r="U9" s="60">
        <v>7</v>
      </c>
      <c r="V9" s="66">
        <f>1-SUM(V3:V8)</f>
        <v>2.0000000000000018E-2</v>
      </c>
      <c r="W9" s="62">
        <f>+SUM($V$3:V9)</f>
        <v>1</v>
      </c>
      <c r="X9" s="58">
        <f t="shared" si="3"/>
        <v>5000</v>
      </c>
      <c r="Y9" s="58">
        <f t="shared" si="4"/>
        <v>100.00000000000009</v>
      </c>
      <c r="Z9" s="63">
        <v>0</v>
      </c>
      <c r="AB9" s="60">
        <v>7</v>
      </c>
      <c r="AC9" s="66">
        <f>1-SUM(AC3:AC8)</f>
        <v>2.0000000000000018E-2</v>
      </c>
      <c r="AD9" s="62">
        <f>+SUM($AC$3:AC9)</f>
        <v>1</v>
      </c>
      <c r="AE9" s="58">
        <f t="shared" si="5"/>
        <v>5000</v>
      </c>
      <c r="AF9" s="58">
        <f t="shared" si="6"/>
        <v>100.00000000000009</v>
      </c>
      <c r="AG9" s="63">
        <v>0</v>
      </c>
      <c r="AI9" s="60">
        <v>7</v>
      </c>
      <c r="AJ9" s="66">
        <f>1-SUM(AJ3:AJ8)</f>
        <v>4.9999999999999933E-2</v>
      </c>
      <c r="AK9" s="62">
        <f>+SUM($AJ$3:AJ9)</f>
        <v>1</v>
      </c>
      <c r="AL9" s="58">
        <f t="shared" si="7"/>
        <v>5000</v>
      </c>
      <c r="AM9" s="58">
        <f t="shared" si="8"/>
        <v>249.99999999999966</v>
      </c>
      <c r="AN9" s="63">
        <v>0</v>
      </c>
      <c r="AP9" s="60">
        <v>7</v>
      </c>
      <c r="AQ9" s="66">
        <v>0</v>
      </c>
      <c r="AR9" s="62">
        <f>+SUM($AQ$3:AQ9)</f>
        <v>1</v>
      </c>
      <c r="AS9" s="58">
        <f t="shared" si="9"/>
        <v>5000</v>
      </c>
      <c r="AT9" s="58">
        <f t="shared" si="25"/>
        <v>0</v>
      </c>
      <c r="AU9" s="63">
        <v>0</v>
      </c>
      <c r="AW9" s="60">
        <v>7</v>
      </c>
      <c r="AX9" s="66">
        <f>1-SUM(AX3:AX8)</f>
        <v>1.9999999999999907E-2</v>
      </c>
      <c r="AY9" s="62">
        <f>+SUM($AX$3:AX9)</f>
        <v>1</v>
      </c>
      <c r="AZ9" s="58">
        <f t="shared" si="10"/>
        <v>5000</v>
      </c>
      <c r="BA9" s="58">
        <f t="shared" si="11"/>
        <v>99.999999999999531</v>
      </c>
      <c r="BB9" s="63">
        <v>0</v>
      </c>
      <c r="BD9" s="60">
        <v>7</v>
      </c>
      <c r="BE9" s="66">
        <f>1-SUM(BE3:BE8)</f>
        <v>4.0000000000000036E-2</v>
      </c>
      <c r="BF9" s="62">
        <f>+SUM($BE$3:BE9)</f>
        <v>1</v>
      </c>
      <c r="BG9" s="58">
        <f t="shared" si="12"/>
        <v>5000</v>
      </c>
      <c r="BH9" s="58">
        <f t="shared" si="13"/>
        <v>200.00000000000017</v>
      </c>
      <c r="BI9" s="63">
        <v>0</v>
      </c>
      <c r="BK9" s="60">
        <v>7</v>
      </c>
      <c r="BL9" s="66">
        <f>1-SUM(BL3:BL8)</f>
        <v>4.9999999999999933E-2</v>
      </c>
      <c r="BM9" s="62">
        <f>+SUM($BL$3:BL9)</f>
        <v>1</v>
      </c>
      <c r="BN9" s="58">
        <f t="shared" si="14"/>
        <v>5000</v>
      </c>
      <c r="BO9" s="58">
        <f t="shared" si="15"/>
        <v>249.99999999999966</v>
      </c>
      <c r="BP9" s="63">
        <v>0</v>
      </c>
      <c r="BR9" s="60">
        <v>7</v>
      </c>
      <c r="BS9" s="66">
        <f>1-SUM(BS3:BS8)</f>
        <v>5.0000000000000044E-2</v>
      </c>
      <c r="BT9" s="62">
        <f>+SUM($BS$3:BS9)</f>
        <v>1</v>
      </c>
      <c r="BU9" s="58">
        <f t="shared" si="16"/>
        <v>5000</v>
      </c>
      <c r="BV9" s="58">
        <f t="shared" si="17"/>
        <v>250.00000000000023</v>
      </c>
      <c r="BW9" s="63">
        <v>0</v>
      </c>
      <c r="BY9" s="60">
        <v>7</v>
      </c>
      <c r="BZ9" s="66">
        <f>1-SUM(BZ3:BZ8)</f>
        <v>9.9999999999998979E-3</v>
      </c>
      <c r="CA9" s="62">
        <f>+SUM($BZ$3:BZ9)</f>
        <v>1</v>
      </c>
      <c r="CB9" s="58">
        <f t="shared" si="18"/>
        <v>5000</v>
      </c>
      <c r="CC9" s="58">
        <f t="shared" si="19"/>
        <v>49.999999999999488</v>
      </c>
      <c r="CD9" s="63">
        <v>0</v>
      </c>
      <c r="CF9" s="60">
        <v>7</v>
      </c>
      <c r="CG9" s="66">
        <f>1-SUM(CG3:CG8)</f>
        <v>2.0000000000000018E-2</v>
      </c>
      <c r="CH9" s="62">
        <f>+SUM($CG$3:CG9)</f>
        <v>1</v>
      </c>
      <c r="CI9" s="58">
        <f t="shared" si="20"/>
        <v>5000</v>
      </c>
      <c r="CJ9" s="58">
        <f t="shared" si="21"/>
        <v>100.00000000000009</v>
      </c>
      <c r="CK9" s="63">
        <v>0</v>
      </c>
      <c r="CM9" s="60">
        <v>7</v>
      </c>
      <c r="CN9" s="66">
        <f>1-SUM(CN3:CN8)</f>
        <v>6.0000000000000053E-3</v>
      </c>
      <c r="CO9" s="62">
        <f>+SUM($CN$3:CN9)</f>
        <v>1</v>
      </c>
      <c r="CP9" s="83">
        <f t="shared" si="27"/>
        <v>5000</v>
      </c>
      <c r="CQ9" s="58">
        <f t="shared" si="31"/>
        <v>30.000000000000028</v>
      </c>
      <c r="CR9" s="63">
        <v>0</v>
      </c>
      <c r="CT9" s="60">
        <v>7</v>
      </c>
      <c r="CU9" s="66">
        <f>1-SUM(CU3:CU8)</f>
        <v>6.0000000000000053E-3</v>
      </c>
      <c r="CV9" s="62">
        <f>+SUM($CU$3:CU9)</f>
        <v>1</v>
      </c>
      <c r="CW9" s="84">
        <f t="shared" si="29"/>
        <v>10000</v>
      </c>
      <c r="CX9" s="58">
        <f t="shared" si="32"/>
        <v>60.000000000000057</v>
      </c>
      <c r="CY9" s="63">
        <v>0</v>
      </c>
      <c r="DA9" s="60">
        <v>7</v>
      </c>
      <c r="DB9" s="66">
        <f>1-SUM(DB3:DB8)</f>
        <v>4.9999999999999933E-2</v>
      </c>
      <c r="DC9" s="62">
        <f>+SUM($DB$3:DB9)</f>
        <v>1</v>
      </c>
      <c r="DD9" s="83">
        <f t="shared" si="30"/>
        <v>5000</v>
      </c>
      <c r="DE9" s="58">
        <f t="shared" si="33"/>
        <v>249.99999999999966</v>
      </c>
      <c r="DF9" s="63">
        <v>0</v>
      </c>
    </row>
    <row r="10" spans="1:110" x14ac:dyDescent="0.25">
      <c r="A10" s="75" t="s">
        <v>136</v>
      </c>
      <c r="B10" s="75">
        <f t="shared" si="34"/>
        <v>1.5536723163841804E-2</v>
      </c>
      <c r="C10" s="3">
        <v>0</v>
      </c>
      <c r="D10" s="64">
        <f>+BH10</f>
        <v>708.00000000000023</v>
      </c>
      <c r="E10" s="3">
        <v>11</v>
      </c>
      <c r="G10" s="50" t="s">
        <v>71</v>
      </c>
      <c r="H10" s="50">
        <f>+SUM(H3:H9)</f>
        <v>1</v>
      </c>
      <c r="I10" s="50"/>
      <c r="J10" s="50"/>
      <c r="K10" s="51">
        <f>+SUM(K3:K9)</f>
        <v>253.00000000000003</v>
      </c>
      <c r="L10" s="51"/>
      <c r="N10" s="50" t="s">
        <v>71</v>
      </c>
      <c r="O10" s="50">
        <f>+SUM(O3:O9)</f>
        <v>1</v>
      </c>
      <c r="P10" s="50"/>
      <c r="Q10" s="50"/>
      <c r="R10" s="51">
        <f>+SUM(R3:R9)</f>
        <v>430.00000000000006</v>
      </c>
      <c r="S10" s="51"/>
      <c r="U10" s="50" t="s">
        <v>71</v>
      </c>
      <c r="V10" s="50">
        <f>+SUM(V3:V9)</f>
        <v>1</v>
      </c>
      <c r="W10" s="50"/>
      <c r="X10" s="50"/>
      <c r="Y10" s="51">
        <f>+SUM(Y3:Y9)</f>
        <v>520.25000000000011</v>
      </c>
      <c r="Z10" s="51"/>
      <c r="AB10" s="50" t="s">
        <v>71</v>
      </c>
      <c r="AC10" s="50">
        <f>+SUM(AC3:AC9)</f>
        <v>1</v>
      </c>
      <c r="AD10" s="50"/>
      <c r="AE10" s="50"/>
      <c r="AF10" s="51">
        <f>+SUM(AF3:AF9)</f>
        <v>546.25000000000011</v>
      </c>
      <c r="AG10" s="51"/>
      <c r="AI10" s="50" t="s">
        <v>71</v>
      </c>
      <c r="AJ10" s="50">
        <f>+SUM(AJ3:AJ9)</f>
        <v>1</v>
      </c>
      <c r="AK10" s="50"/>
      <c r="AL10" s="50"/>
      <c r="AM10" s="81">
        <f>+SUM(AM3:AM9)</f>
        <v>1349.9999999999995</v>
      </c>
      <c r="AN10" s="51"/>
      <c r="AP10" s="50" t="s">
        <v>71</v>
      </c>
      <c r="AQ10" s="50">
        <f>+SUM(AQ3:AQ9)</f>
        <v>1</v>
      </c>
      <c r="AR10" s="50"/>
      <c r="AS10" s="50"/>
      <c r="AT10" s="51">
        <f>+SUM(AT3:AT9)</f>
        <v>252.5</v>
      </c>
      <c r="AU10" s="51"/>
      <c r="AW10" s="50" t="s">
        <v>71</v>
      </c>
      <c r="AX10" s="50">
        <f>+SUM(AX3:AX9)</f>
        <v>1</v>
      </c>
      <c r="AY10" s="50"/>
      <c r="AZ10" s="50"/>
      <c r="BA10" s="51">
        <f>+SUM(BA3:BA9)</f>
        <v>533.74999999999955</v>
      </c>
      <c r="BB10" s="51"/>
      <c r="BD10" s="50" t="s">
        <v>71</v>
      </c>
      <c r="BE10" s="50">
        <f>+SUM(BE3:BE9)</f>
        <v>1</v>
      </c>
      <c r="BF10" s="50"/>
      <c r="BG10" s="50"/>
      <c r="BH10" s="51">
        <f>+SUM(BH3:BH9)</f>
        <v>708.00000000000023</v>
      </c>
      <c r="BI10" s="51"/>
      <c r="BK10" s="50" t="s">
        <v>71</v>
      </c>
      <c r="BL10" s="50">
        <f>+SUM(BL3:BL9)</f>
        <v>1</v>
      </c>
      <c r="BM10" s="50"/>
      <c r="BN10" s="50"/>
      <c r="BO10" s="51">
        <f>+SUM(BO3:BO9)</f>
        <v>612.24999999999966</v>
      </c>
      <c r="BP10" s="51"/>
      <c r="BR10" s="50" t="s">
        <v>71</v>
      </c>
      <c r="BS10" s="50">
        <f>+SUM(BS3:BS9)</f>
        <v>1</v>
      </c>
      <c r="BT10" s="50"/>
      <c r="BU10" s="50"/>
      <c r="BV10" s="51">
        <f>+SUM(BV3:BV9)</f>
        <v>612.50000000000023</v>
      </c>
      <c r="BW10" s="51"/>
      <c r="BY10" s="50" t="s">
        <v>71</v>
      </c>
      <c r="BZ10" s="50">
        <f>+SUM(BZ3:BZ9)</f>
        <v>1</v>
      </c>
      <c r="CA10" s="50"/>
      <c r="CB10" s="50"/>
      <c r="CC10" s="51">
        <f>+SUM(CC3:CC9)</f>
        <v>310.49999999999949</v>
      </c>
      <c r="CD10" s="51"/>
      <c r="CF10" s="50" t="s">
        <v>71</v>
      </c>
      <c r="CG10" s="50">
        <f>+SUM(CG3:CG9)</f>
        <v>1</v>
      </c>
      <c r="CH10" s="50"/>
      <c r="CI10" s="50"/>
      <c r="CJ10" s="51">
        <f>+SUM(CJ3:CJ9)</f>
        <v>570.00000000000011</v>
      </c>
      <c r="CK10" s="51"/>
      <c r="CM10" s="50" t="s">
        <v>71</v>
      </c>
      <c r="CN10" s="50">
        <f>+SUM(CN3:CN9)</f>
        <v>1</v>
      </c>
      <c r="CO10" s="50"/>
      <c r="CP10" s="50"/>
      <c r="CQ10" s="51">
        <f>+SUM(CQ3:CQ9)</f>
        <v>253.00000000000003</v>
      </c>
      <c r="CR10" s="51"/>
      <c r="CT10" s="50" t="s">
        <v>71</v>
      </c>
      <c r="CU10" s="50">
        <f>+SUM(CU3:CU9)</f>
        <v>1</v>
      </c>
      <c r="CV10" s="50"/>
      <c r="CW10" s="50"/>
      <c r="CX10" s="51">
        <f>+SUM(CX3:CX9)</f>
        <v>506.00000000000006</v>
      </c>
      <c r="CY10" s="51"/>
      <c r="DA10" s="50" t="s">
        <v>71</v>
      </c>
      <c r="DB10" s="50">
        <f>+SUM(DB3:DB9)</f>
        <v>1</v>
      </c>
      <c r="DC10" s="50"/>
      <c r="DD10" s="50"/>
      <c r="DE10" s="51">
        <f>+SUM(DE3:DE9)</f>
        <v>1479.9999999999995</v>
      </c>
      <c r="DF10" s="51"/>
    </row>
    <row r="11" spans="1:110" x14ac:dyDescent="0.25">
      <c r="A11" s="75" t="s">
        <v>137</v>
      </c>
      <c r="B11" s="75">
        <f t="shared" si="34"/>
        <v>1.7966516945692131E-2</v>
      </c>
      <c r="C11" s="3">
        <v>0</v>
      </c>
      <c r="D11" s="64">
        <f>+BO10</f>
        <v>612.24999999999966</v>
      </c>
      <c r="E11" s="3">
        <v>11</v>
      </c>
    </row>
    <row r="12" spans="1:110" x14ac:dyDescent="0.25">
      <c r="A12" s="75" t="s">
        <v>138</v>
      </c>
      <c r="B12" s="75">
        <f t="shared" si="34"/>
        <v>1.6326530612244892E-2</v>
      </c>
      <c r="C12" s="3">
        <v>0</v>
      </c>
      <c r="D12" s="64">
        <f>+BV10</f>
        <v>612.50000000000023</v>
      </c>
      <c r="E12" s="3">
        <v>10</v>
      </c>
    </row>
    <row r="13" spans="1:110" x14ac:dyDescent="0.25">
      <c r="A13" s="85" t="s">
        <v>171</v>
      </c>
      <c r="B13" s="75">
        <f t="shared" si="34"/>
        <v>5.3301127214170777E-3</v>
      </c>
      <c r="C13" s="3">
        <f>1/B13/Summary!$C$7</f>
        <v>0.18761329305135921</v>
      </c>
      <c r="D13" s="64">
        <f>+CC10</f>
        <v>310.49999999999949</v>
      </c>
      <c r="E13" s="3">
        <f>1+E3</f>
        <v>1.655</v>
      </c>
    </row>
    <row r="14" spans="1:110" x14ac:dyDescent="0.25">
      <c r="A14" s="85" t="s">
        <v>166</v>
      </c>
      <c r="B14" s="58">
        <f>+E14/D14</f>
        <v>5.1778656126482206E-3</v>
      </c>
      <c r="C14" s="3">
        <f>1/B14/Summary!$C$7</f>
        <v>0.19312977099236645</v>
      </c>
      <c r="D14" s="86">
        <f>+CQ10</f>
        <v>253.00000000000003</v>
      </c>
      <c r="E14" s="3">
        <f>+E3*2</f>
        <v>1.31</v>
      </c>
    </row>
    <row r="15" spans="1:110" x14ac:dyDescent="0.25">
      <c r="A15" s="85" t="s">
        <v>167</v>
      </c>
      <c r="B15" s="58">
        <f>+E15/D15</f>
        <v>2.5889328063241103E-3</v>
      </c>
      <c r="C15" s="3">
        <f>1/B15/Summary!$C$7</f>
        <v>0.38625954198473289</v>
      </c>
      <c r="D15" s="86">
        <f>+CX10</f>
        <v>506.00000000000006</v>
      </c>
      <c r="E15" s="3">
        <f>+E14</f>
        <v>1.31</v>
      </c>
    </row>
    <row r="16" spans="1:110" x14ac:dyDescent="0.25">
      <c r="A16" s="75" t="s">
        <v>165</v>
      </c>
      <c r="B16" s="58">
        <f>+E16/D16</f>
        <v>1.3513513513513518E-2</v>
      </c>
      <c r="C16" s="3">
        <v>0</v>
      </c>
      <c r="D16" s="86">
        <f>+DE10</f>
        <v>1479.9999999999995</v>
      </c>
      <c r="E16" s="3">
        <v>20</v>
      </c>
    </row>
    <row r="17" spans="1:5" x14ac:dyDescent="0.25">
      <c r="A17" s="80" t="s">
        <v>117</v>
      </c>
      <c r="B17" s="75">
        <f>+E17/D17</f>
        <v>8.7719298245614016E-2</v>
      </c>
      <c r="C17" s="3">
        <v>0</v>
      </c>
      <c r="D17" s="64">
        <f>+CJ10</f>
        <v>570.00000000000011</v>
      </c>
      <c r="E17" s="3">
        <v>50</v>
      </c>
    </row>
    <row r="18" spans="1:5" x14ac:dyDescent="0.25">
      <c r="A18" s="3" t="s">
        <v>118</v>
      </c>
      <c r="B18" s="65" t="str">
        <f>+CONCATENATE("x",J3," - x",J9)</f>
        <v>x75 - x5000</v>
      </c>
    </row>
    <row r="20" spans="1:5" x14ac:dyDescent="0.25">
      <c r="A20" t="s">
        <v>172</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H3:H9 O3:O9 CG3:CG9 V3:V9 AC3:AC9 AJ3:AJ9 AQ3:AQ9 AX3:AX9 BZ3:BZ9 BE3:BE9 BL3:BL9 BS3:BS9">
    <cfRule type="cellIs" priority="138" operator="lessThan">
      <formula>0</formula>
    </cfRule>
    <cfRule type="cellIs" priority="139" operator="greaterThan">
      <formula>1</formula>
    </cfRule>
  </conditionalFormatting>
  <conditionalFormatting sqref="H3:H9 O3:O9 CG3:CG9 V3:V9 AC3:AC9 AJ3:AJ9 AQ3:AQ9 AX3:AX9 BZ3:BZ9 BE3:BE9 BL3:BL9 BS3:BS9">
    <cfRule type="cellIs" priority="137" operator="equal">
      <formula>0</formula>
    </cfRule>
  </conditionalFormatting>
  <conditionalFormatting sqref="B3:B17">
    <cfRule type="cellIs" priority="135" operator="greaterThan">
      <formula>1</formula>
    </cfRule>
    <cfRule type="cellIs" priority="136" operator="lessThan">
      <formula>0</formula>
    </cfRule>
  </conditionalFormatting>
  <conditionalFormatting sqref="H3:H9 O3:O9 V3:V9 AC3:AC9">
    <cfRule type="cellIs" priority="133" operator="lessThan">
      <formula>0</formula>
    </cfRule>
    <cfRule type="cellIs" priority="134" operator="greaterThan">
      <formula>1</formula>
    </cfRule>
  </conditionalFormatting>
  <conditionalFormatting sqref="H3:H9 O3:O9 V3:V9 AC3:AC9">
    <cfRule type="cellIs" priority="132" operator="equal">
      <formula>0</formula>
    </cfRule>
  </conditionalFormatting>
  <conditionalFormatting sqref="H3:H9">
    <cfRule type="cellIs" priority="130" operator="lessThan">
      <formula>0</formula>
    </cfRule>
    <cfRule type="cellIs" priority="131" operator="greaterThan">
      <formula>1</formula>
    </cfRule>
  </conditionalFormatting>
  <conditionalFormatting sqref="H3:H9">
    <cfRule type="cellIs" priority="129" operator="equal">
      <formula>0</formula>
    </cfRule>
  </conditionalFormatting>
  <conditionalFormatting sqref="H3:H9">
    <cfRule type="cellIs" priority="127" operator="lessThan">
      <formula>0</formula>
    </cfRule>
    <cfRule type="cellIs" priority="128" operator="greaterThan">
      <formula>1</formula>
    </cfRule>
  </conditionalFormatting>
  <conditionalFormatting sqref="H3:H9">
    <cfRule type="cellIs" priority="126" operator="equal">
      <formula>0</formula>
    </cfRule>
  </conditionalFormatting>
  <conditionalFormatting sqref="CG3:CG9">
    <cfRule type="cellIs" priority="124" operator="lessThan">
      <formula>0</formula>
    </cfRule>
    <cfRule type="cellIs" priority="125" operator="greaterThan">
      <formula>1</formula>
    </cfRule>
  </conditionalFormatting>
  <conditionalFormatting sqref="CG3:CG9">
    <cfRule type="cellIs" priority="123" operator="equal">
      <formula>0</formula>
    </cfRule>
  </conditionalFormatting>
  <conditionalFormatting sqref="H3:H9 O3:O9 V3:V9 AC3:AC9">
    <cfRule type="cellIs" priority="121" operator="lessThan">
      <formula>0</formula>
    </cfRule>
    <cfRule type="cellIs" priority="122" operator="greaterThan">
      <formula>1</formula>
    </cfRule>
  </conditionalFormatting>
  <conditionalFormatting sqref="H3:H9 O3:O9 V3:V9 AC3:AC9">
    <cfRule type="cellIs" priority="120" operator="equal">
      <formula>0</formula>
    </cfRule>
  </conditionalFormatting>
  <conditionalFormatting sqref="H3:H9 O3:O9 V3:V9 AC3:AC9">
    <cfRule type="cellIs" priority="118" operator="lessThan">
      <formula>0</formula>
    </cfRule>
    <cfRule type="cellIs" priority="119" operator="greaterThan">
      <formula>1</formula>
    </cfRule>
  </conditionalFormatting>
  <conditionalFormatting sqref="H3:H9 O3:O9 V3:V9 AC3:AC9">
    <cfRule type="cellIs" priority="117" operator="equal">
      <formula>0</formula>
    </cfRule>
  </conditionalFormatting>
  <conditionalFormatting sqref="CG3:CG9">
    <cfRule type="cellIs" priority="115" operator="lessThan">
      <formula>0</formula>
    </cfRule>
    <cfRule type="cellIs" priority="116" operator="greaterThan">
      <formula>1</formula>
    </cfRule>
  </conditionalFormatting>
  <conditionalFormatting sqref="CG3:CG9">
    <cfRule type="cellIs" priority="114" operator="equal">
      <formula>0</formula>
    </cfRule>
  </conditionalFormatting>
  <conditionalFormatting sqref="CG7:CG8">
    <cfRule type="cellIs" priority="112" operator="lessThan">
      <formula>0</formula>
    </cfRule>
    <cfRule type="cellIs" priority="113" operator="greaterThan">
      <formula>1</formula>
    </cfRule>
  </conditionalFormatting>
  <conditionalFormatting sqref="CG7:CG8">
    <cfRule type="cellIs" priority="111" operator="equal">
      <formula>0</formula>
    </cfRule>
  </conditionalFormatting>
  <conditionalFormatting sqref="CG3:CG9">
    <cfRule type="cellIs" priority="109" operator="lessThan">
      <formula>0</formula>
    </cfRule>
    <cfRule type="cellIs" priority="110" operator="greaterThan">
      <formula>1</formula>
    </cfRule>
  </conditionalFormatting>
  <conditionalFormatting sqref="CG3:CG9">
    <cfRule type="cellIs" priority="108" operator="equal">
      <formula>0</formula>
    </cfRule>
  </conditionalFormatting>
  <conditionalFormatting sqref="CG7:CG8">
    <cfRule type="cellIs" priority="106" operator="lessThan">
      <formula>0</formula>
    </cfRule>
    <cfRule type="cellIs" priority="107" operator="greaterThan">
      <formula>1</formula>
    </cfRule>
  </conditionalFormatting>
  <conditionalFormatting sqref="CG7:CG8">
    <cfRule type="cellIs" priority="105" operator="equal">
      <formula>0</formula>
    </cfRule>
  </conditionalFormatting>
  <conditionalFormatting sqref="H3:H9 O3:O9 V3:V9 AC3:AC9">
    <cfRule type="cellIs" priority="103" operator="lessThan">
      <formula>0</formula>
    </cfRule>
    <cfRule type="cellIs" priority="104" operator="greaterThan">
      <formula>1</formula>
    </cfRule>
  </conditionalFormatting>
  <conditionalFormatting sqref="H3:H9 O3:O9 V3:V9 AC3:AC9">
    <cfRule type="cellIs" priority="102" operator="equal">
      <formula>0</formula>
    </cfRule>
  </conditionalFormatting>
  <conditionalFormatting sqref="CG3:CG9">
    <cfRule type="cellIs" priority="100" operator="lessThan">
      <formula>0</formula>
    </cfRule>
    <cfRule type="cellIs" priority="101" operator="greaterThan">
      <formula>1</formula>
    </cfRule>
  </conditionalFormatting>
  <conditionalFormatting sqref="CG3:CG9">
    <cfRule type="cellIs" priority="99" operator="equal">
      <formula>0</formula>
    </cfRule>
  </conditionalFormatting>
  <conditionalFormatting sqref="CG7:CG8">
    <cfRule type="cellIs" priority="97" operator="lessThan">
      <formula>0</formula>
    </cfRule>
    <cfRule type="cellIs" priority="98" operator="greaterThan">
      <formula>1</formula>
    </cfRule>
  </conditionalFormatting>
  <conditionalFormatting sqref="CG7:CG8">
    <cfRule type="cellIs" priority="96" operator="equal">
      <formula>0</formula>
    </cfRule>
  </conditionalFormatting>
  <conditionalFormatting sqref="H3:H9 O3:O9 V3:V9 AC3:AC9">
    <cfRule type="cellIs" priority="94" operator="lessThan">
      <formula>0</formula>
    </cfRule>
    <cfRule type="cellIs" priority="95" operator="greaterThan">
      <formula>1</formula>
    </cfRule>
  </conditionalFormatting>
  <conditionalFormatting sqref="H3:H9 O3:O9 V3:V9 AC3:AC9">
    <cfRule type="cellIs" priority="93" operator="equal">
      <formula>0</formula>
    </cfRule>
  </conditionalFormatting>
  <conditionalFormatting sqref="O3:O9">
    <cfRule type="cellIs" priority="91" operator="lessThan">
      <formula>0</formula>
    </cfRule>
    <cfRule type="cellIs" priority="92" operator="greaterThan">
      <formula>1</formula>
    </cfRule>
  </conditionalFormatting>
  <conditionalFormatting sqref="O3:O9">
    <cfRule type="cellIs" priority="90" operator="equal">
      <formula>0</formula>
    </cfRule>
  </conditionalFormatting>
  <conditionalFormatting sqref="V3:V8">
    <cfRule type="cellIs" priority="88" operator="lessThan">
      <formula>0</formula>
    </cfRule>
    <cfRule type="cellIs" priority="89" operator="greaterThan">
      <formula>1</formula>
    </cfRule>
  </conditionalFormatting>
  <conditionalFormatting sqref="V3:V8">
    <cfRule type="cellIs" priority="87" operator="equal">
      <formula>0</formula>
    </cfRule>
  </conditionalFormatting>
  <conditionalFormatting sqref="AC3:AC8">
    <cfRule type="cellIs" priority="85" operator="lessThan">
      <formula>0</formula>
    </cfRule>
    <cfRule type="cellIs" priority="86" operator="greaterThan">
      <formula>1</formula>
    </cfRule>
  </conditionalFormatting>
  <conditionalFormatting sqref="AC3:AC8">
    <cfRule type="cellIs" priority="84" operator="equal">
      <formula>0</formula>
    </cfRule>
  </conditionalFormatting>
  <conditionalFormatting sqref="H3:H9 O3:O9 V3:V9 AC3:AC9">
    <cfRule type="cellIs" priority="82" operator="lessThan">
      <formula>0</formula>
    </cfRule>
    <cfRule type="cellIs" priority="83" operator="greaterThan">
      <formula>1</formula>
    </cfRule>
  </conditionalFormatting>
  <conditionalFormatting sqref="H3:H9 O3:O9 V3:V9 AC3:AC9">
    <cfRule type="cellIs" priority="81" operator="equal">
      <formula>0</formula>
    </cfRule>
  </conditionalFormatting>
  <conditionalFormatting sqref="CG3:CG9">
    <cfRule type="cellIs" priority="79" operator="lessThan">
      <formula>0</formula>
    </cfRule>
    <cfRule type="cellIs" priority="80" operator="greaterThan">
      <formula>1</formula>
    </cfRule>
  </conditionalFormatting>
  <conditionalFormatting sqref="CG3:CG9">
    <cfRule type="cellIs" priority="78" operator="equal">
      <formula>0</formula>
    </cfRule>
  </conditionalFormatting>
  <conditionalFormatting sqref="H3:H9 O3:O9 V3:V9 AC3:AC9">
    <cfRule type="cellIs" priority="76" operator="lessThan">
      <formula>0</formula>
    </cfRule>
    <cfRule type="cellIs" priority="77" operator="greaterThan">
      <formula>1</formula>
    </cfRule>
  </conditionalFormatting>
  <conditionalFormatting sqref="H3:H9 O3:O9 V3:V9 AC3:AC9">
    <cfRule type="cellIs" priority="75" operator="equal">
      <formula>0</formula>
    </cfRule>
  </conditionalFormatting>
  <conditionalFormatting sqref="CG3:CG9">
    <cfRule type="cellIs" priority="73" operator="lessThan">
      <formula>0</formula>
    </cfRule>
    <cfRule type="cellIs" priority="74" operator="greaterThan">
      <formula>1</formula>
    </cfRule>
  </conditionalFormatting>
  <conditionalFormatting sqref="CG3:CG9">
    <cfRule type="cellIs" priority="72" operator="equal">
      <formula>0</formula>
    </cfRule>
  </conditionalFormatting>
  <conditionalFormatting sqref="CG3:CG8">
    <cfRule type="cellIs" priority="70" operator="lessThan">
      <formula>0</formula>
    </cfRule>
    <cfRule type="cellIs" priority="71" operator="greaterThan">
      <formula>1</formula>
    </cfRule>
  </conditionalFormatting>
  <conditionalFormatting sqref="CG3:CG8">
    <cfRule type="cellIs" priority="69" operator="equal">
      <formula>0</formula>
    </cfRule>
  </conditionalFormatting>
  <conditionalFormatting sqref="H3:H9 O3:O9 V3:V9 AC3:AC9">
    <cfRule type="cellIs" priority="67" operator="lessThan">
      <formula>0</formula>
    </cfRule>
    <cfRule type="cellIs" priority="68" operator="greaterThan">
      <formula>1</formula>
    </cfRule>
  </conditionalFormatting>
  <conditionalFormatting sqref="H3:H9 O3:O9 V3:V9 AC3:AC9">
    <cfRule type="cellIs" priority="66" operator="equal">
      <formula>0</formula>
    </cfRule>
  </conditionalFormatting>
  <conditionalFormatting sqref="CG3:CG9">
    <cfRule type="cellIs" priority="64" operator="lessThan">
      <formula>0</formula>
    </cfRule>
    <cfRule type="cellIs" priority="65" operator="greaterThan">
      <formula>1</formula>
    </cfRule>
  </conditionalFormatting>
  <conditionalFormatting sqref="CG3:CG9">
    <cfRule type="cellIs" priority="63" operator="equal">
      <formula>0</formula>
    </cfRule>
  </conditionalFormatting>
  <conditionalFormatting sqref="H3:H9 O3:O9 V3:V9 AC3:AC9">
    <cfRule type="cellIs" priority="61" operator="lessThan">
      <formula>0</formula>
    </cfRule>
    <cfRule type="cellIs" priority="62" operator="greaterThan">
      <formula>1</formula>
    </cfRule>
  </conditionalFormatting>
  <conditionalFormatting sqref="H3:H9 O3:O9 V3:V9 AC3:AC9">
    <cfRule type="cellIs" priority="60" operator="equal">
      <formula>0</formula>
    </cfRule>
  </conditionalFormatting>
  <conditionalFormatting sqref="CG3:CG9">
    <cfRule type="cellIs" priority="58" operator="lessThan">
      <formula>0</formula>
    </cfRule>
    <cfRule type="cellIs" priority="59" operator="greaterThan">
      <formula>1</formula>
    </cfRule>
  </conditionalFormatting>
  <conditionalFormatting sqref="CG3:CG9">
    <cfRule type="cellIs" priority="57" operator="equal">
      <formula>0</formula>
    </cfRule>
  </conditionalFormatting>
  <conditionalFormatting sqref="H3:H9 V3:V9 O3:O9 AC3:AC9">
    <cfRule type="cellIs" priority="55" operator="lessThan">
      <formula>0</formula>
    </cfRule>
    <cfRule type="cellIs" priority="56" operator="greaterThan">
      <formula>1</formula>
    </cfRule>
  </conditionalFormatting>
  <conditionalFormatting sqref="H3:H9 V3:V9 O3:O9 AC3:AC9">
    <cfRule type="cellIs" priority="54" operator="equal">
      <formula>0</formula>
    </cfRule>
  </conditionalFormatting>
  <conditionalFormatting sqref="CG3:CG9">
    <cfRule type="cellIs" priority="52" operator="lessThan">
      <formula>0</formula>
    </cfRule>
    <cfRule type="cellIs" priority="53" operator="greaterThan">
      <formula>1</formula>
    </cfRule>
  </conditionalFormatting>
  <conditionalFormatting sqref="CG3:CG9">
    <cfRule type="cellIs" priority="51" operator="equal">
      <formula>0</formula>
    </cfRule>
  </conditionalFormatting>
  <conditionalFormatting sqref="CG3:CG8">
    <cfRule type="cellIs" priority="49" operator="lessThan">
      <formula>0</formula>
    </cfRule>
    <cfRule type="cellIs" priority="50" operator="greaterThan">
      <formula>1</formula>
    </cfRule>
  </conditionalFormatting>
  <conditionalFormatting sqref="CG3:CG8">
    <cfRule type="cellIs" priority="48" operator="equal">
      <formula>0</formula>
    </cfRule>
  </conditionalFormatting>
  <conditionalFormatting sqref="CN3:CN9">
    <cfRule type="cellIs" priority="46" operator="lessThan">
      <formula>0</formula>
    </cfRule>
    <cfRule type="cellIs" priority="47" operator="greaterThan">
      <formula>1</formula>
    </cfRule>
  </conditionalFormatting>
  <conditionalFormatting sqref="CN3:CN9">
    <cfRule type="cellIs" priority="45" operator="equal">
      <formula>0</formula>
    </cfRule>
  </conditionalFormatting>
  <conditionalFormatting sqref="CU3:CU9">
    <cfRule type="cellIs" priority="43" operator="lessThan">
      <formula>0</formula>
    </cfRule>
    <cfRule type="cellIs" priority="44" operator="greaterThan">
      <formula>1</formula>
    </cfRule>
  </conditionalFormatting>
  <conditionalFormatting sqref="CU3:CU9">
    <cfRule type="cellIs" priority="42" operator="equal">
      <formula>0</formula>
    </cfRule>
  </conditionalFormatting>
  <conditionalFormatting sqref="DB3:DB9">
    <cfRule type="cellIs" priority="40" operator="lessThan">
      <formula>0</formula>
    </cfRule>
    <cfRule type="cellIs" priority="41" operator="greaterThan">
      <formula>1</formula>
    </cfRule>
  </conditionalFormatting>
  <conditionalFormatting sqref="DB3:DB9">
    <cfRule type="cellIs" priority="39" operator="equal">
      <formula>0</formula>
    </cfRule>
  </conditionalFormatting>
  <conditionalFormatting sqref="CN3:CN9">
    <cfRule type="cellIs" priority="37" operator="lessThan">
      <formula>0</formula>
    </cfRule>
    <cfRule type="cellIs" priority="38" operator="greaterThan">
      <formula>1</formula>
    </cfRule>
  </conditionalFormatting>
  <conditionalFormatting sqref="CN3:CN9">
    <cfRule type="cellIs" priority="36" operator="equal">
      <formula>0</formula>
    </cfRule>
  </conditionalFormatting>
  <conditionalFormatting sqref="CU3:CU9">
    <cfRule type="cellIs" priority="34" operator="lessThan">
      <formula>0</formula>
    </cfRule>
    <cfRule type="cellIs" priority="35" operator="greaterThan">
      <formula>1</formula>
    </cfRule>
  </conditionalFormatting>
  <conditionalFormatting sqref="CU3:CU9">
    <cfRule type="cellIs" priority="33" operator="equal">
      <formula>0</formula>
    </cfRule>
  </conditionalFormatting>
  <conditionalFormatting sqref="DB3:DB9">
    <cfRule type="cellIs" priority="31" operator="lessThan">
      <formula>0</formula>
    </cfRule>
    <cfRule type="cellIs" priority="32" operator="greaterThan">
      <formula>1</formula>
    </cfRule>
  </conditionalFormatting>
  <conditionalFormatting sqref="DB3:DB9">
    <cfRule type="cellIs" priority="30" operator="equal">
      <formula>0</formula>
    </cfRule>
  </conditionalFormatting>
  <conditionalFormatting sqref="CN3:CN9">
    <cfRule type="cellIs" priority="28" operator="lessThan">
      <formula>0</formula>
    </cfRule>
    <cfRule type="cellIs" priority="29" operator="greaterThan">
      <formula>1</formula>
    </cfRule>
  </conditionalFormatting>
  <conditionalFormatting sqref="CN3:CN9">
    <cfRule type="cellIs" priority="27" operator="equal">
      <formula>0</formula>
    </cfRule>
  </conditionalFormatting>
  <conditionalFormatting sqref="CU3:CU9">
    <cfRule type="cellIs" priority="25" operator="lessThan">
      <formula>0</formula>
    </cfRule>
    <cfRule type="cellIs" priority="26" operator="greaterThan">
      <formula>1</formula>
    </cfRule>
  </conditionalFormatting>
  <conditionalFormatting sqref="CU3:CU9">
    <cfRule type="cellIs" priority="24" operator="equal">
      <formula>0</formula>
    </cfRule>
  </conditionalFormatting>
  <conditionalFormatting sqref="DB3:DB9">
    <cfRule type="cellIs" priority="22" operator="lessThan">
      <formula>0</formula>
    </cfRule>
    <cfRule type="cellIs" priority="23" operator="greaterThan">
      <formula>1</formula>
    </cfRule>
  </conditionalFormatting>
  <conditionalFormatting sqref="DB3:DB9">
    <cfRule type="cellIs" priority="21" operator="equal">
      <formula>0</formula>
    </cfRule>
  </conditionalFormatting>
  <conditionalFormatting sqref="B14:B16">
    <cfRule type="cellIs" priority="19" operator="greaterThan">
      <formula>1</formula>
    </cfRule>
    <cfRule type="cellIs" priority="20" operator="lessThan">
      <formula>0</formula>
    </cfRule>
  </conditionalFormatting>
  <conditionalFormatting sqref="B14:B16">
    <cfRule type="cellIs" priority="17" operator="greaterThan">
      <formula>1</formula>
    </cfRule>
    <cfRule type="cellIs" priority="18" operator="lessThan">
      <formula>0</formula>
    </cfRule>
  </conditionalFormatting>
  <conditionalFormatting sqref="B14:B16">
    <cfRule type="cellIs" priority="15" operator="greaterThan">
      <formula>1</formula>
    </cfRule>
    <cfRule type="cellIs" priority="16" operator="lessThan">
      <formula>0</formula>
    </cfRule>
  </conditionalFormatting>
  <conditionalFormatting sqref="B14:B16">
    <cfRule type="cellIs" priority="13" operator="greaterThan">
      <formula>1</formula>
    </cfRule>
    <cfRule type="cellIs" priority="14" operator="lessThan">
      <formula>0</formula>
    </cfRule>
  </conditionalFormatting>
  <conditionalFormatting sqref="B14:B16">
    <cfRule type="cellIs" priority="11" operator="greaterThan">
      <formula>1</formula>
    </cfRule>
    <cfRule type="cellIs" priority="12" operator="lessThan">
      <formula>0</formula>
    </cfRule>
  </conditionalFormatting>
  <conditionalFormatting sqref="B14:B16">
    <cfRule type="cellIs" priority="9" operator="greaterThan">
      <formula>1</formula>
    </cfRule>
    <cfRule type="cellIs" priority="10" operator="lessThan">
      <formula>0</formula>
    </cfRule>
  </conditionalFormatting>
  <conditionalFormatting sqref="B14:B16">
    <cfRule type="cellIs" priority="7" operator="greaterThan">
      <formula>1</formula>
    </cfRule>
    <cfRule type="cellIs" priority="8" operator="lessThan">
      <formula>0</formula>
    </cfRule>
  </conditionalFormatting>
  <conditionalFormatting sqref="B14:B16">
    <cfRule type="cellIs" priority="5" operator="greaterThan">
      <formula>1</formula>
    </cfRule>
    <cfRule type="cellIs" priority="6" operator="lessThan">
      <formula>0</formula>
    </cfRule>
  </conditionalFormatting>
  <conditionalFormatting sqref="B14:B16">
    <cfRule type="cellIs" priority="3" operator="greaterThan">
      <formula>1</formula>
    </cfRule>
    <cfRule type="cellIs" priority="4" operator="lessThan">
      <formula>0</formula>
    </cfRule>
  </conditionalFormatting>
  <conditionalFormatting sqref="B14:B16">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drawing r:id="rId1"/>
  <legacyDrawing r:id="rId2"/>
</worksheet>
</file>

<file path=docProps/app.xml><?xml version="1.0" encoding="utf-8"?>
<Properties xmlns="http://schemas.openxmlformats.org/officeDocument/2006/extended-properties" xmlns:vt="http://schemas.openxmlformats.org/officeDocument/2006/docPropsVTypes">
  <Template/>
  <TotalTime>15</TotalTime>
  <Application>Microsoft Excel</Application>
  <DocSecurity>0</DocSecurity>
  <ScaleCrop>false</ScaleCrop>
  <HeadingPairs>
    <vt:vector size="2" baseType="variant">
      <vt:variant>
        <vt:lpstr>Листы</vt:lpstr>
      </vt:variant>
      <vt:variant>
        <vt:i4>16</vt:i4>
      </vt:variant>
    </vt:vector>
  </HeadingPairs>
  <TitlesOfParts>
    <vt:vector size="16" baseType="lpstr">
      <vt:lpstr>Summary</vt:lpstr>
      <vt:lpstr>Special weapon</vt:lpstr>
      <vt:lpstr>Buying Special weapons</vt:lpstr>
      <vt:lpstr>Boss round (4 or more players)</vt:lpstr>
      <vt:lpstr>Boss round (1,2,or 3 players)</vt:lpstr>
      <vt:lpstr>Scarab Black</vt:lpstr>
      <vt:lpstr>Scarab Gold</vt:lpstr>
      <vt:lpstr>Scarab Gem Covered</vt:lpstr>
      <vt:lpstr>Standard Mummy</vt:lpstr>
      <vt:lpstr>Mummy A</vt:lpstr>
      <vt:lpstr>Mummy B</vt:lpstr>
      <vt:lpstr>Mummy C</vt:lpstr>
      <vt:lpstr>Pharaoh A</vt:lpstr>
      <vt:lpstr>Pharaoh B</vt:lpstr>
      <vt:lpstr>HV Scarab</vt:lpstr>
      <vt:lpstr>HV enemy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Mary</cp:lastModifiedBy>
  <cp:revision>4</cp:revision>
  <dcterms:created xsi:type="dcterms:W3CDTF">2018-09-08T09:54:06Z</dcterms:created>
  <dcterms:modified xsi:type="dcterms:W3CDTF">2019-02-04T02:52:28Z</dcterms:modified>
  <dc:language>ru-RU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