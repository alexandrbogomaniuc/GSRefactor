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codeName="ThisWorkbook" defaultThemeVersion="124226"/>
  <bookViews>
    <workbookView xWindow="360" yWindow="300" windowWidth="14880" windowHeight="7812" firstSheet="3" activeTab="7"/>
  </bookViews>
  <sheets>
    <sheet name="Base game (HV scarab)" sheetId="52" r:id="rId1"/>
    <sheet name="Special weapon 1 (HV scarab)" sheetId="53" r:id="rId2"/>
    <sheet name="Special weapon 2 (HV scarab)" sheetId="54" r:id="rId3"/>
    <sheet name="Special weapon 3 (HV scarab)" sheetId="55" r:id="rId4"/>
    <sheet name="Plasma Gun (HV scarab)" sheetId="56" r:id="rId5"/>
    <sheet name="Summary" sheetId="2" r:id="rId6"/>
    <sheet name="Boss round (1,2,or 3 players)" sheetId="6" r:id="rId7"/>
    <sheet name="Boss round (4 or more players)" sheetId="57" r:id="rId8"/>
    <sheet name="Special weapon" sheetId="22" r:id="rId9"/>
    <sheet name="Prices Special weapon" sheetId="43" r:id="rId10"/>
    <sheet name="Base game (HV enemy)" sheetId="44" r:id="rId11"/>
    <sheet name="Special weapon 1 (HV enemy)" sheetId="45" r:id="rId12"/>
    <sheet name="Special weapon 2 (HV enemy)" sheetId="46" r:id="rId13"/>
    <sheet name="Special weapon 3 (HV enemy)" sheetId="47" r:id="rId14"/>
    <sheet name="Plasma Gun (HV enemy)" sheetId="48" r:id="rId15"/>
    <sheet name="Base game (Mummy A)" sheetId="39" r:id="rId16"/>
    <sheet name="Base game (Mummy B)" sheetId="4" r:id="rId17"/>
    <sheet name="Base game (Mummy C)" sheetId="5" r:id="rId18"/>
    <sheet name="Base game (Standard Mummy)" sheetId="24" r:id="rId19"/>
    <sheet name="Base game (Scarabs)" sheetId="23" r:id="rId20"/>
    <sheet name="Base game (Pharaoh A &amp; B)" sheetId="25" r:id="rId21"/>
    <sheet name="Special weapon 1 (Mummy A)" sheetId="40" r:id="rId22"/>
    <sheet name="Special weapon 1 (Mummy B)" sheetId="14" r:id="rId23"/>
    <sheet name="Special weapon 1 (Mummy C)" sheetId="15" r:id="rId24"/>
    <sheet name="Special weapon 1 (Std Mummy)" sheetId="27" r:id="rId25"/>
    <sheet name="Special weapon 1 (Scarabs)" sheetId="28" r:id="rId26"/>
    <sheet name="Special weapon 1 (Pharaoh A&amp;B)" sheetId="29" r:id="rId27"/>
    <sheet name="Special weapon 2 (Mummy A)" sheetId="41" r:id="rId28"/>
    <sheet name="Special weapon 2 (Mummy B)" sheetId="17" r:id="rId29"/>
    <sheet name="Special weapon 2 (Mummy C)" sheetId="18" r:id="rId30"/>
    <sheet name="Special weapon 2 (Std Mummy)" sheetId="31" r:id="rId31"/>
    <sheet name="Special weapon 2 (Scarabs)" sheetId="32" r:id="rId32"/>
    <sheet name="Special weapon 2 (Pharaoh A&amp;B)" sheetId="33" r:id="rId33"/>
    <sheet name="Special weapon 3 (Mummy A)" sheetId="42" r:id="rId34"/>
    <sheet name="Special weapon 3 (Mummy B)" sheetId="20" r:id="rId35"/>
    <sheet name="Special weapon 3 (Mummy C)" sheetId="21" r:id="rId36"/>
    <sheet name="Special weapon 3 (Std Mummy)" sheetId="34" r:id="rId37"/>
    <sheet name="Special weapon 3 (Scarabs)" sheetId="35" r:id="rId38"/>
    <sheet name="Special weapon 3 (Pharaoh A&amp;B)" sheetId="36" r:id="rId39"/>
    <sheet name="Plasma Gun (Mummy B)" sheetId="49" r:id="rId40"/>
    <sheet name="Plasma Gun (Mummy C)" sheetId="50" r:id="rId41"/>
    <sheet name="Plasma Gun (Pharaoh A)" sheetId="51" r:id="rId42"/>
  </sheets>
  <calcPr calcId="124519"/>
</workbook>
</file>

<file path=xl/calcChain.xml><?xml version="1.0" encoding="utf-8"?>
<calcChain xmlns="http://schemas.openxmlformats.org/spreadsheetml/2006/main">
  <c r="C68" i="57"/>
  <c r="D67"/>
  <c r="E67" s="1"/>
  <c r="F67" s="1"/>
  <c r="E66"/>
  <c r="F66" s="1"/>
  <c r="D66"/>
  <c r="D65"/>
  <c r="E65" s="1"/>
  <c r="F65" s="1"/>
  <c r="E64"/>
  <c r="F64" s="1"/>
  <c r="D64"/>
  <c r="D63"/>
  <c r="E63" s="1"/>
  <c r="C59"/>
  <c r="D58"/>
  <c r="E58" s="1"/>
  <c r="F58" s="1"/>
  <c r="E57"/>
  <c r="F57" s="1"/>
  <c r="D57"/>
  <c r="D56"/>
  <c r="E56" s="1"/>
  <c r="F56" s="1"/>
  <c r="E55"/>
  <c r="F55" s="1"/>
  <c r="D55"/>
  <c r="D54"/>
  <c r="E54" s="1"/>
  <c r="C43"/>
  <c r="D42"/>
  <c r="D43" s="1"/>
  <c r="C37"/>
  <c r="D36"/>
  <c r="D35"/>
  <c r="D34"/>
  <c r="D33"/>
  <c r="D32"/>
  <c r="D37" s="1"/>
  <c r="D32" i="6"/>
  <c r="D33"/>
  <c r="D34"/>
  <c r="D35"/>
  <c r="D36"/>
  <c r="C37"/>
  <c r="D42"/>
  <c r="C43"/>
  <c r="D43"/>
  <c r="D54"/>
  <c r="E54" s="1"/>
  <c r="D55"/>
  <c r="E55"/>
  <c r="F55" s="1"/>
  <c r="D56"/>
  <c r="E56" s="1"/>
  <c r="F56" s="1"/>
  <c r="D57"/>
  <c r="E57" s="1"/>
  <c r="F57" s="1"/>
  <c r="D58"/>
  <c r="E58" s="1"/>
  <c r="F58" s="1"/>
  <c r="C59"/>
  <c r="D63"/>
  <c r="E63" s="1"/>
  <c r="D64"/>
  <c r="E64"/>
  <c r="F64" s="1"/>
  <c r="D65"/>
  <c r="E65"/>
  <c r="F65" s="1"/>
  <c r="D66"/>
  <c r="E66" s="1"/>
  <c r="F66" s="1"/>
  <c r="D67"/>
  <c r="E67" s="1"/>
  <c r="F67" s="1"/>
  <c r="C68"/>
  <c r="D37" l="1"/>
  <c r="E59" i="57"/>
  <c r="F54"/>
  <c r="F59" s="1"/>
  <c r="F63"/>
  <c r="F68" s="1"/>
  <c r="E68"/>
  <c r="F63" i="6"/>
  <c r="F68" s="1"/>
  <c r="E68"/>
  <c r="E59"/>
  <c r="F54"/>
  <c r="F59" s="1"/>
  <c r="B22" i="57" l="1"/>
  <c r="C17"/>
  <c r="E16"/>
  <c r="D16"/>
  <c r="E15"/>
  <c r="D15"/>
  <c r="E14"/>
  <c r="D14"/>
  <c r="E13"/>
  <c r="D13"/>
  <c r="E12"/>
  <c r="D12"/>
  <c r="E11"/>
  <c r="E17" s="1"/>
  <c r="D11"/>
  <c r="G47" i="25" l="1"/>
  <c r="G30"/>
  <c r="G15" i="23"/>
  <c r="G18" i="24"/>
  <c r="G13"/>
  <c r="G47" i="5"/>
  <c r="G30"/>
  <c r="G42"/>
  <c r="G18" i="39"/>
  <c r="E46" i="52"/>
  <c r="E47"/>
  <c r="E48"/>
  <c r="E49"/>
  <c r="E50"/>
  <c r="E51"/>
  <c r="E45"/>
  <c r="E34"/>
  <c r="E35"/>
  <c r="F35" s="1"/>
  <c r="E36"/>
  <c r="E37"/>
  <c r="F37" s="1"/>
  <c r="E38"/>
  <c r="E39"/>
  <c r="F39" s="1"/>
  <c r="E33"/>
  <c r="E22"/>
  <c r="F22" s="1"/>
  <c r="E23"/>
  <c r="E24"/>
  <c r="E25"/>
  <c r="E26"/>
  <c r="F26" s="1"/>
  <c r="E27"/>
  <c r="E21"/>
  <c r="E10"/>
  <c r="E11"/>
  <c r="F11" s="1"/>
  <c r="E12"/>
  <c r="E13"/>
  <c r="F13" s="1"/>
  <c r="E14"/>
  <c r="E15"/>
  <c r="F15" s="1"/>
  <c r="E9"/>
  <c r="E46" i="53"/>
  <c r="E47"/>
  <c r="E48"/>
  <c r="E49"/>
  <c r="E50"/>
  <c r="E51"/>
  <c r="E45"/>
  <c r="E34"/>
  <c r="E35"/>
  <c r="F35" s="1"/>
  <c r="E36"/>
  <c r="E37"/>
  <c r="F37" s="1"/>
  <c r="E38"/>
  <c r="E39"/>
  <c r="F39" s="1"/>
  <c r="E33"/>
  <c r="E22"/>
  <c r="E23"/>
  <c r="E24"/>
  <c r="E25"/>
  <c r="E26"/>
  <c r="E27"/>
  <c r="E21"/>
  <c r="E10"/>
  <c r="E11"/>
  <c r="F11" s="1"/>
  <c r="E12"/>
  <c r="E13"/>
  <c r="F13" s="1"/>
  <c r="E14"/>
  <c r="E15"/>
  <c r="F15" s="1"/>
  <c r="E9"/>
  <c r="E46" i="54"/>
  <c r="E47"/>
  <c r="F47" s="1"/>
  <c r="E48"/>
  <c r="E49"/>
  <c r="F49" s="1"/>
  <c r="E50"/>
  <c r="E51"/>
  <c r="F51" s="1"/>
  <c r="E45"/>
  <c r="E34"/>
  <c r="E35"/>
  <c r="F35" s="1"/>
  <c r="E36"/>
  <c r="E37"/>
  <c r="F37" s="1"/>
  <c r="E38"/>
  <c r="E39"/>
  <c r="F39" s="1"/>
  <c r="E33"/>
  <c r="E22"/>
  <c r="E23"/>
  <c r="E24"/>
  <c r="E25"/>
  <c r="E26"/>
  <c r="E27"/>
  <c r="E21"/>
  <c r="E10"/>
  <c r="E11"/>
  <c r="E12"/>
  <c r="E13"/>
  <c r="E14"/>
  <c r="E15"/>
  <c r="E9"/>
  <c r="E46" i="55"/>
  <c r="E47"/>
  <c r="F47" s="1"/>
  <c r="E48"/>
  <c r="E49"/>
  <c r="F49" s="1"/>
  <c r="E50"/>
  <c r="E51"/>
  <c r="F51" s="1"/>
  <c r="E45"/>
  <c r="E34"/>
  <c r="E35"/>
  <c r="F35" s="1"/>
  <c r="E36"/>
  <c r="E37"/>
  <c r="F37" s="1"/>
  <c r="E38"/>
  <c r="E39"/>
  <c r="F39" s="1"/>
  <c r="E33"/>
  <c r="E22"/>
  <c r="E23"/>
  <c r="F23" s="1"/>
  <c r="E24"/>
  <c r="E25"/>
  <c r="F25" s="1"/>
  <c r="E26"/>
  <c r="E27"/>
  <c r="F27" s="1"/>
  <c r="E21"/>
  <c r="E10"/>
  <c r="E11"/>
  <c r="F11" s="1"/>
  <c r="E12"/>
  <c r="E13"/>
  <c r="F13" s="1"/>
  <c r="E14"/>
  <c r="E15"/>
  <c r="F15" s="1"/>
  <c r="E9"/>
  <c r="E46" i="56"/>
  <c r="E47"/>
  <c r="F47" s="1"/>
  <c r="E48"/>
  <c r="E49"/>
  <c r="F49" s="1"/>
  <c r="E50"/>
  <c r="E51"/>
  <c r="F51" s="1"/>
  <c r="E34"/>
  <c r="E35"/>
  <c r="F35" s="1"/>
  <c r="E36"/>
  <c r="E37"/>
  <c r="F37" s="1"/>
  <c r="E38"/>
  <c r="E39"/>
  <c r="F39" s="1"/>
  <c r="E22"/>
  <c r="E23"/>
  <c r="E24"/>
  <c r="E25"/>
  <c r="E26"/>
  <c r="E27"/>
  <c r="E45"/>
  <c r="F45" s="1"/>
  <c r="E33"/>
  <c r="E21"/>
  <c r="F21" s="1"/>
  <c r="E9"/>
  <c r="F9" s="1"/>
  <c r="E10"/>
  <c r="E11"/>
  <c r="F11" s="1"/>
  <c r="E12"/>
  <c r="E13"/>
  <c r="F13" s="1"/>
  <c r="E14"/>
  <c r="E15"/>
  <c r="F15" s="1"/>
  <c r="G42" i="25"/>
  <c r="G37"/>
  <c r="G25"/>
  <c r="G18"/>
  <c r="G11"/>
  <c r="G10" i="23"/>
  <c r="G7" i="24"/>
  <c r="G37" i="5"/>
  <c r="G25"/>
  <c r="G18"/>
  <c r="G11"/>
  <c r="G47" i="4"/>
  <c r="G42"/>
  <c r="G37"/>
  <c r="G30"/>
  <c r="G25"/>
  <c r="G13" i="39"/>
  <c r="G7"/>
  <c r="D11" i="22"/>
  <c r="C52" i="56"/>
  <c r="D51"/>
  <c r="F50"/>
  <c r="D50"/>
  <c r="D49"/>
  <c r="F48"/>
  <c r="D48"/>
  <c r="D47"/>
  <c r="F46"/>
  <c r="D46"/>
  <c r="D45"/>
  <c r="C40"/>
  <c r="D39"/>
  <c r="F38"/>
  <c r="D38"/>
  <c r="D37"/>
  <c r="F36"/>
  <c r="D36"/>
  <c r="D35"/>
  <c r="F34"/>
  <c r="D34"/>
  <c r="F33"/>
  <c r="D33"/>
  <c r="C28"/>
  <c r="F27"/>
  <c r="D27"/>
  <c r="F26"/>
  <c r="D26"/>
  <c r="F25"/>
  <c r="D25"/>
  <c r="F24"/>
  <c r="D24"/>
  <c r="F23"/>
  <c r="D23"/>
  <c r="F22"/>
  <c r="D22"/>
  <c r="D21"/>
  <c r="C16"/>
  <c r="D15"/>
  <c r="F14"/>
  <c r="D14"/>
  <c r="D13"/>
  <c r="F12"/>
  <c r="D12"/>
  <c r="D11"/>
  <c r="F10"/>
  <c r="D10"/>
  <c r="D9"/>
  <c r="C52" i="55"/>
  <c r="D51"/>
  <c r="F50"/>
  <c r="D50"/>
  <c r="D49"/>
  <c r="F48"/>
  <c r="D48"/>
  <c r="D47"/>
  <c r="F46"/>
  <c r="D46"/>
  <c r="F45"/>
  <c r="D45"/>
  <c r="C40"/>
  <c r="D39"/>
  <c r="F38"/>
  <c r="D38"/>
  <c r="D37"/>
  <c r="F36"/>
  <c r="D36"/>
  <c r="D35"/>
  <c r="F34"/>
  <c r="D34"/>
  <c r="F33"/>
  <c r="D33"/>
  <c r="C28"/>
  <c r="D27"/>
  <c r="F26"/>
  <c r="D26"/>
  <c r="D25"/>
  <c r="F24"/>
  <c r="D24"/>
  <c r="D23"/>
  <c r="F22"/>
  <c r="D22"/>
  <c r="F21"/>
  <c r="D21"/>
  <c r="C16"/>
  <c r="D15"/>
  <c r="F14"/>
  <c r="D14"/>
  <c r="D13"/>
  <c r="F12"/>
  <c r="D12"/>
  <c r="D11"/>
  <c r="F10"/>
  <c r="D10"/>
  <c r="F9"/>
  <c r="D9"/>
  <c r="C52" i="54"/>
  <c r="D51"/>
  <c r="F50"/>
  <c r="D50"/>
  <c r="D49"/>
  <c r="F48"/>
  <c r="D48"/>
  <c r="D47"/>
  <c r="F46"/>
  <c r="D46"/>
  <c r="F45"/>
  <c r="D45"/>
  <c r="C40"/>
  <c r="D39"/>
  <c r="F38"/>
  <c r="D38"/>
  <c r="D37"/>
  <c r="F36"/>
  <c r="D36"/>
  <c r="D35"/>
  <c r="F34"/>
  <c r="D34"/>
  <c r="F33"/>
  <c r="D33"/>
  <c r="C28"/>
  <c r="F27"/>
  <c r="D27"/>
  <c r="F26"/>
  <c r="D26"/>
  <c r="F25"/>
  <c r="D25"/>
  <c r="F24"/>
  <c r="D24"/>
  <c r="F23"/>
  <c r="D23"/>
  <c r="F22"/>
  <c r="D22"/>
  <c r="F21"/>
  <c r="D21"/>
  <c r="C16"/>
  <c r="F15"/>
  <c r="D15"/>
  <c r="F14"/>
  <c r="D14"/>
  <c r="F13"/>
  <c r="D13"/>
  <c r="F12"/>
  <c r="D12"/>
  <c r="F11"/>
  <c r="D11"/>
  <c r="F10"/>
  <c r="D10"/>
  <c r="F9"/>
  <c r="D9"/>
  <c r="C52" i="53"/>
  <c r="F51"/>
  <c r="D51"/>
  <c r="F50"/>
  <c r="D50"/>
  <c r="F49"/>
  <c r="D49"/>
  <c r="F48"/>
  <c r="D48"/>
  <c r="F47"/>
  <c r="D47"/>
  <c r="F46"/>
  <c r="D46"/>
  <c r="F45"/>
  <c r="F52" s="1"/>
  <c r="D45"/>
  <c r="C40"/>
  <c r="D39"/>
  <c r="F38"/>
  <c r="D38"/>
  <c r="D37"/>
  <c r="F36"/>
  <c r="D36"/>
  <c r="D35"/>
  <c r="F34"/>
  <c r="D34"/>
  <c r="F33"/>
  <c r="D33"/>
  <c r="C28"/>
  <c r="F27"/>
  <c r="D27"/>
  <c r="F26"/>
  <c r="D26"/>
  <c r="F25"/>
  <c r="D25"/>
  <c r="F24"/>
  <c r="D24"/>
  <c r="F23"/>
  <c r="D23"/>
  <c r="F22"/>
  <c r="D22"/>
  <c r="F21"/>
  <c r="D21"/>
  <c r="C16"/>
  <c r="D15"/>
  <c r="F14"/>
  <c r="D14"/>
  <c r="D13"/>
  <c r="F12"/>
  <c r="D12"/>
  <c r="D11"/>
  <c r="F10"/>
  <c r="D10"/>
  <c r="F9"/>
  <c r="D9"/>
  <c r="C52" i="52"/>
  <c r="F51"/>
  <c r="D51"/>
  <c r="F50"/>
  <c r="D50"/>
  <c r="F49"/>
  <c r="D49"/>
  <c r="F48"/>
  <c r="D48"/>
  <c r="F47"/>
  <c r="D47"/>
  <c r="F46"/>
  <c r="D46"/>
  <c r="F45"/>
  <c r="F52" s="1"/>
  <c r="D45"/>
  <c r="C40"/>
  <c r="D39"/>
  <c r="F38"/>
  <c r="D38"/>
  <c r="D37"/>
  <c r="F36"/>
  <c r="D36"/>
  <c r="D35"/>
  <c r="F34"/>
  <c r="D34"/>
  <c r="F33"/>
  <c r="D33"/>
  <c r="C28"/>
  <c r="F27"/>
  <c r="D27"/>
  <c r="D26"/>
  <c r="F25"/>
  <c r="D25"/>
  <c r="F24"/>
  <c r="D24"/>
  <c r="F23"/>
  <c r="D23"/>
  <c r="D22"/>
  <c r="F21"/>
  <c r="D21"/>
  <c r="C16"/>
  <c r="D15"/>
  <c r="F14"/>
  <c r="D14"/>
  <c r="D13"/>
  <c r="F12"/>
  <c r="D12"/>
  <c r="D11"/>
  <c r="F10"/>
  <c r="D10"/>
  <c r="F9"/>
  <c r="D9"/>
  <c r="F16" l="1"/>
  <c r="F52" i="54"/>
  <c r="F28" i="55"/>
  <c r="F28" i="56"/>
  <c r="F52"/>
  <c r="F40"/>
  <c r="F16"/>
  <c r="F52" i="55"/>
  <c r="F40"/>
  <c r="F16"/>
  <c r="F40" i="54"/>
  <c r="F28"/>
  <c r="F16"/>
  <c r="F40" i="53"/>
  <c r="F28"/>
  <c r="F16"/>
  <c r="F40" i="52"/>
  <c r="F28"/>
  <c r="G18" i="4"/>
  <c r="G11"/>
  <c r="C43" i="51" l="1"/>
  <c r="D30"/>
  <c r="C48"/>
  <c r="D47"/>
  <c r="C38"/>
  <c r="D37"/>
  <c r="D36"/>
  <c r="D35"/>
  <c r="C26"/>
  <c r="D25"/>
  <c r="D24"/>
  <c r="D23"/>
  <c r="C19"/>
  <c r="D18"/>
  <c r="D17"/>
  <c r="D16"/>
  <c r="C12"/>
  <c r="D11"/>
  <c r="D10"/>
  <c r="D9"/>
  <c r="D8"/>
  <c r="E7"/>
  <c r="E17" s="1"/>
  <c r="F17" s="1"/>
  <c r="D7"/>
  <c r="E6"/>
  <c r="E47" s="1"/>
  <c r="F47" s="1"/>
  <c r="F48" s="1"/>
  <c r="D6"/>
  <c r="E5"/>
  <c r="E35" s="1"/>
  <c r="D5"/>
  <c r="C30" i="50"/>
  <c r="C31" s="1"/>
  <c r="C48"/>
  <c r="E47"/>
  <c r="F47" s="1"/>
  <c r="F48" s="1"/>
  <c r="D47"/>
  <c r="C43"/>
  <c r="D42"/>
  <c r="C38"/>
  <c r="D37"/>
  <c r="D36"/>
  <c r="D35"/>
  <c r="C26"/>
  <c r="D25"/>
  <c r="D24"/>
  <c r="D23"/>
  <c r="C19"/>
  <c r="D18"/>
  <c r="D17"/>
  <c r="D16"/>
  <c r="C12"/>
  <c r="D11"/>
  <c r="D10"/>
  <c r="D9"/>
  <c r="D8"/>
  <c r="E7"/>
  <c r="F7" s="1"/>
  <c r="D7"/>
  <c r="E6"/>
  <c r="E16" s="1"/>
  <c r="D6"/>
  <c r="E5"/>
  <c r="E9" s="1"/>
  <c r="F9" s="1"/>
  <c r="D5"/>
  <c r="C48" i="49"/>
  <c r="D47"/>
  <c r="C43"/>
  <c r="D42"/>
  <c r="C38"/>
  <c r="D37"/>
  <c r="D36"/>
  <c r="D35"/>
  <c r="C31"/>
  <c r="D30"/>
  <c r="C26"/>
  <c r="D25"/>
  <c r="D24"/>
  <c r="D23"/>
  <c r="C19"/>
  <c r="D18"/>
  <c r="D17"/>
  <c r="D16"/>
  <c r="C12"/>
  <c r="D11"/>
  <c r="D10"/>
  <c r="D9"/>
  <c r="D8"/>
  <c r="E7"/>
  <c r="E17" s="1"/>
  <c r="F17" s="1"/>
  <c r="D7"/>
  <c r="E6"/>
  <c r="E47" s="1"/>
  <c r="F47" s="1"/>
  <c r="F48" s="1"/>
  <c r="D6"/>
  <c r="E5"/>
  <c r="E35" s="1"/>
  <c r="D5"/>
  <c r="E14" i="6"/>
  <c r="D14"/>
  <c r="D15"/>
  <c r="D13"/>
  <c r="C17"/>
  <c r="E16"/>
  <c r="D16"/>
  <c r="E15"/>
  <c r="E13"/>
  <c r="E12"/>
  <c r="D12"/>
  <c r="E11"/>
  <c r="D11"/>
  <c r="E35" i="50" l="1"/>
  <c r="F35" s="1"/>
  <c r="E23"/>
  <c r="F23" s="1"/>
  <c r="F6" i="49"/>
  <c r="F6" i="51"/>
  <c r="E30"/>
  <c r="F30" s="1"/>
  <c r="F31" s="1"/>
  <c r="F7"/>
  <c r="E24"/>
  <c r="F24" s="1"/>
  <c r="D42"/>
  <c r="C31"/>
  <c r="F35"/>
  <c r="F5"/>
  <c r="E8"/>
  <c r="F8" s="1"/>
  <c r="E36"/>
  <c r="F36" s="1"/>
  <c r="E42"/>
  <c r="F42" s="1"/>
  <c r="F43" s="1"/>
  <c r="E9"/>
  <c r="F9" s="1"/>
  <c r="E10"/>
  <c r="F10" s="1"/>
  <c r="E16"/>
  <c r="E11"/>
  <c r="F11" s="1"/>
  <c r="E23"/>
  <c r="D30" i="50"/>
  <c r="F16"/>
  <c r="E11"/>
  <c r="F11" s="1"/>
  <c r="F5"/>
  <c r="E8"/>
  <c r="F8" s="1"/>
  <c r="E24"/>
  <c r="F24" s="1"/>
  <c r="E30"/>
  <c r="F30" s="1"/>
  <c r="F31" s="1"/>
  <c r="E36"/>
  <c r="F36" s="1"/>
  <c r="E42"/>
  <c r="F42" s="1"/>
  <c r="F43" s="1"/>
  <c r="F6"/>
  <c r="E17"/>
  <c r="F17" s="1"/>
  <c r="E10"/>
  <c r="F10" s="1"/>
  <c r="F35" i="49"/>
  <c r="E11"/>
  <c r="F11" s="1"/>
  <c r="F5"/>
  <c r="E8"/>
  <c r="F8" s="1"/>
  <c r="E24"/>
  <c r="F24" s="1"/>
  <c r="E30"/>
  <c r="F30" s="1"/>
  <c r="F31" s="1"/>
  <c r="E36"/>
  <c r="F36" s="1"/>
  <c r="E42"/>
  <c r="F42" s="1"/>
  <c r="F43" s="1"/>
  <c r="F7"/>
  <c r="E10"/>
  <c r="F10" s="1"/>
  <c r="E16"/>
  <c r="F16" s="1"/>
  <c r="E9"/>
  <c r="F9" s="1"/>
  <c r="E23"/>
  <c r="E17" i="6"/>
  <c r="E25" i="50" l="1"/>
  <c r="F25" s="1"/>
  <c r="F26" s="1"/>
  <c r="E37"/>
  <c r="F37" s="1"/>
  <c r="E37" i="51"/>
  <c r="F37" s="1"/>
  <c r="F38" s="1"/>
  <c r="F16"/>
  <c r="E18"/>
  <c r="F18" s="1"/>
  <c r="F23"/>
  <c r="E25"/>
  <c r="F25" s="1"/>
  <c r="F12"/>
  <c r="F38" i="50"/>
  <c r="F12"/>
  <c r="E18"/>
  <c r="F18" s="1"/>
  <c r="F19" s="1"/>
  <c r="F12" i="49"/>
  <c r="F19"/>
  <c r="E18"/>
  <c r="F18" s="1"/>
  <c r="F23"/>
  <c r="E25"/>
  <c r="F25" s="1"/>
  <c r="E37"/>
  <c r="F37" s="1"/>
  <c r="F38" s="1"/>
  <c r="C38" i="33"/>
  <c r="C8" i="31"/>
  <c r="E51" i="48"/>
  <c r="E50"/>
  <c r="E49"/>
  <c r="E48"/>
  <c r="E47"/>
  <c r="E46"/>
  <c r="E45"/>
  <c r="E39"/>
  <c r="E38"/>
  <c r="E37"/>
  <c r="E36"/>
  <c r="E35"/>
  <c r="E34"/>
  <c r="E33"/>
  <c r="E27"/>
  <c r="E26"/>
  <c r="E25"/>
  <c r="E24"/>
  <c r="E23"/>
  <c r="E22"/>
  <c r="E21"/>
  <c r="E15"/>
  <c r="E14"/>
  <c r="E13"/>
  <c r="E12"/>
  <c r="E11"/>
  <c r="E10"/>
  <c r="E9"/>
  <c r="E51" i="47"/>
  <c r="E50"/>
  <c r="E49"/>
  <c r="E48"/>
  <c r="E47"/>
  <c r="E46"/>
  <c r="E45"/>
  <c r="E39"/>
  <c r="E38"/>
  <c r="E37"/>
  <c r="E36"/>
  <c r="E35"/>
  <c r="E34"/>
  <c r="E33"/>
  <c r="E27"/>
  <c r="E26"/>
  <c r="E25"/>
  <c r="E24"/>
  <c r="E23"/>
  <c r="E22"/>
  <c r="E21"/>
  <c r="E15"/>
  <c r="E14"/>
  <c r="E13"/>
  <c r="E12"/>
  <c r="E11"/>
  <c r="E10"/>
  <c r="E9"/>
  <c r="E51" i="46"/>
  <c r="E50"/>
  <c r="E49"/>
  <c r="E48"/>
  <c r="E47"/>
  <c r="E46"/>
  <c r="E45"/>
  <c r="E39"/>
  <c r="E38"/>
  <c r="E37"/>
  <c r="E36"/>
  <c r="E35"/>
  <c r="E34"/>
  <c r="E33"/>
  <c r="E27"/>
  <c r="E26"/>
  <c r="E25"/>
  <c r="E24"/>
  <c r="E23"/>
  <c r="E22"/>
  <c r="E21"/>
  <c r="E15"/>
  <c r="E14"/>
  <c r="E13"/>
  <c r="E12"/>
  <c r="E11"/>
  <c r="E10"/>
  <c r="E9"/>
  <c r="E51" i="45"/>
  <c r="E50"/>
  <c r="E49"/>
  <c r="E48"/>
  <c r="E47"/>
  <c r="E46"/>
  <c r="E45"/>
  <c r="E39"/>
  <c r="E38"/>
  <c r="E37"/>
  <c r="E36"/>
  <c r="E35"/>
  <c r="E34"/>
  <c r="E33"/>
  <c r="E27"/>
  <c r="E26"/>
  <c r="E25"/>
  <c r="E24"/>
  <c r="E23"/>
  <c r="E22"/>
  <c r="E21"/>
  <c r="E15"/>
  <c r="E14"/>
  <c r="E13"/>
  <c r="E12"/>
  <c r="E11"/>
  <c r="E10"/>
  <c r="E9"/>
  <c r="E46" i="44"/>
  <c r="E47"/>
  <c r="E48"/>
  <c r="E49"/>
  <c r="E50"/>
  <c r="E51"/>
  <c r="E45"/>
  <c r="E34"/>
  <c r="E35"/>
  <c r="E36"/>
  <c r="E37"/>
  <c r="E38"/>
  <c r="E39"/>
  <c r="E33"/>
  <c r="E22"/>
  <c r="E23"/>
  <c r="E24"/>
  <c r="E25"/>
  <c r="E26"/>
  <c r="E27"/>
  <c r="E21"/>
  <c r="E9"/>
  <c r="E10"/>
  <c r="E11"/>
  <c r="E12"/>
  <c r="E13"/>
  <c r="E14"/>
  <c r="E15"/>
  <c r="F26" i="51" l="1"/>
  <c r="F19"/>
  <c r="F26" i="49"/>
  <c r="E39" i="22"/>
  <c r="D39"/>
  <c r="E38"/>
  <c r="D38"/>
  <c r="E37"/>
  <c r="D37"/>
  <c r="E36"/>
  <c r="D36"/>
  <c r="E35"/>
  <c r="D35"/>
  <c r="D12"/>
  <c r="D10"/>
  <c r="D9"/>
  <c r="D14" s="1"/>
  <c r="D8" i="2"/>
  <c r="E7"/>
  <c r="D7"/>
  <c r="D41" i="22" l="1"/>
  <c r="F8" i="2" s="1"/>
  <c r="G8" s="1"/>
  <c r="G11" s="1"/>
  <c r="E8"/>
  <c r="B8" s="1"/>
  <c r="B11" s="1"/>
  <c r="C52" i="48"/>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D42" i="43"/>
  <c r="D31"/>
  <c r="D32"/>
  <c r="D33"/>
  <c r="D34"/>
  <c r="D35"/>
  <c r="D36"/>
  <c r="D37"/>
  <c r="D38"/>
  <c r="D39"/>
  <c r="D40"/>
  <c r="D41"/>
  <c r="D43"/>
  <c r="D44"/>
  <c r="D45"/>
  <c r="B47" s="1"/>
  <c r="F43"/>
  <c r="F42"/>
  <c r="F41"/>
  <c r="E45"/>
  <c r="F44"/>
  <c r="F40"/>
  <c r="F39"/>
  <c r="F38"/>
  <c r="F37"/>
  <c r="F36"/>
  <c r="F35"/>
  <c r="F34"/>
  <c r="F33"/>
  <c r="F32"/>
  <c r="F31"/>
  <c r="D30"/>
  <c r="F30"/>
  <c r="D10"/>
  <c r="F10"/>
  <c r="D11"/>
  <c r="F11"/>
  <c r="D12"/>
  <c r="F12"/>
  <c r="D13"/>
  <c r="F13"/>
  <c r="D14"/>
  <c r="F14"/>
  <c r="D15"/>
  <c r="F15"/>
  <c r="D16"/>
  <c r="F16"/>
  <c r="D17"/>
  <c r="F17"/>
  <c r="D18"/>
  <c r="F18"/>
  <c r="D19"/>
  <c r="F19"/>
  <c r="D20"/>
  <c r="F20"/>
  <c r="D21"/>
  <c r="F21"/>
  <c r="D22"/>
  <c r="B24" s="1"/>
  <c r="E22"/>
  <c r="F28" i="48" l="1"/>
  <c r="F52"/>
  <c r="F40"/>
  <c r="F16"/>
  <c r="C48" i="36"/>
  <c r="D47"/>
  <c r="C43"/>
  <c r="D42"/>
  <c r="C38"/>
  <c r="D37"/>
  <c r="D36"/>
  <c r="D35"/>
  <c r="C31"/>
  <c r="D30"/>
  <c r="C26"/>
  <c r="D25"/>
  <c r="D24"/>
  <c r="D23"/>
  <c r="C19"/>
  <c r="D18"/>
  <c r="D17"/>
  <c r="D16"/>
  <c r="C12"/>
  <c r="D11"/>
  <c r="D10"/>
  <c r="D9"/>
  <c r="D8"/>
  <c r="E7"/>
  <c r="E17" s="1"/>
  <c r="F17" s="1"/>
  <c r="D7"/>
  <c r="E6"/>
  <c r="E47" s="1"/>
  <c r="F47" s="1"/>
  <c r="F48" s="1"/>
  <c r="D6"/>
  <c r="E5"/>
  <c r="E35" s="1"/>
  <c r="D5"/>
  <c r="C16" i="35"/>
  <c r="E15"/>
  <c r="F15" s="1"/>
  <c r="F16" s="1"/>
  <c r="D15"/>
  <c r="C11"/>
  <c r="E10"/>
  <c r="F10" s="1"/>
  <c r="F11" s="1"/>
  <c r="D10"/>
  <c r="C6"/>
  <c r="E5"/>
  <c r="F5" s="1"/>
  <c r="F6" s="1"/>
  <c r="D5"/>
  <c r="C19" i="34"/>
  <c r="D18"/>
  <c r="C14"/>
  <c r="D13"/>
  <c r="C8"/>
  <c r="D7"/>
  <c r="E6"/>
  <c r="E18" s="1"/>
  <c r="F18" s="1"/>
  <c r="F19" s="1"/>
  <c r="D6"/>
  <c r="E5"/>
  <c r="E13" s="1"/>
  <c r="F13" s="1"/>
  <c r="F14" s="1"/>
  <c r="D5"/>
  <c r="C48" i="21"/>
  <c r="D47"/>
  <c r="C43"/>
  <c r="D42"/>
  <c r="C38"/>
  <c r="D37"/>
  <c r="D36"/>
  <c r="D35"/>
  <c r="C31"/>
  <c r="D30"/>
  <c r="C26"/>
  <c r="D25"/>
  <c r="D24"/>
  <c r="D23"/>
  <c r="C19"/>
  <c r="D18"/>
  <c r="D17"/>
  <c r="D16"/>
  <c r="C12"/>
  <c r="D11"/>
  <c r="D10"/>
  <c r="D9"/>
  <c r="D8"/>
  <c r="E7"/>
  <c r="E24" s="1"/>
  <c r="F24" s="1"/>
  <c r="D7"/>
  <c r="E6"/>
  <c r="E47" s="1"/>
  <c r="F47" s="1"/>
  <c r="F48" s="1"/>
  <c r="D6"/>
  <c r="E5"/>
  <c r="E42" s="1"/>
  <c r="F42" s="1"/>
  <c r="F43" s="1"/>
  <c r="D5"/>
  <c r="C48" i="20"/>
  <c r="D47"/>
  <c r="C43"/>
  <c r="D42"/>
  <c r="C38"/>
  <c r="D37"/>
  <c r="D36"/>
  <c r="D35"/>
  <c r="C31"/>
  <c r="D30"/>
  <c r="C26"/>
  <c r="D25"/>
  <c r="D24"/>
  <c r="D23"/>
  <c r="C19"/>
  <c r="D18"/>
  <c r="D17"/>
  <c r="D16"/>
  <c r="C12"/>
  <c r="D11"/>
  <c r="D10"/>
  <c r="D9"/>
  <c r="D8"/>
  <c r="E7"/>
  <c r="E24" s="1"/>
  <c r="F24" s="1"/>
  <c r="D7"/>
  <c r="E6"/>
  <c r="E36" s="1"/>
  <c r="F36" s="1"/>
  <c r="D6"/>
  <c r="E5"/>
  <c r="E9" s="1"/>
  <c r="F9" s="1"/>
  <c r="D5"/>
  <c r="C19" i="42"/>
  <c r="D18"/>
  <c r="C14"/>
  <c r="D13"/>
  <c r="C8"/>
  <c r="D7"/>
  <c r="E6"/>
  <c r="F6" s="1"/>
  <c r="D6"/>
  <c r="E5"/>
  <c r="E13" s="1"/>
  <c r="F13" s="1"/>
  <c r="F14" s="1"/>
  <c r="D5"/>
  <c r="C48" i="33"/>
  <c r="D47"/>
  <c r="C43"/>
  <c r="D42"/>
  <c r="D37"/>
  <c r="D36"/>
  <c r="D35"/>
  <c r="C31"/>
  <c r="D30"/>
  <c r="C26"/>
  <c r="D25"/>
  <c r="D24"/>
  <c r="D23"/>
  <c r="C19"/>
  <c r="D18"/>
  <c r="D17"/>
  <c r="D16"/>
  <c r="C12"/>
  <c r="D11"/>
  <c r="D10"/>
  <c r="D9"/>
  <c r="D8"/>
  <c r="E7"/>
  <c r="E30" s="1"/>
  <c r="F30" s="1"/>
  <c r="F31" s="1"/>
  <c r="D7"/>
  <c r="E6"/>
  <c r="F6" s="1"/>
  <c r="D6"/>
  <c r="E5"/>
  <c r="E42" s="1"/>
  <c r="F42" s="1"/>
  <c r="F43" s="1"/>
  <c r="D5"/>
  <c r="C16" i="32"/>
  <c r="E15"/>
  <c r="F15" s="1"/>
  <c r="F16" s="1"/>
  <c r="D15"/>
  <c r="C11"/>
  <c r="E10"/>
  <c r="F10" s="1"/>
  <c r="F11" s="1"/>
  <c r="D10"/>
  <c r="C6"/>
  <c r="E5"/>
  <c r="F5" s="1"/>
  <c r="F6" s="1"/>
  <c r="D5"/>
  <c r="C19" i="31"/>
  <c r="D18"/>
  <c r="C14"/>
  <c r="D13"/>
  <c r="D7"/>
  <c r="E6"/>
  <c r="E18" s="1"/>
  <c r="F18" s="1"/>
  <c r="F19" s="1"/>
  <c r="D6"/>
  <c r="E5"/>
  <c r="E13" s="1"/>
  <c r="F13" s="1"/>
  <c r="F14" s="1"/>
  <c r="D5"/>
  <c r="C48" i="18"/>
  <c r="D47"/>
  <c r="C43"/>
  <c r="D42"/>
  <c r="C38"/>
  <c r="D37"/>
  <c r="D36"/>
  <c r="D35"/>
  <c r="C31"/>
  <c r="D30"/>
  <c r="C26"/>
  <c r="D25"/>
  <c r="D24"/>
  <c r="D23"/>
  <c r="C19"/>
  <c r="D18"/>
  <c r="D17"/>
  <c r="D16"/>
  <c r="C12"/>
  <c r="D11"/>
  <c r="D10"/>
  <c r="D9"/>
  <c r="D8"/>
  <c r="E7"/>
  <c r="E24" s="1"/>
  <c r="F24" s="1"/>
  <c r="D7"/>
  <c r="E6"/>
  <c r="E16" s="1"/>
  <c r="D6"/>
  <c r="E5"/>
  <c r="D5"/>
  <c r="C48" i="17"/>
  <c r="D47"/>
  <c r="C43"/>
  <c r="D42"/>
  <c r="C38"/>
  <c r="D37"/>
  <c r="D36"/>
  <c r="D35"/>
  <c r="C31"/>
  <c r="D30"/>
  <c r="C26"/>
  <c r="D25"/>
  <c r="D24"/>
  <c r="D23"/>
  <c r="C19"/>
  <c r="D18"/>
  <c r="D17"/>
  <c r="D16"/>
  <c r="C12"/>
  <c r="D11"/>
  <c r="D10"/>
  <c r="D9"/>
  <c r="D8"/>
  <c r="E7"/>
  <c r="E17" s="1"/>
  <c r="F17" s="1"/>
  <c r="D7"/>
  <c r="E6"/>
  <c r="E47" s="1"/>
  <c r="F47" s="1"/>
  <c r="F48" s="1"/>
  <c r="D6"/>
  <c r="E5"/>
  <c r="E35" s="1"/>
  <c r="D5"/>
  <c r="C19" i="41"/>
  <c r="D18"/>
  <c r="C14"/>
  <c r="D13"/>
  <c r="C8"/>
  <c r="D7"/>
  <c r="E6"/>
  <c r="E18" s="1"/>
  <c r="F18" s="1"/>
  <c r="F19" s="1"/>
  <c r="D6"/>
  <c r="E5"/>
  <c r="E13" s="1"/>
  <c r="F13" s="1"/>
  <c r="F14" s="1"/>
  <c r="D5"/>
  <c r="C48" i="29"/>
  <c r="D47"/>
  <c r="C43"/>
  <c r="D42"/>
  <c r="D35"/>
  <c r="C31"/>
  <c r="D30"/>
  <c r="C26"/>
  <c r="D25"/>
  <c r="D24"/>
  <c r="D23"/>
  <c r="C19"/>
  <c r="D18"/>
  <c r="D17"/>
  <c r="D16"/>
  <c r="C12"/>
  <c r="D11"/>
  <c r="D10"/>
  <c r="D9"/>
  <c r="D8"/>
  <c r="E7"/>
  <c r="E17" s="1"/>
  <c r="F17" s="1"/>
  <c r="D7"/>
  <c r="E6"/>
  <c r="E47" s="1"/>
  <c r="F47" s="1"/>
  <c r="F48" s="1"/>
  <c r="D6"/>
  <c r="E5"/>
  <c r="E35" s="1"/>
  <c r="D5"/>
  <c r="C16" i="28"/>
  <c r="E15"/>
  <c r="F15" s="1"/>
  <c r="F16" s="1"/>
  <c r="D15"/>
  <c r="C11"/>
  <c r="E10"/>
  <c r="F10" s="1"/>
  <c r="F11" s="1"/>
  <c r="D10"/>
  <c r="C6"/>
  <c r="E5"/>
  <c r="F5" s="1"/>
  <c r="F6" s="1"/>
  <c r="D5"/>
  <c r="C19" i="27"/>
  <c r="D18"/>
  <c r="C14"/>
  <c r="D13"/>
  <c r="C8"/>
  <c r="D7"/>
  <c r="E6"/>
  <c r="E18" s="1"/>
  <c r="F18" s="1"/>
  <c r="F19" s="1"/>
  <c r="D6"/>
  <c r="E5"/>
  <c r="E13" s="1"/>
  <c r="F13" s="1"/>
  <c r="F14" s="1"/>
  <c r="D5"/>
  <c r="C48" i="15"/>
  <c r="D47"/>
  <c r="C43"/>
  <c r="D42"/>
  <c r="C38"/>
  <c r="D37"/>
  <c r="D36"/>
  <c r="D35"/>
  <c r="C31"/>
  <c r="D30"/>
  <c r="C26"/>
  <c r="D25"/>
  <c r="D24"/>
  <c r="D23"/>
  <c r="C19"/>
  <c r="D18"/>
  <c r="D17"/>
  <c r="D16"/>
  <c r="C12"/>
  <c r="D11"/>
  <c r="D10"/>
  <c r="D9"/>
  <c r="D8"/>
  <c r="E7"/>
  <c r="E30" s="1"/>
  <c r="F30" s="1"/>
  <c r="F31" s="1"/>
  <c r="D7"/>
  <c r="E6"/>
  <c r="E47" s="1"/>
  <c r="F47" s="1"/>
  <c r="F48" s="1"/>
  <c r="D6"/>
  <c r="E5"/>
  <c r="E42" s="1"/>
  <c r="F42" s="1"/>
  <c r="F43" s="1"/>
  <c r="D5"/>
  <c r="C48" i="14"/>
  <c r="D47"/>
  <c r="C43"/>
  <c r="D42"/>
  <c r="C38"/>
  <c r="D37"/>
  <c r="D36"/>
  <c r="D35"/>
  <c r="C31"/>
  <c r="D30"/>
  <c r="C26"/>
  <c r="D25"/>
  <c r="D24"/>
  <c r="D23"/>
  <c r="C19"/>
  <c r="D18"/>
  <c r="D17"/>
  <c r="D16"/>
  <c r="C12"/>
  <c r="D11"/>
  <c r="D10"/>
  <c r="D9"/>
  <c r="D8"/>
  <c r="F7"/>
  <c r="E7"/>
  <c r="E30" s="1"/>
  <c r="F30" s="1"/>
  <c r="F31" s="1"/>
  <c r="D7"/>
  <c r="E6"/>
  <c r="F6" s="1"/>
  <c r="D6"/>
  <c r="E5"/>
  <c r="E42" s="1"/>
  <c r="F42" s="1"/>
  <c r="F43" s="1"/>
  <c r="D5"/>
  <c r="C19" i="40"/>
  <c r="D18"/>
  <c r="C14"/>
  <c r="D13"/>
  <c r="C8"/>
  <c r="D7"/>
  <c r="E6"/>
  <c r="F6" s="1"/>
  <c r="D6"/>
  <c r="E5"/>
  <c r="F5" s="1"/>
  <c r="D5"/>
  <c r="C48" i="25"/>
  <c r="D47"/>
  <c r="C43"/>
  <c r="D42"/>
  <c r="C38"/>
  <c r="D37"/>
  <c r="D36"/>
  <c r="D35"/>
  <c r="C31"/>
  <c r="D30"/>
  <c r="C26"/>
  <c r="D25"/>
  <c r="D24"/>
  <c r="D23"/>
  <c r="C19"/>
  <c r="D18"/>
  <c r="D17"/>
  <c r="D16"/>
  <c r="C12"/>
  <c r="D11"/>
  <c r="D10"/>
  <c r="D9"/>
  <c r="D8"/>
  <c r="E7"/>
  <c r="E30" s="1"/>
  <c r="F30" s="1"/>
  <c r="F31" s="1"/>
  <c r="D7"/>
  <c r="E6"/>
  <c r="F6" s="1"/>
  <c r="D6"/>
  <c r="E5"/>
  <c r="E9" s="1"/>
  <c r="F9" s="1"/>
  <c r="D5"/>
  <c r="C16" i="23"/>
  <c r="E15"/>
  <c r="F15" s="1"/>
  <c r="F16" s="1"/>
  <c r="D15"/>
  <c r="C11"/>
  <c r="E10"/>
  <c r="F10" s="1"/>
  <c r="F11" s="1"/>
  <c r="D10"/>
  <c r="E5"/>
  <c r="C19" i="24"/>
  <c r="D18"/>
  <c r="C14"/>
  <c r="D13"/>
  <c r="C8"/>
  <c r="D7"/>
  <c r="E6"/>
  <c r="F6" s="1"/>
  <c r="D6"/>
  <c r="E5"/>
  <c r="E13" s="1"/>
  <c r="F13" s="1"/>
  <c r="F14" s="1"/>
  <c r="D5"/>
  <c r="C48" i="5"/>
  <c r="D47"/>
  <c r="C43"/>
  <c r="D42"/>
  <c r="C38"/>
  <c r="D37"/>
  <c r="D36"/>
  <c r="D35"/>
  <c r="C31"/>
  <c r="D30"/>
  <c r="C26"/>
  <c r="D25"/>
  <c r="D24"/>
  <c r="D23"/>
  <c r="C19"/>
  <c r="D18"/>
  <c r="D17"/>
  <c r="D16"/>
  <c r="C12"/>
  <c r="D11"/>
  <c r="D10"/>
  <c r="D9"/>
  <c r="D8"/>
  <c r="E7"/>
  <c r="F7" s="1"/>
  <c r="D7"/>
  <c r="E6"/>
  <c r="E16" s="1"/>
  <c r="D6"/>
  <c r="F5"/>
  <c r="E5"/>
  <c r="E42" s="1"/>
  <c r="F42" s="1"/>
  <c r="F43" s="1"/>
  <c r="D5"/>
  <c r="C48" i="4"/>
  <c r="D47"/>
  <c r="C43"/>
  <c r="D42"/>
  <c r="C38"/>
  <c r="D37"/>
  <c r="D36"/>
  <c r="D35"/>
  <c r="C31"/>
  <c r="D30"/>
  <c r="C26"/>
  <c r="D25"/>
  <c r="D24"/>
  <c r="D23"/>
  <c r="C19"/>
  <c r="D18"/>
  <c r="D17"/>
  <c r="D16"/>
  <c r="C12"/>
  <c r="D11"/>
  <c r="D10"/>
  <c r="D9"/>
  <c r="D8"/>
  <c r="E7"/>
  <c r="E17" s="1"/>
  <c r="F17" s="1"/>
  <c r="D7"/>
  <c r="E6"/>
  <c r="E47" s="1"/>
  <c r="F47" s="1"/>
  <c r="F48" s="1"/>
  <c r="D6"/>
  <c r="E5"/>
  <c r="E35" s="1"/>
  <c r="D5"/>
  <c r="C19" i="39"/>
  <c r="D18"/>
  <c r="C14"/>
  <c r="D13"/>
  <c r="C8"/>
  <c r="D7"/>
  <c r="E6"/>
  <c r="E18" s="1"/>
  <c r="F18" s="1"/>
  <c r="F19" s="1"/>
  <c r="D6"/>
  <c r="E5"/>
  <c r="E13" s="1"/>
  <c r="F13" s="1"/>
  <c r="F14" s="1"/>
  <c r="D5"/>
  <c r="C52" i="47"/>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C52" i="46"/>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C52" i="45"/>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C52" i="44"/>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B22" i="6"/>
  <c r="E39" i="2"/>
  <c r="B39"/>
  <c r="K30"/>
  <c r="H30"/>
  <c r="E29"/>
  <c r="B29"/>
  <c r="F5" i="15" l="1"/>
  <c r="F7" i="21"/>
  <c r="F6" i="34"/>
  <c r="F5" i="24"/>
  <c r="F16" i="46"/>
  <c r="F7" i="17"/>
  <c r="F6" i="4"/>
  <c r="F6" i="31"/>
  <c r="E7"/>
  <c r="F7" s="1"/>
  <c r="F5" i="42"/>
  <c r="F7" i="25"/>
  <c r="E9" i="18"/>
  <c r="F9" s="1"/>
  <c r="F6"/>
  <c r="F5" i="31"/>
  <c r="F52" i="46"/>
  <c r="F5" i="39"/>
  <c r="E7" i="40"/>
  <c r="F7" s="1"/>
  <c r="F8" s="1"/>
  <c r="F5" i="14"/>
  <c r="F7" i="15"/>
  <c r="F6" i="27"/>
  <c r="F7" i="29"/>
  <c r="F6" i="41"/>
  <c r="F7" i="18"/>
  <c r="E30"/>
  <c r="F30" s="1"/>
  <c r="F31" s="1"/>
  <c r="E7" i="34"/>
  <c r="F7" s="1"/>
  <c r="F40" i="46"/>
  <c r="F28"/>
  <c r="F52" i="45"/>
  <c r="F40"/>
  <c r="F52" i="47"/>
  <c r="F40"/>
  <c r="F28"/>
  <c r="F16"/>
  <c r="F16" i="45"/>
  <c r="F28"/>
  <c r="F40" i="44"/>
  <c r="F28"/>
  <c r="F16"/>
  <c r="F52"/>
  <c r="F16" i="5"/>
  <c r="F35" i="29"/>
  <c r="F35" i="4"/>
  <c r="F35" i="17"/>
  <c r="F16" i="18"/>
  <c r="F35" i="36"/>
  <c r="E7" i="39"/>
  <c r="F7" s="1"/>
  <c r="F5" i="4"/>
  <c r="F7"/>
  <c r="E30"/>
  <c r="F30" s="1"/>
  <c r="F31" s="1"/>
  <c r="E42"/>
  <c r="F42" s="1"/>
  <c r="F43" s="1"/>
  <c r="E11" i="5"/>
  <c r="F11" s="1"/>
  <c r="E17"/>
  <c r="F17" s="1"/>
  <c r="E23"/>
  <c r="E35"/>
  <c r="E47"/>
  <c r="F47" s="1"/>
  <c r="F48" s="1"/>
  <c r="E18" i="24"/>
  <c r="F18" s="1"/>
  <c r="F19" s="1"/>
  <c r="E10" i="25"/>
  <c r="F10" s="1"/>
  <c r="E16"/>
  <c r="E18" i="40"/>
  <c r="F18" s="1"/>
  <c r="F19" s="1"/>
  <c r="E9" i="14"/>
  <c r="F9" s="1"/>
  <c r="E11"/>
  <c r="F11" s="1"/>
  <c r="E16"/>
  <c r="F6" i="15"/>
  <c r="E9"/>
  <c r="F9" s="1"/>
  <c r="E7" i="27"/>
  <c r="F7" s="1"/>
  <c r="F5"/>
  <c r="F5" i="29"/>
  <c r="E8"/>
  <c r="F8" s="1"/>
  <c r="E30"/>
  <c r="F30" s="1"/>
  <c r="F31" s="1"/>
  <c r="E36"/>
  <c r="E42"/>
  <c r="F42" s="1"/>
  <c r="F43" s="1"/>
  <c r="E7" i="41"/>
  <c r="F7" s="1"/>
  <c r="F5" i="17"/>
  <c r="E8"/>
  <c r="F8" s="1"/>
  <c r="E30"/>
  <c r="F30" s="1"/>
  <c r="F31" s="1"/>
  <c r="E42"/>
  <c r="F42" s="1"/>
  <c r="F43" s="1"/>
  <c r="E11" i="18"/>
  <c r="F11" s="1"/>
  <c r="E17"/>
  <c r="F17" s="1"/>
  <c r="E23"/>
  <c r="E35"/>
  <c r="E47"/>
  <c r="F47" s="1"/>
  <c r="F48" s="1"/>
  <c r="F7" i="33"/>
  <c r="E10"/>
  <c r="F10" s="1"/>
  <c r="E16"/>
  <c r="E7" i="42"/>
  <c r="F7" s="1"/>
  <c r="E18"/>
  <c r="F18" s="1"/>
  <c r="F19" s="1"/>
  <c r="F7" i="20"/>
  <c r="E10"/>
  <c r="F10" s="1"/>
  <c r="E16"/>
  <c r="F6" i="21"/>
  <c r="E9"/>
  <c r="F9" s="1"/>
  <c r="E30"/>
  <c r="F30" s="1"/>
  <c r="F31" s="1"/>
  <c r="E36"/>
  <c r="F36" s="1"/>
  <c r="F5" i="34"/>
  <c r="F5" i="36"/>
  <c r="E8"/>
  <c r="F8" s="1"/>
  <c r="E24"/>
  <c r="F24" s="1"/>
  <c r="E30"/>
  <c r="F30" s="1"/>
  <c r="F31" s="1"/>
  <c r="E36"/>
  <c r="F36" s="1"/>
  <c r="E8" i="4"/>
  <c r="F8" s="1"/>
  <c r="E10"/>
  <c r="F10" s="1"/>
  <c r="E24"/>
  <c r="F24" s="1"/>
  <c r="E36"/>
  <c r="F36" s="1"/>
  <c r="E8" i="5"/>
  <c r="F8" s="1"/>
  <c r="E24"/>
  <c r="F24" s="1"/>
  <c r="E36"/>
  <c r="F36" s="1"/>
  <c r="E7" i="24"/>
  <c r="F7" s="1"/>
  <c r="F8" s="1"/>
  <c r="E11" i="25"/>
  <c r="F11" s="1"/>
  <c r="E17"/>
  <c r="F17" s="1"/>
  <c r="E23"/>
  <c r="E35"/>
  <c r="E47"/>
  <c r="F47" s="1"/>
  <c r="F48" s="1"/>
  <c r="E13" i="40"/>
  <c r="F13" s="1"/>
  <c r="F14" s="1"/>
  <c r="E17" i="14"/>
  <c r="F17" s="1"/>
  <c r="E23"/>
  <c r="E35"/>
  <c r="E47"/>
  <c r="F47" s="1"/>
  <c r="F48" s="1"/>
  <c r="E10" i="15"/>
  <c r="F10" s="1"/>
  <c r="E16"/>
  <c r="F6" i="29"/>
  <c r="E9"/>
  <c r="F9" s="1"/>
  <c r="E24"/>
  <c r="F24" s="1"/>
  <c r="F5" i="41"/>
  <c r="F6" i="17"/>
  <c r="E9"/>
  <c r="F9" s="1"/>
  <c r="E24"/>
  <c r="F24" s="1"/>
  <c r="E36"/>
  <c r="F36" s="1"/>
  <c r="F5" i="18"/>
  <c r="E8"/>
  <c r="F8" s="1"/>
  <c r="E36"/>
  <c r="F36" s="1"/>
  <c r="E42"/>
  <c r="F42" s="1"/>
  <c r="F43" s="1"/>
  <c r="E11" i="33"/>
  <c r="F11" s="1"/>
  <c r="E17"/>
  <c r="F17" s="1"/>
  <c r="E23"/>
  <c r="E35"/>
  <c r="E47"/>
  <c r="F47" s="1"/>
  <c r="F48" s="1"/>
  <c r="E11" i="20"/>
  <c r="F11" s="1"/>
  <c r="E17"/>
  <c r="F17" s="1"/>
  <c r="E23"/>
  <c r="E35"/>
  <c r="E47"/>
  <c r="F47" s="1"/>
  <c r="F48" s="1"/>
  <c r="E10" i="21"/>
  <c r="F10" s="1"/>
  <c r="E16"/>
  <c r="F6" i="36"/>
  <c r="E9"/>
  <c r="F9" s="1"/>
  <c r="E42"/>
  <c r="F42" s="1"/>
  <c r="F43" s="1"/>
  <c r="F6" i="39"/>
  <c r="E16" i="4"/>
  <c r="F6" i="5"/>
  <c r="E9"/>
  <c r="F9" s="1"/>
  <c r="E30"/>
  <c r="F30" s="1"/>
  <c r="F31" s="1"/>
  <c r="F5" i="25"/>
  <c r="E8"/>
  <c r="F8" s="1"/>
  <c r="E24"/>
  <c r="F24" s="1"/>
  <c r="E36"/>
  <c r="F36" s="1"/>
  <c r="E42"/>
  <c r="F42" s="1"/>
  <c r="F43" s="1"/>
  <c r="E8" i="14"/>
  <c r="F8" s="1"/>
  <c r="E10"/>
  <c r="F10" s="1"/>
  <c r="E24"/>
  <c r="F24" s="1"/>
  <c r="E36"/>
  <c r="F36" s="1"/>
  <c r="E11" i="15"/>
  <c r="F11" s="1"/>
  <c r="E17"/>
  <c r="F17" s="1"/>
  <c r="E23"/>
  <c r="E35"/>
  <c r="E10" i="29"/>
  <c r="F10" s="1"/>
  <c r="E16"/>
  <c r="E10" i="17"/>
  <c r="F10" s="1"/>
  <c r="E16"/>
  <c r="F5" i="33"/>
  <c r="E8"/>
  <c r="F8" s="1"/>
  <c r="E24"/>
  <c r="F24" s="1"/>
  <c r="E36"/>
  <c r="F36" s="1"/>
  <c r="F5" i="20"/>
  <c r="E8"/>
  <c r="F8" s="1"/>
  <c r="E30"/>
  <c r="F30" s="1"/>
  <c r="F31" s="1"/>
  <c r="E42"/>
  <c r="F42" s="1"/>
  <c r="F43" s="1"/>
  <c r="E11" i="21"/>
  <c r="F11" s="1"/>
  <c r="E17"/>
  <c r="F17" s="1"/>
  <c r="E23"/>
  <c r="E35"/>
  <c r="F7" i="36"/>
  <c r="E10"/>
  <c r="F10" s="1"/>
  <c r="E16"/>
  <c r="E9" i="4"/>
  <c r="F9" s="1"/>
  <c r="E11"/>
  <c r="F11" s="1"/>
  <c r="E23"/>
  <c r="E10" i="5"/>
  <c r="F10" s="1"/>
  <c r="E8" i="15"/>
  <c r="F8" s="1"/>
  <c r="E24"/>
  <c r="F24" s="1"/>
  <c r="E36"/>
  <c r="F36" s="1"/>
  <c r="E11" i="29"/>
  <c r="F11" s="1"/>
  <c r="E23"/>
  <c r="E11" i="17"/>
  <c r="F11" s="1"/>
  <c r="E23"/>
  <c r="E10" i="18"/>
  <c r="F10" s="1"/>
  <c r="E9" i="33"/>
  <c r="F9" s="1"/>
  <c r="F6" i="20"/>
  <c r="F5" i="21"/>
  <c r="E8"/>
  <c r="F8" s="1"/>
  <c r="E11" i="36"/>
  <c r="F11" s="1"/>
  <c r="E23"/>
  <c r="F8" i="42" l="1"/>
  <c r="F8" i="31"/>
  <c r="F8" i="34"/>
  <c r="F8" i="27"/>
  <c r="F8" i="41"/>
  <c r="F12" i="15"/>
  <c r="F8" i="39"/>
  <c r="F12" i="14"/>
  <c r="F12" i="5"/>
  <c r="E25" i="17"/>
  <c r="F25" s="1"/>
  <c r="F23"/>
  <c r="E25" i="4"/>
  <c r="F25" s="1"/>
  <c r="F23"/>
  <c r="E18" i="29"/>
  <c r="F18" s="1"/>
  <c r="F16"/>
  <c r="E25" i="33"/>
  <c r="F25" s="1"/>
  <c r="F23"/>
  <c r="E25" i="25"/>
  <c r="F25" s="1"/>
  <c r="F23"/>
  <c r="F16" i="14"/>
  <c r="E18"/>
  <c r="F18" s="1"/>
  <c r="F16" i="25"/>
  <c r="E18"/>
  <c r="F18" s="1"/>
  <c r="F35" i="5"/>
  <c r="E37"/>
  <c r="F37" s="1"/>
  <c r="F12" i="21"/>
  <c r="E37" i="17"/>
  <c r="F37" s="1"/>
  <c r="F38" s="1"/>
  <c r="F16" i="36"/>
  <c r="E18"/>
  <c r="F18" s="1"/>
  <c r="F23" i="21"/>
  <c r="E25"/>
  <c r="F25" s="1"/>
  <c r="F23" i="15"/>
  <c r="E25"/>
  <c r="F25" s="1"/>
  <c r="E18" i="21"/>
  <c r="F18" s="1"/>
  <c r="F16"/>
  <c r="E25" i="20"/>
  <c r="F25" s="1"/>
  <c r="F23"/>
  <c r="E37" i="33"/>
  <c r="F37" s="1"/>
  <c r="F35"/>
  <c r="E18" i="15"/>
  <c r="F18" s="1"/>
  <c r="F16"/>
  <c r="E25" i="14"/>
  <c r="F25" s="1"/>
  <c r="F23"/>
  <c r="E37" i="25"/>
  <c r="F37" s="1"/>
  <c r="F35"/>
  <c r="E25" i="18"/>
  <c r="F25" s="1"/>
  <c r="F23"/>
  <c r="F12" i="36"/>
  <c r="F12" i="29"/>
  <c r="F12" i="4"/>
  <c r="E37" i="36"/>
  <c r="F37" s="1"/>
  <c r="F38" s="1"/>
  <c r="E18" i="5"/>
  <c r="F18" s="1"/>
  <c r="F19" s="1"/>
  <c r="E25" i="29"/>
  <c r="F25" s="1"/>
  <c r="F23"/>
  <c r="E37" i="21"/>
  <c r="F37" s="1"/>
  <c r="F35"/>
  <c r="E18" i="17"/>
  <c r="F18" s="1"/>
  <c r="F16"/>
  <c r="E37" i="15"/>
  <c r="F37" s="1"/>
  <c r="F35"/>
  <c r="F16" i="4"/>
  <c r="E18"/>
  <c r="F18" s="1"/>
  <c r="E37" i="20"/>
  <c r="F37" s="1"/>
  <c r="F35"/>
  <c r="E37" i="14"/>
  <c r="F37" s="1"/>
  <c r="F35"/>
  <c r="F16" i="33"/>
  <c r="E18"/>
  <c r="F18" s="1"/>
  <c r="F35" i="18"/>
  <c r="E37"/>
  <c r="F37" s="1"/>
  <c r="F12" i="25"/>
  <c r="F12" i="18"/>
  <c r="E37" i="4"/>
  <c r="F37" s="1"/>
  <c r="F38" s="1"/>
  <c r="E37" i="29"/>
  <c r="F37" s="1"/>
  <c r="F23" i="36"/>
  <c r="E25"/>
  <c r="F25" s="1"/>
  <c r="E18" i="20"/>
  <c r="F18" s="1"/>
  <c r="F16"/>
  <c r="E25" i="5"/>
  <c r="F25" s="1"/>
  <c r="F23"/>
  <c r="F12" i="20"/>
  <c r="F12" i="33"/>
  <c r="F12" i="17"/>
  <c r="E18" i="18"/>
  <c r="F18" s="1"/>
  <c r="F19" s="1"/>
  <c r="F26" i="21" l="1"/>
  <c r="F26" i="5"/>
  <c r="F38" i="18"/>
  <c r="F19" i="25"/>
  <c r="F19" i="20"/>
  <c r="F19" i="33"/>
  <c r="F26" i="15"/>
  <c r="F19" i="36"/>
  <c r="F38" i="5"/>
  <c r="F19" i="14"/>
  <c r="F26" i="36"/>
  <c r="F38" i="20"/>
  <c r="F38" i="15"/>
  <c r="F38" i="21"/>
  <c r="F38" i="25"/>
  <c r="F19" i="15"/>
  <c r="F26" i="20"/>
  <c r="F26" i="25"/>
  <c r="F19" i="29"/>
  <c r="F26" i="17"/>
  <c r="F19" i="4"/>
  <c r="F38" i="14"/>
  <c r="F19" i="17"/>
  <c r="F26" i="29"/>
  <c r="F26" i="18"/>
  <c r="F26" i="14"/>
  <c r="F38" i="33"/>
  <c r="F19" i="21"/>
  <c r="F26" i="33"/>
  <c r="F26" i="4"/>
  <c r="D5" i="23" l="1"/>
  <c r="C6"/>
  <c r="G5"/>
  <c r="F5"/>
  <c r="F6" s="1"/>
  <c r="D36" i="29"/>
  <c r="C38"/>
  <c r="D37"/>
  <c r="F36"/>
  <c r="F38" s="1"/>
</calcChain>
</file>

<file path=xl/sharedStrings.xml><?xml version="1.0" encoding="utf-8"?>
<sst xmlns="http://schemas.openxmlformats.org/spreadsheetml/2006/main" count="2390" uniqueCount="169">
  <si>
    <t>Feature</t>
  </si>
  <si>
    <t>RTP</t>
  </si>
  <si>
    <t>Freq</t>
  </si>
  <si>
    <t>Boss round</t>
  </si>
  <si>
    <t>Leaderboard</t>
  </si>
  <si>
    <t>Total</t>
  </si>
  <si>
    <t>Base game</t>
  </si>
  <si>
    <t>Special weapon (*)</t>
  </si>
  <si>
    <t>Award</t>
  </si>
  <si>
    <t>Table 1</t>
  </si>
  <si>
    <t>Probability</t>
  </si>
  <si>
    <t>Total (*)</t>
  </si>
  <si>
    <t>Table 2</t>
  </si>
  <si>
    <t>Table 3</t>
  </si>
  <si>
    <t>Table 4</t>
  </si>
  <si>
    <t>Table 5</t>
  </si>
  <si>
    <t>Table 6</t>
  </si>
  <si>
    <t>Table 7</t>
  </si>
  <si>
    <t>Cumulative prob.</t>
  </si>
  <si>
    <t>Extra prize</t>
  </si>
  <si>
    <t>Environmental Boss round</t>
  </si>
  <si>
    <t>Boss energy:</t>
  </si>
  <si>
    <t>Extra prizes can be inmediately granted to players or they can be accumulate and granted at the end of the round added to the part of the Boss prize.</t>
  </si>
  <si>
    <t>Boss damage</t>
  </si>
  <si>
    <t>Players who have bet the most are likely to win the most. So, probabilities are proportional to player's total bet in the base game previous to Boss round.</t>
  </si>
  <si>
    <t>For each player the probabilities in the table below must be multiplied by player's total bet in base game previous to Boss round and divided by total bet in base game previous to Boss round.</t>
  </si>
  <si>
    <t>Damage</t>
  </si>
  <si>
    <t>When Boss energy is less than 5 some damage levels are not possible, in that case each player can only cause a damage of 1 unit with this probability:</t>
  </si>
  <si>
    <t>Probability Base line</t>
  </si>
  <si>
    <t>Example:</t>
  </si>
  <si>
    <t>Total bet: 25+50 = 75</t>
  </si>
  <si>
    <t>Player 1</t>
  </si>
  <si>
    <t>Player 2</t>
  </si>
  <si>
    <t>Probability factor correction (PFC): player's bet divided by total bet</t>
  </si>
  <si>
    <t>PFC= 25/75</t>
  </si>
  <si>
    <t>PFC</t>
  </si>
  <si>
    <t>Player's probabilities</t>
  </si>
  <si>
    <t>PFC= 50/75</t>
  </si>
  <si>
    <t>RTP for player 2 is greater than RTP for player 1 because player 2 has bet more in base game.</t>
  </si>
  <si>
    <t>&lt;- this RTP is distributed between players</t>
  </si>
  <si>
    <t>For each shot, draw an extra prize (Table 1) and boss damage (Table 2 and 3 corrected by player's bet). They are independent events.</t>
  </si>
  <si>
    <t>If Boss energy is at least 5 units the probabilities of damages are:</t>
  </si>
  <si>
    <t>The total Boss prize must return to players. The part of this prize won by bots will be added to Leaderboard prizes.</t>
  </si>
  <si>
    <t>Prob. Boss round</t>
  </si>
  <si>
    <t>Special weapons:</t>
  </si>
  <si>
    <t>Shots</t>
  </si>
  <si>
    <t>Avg pay by shot</t>
  </si>
  <si>
    <t>Total avg pay</t>
  </si>
  <si>
    <t>Weights</t>
  </si>
  <si>
    <t>Special weapon 1</t>
  </si>
  <si>
    <t>Special weapon 2</t>
  </si>
  <si>
    <t>Special weapon 3</t>
  </si>
  <si>
    <t>Guarantee knockout (*)</t>
  </si>
  <si>
    <t>(*) avg pay using best strategy</t>
  </si>
  <si>
    <t>Special weapons can be use anytime in base game only.</t>
  </si>
  <si>
    <t>(*) To use in MAIN only. Shots using special weapons are not paid. Each special weapon has a limited number of shots and could be used any time in base game.</t>
  </si>
  <si>
    <t>Avg win</t>
  </si>
  <si>
    <t>Probability of getting a special weapon = 1/60</t>
  </si>
  <si>
    <t>For instance, if player gets a special weapon betting 100 credits, at the moment he decides to use it the prizes must be multiplied by 100. It doesn’t matter if after getting the special weapon he changed the stake.</t>
  </si>
  <si>
    <t>Notes: the number of enemies of each type in each location is irrelevant from the mathematical point of view.</t>
  </si>
  <si>
    <t>If locations act as "levels", it may be interesting to have weak enemies in the first location and add other species in the following locations.</t>
  </si>
  <si>
    <t>If player gets a special weapon then draw which one he gets using the weights in the table below.</t>
  </si>
  <si>
    <t>Scarab black</t>
  </si>
  <si>
    <t>Scarab gold</t>
  </si>
  <si>
    <t>Scarab gem covered</t>
  </si>
  <si>
    <t>Prize</t>
  </si>
  <si>
    <t>Standard Mummy</t>
  </si>
  <si>
    <t>Powerful Pharaoh Mummy A</t>
  </si>
  <si>
    <t>Powerful Pharaoh Mummy B</t>
  </si>
  <si>
    <t>Medium Mummy A</t>
  </si>
  <si>
    <t>Medium Mummy B</t>
  </si>
  <si>
    <t>Medium Mummy C</t>
  </si>
  <si>
    <t>Pays</t>
  </si>
  <si>
    <t>Prize #</t>
  </si>
  <si>
    <t>1 and 2</t>
  </si>
  <si>
    <t>1 and 3</t>
  </si>
  <si>
    <t>2 and 3</t>
  </si>
  <si>
    <t>1, 2 and 3 (*)</t>
  </si>
  <si>
    <t>(*) Total probability is hit rate</t>
  </si>
  <si>
    <t>(*) Enemy killed</t>
  </si>
  <si>
    <t>(Initial state)</t>
  </si>
  <si>
    <t>Awards granted:</t>
  </si>
  <si>
    <t>Prize #1</t>
  </si>
  <si>
    <t>Prize #2</t>
  </si>
  <si>
    <t>Prize #3</t>
  </si>
  <si>
    <t>Medium Mummy B (golden wrist bands and necklace)</t>
  </si>
  <si>
    <t>For each shot with a regular weapon, draw the damage caused using the table according to prizes already granted by enemy that is being shot.</t>
  </si>
  <si>
    <t>SPECIAL WEAPON 2 - Medium Mummy A (golden wrist bands)</t>
  </si>
  <si>
    <t>SPECIAL WEAPON 3 - Medium Mummy A (golden wrist bands)</t>
  </si>
  <si>
    <t>Medium Mummy C (golden boots and wrist bands)</t>
  </si>
  <si>
    <t>SPECIAL WEAPON 1 - Medium Mummy B (golden wrist bands and necklace)</t>
  </si>
  <si>
    <t>SPECIAL WEAPON 2 -Medium Mummy B (golden wrist bands and necklace)</t>
  </si>
  <si>
    <t>SPECIAL WEAPON 3 - Medium Mummy B (golden wrist bands and necklace)</t>
  </si>
  <si>
    <t>SPECIAL WEAPON 1 - Medium Mummy C (golden boots and wrist bands)</t>
  </si>
  <si>
    <t>SPECIAL WEAPON 2 - Medium Mummy C (golden boots and wrist bands)</t>
  </si>
  <si>
    <t>SPECIAL WEAPON 3 - Medium Mummy C (golden boots and wrist bands)</t>
  </si>
  <si>
    <t>Scarabs</t>
  </si>
  <si>
    <t>Powerful Pharaoh Mummy A &amp; B</t>
  </si>
  <si>
    <t>SPECIAL WEAPON 1 - Standard Mummy</t>
  </si>
  <si>
    <t>SPECIAL WEAPON 1 - Scarabs</t>
  </si>
  <si>
    <t>SPECIAL WEAPON 1 - Powerful Pharaoh Mummy A &amp; B</t>
  </si>
  <si>
    <t>SPECIAL WEAPON 2 - Standard Mummy</t>
  </si>
  <si>
    <t>SPECIAL WEAPON 2 - Scarabs</t>
  </si>
  <si>
    <t>SPECIAL WEAPON 2 - Powerful Pharaoh Mummy A &amp; B</t>
  </si>
  <si>
    <t>SPECIAL WEAPON 3 - Standard Mummy</t>
  </si>
  <si>
    <t>SPECIAL WEAPON 3 - Powerful Pharaoh Mummy A &amp; B</t>
  </si>
  <si>
    <t>Each special weapon has its own probabilities of damage for each kind of enemy. Prizes must be multiplied by the stake that triggered the feature.</t>
  </si>
  <si>
    <t>There are different kind of enemies. Each enemy has its own prizes. Stronger enemies grant bigger prizes but are more difficult to kill.</t>
  </si>
  <si>
    <t>For each shot with a special weapon, draw the damage caused using the table according to prizes already granted by enemy that is being shot.</t>
  </si>
  <si>
    <t>Medium Mummy A (golden wrist bands)</t>
  </si>
  <si>
    <t>SPECIAL WEAPON 1 - Medium Mummy A (golden wrist bands)</t>
  </si>
  <si>
    <t>Special weapons description</t>
  </si>
  <si>
    <t xml:space="preserve">Special weapon 2: 1 bomb hitting 5 times.  </t>
  </si>
  <si>
    <t xml:space="preserve">When the bomb is thrown hit the nearest enemy (i.e. draw the damage according to tables for special weapon 2), if that enemy is not defeated then hit him one more time, else hit the following nearest enemy. Repeat 3 more times (total: 5 "shots"). </t>
  </si>
  <si>
    <t>Algorithmically is a sequential process but graphically it is shown as everything ocurring at the same moment.</t>
  </si>
  <si>
    <t>Special weapon 3: every time a player gets special weapon 3 choose at random between a Chain gun or Ricochet.</t>
  </si>
  <si>
    <t>Chain Gun:  10 shots but each shot can be shown as a burst of several bullets. For example, each shot can be replaced by one burst of 10 bullets and this corresponds to only one draw using the probabilities of the tables.</t>
  </si>
  <si>
    <t xml:space="preserve">Ricochet: 5 shots but each shot bounces hitting a second enemy. The second enemy is chosen at random and it is not necessary the same kind of enemy that the player aimed. </t>
  </si>
  <si>
    <t xml:space="preserve">Alternative: when the bomb is thrown hit the 5 nearest enemies (i.e. draw the damage according to tables for special weapon 2 once for each enemy). </t>
  </si>
  <si>
    <t>Player can buy special any special weapons, the price for each weapon is the table below.</t>
  </si>
  <si>
    <t>SPECIAL WEAPON 3 - High Volatility Enemy</t>
  </si>
  <si>
    <t>SPECIAL WEAPON 2 - High Volatility Enemy</t>
  </si>
  <si>
    <t>SPECIAL WEAPON 1 - High Volatility Enemy</t>
  </si>
  <si>
    <t>For each shot with a regular weapon, draw the damage caused using the tables below.</t>
  </si>
  <si>
    <t>Start using table 1 and every 100 shots received change to the following table.</t>
  </si>
  <si>
    <t>High Volatility enemy</t>
  </si>
  <si>
    <t>Note: The probability of defeating the enemy increases from one table to next table (the enemy gets weaker every 100 shots received)</t>
  </si>
  <si>
    <t>Jackpot</t>
  </si>
  <si>
    <t>Avg payout</t>
  </si>
  <si>
    <t>Special weapon 1: double barrelled shotgun</t>
  </si>
  <si>
    <t>Weight</t>
  </si>
  <si>
    <t>Total RTP:</t>
  </si>
  <si>
    <t>Crate price (credits)</t>
  </si>
  <si>
    <t>Avg pay/price</t>
  </si>
  <si>
    <t>Crate content (random):</t>
  </si>
  <si>
    <t>Crate content including Guaranteed knockout (random):</t>
  </si>
  <si>
    <t>Guaranteed knockout</t>
  </si>
  <si>
    <t>In case of including Guranteed knockout in game please use the table below.</t>
  </si>
  <si>
    <t>Max avg pay</t>
  </si>
  <si>
    <t>Min RTP</t>
  </si>
  <si>
    <t>Worst strategy</t>
  </si>
  <si>
    <t>(*) worst strategy is to shoot when there is only one enemy on screen. In this case 4 shots are wasted.</t>
  </si>
  <si>
    <t>Special weapon 3 (Chain gun)</t>
  </si>
  <si>
    <t>Special weapon 3 (Ricochet) (**)</t>
  </si>
  <si>
    <t>(**) worst strategy is to shoot when there is only one enemy on screen. In this case every shot wastes the bounce shot.</t>
  </si>
  <si>
    <t>Guarantee knockout (***)</t>
  </si>
  <si>
    <t>(***) worst strategy is to use it agains an enemy paying only x2 (for example an scarab).</t>
  </si>
  <si>
    <t>When a player gets a GUARANTEE KNOCKOUT he/she can use it only in base game and optimal strategy is to kill a Powerful Pharaoh Mummy with no damage or a HV enemy. The prize is x15 (see table below)</t>
  </si>
  <si>
    <t>If player uses the special weapon in other case (imperfect play) then he/she will get a prize lower than x15.</t>
  </si>
  <si>
    <t>Non optimal strategy</t>
  </si>
  <si>
    <t>HIGH-Volatility Scarab</t>
  </si>
  <si>
    <t>SPECIAL WEAPON 1 - High Volatility Scarab</t>
  </si>
  <si>
    <t>SPECIAL WEAPON 2 - High Volatility Scarab</t>
  </si>
  <si>
    <t>SPECIAL WEAPON 3 - High Volatility Scarab</t>
  </si>
  <si>
    <t>High Volatility Scarab</t>
  </si>
  <si>
    <t>Prize: 80x to be distributed between players according to total bet during triggering round</t>
  </si>
  <si>
    <r>
      <t xml:space="preserve">For each shot in base game with a regular weapon draw if player gets a special weapon or not. </t>
    </r>
    <r>
      <rPr>
        <b/>
        <sz val="11"/>
        <color rgb="FFFF0000"/>
        <rFont val="Calibri"/>
        <family val="2"/>
        <scheme val="minor"/>
      </rPr>
      <t>Except shots at High Volatility Enemy and High Volatility Scarab.</t>
    </r>
  </si>
  <si>
    <t>(*) best strategy</t>
  </si>
  <si>
    <t>HIGH-Volatility Enemy</t>
  </si>
  <si>
    <t>Min avg pay</t>
  </si>
  <si>
    <t xml:space="preserve">As each shot to boss is a bet, the RTP for this bet should be the same as base game (95.5%) to avoid player's strategies. </t>
  </si>
  <si>
    <t>But players are also competing by the Boss prize (100x) which will be distributed according to damage done by each player (or bot).</t>
  </si>
  <si>
    <t>So, each shot can grant an extra prize (Table 1) and cause a damage. The RTP of these shots will be 95.5% plus the RTP from Boss prize.</t>
  </si>
  <si>
    <t>With this numbers the RTP for player 1 is 95.5% due "extra prizes" plus 0.1% due Boss damage.</t>
  </si>
  <si>
    <t>RTP for player 2 is 95.5% due "extra prizes" plus 0.05% due Boss damage.</t>
  </si>
  <si>
    <t>Player 1 has bet 25 EUR in base game.</t>
  </si>
  <si>
    <t>Player 2 has bet 50 EUR in base game.</t>
  </si>
  <si>
    <t>Each energy unit is equivalent to the stake that has triggered the boss round. The boss prize is 100 times the stake that has triggered the boss round (in the same currency).</t>
  </si>
  <si>
    <t>If player A has caused a damage of 15 energy units then player wins a prize of 15 times the triggering stake (it probably needs to be converted to player's currency) plus the extra prizes (in player currency).</t>
  </si>
</sst>
</file>

<file path=xl/styles.xml><?xml version="1.0" encoding="utf-8"?>
<styleSheet xmlns="http://schemas.openxmlformats.org/spreadsheetml/2006/main">
  <numFmts count="10">
    <numFmt numFmtId="164" formatCode="0.0000000"/>
    <numFmt numFmtId="165" formatCode="0.000000"/>
    <numFmt numFmtId="166" formatCode="0.0%"/>
    <numFmt numFmtId="167" formatCode="0.0000"/>
    <numFmt numFmtId="168" formatCode="0.000000000"/>
    <numFmt numFmtId="169" formatCode="0.000"/>
    <numFmt numFmtId="170" formatCode="\x0"/>
    <numFmt numFmtId="171" formatCode="\x0.00"/>
    <numFmt numFmtId="172" formatCode="0.00000"/>
    <numFmt numFmtId="173" formatCode="0.0"/>
  </numFmts>
  <fonts count="10">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b/>
      <sz val="14"/>
      <color theme="0"/>
      <name val="Calibri"/>
      <family val="2"/>
      <scheme val="minor"/>
    </font>
    <font>
      <b/>
      <sz val="14"/>
      <color theme="1"/>
      <name val="Calibri"/>
      <family val="2"/>
      <scheme val="minor"/>
    </font>
    <font>
      <b/>
      <sz val="12"/>
      <color theme="1"/>
      <name val="Calibri"/>
      <family val="2"/>
      <scheme val="minor"/>
    </font>
    <font>
      <sz val="11"/>
      <name val="Calibri"/>
      <family val="2"/>
      <scheme val="minor"/>
    </font>
    <font>
      <sz val="11"/>
      <color rgb="FFFF0000"/>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rgb="FF0070C0"/>
        <bgColor indexed="64"/>
      </patternFill>
    </fill>
    <fill>
      <patternFill patternType="solid">
        <fgColor theme="8"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26">
    <xf numFmtId="0" fontId="0" fillId="0" borderId="0" xfId="0"/>
    <xf numFmtId="0" fontId="0" fillId="0" borderId="1" xfId="0" applyFill="1" applyBorder="1"/>
    <xf numFmtId="0" fontId="0" fillId="0" borderId="0" xfId="0" applyFill="1" applyBorder="1"/>
    <xf numFmtId="0" fontId="0" fillId="0" borderId="0" xfId="0"/>
    <xf numFmtId="0" fontId="3" fillId="0" borderId="0" xfId="0" applyFont="1"/>
    <xf numFmtId="0" fontId="0" fillId="0" borderId="1" xfId="0" applyBorder="1"/>
    <xf numFmtId="166" fontId="0" fillId="0" borderId="1" xfId="1" applyNumberFormat="1" applyFont="1" applyBorder="1"/>
    <xf numFmtId="165" fontId="3" fillId="0" borderId="0" xfId="0" applyNumberFormat="1" applyFont="1" applyBorder="1"/>
    <xf numFmtId="0" fontId="0" fillId="0" borderId="0" xfId="0"/>
    <xf numFmtId="0" fontId="0" fillId="0" borderId="1" xfId="0" applyBorder="1"/>
    <xf numFmtId="0" fontId="3" fillId="0" borderId="1" xfId="0" applyFont="1" applyBorder="1"/>
    <xf numFmtId="0" fontId="3" fillId="0" borderId="0" xfId="0" applyFont="1" applyBorder="1"/>
    <xf numFmtId="165" fontId="3" fillId="0" borderId="1" xfId="0" applyNumberFormat="1" applyFont="1" applyBorder="1"/>
    <xf numFmtId="0" fontId="2" fillId="2" borderId="1" xfId="0" applyFont="1" applyFill="1" applyBorder="1"/>
    <xf numFmtId="164" fontId="3" fillId="0" borderId="1" xfId="0" applyNumberFormat="1" applyFont="1" applyBorder="1"/>
    <xf numFmtId="0" fontId="0" fillId="0" borderId="2" xfId="0" applyFill="1" applyBorder="1"/>
    <xf numFmtId="0" fontId="0" fillId="0" borderId="0" xfId="0"/>
    <xf numFmtId="0" fontId="3" fillId="0" borderId="3" xfId="0" applyFont="1" applyBorder="1"/>
    <xf numFmtId="0" fontId="3" fillId="0" borderId="4" xfId="0" applyFont="1" applyBorder="1" applyAlignment="1">
      <alignment horizontal="center"/>
    </xf>
    <xf numFmtId="0" fontId="3" fillId="0" borderId="0" xfId="0" applyFont="1" applyBorder="1" applyAlignment="1">
      <alignment horizontal="center"/>
    </xf>
    <xf numFmtId="0" fontId="2" fillId="2" borderId="1" xfId="0" applyFont="1" applyFill="1" applyBorder="1" applyAlignment="1">
      <alignment horizontal="center"/>
    </xf>
    <xf numFmtId="0" fontId="0" fillId="0" borderId="0" xfId="0"/>
    <xf numFmtId="0" fontId="3" fillId="0" borderId="0" xfId="0" applyFont="1"/>
    <xf numFmtId="0" fontId="0" fillId="0" borderId="1" xfId="0" applyBorder="1"/>
    <xf numFmtId="0" fontId="3" fillId="0" borderId="1" xfId="0" applyFont="1" applyBorder="1"/>
    <xf numFmtId="0" fontId="3" fillId="0" borderId="0" xfId="0" applyFont="1" applyBorder="1"/>
    <xf numFmtId="0" fontId="2" fillId="2" borderId="1" xfId="0" applyFont="1" applyFill="1" applyBorder="1"/>
    <xf numFmtId="0" fontId="0" fillId="0" borderId="0" xfId="0" applyAlignment="1">
      <alignment horizontal="center"/>
    </xf>
    <xf numFmtId="164" fontId="0" fillId="0" borderId="0" xfId="0" applyNumberFormat="1"/>
    <xf numFmtId="2" fontId="0" fillId="0" borderId="0" xfId="0" applyNumberFormat="1"/>
    <xf numFmtId="10" fontId="2" fillId="2" borderId="1" xfId="1" applyNumberFormat="1" applyFont="1" applyFill="1" applyBorder="1"/>
    <xf numFmtId="0" fontId="0" fillId="0" borderId="1" xfId="0" applyFill="1" applyBorder="1"/>
    <xf numFmtId="169"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0" fillId="0" borderId="0" xfId="0" applyAlignment="1">
      <alignment horizontal="center"/>
    </xf>
    <xf numFmtId="0" fontId="0" fillId="0" borderId="0" xfId="0" applyBorder="1" applyAlignment="1">
      <alignment horizontal="center"/>
    </xf>
    <xf numFmtId="164" fontId="0" fillId="0" borderId="1" xfId="1" applyNumberFormat="1" applyFont="1" applyFill="1" applyBorder="1"/>
    <xf numFmtId="0" fontId="0" fillId="0" borderId="1" xfId="0" applyBorder="1"/>
    <xf numFmtId="0" fontId="0" fillId="0" borderId="1" xfId="0" applyBorder="1"/>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164" fontId="3" fillId="0" borderId="1" xfId="0" applyNumberFormat="1" applyFont="1" applyBorder="1"/>
    <xf numFmtId="0" fontId="2" fillId="2" borderId="1" xfId="0" applyFont="1" applyFill="1" applyBorder="1" applyAlignment="1">
      <alignment horizontal="center"/>
    </xf>
    <xf numFmtId="0" fontId="0" fillId="0" borderId="0" xfId="0"/>
    <xf numFmtId="0" fontId="0" fillId="0" borderId="1" xfId="0" applyFill="1" applyBorder="1"/>
    <xf numFmtId="0" fontId="0" fillId="0" borderId="0" xfId="0" applyFill="1" applyBorder="1"/>
    <xf numFmtId="0" fontId="3" fillId="0" borderId="0" xfId="0" applyFont="1"/>
    <xf numFmtId="0" fontId="0" fillId="0" borderId="1" xfId="0" applyBorder="1"/>
    <xf numFmtId="0" fontId="2" fillId="2" borderId="1" xfId="0" applyFont="1" applyFill="1" applyBorder="1"/>
    <xf numFmtId="165" fontId="3" fillId="0" borderId="0" xfId="0" applyNumberFormat="1" applyFont="1" applyBorder="1"/>
    <xf numFmtId="0" fontId="3" fillId="0" borderId="1" xfId="0" applyFont="1" applyBorder="1"/>
    <xf numFmtId="0" fontId="0" fillId="0" borderId="2" xfId="0" applyFill="1" applyBorder="1"/>
    <xf numFmtId="16" fontId="0" fillId="0" borderId="0" xfId="0" applyNumberFormat="1"/>
    <xf numFmtId="0" fontId="4" fillId="0" borderId="0" xfId="0" applyFont="1"/>
    <xf numFmtId="0" fontId="3" fillId="0" borderId="0" xfId="0" applyFont="1" applyBorder="1"/>
    <xf numFmtId="165" fontId="3" fillId="0" borderId="1" xfId="0" applyNumberFormat="1" applyFont="1" applyBorder="1"/>
    <xf numFmtId="2" fontId="0" fillId="0" borderId="0" xfId="0" applyNumberFormat="1"/>
    <xf numFmtId="168" fontId="3" fillId="0" borderId="1" xfId="0" applyNumberFormat="1" applyFont="1" applyBorder="1"/>
    <xf numFmtId="1" fontId="0" fillId="0" borderId="1" xfId="0" applyNumberFormat="1" applyFill="1" applyBorder="1"/>
    <xf numFmtId="0" fontId="3" fillId="0" borderId="5" xfId="0" applyFont="1" applyBorder="1"/>
    <xf numFmtId="0" fontId="3" fillId="0" borderId="6" xfId="0" applyFont="1" applyBorder="1"/>
    <xf numFmtId="0" fontId="3" fillId="0" borderId="7" xfId="0" applyFont="1" applyBorder="1"/>
    <xf numFmtId="0" fontId="0" fillId="0" borderId="8"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3" xfId="0" applyBorder="1"/>
    <xf numFmtId="2" fontId="0" fillId="0" borderId="4" xfId="0" applyNumberFormat="1" applyBorder="1"/>
    <xf numFmtId="0" fontId="3" fillId="0" borderId="1" xfId="0" applyFont="1" applyFill="1" applyBorder="1"/>
    <xf numFmtId="170" fontId="0" fillId="0" borderId="1" xfId="0" applyNumberFormat="1" applyBorder="1"/>
    <xf numFmtId="171" fontId="0" fillId="0" borderId="1" xfId="0" applyNumberFormat="1" applyBorder="1"/>
    <xf numFmtId="171" fontId="3" fillId="0" borderId="1" xfId="0" applyNumberFormat="1" applyFont="1" applyBorder="1"/>
    <xf numFmtId="0" fontId="0" fillId="0" borderId="1" xfId="0" applyBorder="1" applyAlignment="1">
      <alignment horizontal="right"/>
    </xf>
    <xf numFmtId="0" fontId="0" fillId="0" borderId="1" xfId="0" applyFill="1" applyBorder="1" applyAlignment="1">
      <alignment horizontal="right"/>
    </xf>
    <xf numFmtId="168" fontId="0" fillId="0" borderId="0" xfId="0" applyNumberFormat="1"/>
    <xf numFmtId="172" fontId="0" fillId="0" borderId="0" xfId="0" applyNumberFormat="1"/>
    <xf numFmtId="164" fontId="0" fillId="0" borderId="1" xfId="0" applyNumberFormat="1" applyFill="1" applyBorder="1"/>
    <xf numFmtId="0" fontId="7" fillId="0" borderId="0" xfId="0" applyFont="1"/>
    <xf numFmtId="0" fontId="0" fillId="0" borderId="0" xfId="0" applyNumberFormat="1"/>
    <xf numFmtId="0" fontId="3" fillId="0" borderId="13" xfId="0" applyFont="1" applyFill="1" applyBorder="1" applyAlignment="1">
      <alignment horizontal="center"/>
    </xf>
    <xf numFmtId="164" fontId="8" fillId="0" borderId="1" xfId="1" applyNumberFormat="1" applyFont="1" applyFill="1" applyBorder="1"/>
    <xf numFmtId="169" fontId="0" fillId="0" borderId="1" xfId="0" applyNumberFormat="1" applyFill="1" applyBorder="1"/>
    <xf numFmtId="0" fontId="8" fillId="0" borderId="1" xfId="0" applyFont="1" applyBorder="1"/>
    <xf numFmtId="0" fontId="8" fillId="0" borderId="1" xfId="0" applyFont="1" applyFill="1" applyBorder="1"/>
    <xf numFmtId="0" fontId="0" fillId="0" borderId="11" xfId="0" applyFill="1" applyBorder="1"/>
    <xf numFmtId="0" fontId="0" fillId="0" borderId="14" xfId="0" applyBorder="1"/>
    <xf numFmtId="0" fontId="0" fillId="0" borderId="15" xfId="0" applyBorder="1"/>
    <xf numFmtId="0" fontId="3" fillId="0" borderId="3" xfId="0" applyFont="1" applyFill="1" applyBorder="1"/>
    <xf numFmtId="0" fontId="3" fillId="0" borderId="17" xfId="0" applyFont="1" applyBorder="1"/>
    <xf numFmtId="167" fontId="3" fillId="0" borderId="17" xfId="1" applyNumberFormat="1" applyFont="1" applyBorder="1"/>
    <xf numFmtId="0" fontId="3" fillId="0" borderId="16" xfId="0" applyFont="1" applyBorder="1"/>
    <xf numFmtId="0" fontId="3" fillId="0" borderId="4" xfId="0" applyFont="1" applyBorder="1"/>
    <xf numFmtId="0" fontId="3" fillId="0" borderId="0" xfId="0" applyFont="1" applyFill="1" applyBorder="1"/>
    <xf numFmtId="10" fontId="3" fillId="0" borderId="0" xfId="1" applyNumberFormat="1" applyFont="1"/>
    <xf numFmtId="173" fontId="0" fillId="0" borderId="14" xfId="1" applyNumberFormat="1" applyFont="1" applyBorder="1"/>
    <xf numFmtId="173" fontId="0" fillId="0" borderId="15" xfId="1" applyNumberFormat="1" applyFont="1" applyBorder="1"/>
    <xf numFmtId="0" fontId="0" fillId="0" borderId="5" xfId="0" applyBorder="1"/>
    <xf numFmtId="0" fontId="0" fillId="0" borderId="6" xfId="0" applyBorder="1"/>
    <xf numFmtId="0" fontId="0" fillId="0" borderId="7" xfId="0" applyBorder="1"/>
    <xf numFmtId="0" fontId="0" fillId="0" borderId="13" xfId="0" applyBorder="1"/>
    <xf numFmtId="173" fontId="0" fillId="0" borderId="13" xfId="1" applyNumberFormat="1" applyFont="1" applyBorder="1"/>
    <xf numFmtId="0" fontId="0" fillId="0" borderId="6" xfId="0" applyFill="1" applyBorder="1"/>
    <xf numFmtId="0" fontId="0" fillId="0" borderId="0" xfId="0" applyAlignment="1">
      <alignment horizontal="right"/>
    </xf>
    <xf numFmtId="0" fontId="8" fillId="0" borderId="0" xfId="0" applyFont="1" applyBorder="1"/>
    <xf numFmtId="0" fontId="8" fillId="0" borderId="9" xfId="0" applyFont="1" applyBorder="1"/>
    <xf numFmtId="0" fontId="8" fillId="0" borderId="12" xfId="0" applyFont="1" applyBorder="1"/>
    <xf numFmtId="0" fontId="8" fillId="0" borderId="0" xfId="0" applyFont="1"/>
    <xf numFmtId="166" fontId="8" fillId="0" borderId="1" xfId="1" applyNumberFormat="1" applyFont="1" applyBorder="1"/>
    <xf numFmtId="2" fontId="0" fillId="0" borderId="1" xfId="0" applyNumberFormat="1" applyBorder="1"/>
    <xf numFmtId="10" fontId="2" fillId="2" borderId="1" xfId="0" applyNumberFormat="1" applyFont="1" applyFill="1" applyBorder="1"/>
    <xf numFmtId="0" fontId="8" fillId="0" borderId="0" xfId="0" applyFont="1" applyFill="1" applyBorder="1"/>
    <xf numFmtId="0" fontId="8" fillId="0" borderId="11" xfId="0" applyFont="1" applyBorder="1"/>
    <xf numFmtId="172" fontId="0" fillId="0" borderId="1" xfId="1" applyNumberFormat="1" applyFont="1" applyFill="1" applyBorder="1"/>
    <xf numFmtId="165" fontId="0" fillId="0" borderId="1" xfId="1" applyNumberFormat="1" applyFont="1" applyFill="1" applyBorder="1"/>
    <xf numFmtId="0" fontId="9" fillId="0" borderId="0" xfId="0" applyFont="1"/>
    <xf numFmtId="0" fontId="5" fillId="3" borderId="0" xfId="0" applyFont="1" applyFill="1" applyAlignment="1">
      <alignment horizontal="center"/>
    </xf>
    <xf numFmtId="0" fontId="6" fillId="4" borderId="0" xfId="0" applyFont="1" applyFill="1" applyAlignment="1">
      <alignment horizontal="center"/>
    </xf>
    <xf numFmtId="168" fontId="8" fillId="0" borderId="1" xfId="0" applyNumberFormat="1" applyFont="1" applyBorder="1"/>
  </cellXfs>
  <cellStyles count="2">
    <cellStyle name="Normal" xfId="0" builtinId="0"/>
    <cellStyle name="Porcentual"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dimension ref="A1:G53"/>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3" t="s">
        <v>150</v>
      </c>
      <c r="B1" s="123"/>
      <c r="C1" s="123"/>
      <c r="D1" s="123"/>
      <c r="E1" s="123"/>
    </row>
    <row r="2" spans="1:7">
      <c r="A2" s="59" t="s">
        <v>123</v>
      </c>
    </row>
    <row r="3" spans="1:7">
      <c r="A3" s="59" t="s">
        <v>124</v>
      </c>
    </row>
    <row r="4" spans="1:7">
      <c r="A4" s="59" t="s">
        <v>126</v>
      </c>
    </row>
    <row r="5" spans="1:7">
      <c r="A5" s="59"/>
    </row>
    <row r="6" spans="1:7">
      <c r="A6" s="59"/>
    </row>
    <row r="8" spans="1:7">
      <c r="A8" s="52" t="s">
        <v>9</v>
      </c>
      <c r="B8" s="54" t="s">
        <v>73</v>
      </c>
      <c r="C8" s="54" t="s">
        <v>10</v>
      </c>
      <c r="D8" s="54" t="s">
        <v>18</v>
      </c>
      <c r="E8" s="54" t="s">
        <v>8</v>
      </c>
      <c r="F8" s="54" t="s">
        <v>128</v>
      </c>
    </row>
    <row r="9" spans="1:7">
      <c r="B9" s="81">
        <v>1</v>
      </c>
      <c r="C9" s="88">
        <v>6.25E-2</v>
      </c>
      <c r="D9" s="50">
        <f>+SUM($C$9:C9)</f>
        <v>6.25E-2</v>
      </c>
      <c r="E9" s="50">
        <f>+Summary!K36</f>
        <v>2</v>
      </c>
      <c r="F9" s="50">
        <f>+C9*E9</f>
        <v>0.125</v>
      </c>
    </row>
    <row r="10" spans="1:7">
      <c r="B10" s="81">
        <v>2</v>
      </c>
      <c r="C10" s="88">
        <v>2.5000000000000001E-2</v>
      </c>
      <c r="D10" s="50">
        <f>+SUM($C$9:C10)</f>
        <v>8.7499999999999994E-2</v>
      </c>
      <c r="E10" s="50">
        <f>+Summary!K37</f>
        <v>5</v>
      </c>
      <c r="F10" s="50">
        <f t="shared" ref="F10:F15" si="0">+C10*E10</f>
        <v>0.125</v>
      </c>
    </row>
    <row r="11" spans="1:7">
      <c r="B11" s="81">
        <v>3</v>
      </c>
      <c r="C11" s="88">
        <v>5.0000000000000001E-3</v>
      </c>
      <c r="D11" s="50">
        <f>+SUM($C$9:C11)</f>
        <v>9.2499999999999999E-2</v>
      </c>
      <c r="E11" s="50">
        <f>+Summary!K38</f>
        <v>10</v>
      </c>
      <c r="F11" s="50">
        <f t="shared" si="0"/>
        <v>0.05</v>
      </c>
    </row>
    <row r="12" spans="1:7">
      <c r="B12" s="81">
        <v>4</v>
      </c>
      <c r="C12" s="88">
        <v>5.0000000000000001E-3</v>
      </c>
      <c r="D12" s="50">
        <f>+SUM($C$9:C12)</f>
        <v>9.7500000000000003E-2</v>
      </c>
      <c r="E12" s="50">
        <f>+Summary!K39</f>
        <v>15</v>
      </c>
      <c r="F12" s="50">
        <f t="shared" si="0"/>
        <v>7.4999999999999997E-2</v>
      </c>
    </row>
    <row r="13" spans="1:7">
      <c r="B13" s="81">
        <v>5</v>
      </c>
      <c r="C13" s="88">
        <v>4.0000000000000001E-3</v>
      </c>
      <c r="D13" s="50">
        <f>+SUM($C$9:C13)</f>
        <v>0.10150000000000001</v>
      </c>
      <c r="E13" s="50">
        <f>+Summary!K40</f>
        <v>20</v>
      </c>
      <c r="F13" s="50">
        <f t="shared" si="0"/>
        <v>0.08</v>
      </c>
    </row>
    <row r="14" spans="1:7">
      <c r="B14" s="81">
        <v>6</v>
      </c>
      <c r="C14" s="88">
        <v>4.0000000000000001E-3</v>
      </c>
      <c r="D14" s="50">
        <f>+SUM($C$9:C14)</f>
        <v>0.10550000000000001</v>
      </c>
      <c r="E14" s="50">
        <f>+Summary!K41</f>
        <v>50</v>
      </c>
      <c r="F14" s="50">
        <f t="shared" si="0"/>
        <v>0.2</v>
      </c>
    </row>
    <row r="15" spans="1:7">
      <c r="B15" s="81">
        <v>7</v>
      </c>
      <c r="C15" s="88">
        <v>3.0000000000000001E-3</v>
      </c>
      <c r="D15" s="50">
        <f>+SUM($C$9:C15)</f>
        <v>0.10850000000000001</v>
      </c>
      <c r="E15" s="50">
        <f>+Summary!K42</f>
        <v>100</v>
      </c>
      <c r="F15" s="50">
        <f t="shared" si="0"/>
        <v>0.3</v>
      </c>
      <c r="G15" s="49" t="s">
        <v>79</v>
      </c>
    </row>
    <row r="16" spans="1:7">
      <c r="B16" s="56" t="s">
        <v>11</v>
      </c>
      <c r="C16" s="56">
        <f>+SUM(C9:C15)</f>
        <v>0.10850000000000001</v>
      </c>
      <c r="D16" s="56"/>
      <c r="E16" s="56"/>
      <c r="F16" s="47">
        <f>+SUM(F9:F15)</f>
        <v>0.95500000000000007</v>
      </c>
    </row>
    <row r="17" spans="1:7">
      <c r="B17" s="57" t="s">
        <v>78</v>
      </c>
    </row>
    <row r="20" spans="1:7">
      <c r="A20" s="52" t="s">
        <v>12</v>
      </c>
      <c r="B20" s="54" t="s">
        <v>73</v>
      </c>
      <c r="C20" s="54" t="s">
        <v>10</v>
      </c>
      <c r="D20" s="54" t="s">
        <v>18</v>
      </c>
      <c r="E20" s="54" t="s">
        <v>8</v>
      </c>
      <c r="F20" s="54" t="s">
        <v>128</v>
      </c>
    </row>
    <row r="21" spans="1:7">
      <c r="B21" s="81">
        <v>1</v>
      </c>
      <c r="C21" s="88">
        <v>7.4999999999999997E-2</v>
      </c>
      <c r="D21" s="89">
        <f>+SUM($C$21:C21)</f>
        <v>7.4999999999999997E-2</v>
      </c>
      <c r="E21" s="50">
        <f>+Summary!K36</f>
        <v>2</v>
      </c>
      <c r="F21" s="50">
        <f>+C21*E21</f>
        <v>0.15</v>
      </c>
    </row>
    <row r="22" spans="1:7">
      <c r="B22" s="81">
        <v>2</v>
      </c>
      <c r="C22" s="88">
        <v>2.1999999999999999E-2</v>
      </c>
      <c r="D22" s="89">
        <f>+SUM($C$21:C22)</f>
        <v>9.7000000000000003E-2</v>
      </c>
      <c r="E22" s="50">
        <f>+Summary!K37</f>
        <v>5</v>
      </c>
      <c r="F22" s="50">
        <f t="shared" ref="F22:F27" si="1">+C22*E22</f>
        <v>0.10999999999999999</v>
      </c>
    </row>
    <row r="23" spans="1:7">
      <c r="B23" s="81">
        <v>3</v>
      </c>
      <c r="C23" s="88">
        <v>4.0000000000000001E-3</v>
      </c>
      <c r="D23" s="89">
        <f>+SUM($C$21:C23)</f>
        <v>0.10100000000000001</v>
      </c>
      <c r="E23" s="50">
        <f>+Summary!K38</f>
        <v>10</v>
      </c>
      <c r="F23" s="50">
        <f t="shared" si="1"/>
        <v>0.04</v>
      </c>
    </row>
    <row r="24" spans="1:7">
      <c r="B24" s="81">
        <v>4</v>
      </c>
      <c r="C24" s="88">
        <v>3.0000000000000001E-3</v>
      </c>
      <c r="D24" s="89">
        <f>+SUM($C$21:C24)</f>
        <v>0.10400000000000001</v>
      </c>
      <c r="E24" s="50">
        <f>+Summary!K39</f>
        <v>15</v>
      </c>
      <c r="F24" s="50">
        <f t="shared" si="1"/>
        <v>4.4999999999999998E-2</v>
      </c>
    </row>
    <row r="25" spans="1:7">
      <c r="B25" s="81">
        <v>5</v>
      </c>
      <c r="C25" s="88">
        <v>3.0000000000000001E-3</v>
      </c>
      <c r="D25" s="89">
        <f>+SUM($C$21:C25)</f>
        <v>0.10700000000000001</v>
      </c>
      <c r="E25" s="50">
        <f>+Summary!K40</f>
        <v>20</v>
      </c>
      <c r="F25" s="50">
        <f t="shared" si="1"/>
        <v>0.06</v>
      </c>
    </row>
    <row r="26" spans="1:7">
      <c r="B26" s="81">
        <v>6</v>
      </c>
      <c r="C26" s="88">
        <v>1E-3</v>
      </c>
      <c r="D26" s="89">
        <f>+SUM($C$21:C26)</f>
        <v>0.10800000000000001</v>
      </c>
      <c r="E26" s="50">
        <f>+Summary!K41</f>
        <v>50</v>
      </c>
      <c r="F26" s="50">
        <f t="shared" si="1"/>
        <v>0.05</v>
      </c>
    </row>
    <row r="27" spans="1:7">
      <c r="B27" s="81">
        <v>7</v>
      </c>
      <c r="C27" s="88">
        <v>5.0000000000000001E-3</v>
      </c>
      <c r="D27" s="89">
        <f>+SUM($C$21:C27)</f>
        <v>0.11300000000000002</v>
      </c>
      <c r="E27" s="50">
        <f>+Summary!K42</f>
        <v>100</v>
      </c>
      <c r="F27" s="50">
        <f t="shared" si="1"/>
        <v>0.5</v>
      </c>
      <c r="G27" s="49" t="s">
        <v>79</v>
      </c>
    </row>
    <row r="28" spans="1:7">
      <c r="B28" s="56" t="s">
        <v>11</v>
      </c>
      <c r="C28" s="56">
        <f>+SUM(C21:C27)</f>
        <v>0.11300000000000002</v>
      </c>
      <c r="D28" s="56"/>
      <c r="E28" s="56"/>
      <c r="F28" s="47">
        <f>+SUM(F21:F27)</f>
        <v>0.95499999999999996</v>
      </c>
    </row>
    <row r="29" spans="1:7">
      <c r="B29" s="57" t="s">
        <v>78</v>
      </c>
    </row>
    <row r="32" spans="1:7">
      <c r="A32" s="52" t="s">
        <v>13</v>
      </c>
      <c r="B32" s="54" t="s">
        <v>73</v>
      </c>
      <c r="C32" s="54" t="s">
        <v>10</v>
      </c>
      <c r="D32" s="54" t="s">
        <v>18</v>
      </c>
      <c r="E32" s="54" t="s">
        <v>8</v>
      </c>
      <c r="F32" s="54" t="s">
        <v>128</v>
      </c>
    </row>
    <row r="33" spans="1:7">
      <c r="B33" s="81">
        <v>1</v>
      </c>
      <c r="C33" s="88">
        <v>5.5E-2</v>
      </c>
      <c r="D33" s="89">
        <f>+SUM($C$33:C33)</f>
        <v>5.5E-2</v>
      </c>
      <c r="E33" s="50">
        <f>+Summary!K36</f>
        <v>2</v>
      </c>
      <c r="F33" s="50">
        <f>+C33*E33</f>
        <v>0.11</v>
      </c>
    </row>
    <row r="34" spans="1:7">
      <c r="B34" s="81">
        <v>2</v>
      </c>
      <c r="C34" s="88">
        <v>0.01</v>
      </c>
      <c r="D34" s="89">
        <f>+SUM($C$33:C34)</f>
        <v>6.5000000000000002E-2</v>
      </c>
      <c r="E34" s="50">
        <f>+Summary!K37</f>
        <v>5</v>
      </c>
      <c r="F34" s="50">
        <f t="shared" ref="F34:F39" si="2">+C34*E34</f>
        <v>0.05</v>
      </c>
    </row>
    <row r="35" spans="1:7">
      <c r="B35" s="81">
        <v>3</v>
      </c>
      <c r="C35" s="88">
        <v>1E-3</v>
      </c>
      <c r="D35" s="89">
        <f>+SUM($C$33:C35)</f>
        <v>6.6000000000000003E-2</v>
      </c>
      <c r="E35" s="50">
        <f>+Summary!K38</f>
        <v>10</v>
      </c>
      <c r="F35" s="50">
        <f t="shared" si="2"/>
        <v>0.01</v>
      </c>
    </row>
    <row r="36" spans="1:7">
      <c r="B36" s="81">
        <v>4</v>
      </c>
      <c r="C36" s="88">
        <v>1E-3</v>
      </c>
      <c r="D36" s="89">
        <f>+SUM($C$33:C36)</f>
        <v>6.7000000000000004E-2</v>
      </c>
      <c r="E36" s="50">
        <f>+Summary!K39</f>
        <v>15</v>
      </c>
      <c r="F36" s="50">
        <f t="shared" si="2"/>
        <v>1.4999999999999999E-2</v>
      </c>
    </row>
    <row r="37" spans="1:7">
      <c r="B37" s="81">
        <v>5</v>
      </c>
      <c r="C37" s="88">
        <v>1E-3</v>
      </c>
      <c r="D37" s="89">
        <f>+SUM($C$33:C37)</f>
        <v>6.8000000000000005E-2</v>
      </c>
      <c r="E37" s="50">
        <f>+Summary!K40</f>
        <v>20</v>
      </c>
      <c r="F37" s="50">
        <f t="shared" si="2"/>
        <v>0.02</v>
      </c>
    </row>
    <row r="38" spans="1:7">
      <c r="B38" s="81">
        <v>6</v>
      </c>
      <c r="C38" s="88">
        <v>1E-3</v>
      </c>
      <c r="D38" s="89">
        <f>+SUM($C$33:C38)</f>
        <v>6.9000000000000006E-2</v>
      </c>
      <c r="E38" s="50">
        <f>+Summary!K41</f>
        <v>50</v>
      </c>
      <c r="F38" s="50">
        <f t="shared" si="2"/>
        <v>0.05</v>
      </c>
    </row>
    <row r="39" spans="1:7">
      <c r="B39" s="81">
        <v>7</v>
      </c>
      <c r="C39" s="88">
        <v>7.0000000000000001E-3</v>
      </c>
      <c r="D39" s="89">
        <f>+SUM($C$33:C39)</f>
        <v>7.6000000000000012E-2</v>
      </c>
      <c r="E39" s="50">
        <f>+Summary!K42</f>
        <v>100</v>
      </c>
      <c r="F39" s="50">
        <f t="shared" si="2"/>
        <v>0.70000000000000007</v>
      </c>
      <c r="G39" s="49" t="s">
        <v>79</v>
      </c>
    </row>
    <row r="40" spans="1:7">
      <c r="B40" s="56" t="s">
        <v>11</v>
      </c>
      <c r="C40" s="47">
        <f>+SUM(C33:C39)</f>
        <v>7.6000000000000012E-2</v>
      </c>
      <c r="D40" s="56"/>
      <c r="E40" s="56"/>
      <c r="F40" s="47">
        <f>+SUM(F33:F39)</f>
        <v>0.95500000000000007</v>
      </c>
    </row>
    <row r="41" spans="1:7">
      <c r="B41" s="57" t="s">
        <v>78</v>
      </c>
    </row>
    <row r="44" spans="1:7">
      <c r="A44" s="52" t="s">
        <v>14</v>
      </c>
      <c r="B44" s="54" t="s">
        <v>73</v>
      </c>
      <c r="C44" s="54" t="s">
        <v>10</v>
      </c>
      <c r="D44" s="54" t="s">
        <v>18</v>
      </c>
      <c r="E44" s="54" t="s">
        <v>8</v>
      </c>
      <c r="F44" s="54" t="s">
        <v>128</v>
      </c>
    </row>
    <row r="45" spans="1:7">
      <c r="B45" s="81">
        <v>1</v>
      </c>
      <c r="C45" s="88">
        <v>6.25E-2</v>
      </c>
      <c r="D45" s="89">
        <f>+SUM($C$45:C45)</f>
        <v>6.25E-2</v>
      </c>
      <c r="E45" s="50">
        <f>+Summary!K36</f>
        <v>2</v>
      </c>
      <c r="F45" s="50">
        <f>+C45*E45</f>
        <v>0.125</v>
      </c>
    </row>
    <row r="46" spans="1:7">
      <c r="B46" s="81">
        <v>2</v>
      </c>
      <c r="C46" s="88">
        <v>1E-3</v>
      </c>
      <c r="D46" s="89">
        <f>+SUM($C$45:C46)</f>
        <v>6.3500000000000001E-2</v>
      </c>
      <c r="E46" s="50">
        <f>+Summary!K37</f>
        <v>5</v>
      </c>
      <c r="F46" s="50">
        <f t="shared" ref="F46:F51" si="3">+C46*E46</f>
        <v>5.0000000000000001E-3</v>
      </c>
    </row>
    <row r="47" spans="1:7">
      <c r="B47" s="81">
        <v>3</v>
      </c>
      <c r="C47" s="88">
        <v>1E-3</v>
      </c>
      <c r="D47" s="89">
        <f>+SUM($C$45:C47)</f>
        <v>6.4500000000000002E-2</v>
      </c>
      <c r="E47" s="50">
        <f>+Summary!K38</f>
        <v>10</v>
      </c>
      <c r="F47" s="50">
        <f t="shared" si="3"/>
        <v>0.01</v>
      </c>
    </row>
    <row r="48" spans="1:7">
      <c r="B48" s="81">
        <v>4</v>
      </c>
      <c r="C48" s="88">
        <v>1E-3</v>
      </c>
      <c r="D48" s="89">
        <f>+SUM($C$45:C48)</f>
        <v>6.5500000000000003E-2</v>
      </c>
      <c r="E48" s="50">
        <f>+Summary!K39</f>
        <v>15</v>
      </c>
      <c r="F48" s="50">
        <f t="shared" si="3"/>
        <v>1.4999999999999999E-2</v>
      </c>
    </row>
    <row r="49" spans="2:7">
      <c r="B49" s="81">
        <v>5</v>
      </c>
      <c r="C49" s="88">
        <v>0</v>
      </c>
      <c r="D49" s="89">
        <f>+SUM($C$45:C49)</f>
        <v>6.5500000000000003E-2</v>
      </c>
      <c r="E49" s="50">
        <f>+Summary!K40</f>
        <v>20</v>
      </c>
      <c r="F49" s="50">
        <f t="shared" si="3"/>
        <v>0</v>
      </c>
    </row>
    <row r="50" spans="2:7">
      <c r="B50" s="81">
        <v>6</v>
      </c>
      <c r="C50" s="88">
        <v>0</v>
      </c>
      <c r="D50" s="89">
        <f>+SUM($C$45:C50)</f>
        <v>6.5500000000000003E-2</v>
      </c>
      <c r="E50" s="50">
        <f>+Summary!K41</f>
        <v>50</v>
      </c>
      <c r="F50" s="50">
        <f t="shared" si="3"/>
        <v>0</v>
      </c>
    </row>
    <row r="51" spans="2:7">
      <c r="B51" s="81">
        <v>7</v>
      </c>
      <c r="C51" s="88">
        <v>8.0000000000000002E-3</v>
      </c>
      <c r="D51" s="89">
        <f>+SUM($C$45:C51)</f>
        <v>7.350000000000001E-2</v>
      </c>
      <c r="E51" s="50">
        <f>+Summary!K42</f>
        <v>100</v>
      </c>
      <c r="F51" s="50">
        <f t="shared" si="3"/>
        <v>0.8</v>
      </c>
      <c r="G51" s="49" t="s">
        <v>79</v>
      </c>
    </row>
    <row r="52" spans="2:7">
      <c r="B52" s="56" t="s">
        <v>11</v>
      </c>
      <c r="C52" s="56">
        <f>+SUM(C45:C51)</f>
        <v>7.350000000000001E-2</v>
      </c>
      <c r="D52" s="56"/>
      <c r="E52" s="56"/>
      <c r="F52" s="47">
        <f>+SUM(F45:F51)</f>
        <v>0.95500000000000007</v>
      </c>
    </row>
    <row r="53" spans="2:7">
      <c r="B53" s="57" t="s">
        <v>78</v>
      </c>
    </row>
  </sheetData>
  <mergeCells count="1">
    <mergeCell ref="A1:E1"/>
  </mergeCells>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dimension ref="A1:G53"/>
  <sheetViews>
    <sheetView topLeftCell="A28" workbookViewId="0">
      <selection activeCell="E45" sqref="E45:E5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3" t="s">
        <v>151</v>
      </c>
      <c r="B1" s="123"/>
      <c r="C1" s="123"/>
      <c r="D1" s="123"/>
      <c r="E1" s="123"/>
    </row>
    <row r="2" spans="1:7">
      <c r="A2" s="59" t="s">
        <v>123</v>
      </c>
    </row>
    <row r="3" spans="1:7">
      <c r="A3" s="59" t="s">
        <v>124</v>
      </c>
    </row>
    <row r="4" spans="1:7">
      <c r="A4" s="59" t="s">
        <v>126</v>
      </c>
    </row>
    <row r="5" spans="1:7">
      <c r="A5" s="59"/>
    </row>
    <row r="8" spans="1:7">
      <c r="A8" s="52" t="s">
        <v>9</v>
      </c>
      <c r="B8" s="54" t="s">
        <v>73</v>
      </c>
      <c r="C8" s="54" t="s">
        <v>10</v>
      </c>
      <c r="D8" s="54" t="s">
        <v>18</v>
      </c>
      <c r="E8" s="54" t="s">
        <v>8</v>
      </c>
      <c r="F8" s="54" t="s">
        <v>128</v>
      </c>
    </row>
    <row r="9" spans="1:7">
      <c r="B9" s="81">
        <v>1</v>
      </c>
      <c r="C9" s="88">
        <v>0.18</v>
      </c>
      <c r="D9" s="50">
        <f>+SUM($C$9:C9)</f>
        <v>0.18</v>
      </c>
      <c r="E9" s="50">
        <f>+Summary!K36</f>
        <v>2</v>
      </c>
      <c r="F9" s="50">
        <f>+C9*E9</f>
        <v>0.36</v>
      </c>
    </row>
    <row r="10" spans="1:7">
      <c r="B10" s="81">
        <v>2</v>
      </c>
      <c r="C10" s="88">
        <v>3.5000000000000003E-2</v>
      </c>
      <c r="D10" s="50">
        <f>+SUM($C$9:C10)</f>
        <v>0.215</v>
      </c>
      <c r="E10" s="50">
        <f>+Summary!K37</f>
        <v>5</v>
      </c>
      <c r="F10" s="50">
        <f t="shared" ref="F10:F15" si="0">+C10*E10</f>
        <v>0.17500000000000002</v>
      </c>
    </row>
    <row r="11" spans="1:7">
      <c r="B11" s="81">
        <v>3</v>
      </c>
      <c r="C11" s="88">
        <v>5.0000000000000001E-3</v>
      </c>
      <c r="D11" s="50">
        <f>+SUM($C$9:C11)</f>
        <v>0.22</v>
      </c>
      <c r="E11" s="50">
        <f>+Summary!K38</f>
        <v>10</v>
      </c>
      <c r="F11" s="50">
        <f t="shared" si="0"/>
        <v>0.05</v>
      </c>
    </row>
    <row r="12" spans="1:7">
      <c r="B12" s="81">
        <v>4</v>
      </c>
      <c r="C12" s="88">
        <v>5.0000000000000001E-3</v>
      </c>
      <c r="D12" s="50">
        <f>+SUM($C$9:C12)</f>
        <v>0.22500000000000001</v>
      </c>
      <c r="E12" s="50">
        <f>+Summary!K39</f>
        <v>15</v>
      </c>
      <c r="F12" s="50">
        <f t="shared" si="0"/>
        <v>7.4999999999999997E-2</v>
      </c>
    </row>
    <row r="13" spans="1:7">
      <c r="B13" s="81">
        <v>5</v>
      </c>
      <c r="C13" s="88">
        <v>2E-3</v>
      </c>
      <c r="D13" s="50">
        <f>+SUM($C$9:C13)</f>
        <v>0.22700000000000001</v>
      </c>
      <c r="E13" s="50">
        <f>+Summary!K40</f>
        <v>20</v>
      </c>
      <c r="F13" s="50">
        <f t="shared" si="0"/>
        <v>0.04</v>
      </c>
    </row>
    <row r="14" spans="1:7">
      <c r="B14" s="81">
        <v>6</v>
      </c>
      <c r="C14" s="88">
        <v>2E-3</v>
      </c>
      <c r="D14" s="50">
        <f>+SUM($C$9:C14)</f>
        <v>0.22900000000000001</v>
      </c>
      <c r="E14" s="50">
        <f>+Summary!K41</f>
        <v>50</v>
      </c>
      <c r="F14" s="50">
        <f t="shared" si="0"/>
        <v>0.1</v>
      </c>
    </row>
    <row r="15" spans="1:7">
      <c r="B15" s="81">
        <v>7</v>
      </c>
      <c r="C15" s="88">
        <v>4.0000000000000001E-3</v>
      </c>
      <c r="D15" s="50">
        <f>+SUM($C$9:C15)</f>
        <v>0.23300000000000001</v>
      </c>
      <c r="E15" s="50">
        <f>+Summary!K42</f>
        <v>100</v>
      </c>
      <c r="F15" s="50">
        <f t="shared" si="0"/>
        <v>0.4</v>
      </c>
      <c r="G15" s="49" t="s">
        <v>79</v>
      </c>
    </row>
    <row r="16" spans="1:7">
      <c r="B16" s="56" t="s">
        <v>11</v>
      </c>
      <c r="C16" s="56">
        <f>+SUM(C9:C15)</f>
        <v>0.23300000000000001</v>
      </c>
      <c r="D16" s="56"/>
      <c r="E16" s="56"/>
      <c r="F16" s="47">
        <f>+SUM(F9:F15)</f>
        <v>1.2000000000000002</v>
      </c>
    </row>
    <row r="17" spans="1:7">
      <c r="B17" s="57" t="s">
        <v>78</v>
      </c>
    </row>
    <row r="20" spans="1:7">
      <c r="A20" s="52" t="s">
        <v>12</v>
      </c>
      <c r="B20" s="54" t="s">
        <v>73</v>
      </c>
      <c r="C20" s="54" t="s">
        <v>10</v>
      </c>
      <c r="D20" s="54" t="s">
        <v>18</v>
      </c>
      <c r="E20" s="54" t="s">
        <v>8</v>
      </c>
      <c r="F20" s="54" t="s">
        <v>128</v>
      </c>
    </row>
    <row r="21" spans="1:7">
      <c r="B21" s="81">
        <v>1</v>
      </c>
      <c r="C21" s="88">
        <v>0.13500000000000001</v>
      </c>
      <c r="D21" s="89">
        <f>+SUM($C$21:C21)</f>
        <v>0.13500000000000001</v>
      </c>
      <c r="E21" s="50">
        <f>+Summary!K36</f>
        <v>2</v>
      </c>
      <c r="F21" s="50">
        <f>+C21*E21</f>
        <v>0.27</v>
      </c>
    </row>
    <row r="22" spans="1:7">
      <c r="B22" s="81">
        <v>2</v>
      </c>
      <c r="C22" s="88">
        <v>0.02</v>
      </c>
      <c r="D22" s="89">
        <f>+SUM($C$21:C22)</f>
        <v>0.155</v>
      </c>
      <c r="E22" s="50">
        <f>+Summary!K37</f>
        <v>5</v>
      </c>
      <c r="F22" s="50">
        <f t="shared" ref="F22:F27" si="1">+C22*E22</f>
        <v>0.1</v>
      </c>
    </row>
    <row r="23" spans="1:7">
      <c r="B23" s="81">
        <v>3</v>
      </c>
      <c r="C23" s="88">
        <v>3.0000000000000001E-3</v>
      </c>
      <c r="D23" s="89">
        <f>+SUM($C$21:C23)</f>
        <v>0.158</v>
      </c>
      <c r="E23" s="50">
        <f>+Summary!K38</f>
        <v>10</v>
      </c>
      <c r="F23" s="50">
        <f t="shared" si="1"/>
        <v>0.03</v>
      </c>
    </row>
    <row r="24" spans="1:7">
      <c r="B24" s="81">
        <v>4</v>
      </c>
      <c r="C24" s="88">
        <v>2E-3</v>
      </c>
      <c r="D24" s="89">
        <f>+SUM($C$21:C24)</f>
        <v>0.16</v>
      </c>
      <c r="E24" s="50">
        <f>+Summary!K39</f>
        <v>15</v>
      </c>
      <c r="F24" s="50">
        <f t="shared" si="1"/>
        <v>0.03</v>
      </c>
    </row>
    <row r="25" spans="1:7">
      <c r="B25" s="81">
        <v>5</v>
      </c>
      <c r="C25" s="88">
        <v>1E-3</v>
      </c>
      <c r="D25" s="89">
        <f>+SUM($C$21:C25)</f>
        <v>0.161</v>
      </c>
      <c r="E25" s="50">
        <f>+Summary!K40</f>
        <v>20</v>
      </c>
      <c r="F25" s="50">
        <f t="shared" si="1"/>
        <v>0.02</v>
      </c>
    </row>
    <row r="26" spans="1:7">
      <c r="B26" s="81">
        <v>6</v>
      </c>
      <c r="C26" s="88">
        <v>1E-3</v>
      </c>
      <c r="D26" s="89">
        <f>+SUM($C$21:C26)</f>
        <v>0.16200000000000001</v>
      </c>
      <c r="E26" s="50">
        <f>+Summary!K41</f>
        <v>50</v>
      </c>
      <c r="F26" s="50">
        <f t="shared" si="1"/>
        <v>0.05</v>
      </c>
    </row>
    <row r="27" spans="1:7">
      <c r="B27" s="81">
        <v>7</v>
      </c>
      <c r="C27" s="88">
        <v>7.0000000000000001E-3</v>
      </c>
      <c r="D27" s="89">
        <f>+SUM($C$21:C27)</f>
        <v>0.16900000000000001</v>
      </c>
      <c r="E27" s="50">
        <f>+Summary!K42</f>
        <v>100</v>
      </c>
      <c r="F27" s="50">
        <f t="shared" si="1"/>
        <v>0.70000000000000007</v>
      </c>
      <c r="G27" s="49" t="s">
        <v>79</v>
      </c>
    </row>
    <row r="28" spans="1:7">
      <c r="B28" s="56" t="s">
        <v>11</v>
      </c>
      <c r="C28" s="56">
        <f>+SUM(C21:C27)</f>
        <v>0.16900000000000001</v>
      </c>
      <c r="D28" s="56"/>
      <c r="E28" s="56"/>
      <c r="F28" s="47">
        <f>+SUM(F21:F27)</f>
        <v>1.2000000000000002</v>
      </c>
    </row>
    <row r="29" spans="1:7">
      <c r="B29" s="57" t="s">
        <v>78</v>
      </c>
    </row>
    <row r="32" spans="1:7">
      <c r="A32" s="52" t="s">
        <v>13</v>
      </c>
      <c r="B32" s="54" t="s">
        <v>73</v>
      </c>
      <c r="C32" s="54" t="s">
        <v>10</v>
      </c>
      <c r="D32" s="54" t="s">
        <v>18</v>
      </c>
      <c r="E32" s="54" t="s">
        <v>8</v>
      </c>
      <c r="F32" s="54" t="s">
        <v>128</v>
      </c>
    </row>
    <row r="33" spans="1:7">
      <c r="B33" s="81">
        <v>1</v>
      </c>
      <c r="C33" s="88">
        <v>8.5000000000000006E-2</v>
      </c>
      <c r="D33" s="89">
        <f>+SUM($C$33:C33)</f>
        <v>8.5000000000000006E-2</v>
      </c>
      <c r="E33" s="50">
        <f>+Summary!K36</f>
        <v>2</v>
      </c>
      <c r="F33" s="50">
        <f>+C33*E33</f>
        <v>0.17</v>
      </c>
    </row>
    <row r="34" spans="1:7">
      <c r="B34" s="81">
        <v>2</v>
      </c>
      <c r="C34" s="88">
        <v>4.0000000000000001E-3</v>
      </c>
      <c r="D34" s="89">
        <f>+SUM($C$33:C34)</f>
        <v>8.900000000000001E-2</v>
      </c>
      <c r="E34" s="50">
        <f>+Summary!K37</f>
        <v>5</v>
      </c>
      <c r="F34" s="50">
        <f t="shared" ref="F34:F39" si="2">+C34*E34</f>
        <v>0.02</v>
      </c>
    </row>
    <row r="35" spans="1:7">
      <c r="B35" s="81">
        <v>3</v>
      </c>
      <c r="C35" s="88">
        <v>1E-3</v>
      </c>
      <c r="D35" s="89">
        <f>+SUM($C$33:C35)</f>
        <v>9.0000000000000011E-2</v>
      </c>
      <c r="E35" s="50">
        <f>+Summary!K38</f>
        <v>10</v>
      </c>
      <c r="F35" s="50">
        <f t="shared" si="2"/>
        <v>0.01</v>
      </c>
    </row>
    <row r="36" spans="1:7">
      <c r="B36" s="81">
        <v>4</v>
      </c>
      <c r="C36" s="88">
        <v>2E-3</v>
      </c>
      <c r="D36" s="89">
        <f>+SUM($C$33:C36)</f>
        <v>9.2000000000000012E-2</v>
      </c>
      <c r="E36" s="50">
        <f>+Summary!K39</f>
        <v>15</v>
      </c>
      <c r="F36" s="50">
        <f t="shared" si="2"/>
        <v>0.03</v>
      </c>
    </row>
    <row r="37" spans="1:7">
      <c r="B37" s="81">
        <v>5</v>
      </c>
      <c r="C37" s="88">
        <v>1E-3</v>
      </c>
      <c r="D37" s="89">
        <f>+SUM($C$33:C37)</f>
        <v>9.3000000000000013E-2</v>
      </c>
      <c r="E37" s="50">
        <f>+Summary!K40</f>
        <v>20</v>
      </c>
      <c r="F37" s="50">
        <f t="shared" si="2"/>
        <v>0.02</v>
      </c>
    </row>
    <row r="38" spans="1:7">
      <c r="B38" s="81">
        <v>6</v>
      </c>
      <c r="C38" s="88">
        <v>1E-3</v>
      </c>
      <c r="D38" s="89">
        <f>+SUM($C$33:C38)</f>
        <v>9.4000000000000014E-2</v>
      </c>
      <c r="E38" s="50">
        <f>+Summary!K41</f>
        <v>50</v>
      </c>
      <c r="F38" s="50">
        <f t="shared" si="2"/>
        <v>0.05</v>
      </c>
    </row>
    <row r="39" spans="1:7">
      <c r="B39" s="81">
        <v>7</v>
      </c>
      <c r="C39" s="88">
        <v>8.9999999999999993E-3</v>
      </c>
      <c r="D39" s="89">
        <f>+SUM($C$33:C39)</f>
        <v>0.10300000000000001</v>
      </c>
      <c r="E39" s="50">
        <f>+Summary!K42</f>
        <v>100</v>
      </c>
      <c r="F39" s="50">
        <f t="shared" si="2"/>
        <v>0.89999999999999991</v>
      </c>
      <c r="G39" s="49" t="s">
        <v>79</v>
      </c>
    </row>
    <row r="40" spans="1:7">
      <c r="B40" s="56" t="s">
        <v>11</v>
      </c>
      <c r="C40" s="47">
        <f>+SUM(C33:C39)</f>
        <v>0.10300000000000001</v>
      </c>
      <c r="D40" s="56"/>
      <c r="E40" s="56"/>
      <c r="F40" s="47">
        <f>+SUM(F33:F39)</f>
        <v>1.2</v>
      </c>
    </row>
    <row r="41" spans="1:7">
      <c r="B41" s="57" t="s">
        <v>78</v>
      </c>
    </row>
    <row r="44" spans="1:7">
      <c r="A44" s="52" t="s">
        <v>14</v>
      </c>
      <c r="B44" s="54" t="s">
        <v>73</v>
      </c>
      <c r="C44" s="54" t="s">
        <v>10</v>
      </c>
      <c r="D44" s="54" t="s">
        <v>18</v>
      </c>
      <c r="E44" s="54" t="s">
        <v>8</v>
      </c>
      <c r="F44" s="54" t="s">
        <v>128</v>
      </c>
    </row>
    <row r="45" spans="1:7">
      <c r="B45" s="81">
        <v>1</v>
      </c>
      <c r="C45" s="88">
        <v>7.4999999999999997E-2</v>
      </c>
      <c r="D45" s="89">
        <f>+SUM($C$45:C45)</f>
        <v>7.4999999999999997E-2</v>
      </c>
      <c r="E45" s="50">
        <f>+Summary!K36</f>
        <v>2</v>
      </c>
      <c r="F45" s="50">
        <f>+C45*E45</f>
        <v>0.15</v>
      </c>
    </row>
    <row r="46" spans="1:7">
      <c r="B46" s="81">
        <v>2</v>
      </c>
      <c r="C46" s="88">
        <v>1E-3</v>
      </c>
      <c r="D46" s="89">
        <f>+SUM($C$45:C46)</f>
        <v>7.5999999999999998E-2</v>
      </c>
      <c r="E46" s="50">
        <f>+Summary!K37</f>
        <v>5</v>
      </c>
      <c r="F46" s="50">
        <f t="shared" ref="F46:F51" si="3">+C46*E46</f>
        <v>5.0000000000000001E-3</v>
      </c>
    </row>
    <row r="47" spans="1:7">
      <c r="B47" s="81">
        <v>3</v>
      </c>
      <c r="C47" s="88">
        <v>1E-3</v>
      </c>
      <c r="D47" s="89">
        <f>+SUM($C$45:C47)</f>
        <v>7.6999999999999999E-2</v>
      </c>
      <c r="E47" s="50">
        <f>+Summary!K38</f>
        <v>10</v>
      </c>
      <c r="F47" s="50">
        <f t="shared" si="3"/>
        <v>0.01</v>
      </c>
    </row>
    <row r="48" spans="1:7">
      <c r="B48" s="81">
        <v>4</v>
      </c>
      <c r="C48" s="88">
        <v>1E-3</v>
      </c>
      <c r="D48" s="89">
        <f>+SUM($C$45:C48)</f>
        <v>7.8E-2</v>
      </c>
      <c r="E48" s="50">
        <f>+Summary!K39</f>
        <v>15</v>
      </c>
      <c r="F48" s="50">
        <f t="shared" si="3"/>
        <v>1.4999999999999999E-2</v>
      </c>
    </row>
    <row r="49" spans="2:7">
      <c r="B49" s="81">
        <v>5</v>
      </c>
      <c r="C49" s="88">
        <v>5.0000000000000001E-4</v>
      </c>
      <c r="D49" s="89">
        <f>+SUM($C$45:C49)</f>
        <v>7.85E-2</v>
      </c>
      <c r="E49" s="50">
        <f>+Summary!K40</f>
        <v>20</v>
      </c>
      <c r="F49" s="50">
        <f t="shared" si="3"/>
        <v>0.01</v>
      </c>
    </row>
    <row r="50" spans="2:7">
      <c r="B50" s="81">
        <v>6</v>
      </c>
      <c r="C50" s="88">
        <v>2.0000000000000001E-4</v>
      </c>
      <c r="D50" s="89">
        <f>+SUM($C$45:C50)</f>
        <v>7.8700000000000006E-2</v>
      </c>
      <c r="E50" s="50">
        <f>+Summary!K41</f>
        <v>50</v>
      </c>
      <c r="F50" s="50">
        <f t="shared" si="3"/>
        <v>0.01</v>
      </c>
    </row>
    <row r="51" spans="2:7">
      <c r="B51" s="81">
        <v>7</v>
      </c>
      <c r="C51" s="88">
        <v>0.01</v>
      </c>
      <c r="D51" s="89">
        <f>+SUM($C$45:C51)</f>
        <v>8.8700000000000001E-2</v>
      </c>
      <c r="E51" s="50">
        <f>+Summary!K42</f>
        <v>100</v>
      </c>
      <c r="F51" s="50">
        <f t="shared" si="3"/>
        <v>1</v>
      </c>
      <c r="G51" s="49" t="s">
        <v>79</v>
      </c>
    </row>
    <row r="52" spans="2:7">
      <c r="B52" s="56" t="s">
        <v>11</v>
      </c>
      <c r="C52" s="56">
        <f>+SUM(C45:C51)</f>
        <v>8.8700000000000001E-2</v>
      </c>
      <c r="D52" s="56"/>
      <c r="E52" s="56"/>
      <c r="F52" s="47">
        <f>+SUM(F45:F51)</f>
        <v>1.2</v>
      </c>
    </row>
    <row r="53" spans="2:7">
      <c r="B53" s="57" t="s">
        <v>78</v>
      </c>
    </row>
  </sheetData>
  <mergeCells count="1">
    <mergeCell ref="A1:E1"/>
  </mergeCells>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dimension ref="A1:G53"/>
  <sheetViews>
    <sheetView topLeftCell="A28" workbookViewId="0">
      <selection activeCell="E45" sqref="E45:E5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3" t="s">
        <v>152</v>
      </c>
      <c r="B1" s="123"/>
      <c r="C1" s="123"/>
      <c r="D1" s="123"/>
      <c r="E1" s="123"/>
    </row>
    <row r="2" spans="1:7">
      <c r="A2" s="59" t="s">
        <v>123</v>
      </c>
    </row>
    <row r="3" spans="1:7">
      <c r="A3" s="59" t="s">
        <v>124</v>
      </c>
    </row>
    <row r="4" spans="1:7">
      <c r="A4" s="59" t="s">
        <v>126</v>
      </c>
    </row>
    <row r="8" spans="1:7">
      <c r="A8" s="52" t="s">
        <v>9</v>
      </c>
      <c r="B8" s="54" t="s">
        <v>73</v>
      </c>
      <c r="C8" s="54" t="s">
        <v>10</v>
      </c>
      <c r="D8" s="54" t="s">
        <v>18</v>
      </c>
      <c r="E8" s="54" t="s">
        <v>8</v>
      </c>
      <c r="F8" s="54" t="s">
        <v>128</v>
      </c>
    </row>
    <row r="9" spans="1:7">
      <c r="B9" s="81">
        <v>1</v>
      </c>
      <c r="C9" s="88">
        <v>0.13</v>
      </c>
      <c r="D9" s="50">
        <f>+SUM($C$9:C9)</f>
        <v>0.13</v>
      </c>
      <c r="E9" s="50">
        <f>+Summary!K36</f>
        <v>2</v>
      </c>
      <c r="F9" s="50">
        <f>+C9*E9</f>
        <v>0.26</v>
      </c>
    </row>
    <row r="10" spans="1:7">
      <c r="B10" s="81">
        <v>2</v>
      </c>
      <c r="C10" s="88">
        <v>3.5000000000000003E-2</v>
      </c>
      <c r="D10" s="50">
        <f>+SUM($C$9:C10)</f>
        <v>0.16500000000000001</v>
      </c>
      <c r="E10" s="50">
        <f>+Summary!K37</f>
        <v>5</v>
      </c>
      <c r="F10" s="50">
        <f t="shared" ref="F10:F15" si="0">+C10*E10</f>
        <v>0.17500000000000002</v>
      </c>
    </row>
    <row r="11" spans="1:7">
      <c r="B11" s="81">
        <v>3</v>
      </c>
      <c r="C11" s="88">
        <v>6.0000000000000001E-3</v>
      </c>
      <c r="D11" s="50">
        <f>+SUM($C$9:C11)</f>
        <v>0.17100000000000001</v>
      </c>
      <c r="E11" s="50">
        <f>+Summary!K38</f>
        <v>10</v>
      </c>
      <c r="F11" s="50">
        <f t="shared" si="0"/>
        <v>0.06</v>
      </c>
    </row>
    <row r="12" spans="1:7">
      <c r="B12" s="81">
        <v>4</v>
      </c>
      <c r="C12" s="88">
        <v>5.0000000000000001E-3</v>
      </c>
      <c r="D12" s="50">
        <f>+SUM($C$9:C12)</f>
        <v>0.17600000000000002</v>
      </c>
      <c r="E12" s="50">
        <f>+Summary!K39</f>
        <v>15</v>
      </c>
      <c r="F12" s="50">
        <f t="shared" si="0"/>
        <v>7.4999999999999997E-2</v>
      </c>
    </row>
    <row r="13" spans="1:7">
      <c r="B13" s="81">
        <v>5</v>
      </c>
      <c r="C13" s="88">
        <v>4.0000000000000001E-3</v>
      </c>
      <c r="D13" s="50">
        <f>+SUM($C$9:C13)</f>
        <v>0.18000000000000002</v>
      </c>
      <c r="E13" s="50">
        <f>+Summary!K40</f>
        <v>20</v>
      </c>
      <c r="F13" s="50">
        <f t="shared" si="0"/>
        <v>0.08</v>
      </c>
    </row>
    <row r="14" spans="1:7">
      <c r="B14" s="81">
        <v>6</v>
      </c>
      <c r="C14" s="88">
        <v>2E-3</v>
      </c>
      <c r="D14" s="50">
        <f>+SUM($C$9:C14)</f>
        <v>0.18200000000000002</v>
      </c>
      <c r="E14" s="50">
        <f>+Summary!K41</f>
        <v>50</v>
      </c>
      <c r="F14" s="50">
        <f t="shared" si="0"/>
        <v>0.1</v>
      </c>
    </row>
    <row r="15" spans="1:7">
      <c r="B15" s="81">
        <v>7</v>
      </c>
      <c r="C15" s="88">
        <v>3.0000000000000001E-3</v>
      </c>
      <c r="D15" s="50">
        <f>+SUM($C$9:C15)</f>
        <v>0.18500000000000003</v>
      </c>
      <c r="E15" s="50">
        <f>+Summary!K42</f>
        <v>100</v>
      </c>
      <c r="F15" s="50">
        <f t="shared" si="0"/>
        <v>0.3</v>
      </c>
      <c r="G15" s="49" t="s">
        <v>79</v>
      </c>
    </row>
    <row r="16" spans="1:7">
      <c r="B16" s="56" t="s">
        <v>11</v>
      </c>
      <c r="C16" s="56">
        <f>+SUM(C9:C15)</f>
        <v>0.18500000000000003</v>
      </c>
      <c r="D16" s="56"/>
      <c r="E16" s="56"/>
      <c r="F16" s="47">
        <f>+SUM(F9:F15)</f>
        <v>1.05</v>
      </c>
    </row>
    <row r="17" spans="1:7">
      <c r="B17" s="57" t="s">
        <v>78</v>
      </c>
    </row>
    <row r="20" spans="1:7">
      <c r="A20" s="52" t="s">
        <v>12</v>
      </c>
      <c r="B20" s="54" t="s">
        <v>73</v>
      </c>
      <c r="C20" s="54" t="s">
        <v>10</v>
      </c>
      <c r="D20" s="54" t="s">
        <v>18</v>
      </c>
      <c r="E20" s="54" t="s">
        <v>8</v>
      </c>
      <c r="F20" s="54" t="s">
        <v>128</v>
      </c>
    </row>
    <row r="21" spans="1:7">
      <c r="B21" s="81">
        <v>1</v>
      </c>
      <c r="C21" s="88">
        <v>0.11</v>
      </c>
      <c r="D21" s="89">
        <f>+SUM($C$21:C21)</f>
        <v>0.11</v>
      </c>
      <c r="E21" s="50">
        <f>+Summary!K36</f>
        <v>2</v>
      </c>
      <c r="F21" s="50">
        <f>+C21*E21</f>
        <v>0.22</v>
      </c>
    </row>
    <row r="22" spans="1:7">
      <c r="B22" s="81">
        <v>2</v>
      </c>
      <c r="C22" s="88">
        <v>0.03</v>
      </c>
      <c r="D22" s="89">
        <f>+SUM($C$21:C22)</f>
        <v>0.14000000000000001</v>
      </c>
      <c r="E22" s="50">
        <f>+Summary!K37</f>
        <v>5</v>
      </c>
      <c r="F22" s="50">
        <f t="shared" ref="F22:F27" si="1">+C22*E22</f>
        <v>0.15</v>
      </c>
    </row>
    <row r="23" spans="1:7">
      <c r="B23" s="81">
        <v>3</v>
      </c>
      <c r="C23" s="88">
        <v>4.0000000000000001E-3</v>
      </c>
      <c r="D23" s="89">
        <f>+SUM($C$21:C23)</f>
        <v>0.14400000000000002</v>
      </c>
      <c r="E23" s="50">
        <f>+Summary!K38</f>
        <v>10</v>
      </c>
      <c r="F23" s="50">
        <f t="shared" si="1"/>
        <v>0.04</v>
      </c>
    </row>
    <row r="24" spans="1:7">
      <c r="B24" s="81">
        <v>4</v>
      </c>
      <c r="C24" s="88">
        <v>2E-3</v>
      </c>
      <c r="D24" s="89">
        <f>+SUM($C$21:C24)</f>
        <v>0.14600000000000002</v>
      </c>
      <c r="E24" s="50">
        <f>+Summary!K39</f>
        <v>15</v>
      </c>
      <c r="F24" s="50">
        <f t="shared" si="1"/>
        <v>0.03</v>
      </c>
    </row>
    <row r="25" spans="1:7">
      <c r="B25" s="81">
        <v>5</v>
      </c>
      <c r="C25" s="88">
        <v>3.0000000000000001E-3</v>
      </c>
      <c r="D25" s="89">
        <f>+SUM($C$21:C25)</f>
        <v>0.14900000000000002</v>
      </c>
      <c r="E25" s="50">
        <f>+Summary!K40</f>
        <v>20</v>
      </c>
      <c r="F25" s="50">
        <f t="shared" si="1"/>
        <v>0.06</v>
      </c>
    </row>
    <row r="26" spans="1:7">
      <c r="B26" s="81">
        <v>6</v>
      </c>
      <c r="C26" s="88">
        <v>1E-3</v>
      </c>
      <c r="D26" s="89">
        <f>+SUM($C$21:C26)</f>
        <v>0.15000000000000002</v>
      </c>
      <c r="E26" s="50">
        <f>+Summary!K41</f>
        <v>50</v>
      </c>
      <c r="F26" s="50">
        <f t="shared" si="1"/>
        <v>0.05</v>
      </c>
    </row>
    <row r="27" spans="1:7">
      <c r="B27" s="81">
        <v>7</v>
      </c>
      <c r="C27" s="88">
        <v>5.0000000000000001E-3</v>
      </c>
      <c r="D27" s="89">
        <f>+SUM($C$21:C27)</f>
        <v>0.15500000000000003</v>
      </c>
      <c r="E27" s="50">
        <f>+Summary!K42</f>
        <v>100</v>
      </c>
      <c r="F27" s="50">
        <f t="shared" si="1"/>
        <v>0.5</v>
      </c>
      <c r="G27" s="49" t="s">
        <v>79</v>
      </c>
    </row>
    <row r="28" spans="1:7">
      <c r="B28" s="56" t="s">
        <v>11</v>
      </c>
      <c r="C28" s="56">
        <f>+SUM(C21:C27)</f>
        <v>0.15500000000000003</v>
      </c>
      <c r="D28" s="56"/>
      <c r="E28" s="56"/>
      <c r="F28" s="47">
        <f>+SUM(F21:F27)</f>
        <v>1.0499999999999998</v>
      </c>
    </row>
    <row r="29" spans="1:7">
      <c r="B29" s="57" t="s">
        <v>78</v>
      </c>
    </row>
    <row r="32" spans="1:7">
      <c r="A32" s="52" t="s">
        <v>13</v>
      </c>
      <c r="B32" s="54" t="s">
        <v>73</v>
      </c>
      <c r="C32" s="54" t="s">
        <v>10</v>
      </c>
      <c r="D32" s="54" t="s">
        <v>18</v>
      </c>
      <c r="E32" s="54" t="s">
        <v>8</v>
      </c>
      <c r="F32" s="54" t="s">
        <v>128</v>
      </c>
    </row>
    <row r="33" spans="1:7">
      <c r="B33" s="81">
        <v>1</v>
      </c>
      <c r="C33" s="88">
        <v>6.5000000000000002E-2</v>
      </c>
      <c r="D33" s="89">
        <f>+SUM($C$33:C33)</f>
        <v>6.5000000000000002E-2</v>
      </c>
      <c r="E33" s="50">
        <f>+Summary!K36</f>
        <v>2</v>
      </c>
      <c r="F33" s="50">
        <f>+C33*E33</f>
        <v>0.13</v>
      </c>
    </row>
    <row r="34" spans="1:7">
      <c r="B34" s="81">
        <v>2</v>
      </c>
      <c r="C34" s="88">
        <v>0.02</v>
      </c>
      <c r="D34" s="89">
        <f>+SUM($C$33:C34)</f>
        <v>8.5000000000000006E-2</v>
      </c>
      <c r="E34" s="50">
        <f>+Summary!K37</f>
        <v>5</v>
      </c>
      <c r="F34" s="50">
        <f t="shared" ref="F34:F39" si="2">+C34*E34</f>
        <v>0.1</v>
      </c>
    </row>
    <row r="35" spans="1:7">
      <c r="B35" s="81">
        <v>3</v>
      </c>
      <c r="C35" s="88">
        <v>2E-3</v>
      </c>
      <c r="D35" s="89">
        <f>+SUM($C$33:C35)</f>
        <v>8.7000000000000008E-2</v>
      </c>
      <c r="E35" s="50">
        <f>+Summary!K38</f>
        <v>10</v>
      </c>
      <c r="F35" s="50">
        <f t="shared" si="2"/>
        <v>0.02</v>
      </c>
    </row>
    <row r="36" spans="1:7">
      <c r="B36" s="81">
        <v>4</v>
      </c>
      <c r="C36" s="88">
        <v>2E-3</v>
      </c>
      <c r="D36" s="89">
        <f>+SUM($C$33:C36)</f>
        <v>8.900000000000001E-2</v>
      </c>
      <c r="E36" s="50">
        <f>+Summary!K39</f>
        <v>15</v>
      </c>
      <c r="F36" s="50">
        <f t="shared" si="2"/>
        <v>0.03</v>
      </c>
    </row>
    <row r="37" spans="1:7">
      <c r="B37" s="81">
        <v>5</v>
      </c>
      <c r="C37" s="88">
        <v>1E-3</v>
      </c>
      <c r="D37" s="89">
        <f>+SUM($C$33:C37)</f>
        <v>9.0000000000000011E-2</v>
      </c>
      <c r="E37" s="50">
        <f>+Summary!K40</f>
        <v>20</v>
      </c>
      <c r="F37" s="50">
        <f t="shared" si="2"/>
        <v>0.02</v>
      </c>
    </row>
    <row r="38" spans="1:7">
      <c r="B38" s="81">
        <v>6</v>
      </c>
      <c r="C38" s="88">
        <v>1E-3</v>
      </c>
      <c r="D38" s="89">
        <f>+SUM($C$33:C38)</f>
        <v>9.1000000000000011E-2</v>
      </c>
      <c r="E38" s="50">
        <f>+Summary!K41</f>
        <v>50</v>
      </c>
      <c r="F38" s="50">
        <f t="shared" si="2"/>
        <v>0.05</v>
      </c>
    </row>
    <row r="39" spans="1:7">
      <c r="B39" s="81">
        <v>7</v>
      </c>
      <c r="C39" s="88">
        <v>7.0000000000000001E-3</v>
      </c>
      <c r="D39" s="89">
        <f>+SUM($C$33:C39)</f>
        <v>9.8000000000000018E-2</v>
      </c>
      <c r="E39" s="50">
        <f>+Summary!K42</f>
        <v>100</v>
      </c>
      <c r="F39" s="50">
        <f t="shared" si="2"/>
        <v>0.70000000000000007</v>
      </c>
      <c r="G39" s="49" t="s">
        <v>79</v>
      </c>
    </row>
    <row r="40" spans="1:7">
      <c r="B40" s="56" t="s">
        <v>11</v>
      </c>
      <c r="C40" s="47">
        <f>+SUM(C33:C39)</f>
        <v>9.8000000000000018E-2</v>
      </c>
      <c r="D40" s="56"/>
      <c r="E40" s="56"/>
      <c r="F40" s="47">
        <f>+SUM(F33:F39)</f>
        <v>1.05</v>
      </c>
    </row>
    <row r="41" spans="1:7">
      <c r="B41" s="57" t="s">
        <v>78</v>
      </c>
    </row>
    <row r="44" spans="1:7">
      <c r="A44" s="52" t="s">
        <v>14</v>
      </c>
      <c r="B44" s="54" t="s">
        <v>73</v>
      </c>
      <c r="C44" s="54" t="s">
        <v>10</v>
      </c>
      <c r="D44" s="54" t="s">
        <v>18</v>
      </c>
      <c r="E44" s="54" t="s">
        <v>8</v>
      </c>
      <c r="F44" s="54" t="s">
        <v>128</v>
      </c>
    </row>
    <row r="45" spans="1:7">
      <c r="B45" s="81">
        <v>1</v>
      </c>
      <c r="C45" s="88">
        <v>0.05</v>
      </c>
      <c r="D45" s="89">
        <f>+SUM($C$45:C45)</f>
        <v>0.05</v>
      </c>
      <c r="E45" s="50">
        <f>+Summary!K36</f>
        <v>2</v>
      </c>
      <c r="F45" s="50">
        <f>+C45*E45</f>
        <v>0.1</v>
      </c>
    </row>
    <row r="46" spans="1:7">
      <c r="B46" s="81">
        <v>2</v>
      </c>
      <c r="C46" s="88">
        <v>1E-3</v>
      </c>
      <c r="D46" s="89">
        <f>+SUM($C$45:C46)</f>
        <v>5.1000000000000004E-2</v>
      </c>
      <c r="E46" s="50">
        <f>+Summary!K37</f>
        <v>5</v>
      </c>
      <c r="F46" s="50">
        <f t="shared" ref="F46:F51" si="3">+C46*E46</f>
        <v>5.0000000000000001E-3</v>
      </c>
    </row>
    <row r="47" spans="1:7">
      <c r="B47" s="81">
        <v>3</v>
      </c>
      <c r="C47" s="88">
        <v>1E-3</v>
      </c>
      <c r="D47" s="89">
        <f>+SUM($C$45:C47)</f>
        <v>5.2000000000000005E-2</v>
      </c>
      <c r="E47" s="50">
        <f>+Summary!K38</f>
        <v>10</v>
      </c>
      <c r="F47" s="50">
        <f t="shared" si="3"/>
        <v>0.01</v>
      </c>
    </row>
    <row r="48" spans="1:7">
      <c r="B48" s="81">
        <v>4</v>
      </c>
      <c r="C48" s="88">
        <v>1E-3</v>
      </c>
      <c r="D48" s="89">
        <f>+SUM($C$45:C48)</f>
        <v>5.3000000000000005E-2</v>
      </c>
      <c r="E48" s="50">
        <f>+Summary!K39</f>
        <v>15</v>
      </c>
      <c r="F48" s="50">
        <f t="shared" si="3"/>
        <v>1.4999999999999999E-2</v>
      </c>
    </row>
    <row r="49" spans="2:7">
      <c r="B49" s="81">
        <v>5</v>
      </c>
      <c r="C49" s="88">
        <v>1E-3</v>
      </c>
      <c r="D49" s="89">
        <f>+SUM($C$45:C49)</f>
        <v>5.4000000000000006E-2</v>
      </c>
      <c r="E49" s="50">
        <f>+Summary!K40</f>
        <v>20</v>
      </c>
      <c r="F49" s="50">
        <f t="shared" si="3"/>
        <v>0.02</v>
      </c>
    </row>
    <row r="50" spans="2:7">
      <c r="B50" s="81">
        <v>6</v>
      </c>
      <c r="C50" s="88">
        <v>0</v>
      </c>
      <c r="D50" s="89">
        <f>+SUM($C$45:C50)</f>
        <v>5.4000000000000006E-2</v>
      </c>
      <c r="E50" s="50">
        <f>+Summary!K41</f>
        <v>50</v>
      </c>
      <c r="F50" s="50">
        <f t="shared" si="3"/>
        <v>0</v>
      </c>
    </row>
    <row r="51" spans="2:7">
      <c r="B51" s="81">
        <v>7</v>
      </c>
      <c r="C51" s="88">
        <v>8.9999999999999993E-3</v>
      </c>
      <c r="D51" s="89">
        <f>+SUM($C$45:C51)</f>
        <v>6.3E-2</v>
      </c>
      <c r="E51" s="50">
        <f>+Summary!K42</f>
        <v>100</v>
      </c>
      <c r="F51" s="50">
        <f t="shared" si="3"/>
        <v>0.89999999999999991</v>
      </c>
      <c r="G51" s="49" t="s">
        <v>79</v>
      </c>
    </row>
    <row r="52" spans="2:7">
      <c r="B52" s="56" t="s">
        <v>11</v>
      </c>
      <c r="C52" s="56">
        <f>+SUM(C45:C51)</f>
        <v>6.3E-2</v>
      </c>
      <c r="D52" s="56"/>
      <c r="E52" s="56"/>
      <c r="F52" s="47">
        <f>+SUM(F45:F51)</f>
        <v>1.0499999999999998</v>
      </c>
    </row>
    <row r="53" spans="2:7">
      <c r="B53" s="57" t="s">
        <v>78</v>
      </c>
    </row>
  </sheetData>
  <mergeCells count="1">
    <mergeCell ref="A1:E1"/>
  </mergeCells>
  <pageMargins left="0.7" right="0.7" top="0.75" bottom="0.75" header="0.3" footer="0.3"/>
  <pageSetup paperSize="9" orientation="portrait" horizontalDpi="200" verticalDpi="200" r:id="rId1"/>
</worksheet>
</file>

<file path=xl/worksheets/sheet4.xml><?xml version="1.0" encoding="utf-8"?>
<worksheet xmlns="http://schemas.openxmlformats.org/spreadsheetml/2006/main" xmlns:r="http://schemas.openxmlformats.org/officeDocument/2006/relationships">
  <dimension ref="A1:G53"/>
  <sheetViews>
    <sheetView workbookViewId="0">
      <selection activeCell="E45" sqref="E45:E5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3" t="s">
        <v>153</v>
      </c>
      <c r="B1" s="123"/>
      <c r="C1" s="123"/>
      <c r="D1" s="123"/>
      <c r="E1" s="123"/>
    </row>
    <row r="2" spans="1:7">
      <c r="A2" s="59" t="s">
        <v>123</v>
      </c>
    </row>
    <row r="3" spans="1:7">
      <c r="A3" s="59" t="s">
        <v>124</v>
      </c>
    </row>
    <row r="4" spans="1:7">
      <c r="A4" s="59" t="s">
        <v>126</v>
      </c>
    </row>
    <row r="8" spans="1:7">
      <c r="A8" s="52" t="s">
        <v>9</v>
      </c>
      <c r="B8" s="54" t="s">
        <v>73</v>
      </c>
      <c r="C8" s="54" t="s">
        <v>10</v>
      </c>
      <c r="D8" s="54" t="s">
        <v>18</v>
      </c>
      <c r="E8" s="54" t="s">
        <v>8</v>
      </c>
      <c r="F8" s="54" t="s">
        <v>128</v>
      </c>
    </row>
    <row r="9" spans="1:7">
      <c r="B9" s="81">
        <v>1</v>
      </c>
      <c r="C9" s="88">
        <v>0.12</v>
      </c>
      <c r="D9" s="50">
        <f>+SUM($C$9:C9)</f>
        <v>0.12</v>
      </c>
      <c r="E9" s="50">
        <f>+Summary!K36</f>
        <v>2</v>
      </c>
      <c r="F9" s="50">
        <f>+C9*E9</f>
        <v>0.24</v>
      </c>
    </row>
    <row r="10" spans="1:7">
      <c r="B10" s="81">
        <v>2</v>
      </c>
      <c r="C10" s="88">
        <v>0.04</v>
      </c>
      <c r="D10" s="50">
        <f>+SUM($C$9:C10)</f>
        <v>0.16</v>
      </c>
      <c r="E10" s="50">
        <f>+Summary!K37</f>
        <v>5</v>
      </c>
      <c r="F10" s="50">
        <f t="shared" ref="F10:F15" si="0">+C10*E10</f>
        <v>0.2</v>
      </c>
    </row>
    <row r="11" spans="1:7">
      <c r="B11" s="81">
        <v>3</v>
      </c>
      <c r="C11" s="88">
        <v>6.0000000000000001E-3</v>
      </c>
      <c r="D11" s="50">
        <f>+SUM($C$9:C11)</f>
        <v>0.16600000000000001</v>
      </c>
      <c r="E11" s="50">
        <f>+Summary!K38</f>
        <v>10</v>
      </c>
      <c r="F11" s="50">
        <f t="shared" si="0"/>
        <v>0.06</v>
      </c>
    </row>
    <row r="12" spans="1:7">
      <c r="B12" s="81">
        <v>4</v>
      </c>
      <c r="C12" s="88">
        <v>4.0000000000000001E-3</v>
      </c>
      <c r="D12" s="50">
        <f>+SUM($C$9:C12)</f>
        <v>0.17</v>
      </c>
      <c r="E12" s="50">
        <f>+Summary!K39</f>
        <v>15</v>
      </c>
      <c r="F12" s="50">
        <f t="shared" si="0"/>
        <v>0.06</v>
      </c>
    </row>
    <row r="13" spans="1:7">
      <c r="B13" s="81">
        <v>5</v>
      </c>
      <c r="C13" s="88">
        <v>2E-3</v>
      </c>
      <c r="D13" s="50">
        <f>+SUM($C$9:C13)</f>
        <v>0.17200000000000001</v>
      </c>
      <c r="E13" s="50">
        <f>+Summary!K40</f>
        <v>20</v>
      </c>
      <c r="F13" s="50">
        <f t="shared" si="0"/>
        <v>0.04</v>
      </c>
    </row>
    <row r="14" spans="1:7">
      <c r="B14" s="81">
        <v>6</v>
      </c>
      <c r="C14" s="88">
        <v>2E-3</v>
      </c>
      <c r="D14" s="50">
        <f>+SUM($C$9:C14)</f>
        <v>0.17400000000000002</v>
      </c>
      <c r="E14" s="50">
        <f>+Summary!K41</f>
        <v>50</v>
      </c>
      <c r="F14" s="50">
        <f t="shared" si="0"/>
        <v>0.1</v>
      </c>
    </row>
    <row r="15" spans="1:7">
      <c r="B15" s="81">
        <v>7</v>
      </c>
      <c r="C15" s="88">
        <v>2E-3</v>
      </c>
      <c r="D15" s="50">
        <f>+SUM($C$9:C15)</f>
        <v>0.17600000000000002</v>
      </c>
      <c r="E15" s="50">
        <f>+Summary!K42</f>
        <v>100</v>
      </c>
      <c r="F15" s="50">
        <f t="shared" si="0"/>
        <v>0.2</v>
      </c>
      <c r="G15" s="49" t="s">
        <v>79</v>
      </c>
    </row>
    <row r="16" spans="1:7">
      <c r="B16" s="56" t="s">
        <v>11</v>
      </c>
      <c r="C16" s="56">
        <f>+SUM(C9:C15)</f>
        <v>0.17600000000000002</v>
      </c>
      <c r="D16" s="56"/>
      <c r="E16" s="56"/>
      <c r="F16" s="47">
        <f>+SUM(F9:F15)</f>
        <v>0.90000000000000013</v>
      </c>
    </row>
    <row r="17" spans="1:7">
      <c r="B17" s="57" t="s">
        <v>78</v>
      </c>
    </row>
    <row r="20" spans="1:7">
      <c r="A20" s="52" t="s">
        <v>12</v>
      </c>
      <c r="B20" s="54" t="s">
        <v>73</v>
      </c>
      <c r="C20" s="54" t="s">
        <v>10</v>
      </c>
      <c r="D20" s="54" t="s">
        <v>18</v>
      </c>
      <c r="E20" s="54" t="s">
        <v>8</v>
      </c>
      <c r="F20" s="54" t="s">
        <v>128</v>
      </c>
    </row>
    <row r="21" spans="1:7">
      <c r="B21" s="81">
        <v>1</v>
      </c>
      <c r="C21" s="88">
        <v>0.09</v>
      </c>
      <c r="D21" s="89">
        <f>+SUM($C$21:C21)</f>
        <v>0.09</v>
      </c>
      <c r="E21" s="50">
        <f>+Summary!K36</f>
        <v>2</v>
      </c>
      <c r="F21" s="50">
        <f>+C21*E21</f>
        <v>0.18</v>
      </c>
    </row>
    <row r="22" spans="1:7">
      <c r="B22" s="81">
        <v>2</v>
      </c>
      <c r="C22" s="88">
        <v>3.2000000000000001E-2</v>
      </c>
      <c r="D22" s="89">
        <f>+SUM($C$21:C22)</f>
        <v>0.122</v>
      </c>
      <c r="E22" s="50">
        <f>+Summary!K37</f>
        <v>5</v>
      </c>
      <c r="F22" s="50">
        <f t="shared" ref="F22:F27" si="1">+C22*E22</f>
        <v>0.16</v>
      </c>
    </row>
    <row r="23" spans="1:7">
      <c r="B23" s="81">
        <v>3</v>
      </c>
      <c r="C23" s="88">
        <v>4.0000000000000001E-3</v>
      </c>
      <c r="D23" s="89">
        <f>+SUM($C$21:C23)</f>
        <v>0.126</v>
      </c>
      <c r="E23" s="50">
        <f>+Summary!K38</f>
        <v>10</v>
      </c>
      <c r="F23" s="50">
        <f t="shared" si="1"/>
        <v>0.04</v>
      </c>
    </row>
    <row r="24" spans="1:7">
      <c r="B24" s="81">
        <v>4</v>
      </c>
      <c r="C24" s="88">
        <v>2E-3</v>
      </c>
      <c r="D24" s="89">
        <f>+SUM($C$21:C24)</f>
        <v>0.128</v>
      </c>
      <c r="E24" s="50">
        <f>+Summary!K39</f>
        <v>15</v>
      </c>
      <c r="F24" s="50">
        <f t="shared" si="1"/>
        <v>0.03</v>
      </c>
    </row>
    <row r="25" spans="1:7">
      <c r="B25" s="81">
        <v>5</v>
      </c>
      <c r="C25" s="88">
        <v>2E-3</v>
      </c>
      <c r="D25" s="89">
        <f>+SUM($C$21:C25)</f>
        <v>0.13</v>
      </c>
      <c r="E25" s="50">
        <f>+Summary!K40</f>
        <v>20</v>
      </c>
      <c r="F25" s="50">
        <f t="shared" si="1"/>
        <v>0.04</v>
      </c>
    </row>
    <row r="26" spans="1:7">
      <c r="B26" s="81">
        <v>6</v>
      </c>
      <c r="C26" s="88">
        <v>1E-3</v>
      </c>
      <c r="D26" s="89">
        <f>+SUM($C$21:C26)</f>
        <v>0.13100000000000001</v>
      </c>
      <c r="E26" s="50">
        <f>+Summary!K41</f>
        <v>50</v>
      </c>
      <c r="F26" s="50">
        <f t="shared" si="1"/>
        <v>0.05</v>
      </c>
    </row>
    <row r="27" spans="1:7">
      <c r="B27" s="81">
        <v>7</v>
      </c>
      <c r="C27" s="88">
        <v>4.0000000000000001E-3</v>
      </c>
      <c r="D27" s="89">
        <f>+SUM($C$21:C27)</f>
        <v>0.13500000000000001</v>
      </c>
      <c r="E27" s="50">
        <f>+Summary!K42</f>
        <v>100</v>
      </c>
      <c r="F27" s="50">
        <f t="shared" si="1"/>
        <v>0.4</v>
      </c>
      <c r="G27" s="49" t="s">
        <v>79</v>
      </c>
    </row>
    <row r="28" spans="1:7">
      <c r="B28" s="56" t="s">
        <v>11</v>
      </c>
      <c r="C28" s="56">
        <f>+SUM(C21:C27)</f>
        <v>0.13500000000000001</v>
      </c>
      <c r="D28" s="56"/>
      <c r="E28" s="56"/>
      <c r="F28" s="47">
        <f>+SUM(F21:F27)</f>
        <v>0.89999999999999991</v>
      </c>
    </row>
    <row r="29" spans="1:7">
      <c r="B29" s="57" t="s">
        <v>78</v>
      </c>
    </row>
    <row r="32" spans="1:7">
      <c r="A32" s="52" t="s">
        <v>13</v>
      </c>
      <c r="B32" s="54" t="s">
        <v>73</v>
      </c>
      <c r="C32" s="54" t="s">
        <v>10</v>
      </c>
      <c r="D32" s="54" t="s">
        <v>18</v>
      </c>
      <c r="E32" s="54" t="s">
        <v>8</v>
      </c>
      <c r="F32" s="54" t="s">
        <v>128</v>
      </c>
    </row>
    <row r="33" spans="1:7">
      <c r="B33" s="81">
        <v>1</v>
      </c>
      <c r="C33" s="88">
        <v>7.0000000000000007E-2</v>
      </c>
      <c r="D33" s="89">
        <f>+SUM($C$33:C33)</f>
        <v>7.0000000000000007E-2</v>
      </c>
      <c r="E33" s="50">
        <f>+Summary!K36</f>
        <v>2</v>
      </c>
      <c r="F33" s="50">
        <f>+C33*E33</f>
        <v>0.14000000000000001</v>
      </c>
    </row>
    <row r="34" spans="1:7">
      <c r="B34" s="81">
        <v>2</v>
      </c>
      <c r="C34" s="88">
        <v>0.02</v>
      </c>
      <c r="D34" s="89">
        <f>+SUM($C$33:C34)</f>
        <v>9.0000000000000011E-2</v>
      </c>
      <c r="E34" s="50">
        <f>+Summary!K37</f>
        <v>5</v>
      </c>
      <c r="F34" s="50">
        <f t="shared" ref="F34:F39" si="2">+C34*E34</f>
        <v>0.1</v>
      </c>
    </row>
    <row r="35" spans="1:7">
      <c r="B35" s="81">
        <v>3</v>
      </c>
      <c r="C35" s="88">
        <v>1E-3</v>
      </c>
      <c r="D35" s="89">
        <f>+SUM($C$33:C35)</f>
        <v>9.1000000000000011E-2</v>
      </c>
      <c r="E35" s="50">
        <f>+Summary!K38</f>
        <v>10</v>
      </c>
      <c r="F35" s="50">
        <f t="shared" si="2"/>
        <v>0.01</v>
      </c>
    </row>
    <row r="36" spans="1:7">
      <c r="B36" s="81">
        <v>4</v>
      </c>
      <c r="C36" s="88">
        <v>2E-3</v>
      </c>
      <c r="D36" s="89">
        <f>+SUM($C$33:C36)</f>
        <v>9.3000000000000013E-2</v>
      </c>
      <c r="E36" s="50">
        <f>+Summary!K39</f>
        <v>15</v>
      </c>
      <c r="F36" s="50">
        <f t="shared" si="2"/>
        <v>0.03</v>
      </c>
    </row>
    <row r="37" spans="1:7">
      <c r="B37" s="81">
        <v>5</v>
      </c>
      <c r="C37" s="88">
        <v>1E-3</v>
      </c>
      <c r="D37" s="89">
        <f>+SUM($C$33:C37)</f>
        <v>9.4000000000000014E-2</v>
      </c>
      <c r="E37" s="50">
        <f>+Summary!K40</f>
        <v>20</v>
      </c>
      <c r="F37" s="50">
        <f t="shared" si="2"/>
        <v>0.02</v>
      </c>
    </row>
    <row r="38" spans="1:7">
      <c r="B38" s="81">
        <v>6</v>
      </c>
      <c r="C38" s="88">
        <v>0</v>
      </c>
      <c r="D38" s="89">
        <f>+SUM($C$33:C38)</f>
        <v>9.4000000000000014E-2</v>
      </c>
      <c r="E38" s="50">
        <f>+Summary!K41</f>
        <v>50</v>
      </c>
      <c r="F38" s="50">
        <f t="shared" si="2"/>
        <v>0</v>
      </c>
    </row>
    <row r="39" spans="1:7">
      <c r="B39" s="81">
        <v>7</v>
      </c>
      <c r="C39" s="88">
        <v>6.0000000000000001E-3</v>
      </c>
      <c r="D39" s="89">
        <f>+SUM($C$33:C39)</f>
        <v>0.10000000000000002</v>
      </c>
      <c r="E39" s="50">
        <f>+Summary!K42</f>
        <v>100</v>
      </c>
      <c r="F39" s="50">
        <f t="shared" si="2"/>
        <v>0.6</v>
      </c>
      <c r="G39" s="49" t="s">
        <v>79</v>
      </c>
    </row>
    <row r="40" spans="1:7">
      <c r="B40" s="56" t="s">
        <v>11</v>
      </c>
      <c r="C40" s="47">
        <f>+SUM(C33:C39)</f>
        <v>0.10000000000000002</v>
      </c>
      <c r="D40" s="56"/>
      <c r="E40" s="56"/>
      <c r="F40" s="47">
        <f>+SUM(F33:F39)</f>
        <v>0.9</v>
      </c>
    </row>
    <row r="41" spans="1:7">
      <c r="B41" s="57" t="s">
        <v>78</v>
      </c>
    </row>
    <row r="44" spans="1:7">
      <c r="A44" s="52" t="s">
        <v>14</v>
      </c>
      <c r="B44" s="54" t="s">
        <v>73</v>
      </c>
      <c r="C44" s="54" t="s">
        <v>10</v>
      </c>
      <c r="D44" s="54" t="s">
        <v>18</v>
      </c>
      <c r="E44" s="54" t="s">
        <v>8</v>
      </c>
      <c r="F44" s="54" t="s">
        <v>128</v>
      </c>
    </row>
    <row r="45" spans="1:7">
      <c r="B45" s="81">
        <v>1</v>
      </c>
      <c r="C45" s="88">
        <v>7.4999999999999997E-2</v>
      </c>
      <c r="D45" s="89">
        <f>+SUM($C$45:C45)</f>
        <v>7.4999999999999997E-2</v>
      </c>
      <c r="E45" s="50">
        <f>+Summary!K36</f>
        <v>2</v>
      </c>
      <c r="F45" s="50">
        <f>+C45*E45</f>
        <v>0.15</v>
      </c>
    </row>
    <row r="46" spans="1:7">
      <c r="B46" s="81">
        <v>2</v>
      </c>
      <c r="C46" s="88">
        <v>1E-3</v>
      </c>
      <c r="D46" s="89">
        <f>+SUM($C$45:C46)</f>
        <v>7.5999999999999998E-2</v>
      </c>
      <c r="E46" s="50">
        <f>+Summary!K37</f>
        <v>5</v>
      </c>
      <c r="F46" s="50">
        <f t="shared" ref="F46:F51" si="3">+C46*E46</f>
        <v>5.0000000000000001E-3</v>
      </c>
    </row>
    <row r="47" spans="1:7">
      <c r="B47" s="81">
        <v>3</v>
      </c>
      <c r="C47" s="88">
        <v>1E-3</v>
      </c>
      <c r="D47" s="89">
        <f>+SUM($C$45:C47)</f>
        <v>7.6999999999999999E-2</v>
      </c>
      <c r="E47" s="50">
        <f>+Summary!K38</f>
        <v>10</v>
      </c>
      <c r="F47" s="50">
        <f t="shared" si="3"/>
        <v>0.01</v>
      </c>
    </row>
    <row r="48" spans="1:7">
      <c r="B48" s="81">
        <v>4</v>
      </c>
      <c r="C48" s="88">
        <v>1E-3</v>
      </c>
      <c r="D48" s="89">
        <f>+SUM($C$45:C48)</f>
        <v>7.8E-2</v>
      </c>
      <c r="E48" s="50">
        <f>+Summary!K39</f>
        <v>15</v>
      </c>
      <c r="F48" s="50">
        <f t="shared" si="3"/>
        <v>1.4999999999999999E-2</v>
      </c>
    </row>
    <row r="49" spans="2:7">
      <c r="B49" s="81">
        <v>5</v>
      </c>
      <c r="C49" s="88">
        <v>1E-3</v>
      </c>
      <c r="D49" s="89">
        <f>+SUM($C$45:C49)</f>
        <v>7.9000000000000001E-2</v>
      </c>
      <c r="E49" s="50">
        <f>+Summary!K40</f>
        <v>20</v>
      </c>
      <c r="F49" s="50">
        <f t="shared" si="3"/>
        <v>0.02</v>
      </c>
    </row>
    <row r="50" spans="2:7">
      <c r="B50" s="81">
        <v>6</v>
      </c>
      <c r="C50" s="88">
        <v>0</v>
      </c>
      <c r="D50" s="89">
        <f>+SUM($C$45:C50)</f>
        <v>7.9000000000000001E-2</v>
      </c>
      <c r="E50" s="50">
        <f>+Summary!K41</f>
        <v>50</v>
      </c>
      <c r="F50" s="50">
        <f t="shared" si="3"/>
        <v>0</v>
      </c>
    </row>
    <row r="51" spans="2:7">
      <c r="B51" s="81">
        <v>7</v>
      </c>
      <c r="C51" s="88">
        <v>7.0000000000000001E-3</v>
      </c>
      <c r="D51" s="89">
        <f>+SUM($C$45:C51)</f>
        <v>8.6000000000000007E-2</v>
      </c>
      <c r="E51" s="50">
        <f>+Summary!K42</f>
        <v>100</v>
      </c>
      <c r="F51" s="50">
        <f t="shared" si="3"/>
        <v>0.70000000000000007</v>
      </c>
      <c r="G51" s="49" t="s">
        <v>79</v>
      </c>
    </row>
    <row r="52" spans="2:7">
      <c r="B52" s="56" t="s">
        <v>11</v>
      </c>
      <c r="C52" s="56">
        <f>+SUM(C45:C51)</f>
        <v>8.6000000000000007E-2</v>
      </c>
      <c r="D52" s="56"/>
      <c r="E52" s="56"/>
      <c r="F52" s="47">
        <f>+SUM(F45:F51)</f>
        <v>0.9</v>
      </c>
    </row>
    <row r="53" spans="2:7">
      <c r="B53" s="57" t="s">
        <v>78</v>
      </c>
    </row>
  </sheetData>
  <mergeCells count="1">
    <mergeCell ref="A1:E1"/>
  </mergeCells>
  <pageMargins left="0.7" right="0.7" top="0.75" bottom="0.75" header="0.3" footer="0.3"/>
  <pageSetup paperSize="9" orientation="portrait" horizontalDpi="200" verticalDpi="200" r:id="rId1"/>
</worksheet>
</file>

<file path=xl/worksheets/sheet5.xml><?xml version="1.0" encoding="utf-8"?>
<worksheet xmlns="http://schemas.openxmlformats.org/spreadsheetml/2006/main" xmlns:r="http://schemas.openxmlformats.org/officeDocument/2006/relationships">
  <dimension ref="A1:G53"/>
  <sheetViews>
    <sheetView workbookViewId="0">
      <selection activeCell="E45" sqref="E45:E5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3" t="s">
        <v>153</v>
      </c>
      <c r="B1" s="123"/>
      <c r="C1" s="123"/>
      <c r="D1" s="123"/>
      <c r="E1" s="123"/>
    </row>
    <row r="2" spans="1:7">
      <c r="A2" s="59" t="s">
        <v>123</v>
      </c>
    </row>
    <row r="3" spans="1:7">
      <c r="A3" s="59" t="s">
        <v>124</v>
      </c>
    </row>
    <row r="4" spans="1:7">
      <c r="A4" s="59" t="s">
        <v>126</v>
      </c>
    </row>
    <row r="8" spans="1:7">
      <c r="A8" s="52" t="s">
        <v>9</v>
      </c>
      <c r="B8" s="54" t="s">
        <v>73</v>
      </c>
      <c r="C8" s="54" t="s">
        <v>10</v>
      </c>
      <c r="D8" s="54" t="s">
        <v>18</v>
      </c>
      <c r="E8" s="54" t="s">
        <v>8</v>
      </c>
      <c r="F8" s="54" t="s">
        <v>128</v>
      </c>
    </row>
    <row r="9" spans="1:7">
      <c r="B9" s="81">
        <v>1</v>
      </c>
      <c r="C9" s="88">
        <v>0.3</v>
      </c>
      <c r="D9" s="50">
        <f>+SUM($C$9:C9)</f>
        <v>0.3</v>
      </c>
      <c r="E9" s="50">
        <f>+Summary!K36</f>
        <v>2</v>
      </c>
      <c r="F9" s="50">
        <f>+C9*E9</f>
        <v>0.6</v>
      </c>
    </row>
    <row r="10" spans="1:7">
      <c r="B10" s="81">
        <v>2</v>
      </c>
      <c r="C10" s="88">
        <v>0.1</v>
      </c>
      <c r="D10" s="50">
        <f>+SUM($C$9:C10)</f>
        <v>0.4</v>
      </c>
      <c r="E10" s="50">
        <f>+Summary!K37</f>
        <v>5</v>
      </c>
      <c r="F10" s="50">
        <f t="shared" ref="F10:F15" si="0">+C10*E10</f>
        <v>0.5</v>
      </c>
    </row>
    <row r="11" spans="1:7">
      <c r="B11" s="81">
        <v>3</v>
      </c>
      <c r="C11" s="88">
        <v>0.04</v>
      </c>
      <c r="D11" s="50">
        <f>+SUM($C$9:C11)</f>
        <v>0.44</v>
      </c>
      <c r="E11" s="50">
        <f>+Summary!K38</f>
        <v>10</v>
      </c>
      <c r="F11" s="50">
        <f t="shared" si="0"/>
        <v>0.4</v>
      </c>
    </row>
    <row r="12" spans="1:7">
      <c r="B12" s="81">
        <v>4</v>
      </c>
      <c r="C12" s="88">
        <v>0.1</v>
      </c>
      <c r="D12" s="50">
        <f>+SUM($C$9:C12)</f>
        <v>0.54</v>
      </c>
      <c r="E12" s="50">
        <f>+Summary!K39</f>
        <v>15</v>
      </c>
      <c r="F12" s="50">
        <f t="shared" si="0"/>
        <v>1.5</v>
      </c>
    </row>
    <row r="13" spans="1:7">
      <c r="B13" s="81">
        <v>5</v>
      </c>
      <c r="C13" s="88">
        <v>0.05</v>
      </c>
      <c r="D13" s="50">
        <f>+SUM($C$9:C13)</f>
        <v>0.59000000000000008</v>
      </c>
      <c r="E13" s="50">
        <f>+Summary!K40</f>
        <v>20</v>
      </c>
      <c r="F13" s="50">
        <f t="shared" si="0"/>
        <v>1</v>
      </c>
    </row>
    <row r="14" spans="1:7">
      <c r="B14" s="81">
        <v>6</v>
      </c>
      <c r="C14" s="88">
        <v>0.02</v>
      </c>
      <c r="D14" s="50">
        <f>+SUM($C$9:C14)</f>
        <v>0.6100000000000001</v>
      </c>
      <c r="E14" s="50">
        <f>+Summary!K41</f>
        <v>50</v>
      </c>
      <c r="F14" s="50">
        <f t="shared" si="0"/>
        <v>1</v>
      </c>
    </row>
    <row r="15" spans="1:7">
      <c r="B15" s="81">
        <v>7</v>
      </c>
      <c r="C15" s="88">
        <v>0.1</v>
      </c>
      <c r="D15" s="50">
        <f>+SUM($C$9:C15)</f>
        <v>0.71000000000000008</v>
      </c>
      <c r="E15" s="50">
        <f>+Summary!K42</f>
        <v>100</v>
      </c>
      <c r="F15" s="50">
        <f t="shared" si="0"/>
        <v>10</v>
      </c>
      <c r="G15" s="49" t="s">
        <v>79</v>
      </c>
    </row>
    <row r="16" spans="1:7">
      <c r="B16" s="56" t="s">
        <v>11</v>
      </c>
      <c r="C16" s="56">
        <f>+SUM(C9:C15)</f>
        <v>0.71000000000000008</v>
      </c>
      <c r="D16" s="56"/>
      <c r="E16" s="56"/>
      <c r="F16" s="47">
        <f>+SUM(F9:F15)</f>
        <v>15</v>
      </c>
    </row>
    <row r="17" spans="1:7">
      <c r="B17" s="57" t="s">
        <v>78</v>
      </c>
    </row>
    <row r="20" spans="1:7">
      <c r="A20" s="52" t="s">
        <v>12</v>
      </c>
      <c r="B20" s="54" t="s">
        <v>73</v>
      </c>
      <c r="C20" s="54" t="s">
        <v>10</v>
      </c>
      <c r="D20" s="54" t="s">
        <v>18</v>
      </c>
      <c r="E20" s="54" t="s">
        <v>8</v>
      </c>
      <c r="F20" s="54" t="s">
        <v>128</v>
      </c>
    </row>
    <row r="21" spans="1:7">
      <c r="B21" s="81">
        <v>1</v>
      </c>
      <c r="C21" s="88">
        <v>0.3</v>
      </c>
      <c r="D21" s="89">
        <f>+SUM($C$21:C21)</f>
        <v>0.3</v>
      </c>
      <c r="E21" s="50">
        <f>+Summary!K36</f>
        <v>2</v>
      </c>
      <c r="F21" s="50">
        <f>+C21*E21</f>
        <v>0.6</v>
      </c>
    </row>
    <row r="22" spans="1:7">
      <c r="B22" s="81">
        <v>2</v>
      </c>
      <c r="C22" s="88">
        <v>0.08</v>
      </c>
      <c r="D22" s="89">
        <f>+SUM($C$21:C22)</f>
        <v>0.38</v>
      </c>
      <c r="E22" s="50">
        <f>+Summary!K37</f>
        <v>5</v>
      </c>
      <c r="F22" s="50">
        <f t="shared" ref="F22:F27" si="1">+C22*E22</f>
        <v>0.4</v>
      </c>
    </row>
    <row r="23" spans="1:7">
      <c r="B23" s="81">
        <v>3</v>
      </c>
      <c r="C23" s="88">
        <v>0.1</v>
      </c>
      <c r="D23" s="89">
        <f>+SUM($C$21:C23)</f>
        <v>0.48</v>
      </c>
      <c r="E23" s="50">
        <f>+Summary!K38</f>
        <v>10</v>
      </c>
      <c r="F23" s="50">
        <f t="shared" si="1"/>
        <v>1</v>
      </c>
    </row>
    <row r="24" spans="1:7">
      <c r="B24" s="81">
        <v>4</v>
      </c>
      <c r="C24" s="88">
        <v>0.02</v>
      </c>
      <c r="D24" s="89">
        <f>+SUM($C$21:C24)</f>
        <v>0.5</v>
      </c>
      <c r="E24" s="50">
        <f>+Summary!K39</f>
        <v>15</v>
      </c>
      <c r="F24" s="50">
        <f t="shared" si="1"/>
        <v>0.3</v>
      </c>
    </row>
    <row r="25" spans="1:7">
      <c r="B25" s="81">
        <v>5</v>
      </c>
      <c r="C25" s="88">
        <v>0.01</v>
      </c>
      <c r="D25" s="89">
        <f>+SUM($C$21:C25)</f>
        <v>0.51</v>
      </c>
      <c r="E25" s="50">
        <f>+Summary!K40</f>
        <v>20</v>
      </c>
      <c r="F25" s="50">
        <f t="shared" si="1"/>
        <v>0.2</v>
      </c>
    </row>
    <row r="26" spans="1:7">
      <c r="B26" s="81">
        <v>6</v>
      </c>
      <c r="C26" s="88">
        <v>0.03</v>
      </c>
      <c r="D26" s="89">
        <f>+SUM($C$21:C26)</f>
        <v>0.54</v>
      </c>
      <c r="E26" s="50">
        <f>+Summary!K41</f>
        <v>50</v>
      </c>
      <c r="F26" s="50">
        <f t="shared" si="1"/>
        <v>1.5</v>
      </c>
    </row>
    <row r="27" spans="1:7">
      <c r="B27" s="81">
        <v>7</v>
      </c>
      <c r="C27" s="88">
        <v>0.11</v>
      </c>
      <c r="D27" s="89">
        <f>+SUM($C$21:C27)</f>
        <v>0.65</v>
      </c>
      <c r="E27" s="50">
        <f>+Summary!K42</f>
        <v>100</v>
      </c>
      <c r="F27" s="50">
        <f t="shared" si="1"/>
        <v>11</v>
      </c>
      <c r="G27" s="49" t="s">
        <v>79</v>
      </c>
    </row>
    <row r="28" spans="1:7">
      <c r="B28" s="56" t="s">
        <v>11</v>
      </c>
      <c r="C28" s="56">
        <f>+SUM(C21:C27)</f>
        <v>0.65</v>
      </c>
      <c r="D28" s="56"/>
      <c r="E28" s="56"/>
      <c r="F28" s="47">
        <f>+SUM(F21:F27)</f>
        <v>15</v>
      </c>
    </row>
    <row r="29" spans="1:7">
      <c r="B29" s="57" t="s">
        <v>78</v>
      </c>
    </row>
    <row r="32" spans="1:7">
      <c r="A32" s="52" t="s">
        <v>13</v>
      </c>
      <c r="B32" s="54" t="s">
        <v>73</v>
      </c>
      <c r="C32" s="54" t="s">
        <v>10</v>
      </c>
      <c r="D32" s="54" t="s">
        <v>18</v>
      </c>
      <c r="E32" s="54" t="s">
        <v>8</v>
      </c>
      <c r="F32" s="54" t="s">
        <v>128</v>
      </c>
    </row>
    <row r="33" spans="1:7">
      <c r="B33" s="81">
        <v>1</v>
      </c>
      <c r="C33" s="88">
        <v>0.2</v>
      </c>
      <c r="D33" s="89">
        <f>+SUM($C$33:C33)</f>
        <v>0.2</v>
      </c>
      <c r="E33" s="50">
        <f>+Summary!K36</f>
        <v>2</v>
      </c>
      <c r="F33" s="50">
        <f>+C33*E33</f>
        <v>0.4</v>
      </c>
    </row>
    <row r="34" spans="1:7">
      <c r="B34" s="81">
        <v>2</v>
      </c>
      <c r="C34" s="88">
        <v>0.14000000000000001</v>
      </c>
      <c r="D34" s="89">
        <f>+SUM($C$33:C34)</f>
        <v>0.34</v>
      </c>
      <c r="E34" s="50">
        <f>+Summary!K37</f>
        <v>5</v>
      </c>
      <c r="F34" s="50">
        <f t="shared" ref="F34:F39" si="2">+C34*E34</f>
        <v>0.70000000000000007</v>
      </c>
    </row>
    <row r="35" spans="1:7">
      <c r="B35" s="81">
        <v>3</v>
      </c>
      <c r="C35" s="88">
        <v>0.05</v>
      </c>
      <c r="D35" s="89">
        <f>+SUM($C$33:C35)</f>
        <v>0.39</v>
      </c>
      <c r="E35" s="50">
        <f>+Summary!K38</f>
        <v>10</v>
      </c>
      <c r="F35" s="50">
        <f t="shared" si="2"/>
        <v>0.5</v>
      </c>
    </row>
    <row r="36" spans="1:7">
      <c r="B36" s="81">
        <v>4</v>
      </c>
      <c r="C36" s="88">
        <v>0.02</v>
      </c>
      <c r="D36" s="89">
        <f>+SUM($C$33:C36)</f>
        <v>0.41000000000000003</v>
      </c>
      <c r="E36" s="50">
        <f>+Summary!K39</f>
        <v>15</v>
      </c>
      <c r="F36" s="50">
        <f t="shared" si="2"/>
        <v>0.3</v>
      </c>
    </row>
    <row r="37" spans="1:7">
      <c r="B37" s="81">
        <v>5</v>
      </c>
      <c r="C37" s="88">
        <v>0.03</v>
      </c>
      <c r="D37" s="89">
        <f>+SUM($C$33:C37)</f>
        <v>0.44000000000000006</v>
      </c>
      <c r="E37" s="50">
        <f>+Summary!K40</f>
        <v>20</v>
      </c>
      <c r="F37" s="50">
        <f t="shared" si="2"/>
        <v>0.6</v>
      </c>
    </row>
    <row r="38" spans="1:7">
      <c r="B38" s="81">
        <v>6</v>
      </c>
      <c r="C38" s="88">
        <v>0.01</v>
      </c>
      <c r="D38" s="89">
        <f>+SUM($C$33:C38)</f>
        <v>0.45000000000000007</v>
      </c>
      <c r="E38" s="50">
        <f>+Summary!K41</f>
        <v>50</v>
      </c>
      <c r="F38" s="50">
        <f t="shared" si="2"/>
        <v>0.5</v>
      </c>
    </row>
    <row r="39" spans="1:7">
      <c r="B39" s="81">
        <v>7</v>
      </c>
      <c r="C39" s="88">
        <v>0.12</v>
      </c>
      <c r="D39" s="89">
        <f>+SUM($C$33:C39)</f>
        <v>0.57000000000000006</v>
      </c>
      <c r="E39" s="50">
        <f>+Summary!K42</f>
        <v>100</v>
      </c>
      <c r="F39" s="50">
        <f t="shared" si="2"/>
        <v>12</v>
      </c>
      <c r="G39" s="49" t="s">
        <v>79</v>
      </c>
    </row>
    <row r="40" spans="1:7">
      <c r="B40" s="56" t="s">
        <v>11</v>
      </c>
      <c r="C40" s="47">
        <f>+SUM(C33:C39)</f>
        <v>0.57000000000000006</v>
      </c>
      <c r="D40" s="56"/>
      <c r="E40" s="56"/>
      <c r="F40" s="47">
        <f>+SUM(F33:F39)</f>
        <v>15</v>
      </c>
    </row>
    <row r="41" spans="1:7">
      <c r="B41" s="57" t="s">
        <v>78</v>
      </c>
    </row>
    <row r="44" spans="1:7">
      <c r="A44" s="52" t="s">
        <v>14</v>
      </c>
      <c r="B44" s="54" t="s">
        <v>73</v>
      </c>
      <c r="C44" s="54" t="s">
        <v>10</v>
      </c>
      <c r="D44" s="54" t="s">
        <v>18</v>
      </c>
      <c r="E44" s="54" t="s">
        <v>8</v>
      </c>
      <c r="F44" s="54" t="s">
        <v>128</v>
      </c>
    </row>
    <row r="45" spans="1:7">
      <c r="B45" s="81">
        <v>1</v>
      </c>
      <c r="C45" s="88">
        <v>0.1</v>
      </c>
      <c r="D45" s="89">
        <f>+SUM($C$45:C45)</f>
        <v>0.1</v>
      </c>
      <c r="E45" s="50">
        <f>+Summary!K36</f>
        <v>2</v>
      </c>
      <c r="F45" s="50">
        <f>+C45*E45</f>
        <v>0.2</v>
      </c>
    </row>
    <row r="46" spans="1:7">
      <c r="B46" s="81">
        <v>2</v>
      </c>
      <c r="C46" s="88">
        <v>0.08</v>
      </c>
      <c r="D46" s="89">
        <f>+SUM($C$45:C46)</f>
        <v>0.18</v>
      </c>
      <c r="E46" s="50">
        <f>+Summary!K37</f>
        <v>5</v>
      </c>
      <c r="F46" s="50">
        <f t="shared" ref="F46:F51" si="3">+C46*E46</f>
        <v>0.4</v>
      </c>
    </row>
    <row r="47" spans="1:7">
      <c r="B47" s="81">
        <v>3</v>
      </c>
      <c r="C47" s="88">
        <v>0.1</v>
      </c>
      <c r="D47" s="89">
        <f>+SUM($C$45:C47)</f>
        <v>0.28000000000000003</v>
      </c>
      <c r="E47" s="50">
        <f>+Summary!K38</f>
        <v>10</v>
      </c>
      <c r="F47" s="50">
        <f t="shared" si="3"/>
        <v>1</v>
      </c>
    </row>
    <row r="48" spans="1:7">
      <c r="B48" s="81">
        <v>4</v>
      </c>
      <c r="C48" s="88">
        <v>0.01</v>
      </c>
      <c r="D48" s="89">
        <f>+SUM($C$45:C48)</f>
        <v>0.29000000000000004</v>
      </c>
      <c r="E48" s="50">
        <f>+Summary!K39</f>
        <v>15</v>
      </c>
      <c r="F48" s="50">
        <f t="shared" si="3"/>
        <v>0.15</v>
      </c>
    </row>
    <row r="49" spans="2:7">
      <c r="B49" s="81">
        <v>5</v>
      </c>
      <c r="C49" s="88">
        <v>0.01</v>
      </c>
      <c r="D49" s="89">
        <f>+SUM($C$45:C49)</f>
        <v>0.30000000000000004</v>
      </c>
      <c r="E49" s="50">
        <f>+Summary!K40</f>
        <v>20</v>
      </c>
      <c r="F49" s="50">
        <f t="shared" si="3"/>
        <v>0.2</v>
      </c>
    </row>
    <row r="50" spans="2:7">
      <c r="B50" s="81">
        <v>6</v>
      </c>
      <c r="C50" s="88">
        <v>1E-3</v>
      </c>
      <c r="D50" s="89">
        <f>+SUM($C$45:C50)</f>
        <v>0.30100000000000005</v>
      </c>
      <c r="E50" s="50">
        <f>+Summary!K41</f>
        <v>50</v>
      </c>
      <c r="F50" s="50">
        <f t="shared" si="3"/>
        <v>0.05</v>
      </c>
    </row>
    <row r="51" spans="2:7">
      <c r="B51" s="81">
        <v>7</v>
      </c>
      <c r="C51" s="88">
        <v>0.13</v>
      </c>
      <c r="D51" s="89">
        <f>+SUM($C$45:C51)</f>
        <v>0.43100000000000005</v>
      </c>
      <c r="E51" s="50">
        <f>+Summary!K42</f>
        <v>100</v>
      </c>
      <c r="F51" s="50">
        <f t="shared" si="3"/>
        <v>13</v>
      </c>
      <c r="G51" s="49" t="s">
        <v>79</v>
      </c>
    </row>
    <row r="52" spans="2:7">
      <c r="B52" s="56" t="s">
        <v>11</v>
      </c>
      <c r="C52" s="56">
        <f>+SUM(C45:C51)</f>
        <v>0.43100000000000005</v>
      </c>
      <c r="D52" s="56"/>
      <c r="E52" s="56"/>
      <c r="F52" s="47">
        <f>+SUM(F45:F51)</f>
        <v>15</v>
      </c>
    </row>
    <row r="53" spans="2:7">
      <c r="B53" s="57" t="s">
        <v>78</v>
      </c>
    </row>
  </sheetData>
  <mergeCells count="1">
    <mergeCell ref="A1:E1"/>
  </mergeCells>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sheetPr codeName="Hoja1"/>
  <dimension ref="A1:K42"/>
  <sheetViews>
    <sheetView workbookViewId="0">
      <selection activeCell="E7" sqref="E7"/>
    </sheetView>
  </sheetViews>
  <sheetFormatPr baseColWidth="10" defaultRowHeight="14.4"/>
  <cols>
    <col min="1" max="1" width="18" customWidth="1"/>
    <col min="4" max="4" width="11.5546875" style="21"/>
    <col min="5" max="5" width="14.88671875" customWidth="1"/>
    <col min="7" max="7" width="13.5546875" customWidth="1"/>
    <col min="8" max="8" width="15" customWidth="1"/>
  </cols>
  <sheetData>
    <row r="1" spans="1:9" s="49" customFormat="1">
      <c r="A1" s="49" t="s">
        <v>59</v>
      </c>
    </row>
    <row r="2" spans="1:9" s="49" customFormat="1">
      <c r="A2" s="49" t="s">
        <v>60</v>
      </c>
    </row>
    <row r="3" spans="1:9" s="49" customFormat="1"/>
    <row r="4" spans="1:9" s="49" customFormat="1"/>
    <row r="5" spans="1:9">
      <c r="A5" s="54" t="s">
        <v>0</v>
      </c>
      <c r="B5" s="54" t="s">
        <v>1</v>
      </c>
      <c r="C5" s="54" t="s">
        <v>2</v>
      </c>
      <c r="D5" s="54" t="s">
        <v>10</v>
      </c>
      <c r="E5" s="54" t="s">
        <v>138</v>
      </c>
      <c r="F5" s="54" t="s">
        <v>159</v>
      </c>
      <c r="G5" s="54" t="s">
        <v>139</v>
      </c>
      <c r="H5" s="49"/>
      <c r="I5" s="49"/>
    </row>
    <row r="6" spans="1:9">
      <c r="A6" s="53" t="s">
        <v>6</v>
      </c>
      <c r="B6" s="6">
        <v>0.65500000000000003</v>
      </c>
      <c r="C6" s="53"/>
      <c r="D6" s="53"/>
      <c r="E6" s="53"/>
      <c r="F6" s="53"/>
      <c r="G6" s="6">
        <v>0.65500000000000003</v>
      </c>
      <c r="H6" s="49"/>
      <c r="I6" s="49"/>
    </row>
    <row r="7" spans="1:9">
      <c r="A7" s="53" t="s">
        <v>3</v>
      </c>
      <c r="B7" s="115">
        <v>0.2</v>
      </c>
      <c r="C7" s="53">
        <v>500</v>
      </c>
      <c r="D7" s="53">
        <f>1/C7</f>
        <v>2E-3</v>
      </c>
      <c r="E7" s="53">
        <f>+C7*B7</f>
        <v>100</v>
      </c>
      <c r="F7" s="53">
        <v>100</v>
      </c>
      <c r="G7" s="115">
        <v>0.2</v>
      </c>
      <c r="H7" s="59" t="s">
        <v>155</v>
      </c>
      <c r="I7" s="49"/>
    </row>
    <row r="8" spans="1:9">
      <c r="A8" s="53" t="s">
        <v>7</v>
      </c>
      <c r="B8" s="115">
        <f>1/C8*E8</f>
        <v>0.1</v>
      </c>
      <c r="C8" s="53">
        <v>60</v>
      </c>
      <c r="D8" s="53">
        <f t="shared" ref="D8" si="0">1/C8</f>
        <v>1.6666666666666666E-2</v>
      </c>
      <c r="E8" s="116">
        <f>+'Special weapon'!D14</f>
        <v>6</v>
      </c>
      <c r="F8" s="116">
        <f>+'Special weapon'!D41</f>
        <v>3.8163043478260872</v>
      </c>
      <c r="G8" s="115">
        <f>1/C8*F8</f>
        <v>6.360507246376812E-2</v>
      </c>
      <c r="H8" s="49"/>
      <c r="I8" s="49"/>
    </row>
    <row r="9" spans="1:9" s="49" customFormat="1">
      <c r="A9" s="53" t="s">
        <v>4</v>
      </c>
      <c r="B9" s="115">
        <v>0.02</v>
      </c>
      <c r="C9" s="53"/>
      <c r="D9" s="53"/>
      <c r="E9" s="53"/>
      <c r="F9" s="53"/>
      <c r="G9" s="115">
        <v>0.02</v>
      </c>
    </row>
    <row r="10" spans="1:9">
      <c r="A10" s="53" t="s">
        <v>127</v>
      </c>
      <c r="B10" s="115">
        <v>0</v>
      </c>
      <c r="C10" s="53"/>
      <c r="D10" s="53"/>
      <c r="E10" s="53"/>
      <c r="F10" s="53"/>
      <c r="G10" s="115">
        <v>0</v>
      </c>
      <c r="H10" s="49"/>
      <c r="I10" s="49"/>
    </row>
    <row r="11" spans="1:9">
      <c r="A11" s="54" t="s">
        <v>5</v>
      </c>
      <c r="B11" s="30">
        <f>+SUM(B6:B10)</f>
        <v>0.97499999999999998</v>
      </c>
      <c r="C11" s="54"/>
      <c r="D11" s="54"/>
      <c r="E11" s="54"/>
      <c r="F11" s="54"/>
      <c r="G11" s="117">
        <f>+SUM(G6:G10)</f>
        <v>0.93860507246376812</v>
      </c>
      <c r="H11" s="49"/>
      <c r="I11" s="49"/>
    </row>
    <row r="12" spans="1:9">
      <c r="A12" s="57" t="s">
        <v>55</v>
      </c>
    </row>
    <row r="13" spans="1:9">
      <c r="A13" s="57" t="s">
        <v>147</v>
      </c>
    </row>
    <row r="14" spans="1:9" s="21" customFormat="1">
      <c r="A14" s="57" t="s">
        <v>148</v>
      </c>
    </row>
    <row r="15" spans="1:9" s="21" customFormat="1"/>
    <row r="16" spans="1:9">
      <c r="A16" s="51" t="s">
        <v>107</v>
      </c>
    </row>
    <row r="17" spans="1:11" s="49" customFormat="1">
      <c r="A17" s="51"/>
    </row>
    <row r="18" spans="1:11" s="49" customFormat="1">
      <c r="A18" s="51"/>
    </row>
    <row r="19" spans="1:11">
      <c r="A19" s="52" t="s">
        <v>62</v>
      </c>
      <c r="B19" s="49"/>
      <c r="D19" s="52" t="s">
        <v>63</v>
      </c>
      <c r="E19" s="49"/>
      <c r="G19" s="52" t="s">
        <v>64</v>
      </c>
      <c r="H19" s="49"/>
    </row>
    <row r="20" spans="1:11">
      <c r="A20" s="54" t="s">
        <v>73</v>
      </c>
      <c r="B20" s="54" t="s">
        <v>72</v>
      </c>
      <c r="D20" s="54" t="s">
        <v>73</v>
      </c>
      <c r="E20" s="54" t="s">
        <v>72</v>
      </c>
      <c r="G20" s="54" t="s">
        <v>73</v>
      </c>
      <c r="H20" s="54" t="s">
        <v>72</v>
      </c>
    </row>
    <row r="21" spans="1:11">
      <c r="A21" s="53">
        <v>1</v>
      </c>
      <c r="B21" s="79">
        <v>2</v>
      </c>
      <c r="D21" s="53">
        <v>1</v>
      </c>
      <c r="E21" s="79">
        <v>5</v>
      </c>
      <c r="G21" s="53">
        <v>1</v>
      </c>
      <c r="H21" s="79">
        <v>8</v>
      </c>
    </row>
    <row r="22" spans="1:11" s="49" customFormat="1">
      <c r="A22" s="51"/>
    </row>
    <row r="23" spans="1:11" s="49" customFormat="1">
      <c r="A23" s="51"/>
    </row>
    <row r="24" spans="1:11" s="3" customFormat="1">
      <c r="A24" s="2"/>
      <c r="D24" s="21"/>
    </row>
    <row r="25" spans="1:11">
      <c r="A25" s="52" t="s">
        <v>66</v>
      </c>
      <c r="B25" s="49"/>
      <c r="D25" s="4" t="s">
        <v>69</v>
      </c>
      <c r="G25" s="4" t="s">
        <v>70</v>
      </c>
      <c r="H25" s="3"/>
      <c r="J25" s="4" t="s">
        <v>71</v>
      </c>
      <c r="K25" s="3"/>
    </row>
    <row r="26" spans="1:11">
      <c r="A26" s="54" t="s">
        <v>65</v>
      </c>
      <c r="B26" s="54" t="s">
        <v>72</v>
      </c>
      <c r="D26" s="54" t="s">
        <v>73</v>
      </c>
      <c r="E26" s="54" t="s">
        <v>72</v>
      </c>
      <c r="G26" s="54" t="s">
        <v>73</v>
      </c>
      <c r="H26" s="54" t="s">
        <v>72</v>
      </c>
      <c r="J26" s="54" t="s">
        <v>73</v>
      </c>
      <c r="K26" s="54" t="s">
        <v>72</v>
      </c>
    </row>
    <row r="27" spans="1:11">
      <c r="A27" s="53">
        <v>1</v>
      </c>
      <c r="B27" s="78">
        <v>3</v>
      </c>
      <c r="D27" s="5">
        <v>2</v>
      </c>
      <c r="E27" s="78">
        <v>5</v>
      </c>
      <c r="G27" s="53">
        <v>1</v>
      </c>
      <c r="H27" s="78">
        <v>5</v>
      </c>
      <c r="J27" s="53">
        <v>1</v>
      </c>
      <c r="K27" s="78">
        <v>5</v>
      </c>
    </row>
    <row r="28" spans="1:11">
      <c r="A28" s="53">
        <v>2</v>
      </c>
      <c r="B28" s="78">
        <v>5</v>
      </c>
      <c r="D28" s="1">
        <v>3</v>
      </c>
      <c r="E28" s="78">
        <v>10</v>
      </c>
      <c r="G28" s="53">
        <v>2</v>
      </c>
      <c r="H28" s="78">
        <v>10</v>
      </c>
      <c r="J28" s="53">
        <v>2</v>
      </c>
      <c r="K28" s="78">
        <v>12</v>
      </c>
    </row>
    <row r="29" spans="1:11">
      <c r="A29" s="76" t="s">
        <v>5</v>
      </c>
      <c r="B29" s="79">
        <f>+SUM(B27:B28)</f>
        <v>8</v>
      </c>
      <c r="D29" s="76" t="s">
        <v>5</v>
      </c>
      <c r="E29" s="79">
        <f>+SUM(E27:E28)</f>
        <v>15</v>
      </c>
      <c r="G29" s="50">
        <v>3</v>
      </c>
      <c r="H29" s="78">
        <v>15</v>
      </c>
      <c r="J29" s="50">
        <v>3</v>
      </c>
      <c r="K29" s="78">
        <v>18</v>
      </c>
    </row>
    <row r="30" spans="1:11" s="49" customFormat="1">
      <c r="D30" s="21"/>
      <c r="E30"/>
      <c r="F30" s="52"/>
      <c r="G30" s="76" t="s">
        <v>5</v>
      </c>
      <c r="H30" s="79">
        <f>+SUM(H27:H29)</f>
        <v>30</v>
      </c>
      <c r="I30" s="52"/>
      <c r="J30" s="76" t="s">
        <v>5</v>
      </c>
      <c r="K30" s="79">
        <f>+SUM(K27:K29)</f>
        <v>35</v>
      </c>
    </row>
    <row r="34" spans="1:11">
      <c r="A34" s="52" t="s">
        <v>67</v>
      </c>
      <c r="B34" s="49"/>
      <c r="D34" s="52" t="s">
        <v>68</v>
      </c>
      <c r="E34" s="49"/>
      <c r="G34" s="52" t="s">
        <v>125</v>
      </c>
      <c r="H34" s="49"/>
      <c r="J34" s="52" t="s">
        <v>154</v>
      </c>
      <c r="K34" s="49"/>
    </row>
    <row r="35" spans="1:11">
      <c r="A35" s="54" t="s">
        <v>73</v>
      </c>
      <c r="B35" s="54" t="s">
        <v>72</v>
      </c>
      <c r="D35" s="54" t="s">
        <v>73</v>
      </c>
      <c r="E35" s="54" t="s">
        <v>72</v>
      </c>
      <c r="G35" s="54" t="s">
        <v>73</v>
      </c>
      <c r="H35" s="54" t="s">
        <v>72</v>
      </c>
      <c r="J35" s="54" t="s">
        <v>73</v>
      </c>
      <c r="K35" s="54" t="s">
        <v>72</v>
      </c>
    </row>
    <row r="36" spans="1:11">
      <c r="A36" s="53">
        <v>1</v>
      </c>
      <c r="B36" s="78">
        <v>7</v>
      </c>
      <c r="D36" s="53">
        <v>1</v>
      </c>
      <c r="E36" s="78">
        <v>7</v>
      </c>
      <c r="G36" s="53">
        <v>1</v>
      </c>
      <c r="H36" s="78">
        <v>2</v>
      </c>
      <c r="J36" s="53">
        <v>1</v>
      </c>
      <c r="K36" s="78">
        <v>2</v>
      </c>
    </row>
    <row r="37" spans="1:11">
      <c r="A37" s="53">
        <v>2</v>
      </c>
      <c r="B37" s="78">
        <v>15</v>
      </c>
      <c r="D37" s="53">
        <v>2</v>
      </c>
      <c r="E37" s="78">
        <v>15</v>
      </c>
      <c r="G37" s="53">
        <v>2</v>
      </c>
      <c r="H37" s="78">
        <v>5</v>
      </c>
      <c r="J37" s="53">
        <v>2</v>
      </c>
      <c r="K37" s="78">
        <v>5</v>
      </c>
    </row>
    <row r="38" spans="1:11">
      <c r="A38" s="53">
        <v>3</v>
      </c>
      <c r="B38" s="78">
        <v>20</v>
      </c>
      <c r="D38" s="53">
        <v>3</v>
      </c>
      <c r="E38" s="78">
        <v>20</v>
      </c>
      <c r="G38" s="53">
        <v>3</v>
      </c>
      <c r="H38" s="78">
        <v>10</v>
      </c>
      <c r="J38" s="53">
        <v>3</v>
      </c>
      <c r="K38" s="78">
        <v>10</v>
      </c>
    </row>
    <row r="39" spans="1:11">
      <c r="A39" s="76" t="s">
        <v>5</v>
      </c>
      <c r="B39" s="79">
        <f>+SUM(B36:B38)</f>
        <v>42</v>
      </c>
      <c r="D39" s="76" t="s">
        <v>5</v>
      </c>
      <c r="E39" s="79">
        <f>+SUM(E36:E38)</f>
        <v>42</v>
      </c>
      <c r="G39" s="53">
        <v>4</v>
      </c>
      <c r="H39" s="78">
        <v>20</v>
      </c>
      <c r="J39" s="53">
        <v>4</v>
      </c>
      <c r="K39" s="78">
        <v>15</v>
      </c>
    </row>
    <row r="40" spans="1:11">
      <c r="G40" s="53">
        <v>5</v>
      </c>
      <c r="H40" s="78">
        <v>50</v>
      </c>
      <c r="J40" s="53">
        <v>5</v>
      </c>
      <c r="K40" s="78">
        <v>20</v>
      </c>
    </row>
    <row r="41" spans="1:11">
      <c r="B41" s="49"/>
      <c r="E41" s="49"/>
      <c r="G41" s="53">
        <v>6</v>
      </c>
      <c r="H41" s="78">
        <v>100</v>
      </c>
      <c r="J41" s="53">
        <v>6</v>
      </c>
      <c r="K41" s="78">
        <v>50</v>
      </c>
    </row>
    <row r="42" spans="1:11">
      <c r="G42" s="53">
        <v>7</v>
      </c>
      <c r="H42" s="78">
        <v>500</v>
      </c>
      <c r="J42" s="53">
        <v>7</v>
      </c>
      <c r="K42" s="78">
        <v>100</v>
      </c>
    </row>
  </sheetData>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sheetPr codeName="Hoja5"/>
  <dimension ref="A1:F73"/>
  <sheetViews>
    <sheetView topLeftCell="A7" workbookViewId="0">
      <selection activeCell="A23" sqref="A23:A28"/>
    </sheetView>
  </sheetViews>
  <sheetFormatPr baseColWidth="10" defaultRowHeight="14.4"/>
  <cols>
    <col min="1" max="1" width="13.109375" customWidth="1"/>
    <col min="2" max="2" width="14.109375" customWidth="1"/>
    <col min="3" max="3" width="18.77734375" bestFit="1" customWidth="1"/>
    <col min="4" max="4" width="15.5546875" bestFit="1" customWidth="1"/>
    <col min="5" max="5" width="19.33203125" customWidth="1"/>
  </cols>
  <sheetData>
    <row r="1" spans="1:6" ht="18">
      <c r="A1" s="123" t="s">
        <v>20</v>
      </c>
      <c r="B1" s="123"/>
      <c r="C1" s="123"/>
      <c r="D1" s="123"/>
      <c r="E1" s="123"/>
    </row>
    <row r="2" spans="1:6">
      <c r="A2" s="49" t="s">
        <v>160</v>
      </c>
    </row>
    <row r="3" spans="1:6" s="16" customFormat="1">
      <c r="A3" s="49" t="s">
        <v>161</v>
      </c>
    </row>
    <row r="4" spans="1:6" s="16" customFormat="1">
      <c r="A4" s="49" t="s">
        <v>162</v>
      </c>
    </row>
    <row r="5" spans="1:6" s="16" customFormat="1">
      <c r="A5" s="16" t="s">
        <v>22</v>
      </c>
    </row>
    <row r="6" spans="1:6" s="16" customFormat="1">
      <c r="A6" s="22" t="s">
        <v>40</v>
      </c>
    </row>
    <row r="7" spans="1:6" s="16" customFormat="1">
      <c r="A7" s="49"/>
    </row>
    <row r="8" spans="1:6" s="16" customFormat="1" ht="18">
      <c r="A8" s="124" t="s">
        <v>19</v>
      </c>
      <c r="B8" s="124"/>
      <c r="C8" s="124"/>
      <c r="D8" s="124"/>
      <c r="E8" s="124"/>
    </row>
    <row r="9" spans="1:6" s="16" customFormat="1"/>
    <row r="10" spans="1:6">
      <c r="A10" s="52" t="s">
        <v>9</v>
      </c>
      <c r="B10" s="54" t="s">
        <v>65</v>
      </c>
      <c r="C10" s="54" t="s">
        <v>10</v>
      </c>
      <c r="D10" s="54" t="s">
        <v>18</v>
      </c>
      <c r="E10" s="54" t="s">
        <v>1</v>
      </c>
    </row>
    <row r="11" spans="1:6">
      <c r="A11" s="49"/>
      <c r="B11" s="77">
        <v>5</v>
      </c>
      <c r="C11" s="53">
        <v>8.3000000000000004E-2</v>
      </c>
      <c r="D11" s="53">
        <f>+SUM(C$10:$C11)</f>
        <v>8.3000000000000004E-2</v>
      </c>
      <c r="E11" s="53">
        <f t="shared" ref="E11:E16" si="0">+B11*C11</f>
        <v>0.41500000000000004</v>
      </c>
      <c r="F11" s="49"/>
    </row>
    <row r="12" spans="1:6">
      <c r="A12" s="49"/>
      <c r="B12" s="77">
        <v>10</v>
      </c>
      <c r="C12" s="53">
        <v>3.1E-2</v>
      </c>
      <c r="D12" s="53">
        <f>+SUM(C$10:$C12)</f>
        <v>0.114</v>
      </c>
      <c r="E12" s="53">
        <f t="shared" si="0"/>
        <v>0.31</v>
      </c>
      <c r="F12" s="49"/>
    </row>
    <row r="13" spans="1:6">
      <c r="A13" s="49"/>
      <c r="B13" s="77">
        <v>15</v>
      </c>
      <c r="C13" s="53">
        <v>8.0000000000000002E-3</v>
      </c>
      <c r="D13" s="53">
        <f>+SUM(C$10:$C13)</f>
        <v>0.122</v>
      </c>
      <c r="E13" s="53">
        <f t="shared" si="0"/>
        <v>0.12</v>
      </c>
    </row>
    <row r="14" spans="1:6" s="49" customFormat="1">
      <c r="B14" s="77">
        <v>20</v>
      </c>
      <c r="C14" s="53">
        <v>1E-3</v>
      </c>
      <c r="D14" s="53">
        <f>+SUM(C$10:$C14)</f>
        <v>0.123</v>
      </c>
      <c r="E14" s="53">
        <f t="shared" si="0"/>
        <v>0.02</v>
      </c>
    </row>
    <row r="15" spans="1:6">
      <c r="A15" s="49"/>
      <c r="B15" s="77">
        <v>50</v>
      </c>
      <c r="C15" s="53">
        <v>1E-3</v>
      </c>
      <c r="D15" s="53">
        <f>+SUM(C$10:$C15)</f>
        <v>0.124</v>
      </c>
      <c r="E15" s="53">
        <f t="shared" si="0"/>
        <v>0.05</v>
      </c>
      <c r="F15" s="49"/>
    </row>
    <row r="16" spans="1:6">
      <c r="A16" s="49"/>
      <c r="B16" s="77">
        <v>100</v>
      </c>
      <c r="C16" s="53">
        <v>4.0000000000000002E-4</v>
      </c>
      <c r="D16" s="53">
        <f>+SUM(C$10:$C16)</f>
        <v>0.1244</v>
      </c>
      <c r="E16" s="53">
        <f t="shared" si="0"/>
        <v>0.04</v>
      </c>
      <c r="F16" s="49"/>
    </row>
    <row r="17" spans="1:5" s="49" customFormat="1">
      <c r="B17" s="56" t="s">
        <v>11</v>
      </c>
      <c r="C17" s="56">
        <f>+SUM(C11:C16)</f>
        <v>0.1244</v>
      </c>
      <c r="D17" s="56"/>
      <c r="E17" s="47">
        <f>+SUM(E11:E16)</f>
        <v>0.95500000000000018</v>
      </c>
    </row>
    <row r="18" spans="1:5" s="49" customFormat="1">
      <c r="B18" s="51"/>
    </row>
    <row r="20" spans="1:5" ht="18">
      <c r="A20" s="124" t="s">
        <v>23</v>
      </c>
      <c r="B20" s="124"/>
      <c r="C20" s="124"/>
      <c r="D20" s="124"/>
      <c r="E20" s="124"/>
    </row>
    <row r="21" spans="1:5" ht="15" thickBot="1"/>
    <row r="22" spans="1:5" ht="15" thickBot="1">
      <c r="A22" s="17" t="s">
        <v>21</v>
      </c>
      <c r="B22" s="18">
        <f>+Summary!E7</f>
        <v>100</v>
      </c>
    </row>
    <row r="23" spans="1:5" s="21" customFormat="1">
      <c r="A23" s="25" t="s">
        <v>42</v>
      </c>
      <c r="B23" s="19"/>
    </row>
    <row r="24" spans="1:5">
      <c r="A24" s="122" t="s">
        <v>167</v>
      </c>
    </row>
    <row r="25" spans="1:5" s="49" customFormat="1">
      <c r="A25" s="122" t="s">
        <v>168</v>
      </c>
    </row>
    <row r="26" spans="1:5">
      <c r="A26" s="16" t="s">
        <v>24</v>
      </c>
    </row>
    <row r="27" spans="1:5">
      <c r="A27" s="2" t="s">
        <v>25</v>
      </c>
    </row>
    <row r="28" spans="1:5" s="21" customFormat="1">
      <c r="A28" s="2" t="s">
        <v>33</v>
      </c>
    </row>
    <row r="29" spans="1:5" s="49" customFormat="1">
      <c r="A29" s="51"/>
    </row>
    <row r="31" spans="1:5">
      <c r="A31" s="22" t="s">
        <v>12</v>
      </c>
      <c r="B31" s="26" t="s">
        <v>26</v>
      </c>
      <c r="C31" s="26" t="s">
        <v>28</v>
      </c>
      <c r="D31" s="26" t="s">
        <v>1</v>
      </c>
      <c r="E31" s="21"/>
    </row>
    <row r="32" spans="1:5">
      <c r="B32" s="23">
        <v>1</v>
      </c>
      <c r="C32" s="23">
        <v>0.02</v>
      </c>
      <c r="D32" s="23">
        <f>+B32*C32</f>
        <v>0.02</v>
      </c>
    </row>
    <row r="33" spans="1:5">
      <c r="B33" s="23">
        <v>2</v>
      </c>
      <c r="C33" s="23">
        <v>0.03</v>
      </c>
      <c r="D33" s="23">
        <f t="shared" ref="D33:D35" si="1">+B33*C33</f>
        <v>0.06</v>
      </c>
    </row>
    <row r="34" spans="1:5">
      <c r="B34" s="23">
        <v>3</v>
      </c>
      <c r="C34" s="23">
        <v>0.05</v>
      </c>
      <c r="D34" s="23">
        <f t="shared" si="1"/>
        <v>0.15000000000000002</v>
      </c>
    </row>
    <row r="35" spans="1:5">
      <c r="B35" s="23">
        <v>4</v>
      </c>
      <c r="C35" s="53">
        <v>0.08</v>
      </c>
      <c r="D35" s="23">
        <f t="shared" si="1"/>
        <v>0.32</v>
      </c>
    </row>
    <row r="36" spans="1:5">
      <c r="B36" s="23">
        <v>5</v>
      </c>
      <c r="C36" s="23">
        <v>0.05</v>
      </c>
      <c r="D36" s="23">
        <f>+B36*C36</f>
        <v>0.25</v>
      </c>
    </row>
    <row r="37" spans="1:5">
      <c r="B37" s="24" t="s">
        <v>5</v>
      </c>
      <c r="C37" s="24">
        <f>+SUM(C32:C36)</f>
        <v>0.22999999999999998</v>
      </c>
      <c r="D37" s="24">
        <f>+SUM(D32:D36)</f>
        <v>0.8</v>
      </c>
      <c r="E37" s="21" t="s">
        <v>39</v>
      </c>
    </row>
    <row r="39" spans="1:5">
      <c r="A39" s="21" t="s">
        <v>27</v>
      </c>
    </row>
    <row r="41" spans="1:5">
      <c r="A41" s="22" t="s">
        <v>13</v>
      </c>
      <c r="B41" s="26" t="s">
        <v>26</v>
      </c>
      <c r="C41" s="26" t="s">
        <v>28</v>
      </c>
      <c r="D41" s="26" t="s">
        <v>1</v>
      </c>
    </row>
    <row r="42" spans="1:5">
      <c r="B42" s="23">
        <v>1</v>
      </c>
      <c r="C42" s="23">
        <v>0.8</v>
      </c>
      <c r="D42" s="23">
        <f>+C42*B42</f>
        <v>0.8</v>
      </c>
    </row>
    <row r="43" spans="1:5">
      <c r="B43" s="24" t="s">
        <v>5</v>
      </c>
      <c r="C43" s="24">
        <f>+SUM(C42)</f>
        <v>0.8</v>
      </c>
      <c r="D43" s="24">
        <f>+D42</f>
        <v>0.8</v>
      </c>
    </row>
    <row r="45" spans="1:5">
      <c r="A45" s="22" t="s">
        <v>29</v>
      </c>
    </row>
    <row r="46" spans="1:5">
      <c r="A46" s="49" t="s">
        <v>165</v>
      </c>
    </row>
    <row r="47" spans="1:5">
      <c r="A47" s="49" t="s">
        <v>166</v>
      </c>
    </row>
    <row r="48" spans="1:5">
      <c r="A48" s="2" t="s">
        <v>30</v>
      </c>
    </row>
    <row r="50" spans="1:6">
      <c r="A50" s="21" t="s">
        <v>41</v>
      </c>
    </row>
    <row r="52" spans="1:6" s="21" customFormat="1">
      <c r="B52" s="22" t="s">
        <v>31</v>
      </c>
      <c r="C52" s="22" t="s">
        <v>34</v>
      </c>
    </row>
    <row r="53" spans="1:6">
      <c r="B53" s="26" t="s">
        <v>26</v>
      </c>
      <c r="C53" s="26" t="s">
        <v>28</v>
      </c>
      <c r="D53" s="20" t="s">
        <v>35</v>
      </c>
      <c r="E53" s="26" t="s">
        <v>36</v>
      </c>
      <c r="F53" s="26" t="s">
        <v>1</v>
      </c>
    </row>
    <row r="54" spans="1:6">
      <c r="B54" s="23">
        <v>1</v>
      </c>
      <c r="C54" s="53">
        <v>0.01</v>
      </c>
      <c r="D54" s="23">
        <f>25/75</f>
        <v>0.33333333333333331</v>
      </c>
      <c r="E54" s="23">
        <f>+C54*D54</f>
        <v>3.3333333333333331E-3</v>
      </c>
      <c r="F54" s="23">
        <f>+E54*B54</f>
        <v>3.3333333333333331E-3</v>
      </c>
    </row>
    <row r="55" spans="1:6">
      <c r="B55" s="23">
        <v>2</v>
      </c>
      <c r="C55" s="53">
        <v>0.01</v>
      </c>
      <c r="D55" s="23">
        <f t="shared" ref="D55:D58" si="2">25/75</f>
        <v>0.33333333333333331</v>
      </c>
      <c r="E55" s="23">
        <f t="shared" ref="E55:E58" si="3">+C55*D55</f>
        <v>3.3333333333333331E-3</v>
      </c>
      <c r="F55" s="23">
        <f t="shared" ref="F55:F58" si="4">+E55*B55</f>
        <v>6.6666666666666662E-3</v>
      </c>
    </row>
    <row r="56" spans="1:6">
      <c r="B56" s="23">
        <v>3</v>
      </c>
      <c r="C56" s="53">
        <v>0.01</v>
      </c>
      <c r="D56" s="23">
        <f t="shared" si="2"/>
        <v>0.33333333333333331</v>
      </c>
      <c r="E56" s="23">
        <f t="shared" si="3"/>
        <v>3.3333333333333331E-3</v>
      </c>
      <c r="F56" s="23">
        <f t="shared" si="4"/>
        <v>9.9999999999999985E-3</v>
      </c>
    </row>
    <row r="57" spans="1:6">
      <c r="B57" s="23">
        <v>4</v>
      </c>
      <c r="C57" s="53">
        <v>0.01</v>
      </c>
      <c r="D57" s="23">
        <f t="shared" si="2"/>
        <v>0.33333333333333331</v>
      </c>
      <c r="E57" s="23">
        <f t="shared" si="3"/>
        <v>3.3333333333333331E-3</v>
      </c>
      <c r="F57" s="23">
        <f t="shared" si="4"/>
        <v>1.3333333333333332E-2</v>
      </c>
    </row>
    <row r="58" spans="1:6">
      <c r="B58" s="23">
        <v>5</v>
      </c>
      <c r="C58" s="53">
        <v>0.01</v>
      </c>
      <c r="D58" s="23">
        <f t="shared" si="2"/>
        <v>0.33333333333333331</v>
      </c>
      <c r="E58" s="23">
        <f t="shared" si="3"/>
        <v>3.3333333333333331E-3</v>
      </c>
      <c r="F58" s="23">
        <f t="shared" si="4"/>
        <v>1.6666666666666666E-2</v>
      </c>
    </row>
    <row r="59" spans="1:6">
      <c r="B59" s="24" t="s">
        <v>5</v>
      </c>
      <c r="C59" s="24">
        <f>+SUM(C54:C58)</f>
        <v>0.05</v>
      </c>
      <c r="D59" s="24"/>
      <c r="E59" s="24">
        <f>+SUM(E54:E58)</f>
        <v>1.6666666666666666E-2</v>
      </c>
      <c r="F59" s="24">
        <f>+SUM(F54:F58)</f>
        <v>4.9999999999999989E-2</v>
      </c>
    </row>
    <row r="60" spans="1:6" s="21" customFormat="1">
      <c r="B60" s="25"/>
      <c r="C60" s="25"/>
      <c r="D60" s="25"/>
      <c r="E60" s="25"/>
      <c r="F60" s="25"/>
    </row>
    <row r="61" spans="1:6">
      <c r="B61" s="22" t="s">
        <v>32</v>
      </c>
      <c r="C61" s="22" t="s">
        <v>37</v>
      </c>
      <c r="D61" s="21"/>
      <c r="E61" s="21"/>
    </row>
    <row r="62" spans="1:6">
      <c r="B62" s="26" t="s">
        <v>26</v>
      </c>
      <c r="C62" s="26" t="s">
        <v>28</v>
      </c>
      <c r="D62" s="20" t="s">
        <v>35</v>
      </c>
      <c r="E62" s="26" t="s">
        <v>36</v>
      </c>
      <c r="F62" s="26" t="s">
        <v>1</v>
      </c>
    </row>
    <row r="63" spans="1:6">
      <c r="B63" s="23">
        <v>1</v>
      </c>
      <c r="C63" s="53">
        <v>0.01</v>
      </c>
      <c r="D63" s="23">
        <f>50/75</f>
        <v>0.66666666666666663</v>
      </c>
      <c r="E63" s="23">
        <f>+C63*D63</f>
        <v>6.6666666666666662E-3</v>
      </c>
      <c r="F63" s="23">
        <f>+E63*B63</f>
        <v>6.6666666666666662E-3</v>
      </c>
    </row>
    <row r="64" spans="1:6">
      <c r="B64" s="23">
        <v>2</v>
      </c>
      <c r="C64" s="53">
        <v>0.01</v>
      </c>
      <c r="D64" s="23">
        <f t="shared" ref="D64:D67" si="5">50/75</f>
        <v>0.66666666666666663</v>
      </c>
      <c r="E64" s="23">
        <f t="shared" ref="E64:E67" si="6">+C64*D64</f>
        <v>6.6666666666666662E-3</v>
      </c>
      <c r="F64" s="23">
        <f t="shared" ref="F64:F67" si="7">+E64*B64</f>
        <v>1.3333333333333332E-2</v>
      </c>
    </row>
    <row r="65" spans="1:6">
      <c r="B65" s="23">
        <v>3</v>
      </c>
      <c r="C65" s="53">
        <v>0.01</v>
      </c>
      <c r="D65" s="23">
        <f t="shared" si="5"/>
        <v>0.66666666666666663</v>
      </c>
      <c r="E65" s="23">
        <f t="shared" si="6"/>
        <v>6.6666666666666662E-3</v>
      </c>
      <c r="F65" s="23">
        <f t="shared" si="7"/>
        <v>1.9999999999999997E-2</v>
      </c>
    </row>
    <row r="66" spans="1:6">
      <c r="B66" s="23">
        <v>4</v>
      </c>
      <c r="C66" s="53">
        <v>0.01</v>
      </c>
      <c r="D66" s="23">
        <f t="shared" si="5"/>
        <v>0.66666666666666663</v>
      </c>
      <c r="E66" s="23">
        <f t="shared" si="6"/>
        <v>6.6666666666666662E-3</v>
      </c>
      <c r="F66" s="23">
        <f t="shared" si="7"/>
        <v>2.6666666666666665E-2</v>
      </c>
    </row>
    <row r="67" spans="1:6">
      <c r="B67" s="23">
        <v>5</v>
      </c>
      <c r="C67" s="53">
        <v>0.01</v>
      </c>
      <c r="D67" s="23">
        <f t="shared" si="5"/>
        <v>0.66666666666666663</v>
      </c>
      <c r="E67" s="23">
        <f t="shared" si="6"/>
        <v>6.6666666666666662E-3</v>
      </c>
      <c r="F67" s="23">
        <f t="shared" si="7"/>
        <v>3.3333333333333333E-2</v>
      </c>
    </row>
    <row r="68" spans="1:6">
      <c r="B68" s="24" t="s">
        <v>5</v>
      </c>
      <c r="C68" s="24">
        <f>+SUM(C63:C67)</f>
        <v>0.05</v>
      </c>
      <c r="D68" s="24"/>
      <c r="E68" s="24">
        <f>+SUM(E63:E67)</f>
        <v>3.3333333333333333E-2</v>
      </c>
      <c r="F68" s="24">
        <f>+SUM(F63:F67)</f>
        <v>9.9999999999999978E-2</v>
      </c>
    </row>
    <row r="71" spans="1:6">
      <c r="A71" s="49" t="s">
        <v>163</v>
      </c>
    </row>
    <row r="72" spans="1:6">
      <c r="A72" s="49" t="s">
        <v>164</v>
      </c>
    </row>
    <row r="73" spans="1:6">
      <c r="A73" s="21" t="s">
        <v>38</v>
      </c>
    </row>
  </sheetData>
  <mergeCells count="3">
    <mergeCell ref="A1:E1"/>
    <mergeCell ref="A20:E20"/>
    <mergeCell ref="A8:E8"/>
  </mergeCells>
  <pageMargins left="0.7" right="0.7" top="0.75" bottom="0.75" header="0.3" footer="0.3"/>
  <pageSetup orientation="portrait" horizontalDpi="360" verticalDpi="360" r:id="rId1"/>
</worksheet>
</file>

<file path=xl/worksheets/sheet8.xml><?xml version="1.0" encoding="utf-8"?>
<worksheet xmlns="http://schemas.openxmlformats.org/spreadsheetml/2006/main" xmlns:r="http://schemas.openxmlformats.org/officeDocument/2006/relationships">
  <dimension ref="A1:F73"/>
  <sheetViews>
    <sheetView tabSelected="1" workbookViewId="0">
      <selection sqref="A1:E1"/>
    </sheetView>
  </sheetViews>
  <sheetFormatPr baseColWidth="10" defaultRowHeight="14.4"/>
  <cols>
    <col min="1" max="1" width="13.109375" style="49" customWidth="1"/>
    <col min="2" max="2" width="14.109375" style="49" customWidth="1"/>
    <col min="3" max="3" width="18.77734375" style="49" bestFit="1" customWidth="1"/>
    <col min="4" max="4" width="15.5546875" style="49" bestFit="1" customWidth="1"/>
    <col min="5" max="5" width="19.33203125" style="49" customWidth="1"/>
    <col min="6" max="16384" width="11.5546875" style="49"/>
  </cols>
  <sheetData>
    <row r="1" spans="1:5" ht="18">
      <c r="A1" s="123" t="s">
        <v>20</v>
      </c>
      <c r="B1" s="123"/>
      <c r="C1" s="123"/>
      <c r="D1" s="123"/>
      <c r="E1" s="123"/>
    </row>
    <row r="2" spans="1:5">
      <c r="A2" s="49" t="s">
        <v>160</v>
      </c>
    </row>
    <row r="3" spans="1:5">
      <c r="A3" s="49" t="s">
        <v>161</v>
      </c>
    </row>
    <row r="4" spans="1:5">
      <c r="A4" s="49" t="s">
        <v>162</v>
      </c>
    </row>
    <row r="5" spans="1:5">
      <c r="A5" s="49" t="s">
        <v>22</v>
      </c>
    </row>
    <row r="6" spans="1:5">
      <c r="A6" s="52" t="s">
        <v>40</v>
      </c>
    </row>
    <row r="8" spans="1:5" ht="18">
      <c r="A8" s="124" t="s">
        <v>19</v>
      </c>
      <c r="B8" s="124"/>
      <c r="C8" s="124"/>
      <c r="D8" s="124"/>
      <c r="E8" s="124"/>
    </row>
    <row r="10" spans="1:5">
      <c r="A10" s="52" t="s">
        <v>9</v>
      </c>
      <c r="B10" s="54" t="s">
        <v>65</v>
      </c>
      <c r="C10" s="54" t="s">
        <v>10</v>
      </c>
      <c r="D10" s="54" t="s">
        <v>18</v>
      </c>
      <c r="E10" s="54" t="s">
        <v>1</v>
      </c>
    </row>
    <row r="11" spans="1:5">
      <c r="B11" s="77">
        <v>5</v>
      </c>
      <c r="C11" s="53">
        <v>8.3000000000000004E-2</v>
      </c>
      <c r="D11" s="53">
        <f>+SUM(C$10:$C11)</f>
        <v>8.3000000000000004E-2</v>
      </c>
      <c r="E11" s="53">
        <f t="shared" ref="E11:E16" si="0">+B11*C11</f>
        <v>0.41500000000000004</v>
      </c>
    </row>
    <row r="12" spans="1:5">
      <c r="B12" s="77">
        <v>10</v>
      </c>
      <c r="C12" s="53">
        <v>3.1E-2</v>
      </c>
      <c r="D12" s="53">
        <f>+SUM(C$10:$C12)</f>
        <v>0.114</v>
      </c>
      <c r="E12" s="53">
        <f t="shared" si="0"/>
        <v>0.31</v>
      </c>
    </row>
    <row r="13" spans="1:5">
      <c r="B13" s="77">
        <v>15</v>
      </c>
      <c r="C13" s="53">
        <v>8.0000000000000002E-3</v>
      </c>
      <c r="D13" s="53">
        <f>+SUM(C$10:$C13)</f>
        <v>0.122</v>
      </c>
      <c r="E13" s="53">
        <f t="shared" si="0"/>
        <v>0.12</v>
      </c>
    </row>
    <row r="14" spans="1:5">
      <c r="B14" s="77">
        <v>20</v>
      </c>
      <c r="C14" s="53">
        <v>1E-3</v>
      </c>
      <c r="D14" s="53">
        <f>+SUM(C$10:$C14)</f>
        <v>0.123</v>
      </c>
      <c r="E14" s="53">
        <f t="shared" si="0"/>
        <v>0.02</v>
      </c>
    </row>
    <row r="15" spans="1:5">
      <c r="B15" s="77">
        <v>50</v>
      </c>
      <c r="C15" s="53">
        <v>1E-3</v>
      </c>
      <c r="D15" s="53">
        <f>+SUM(C$10:$C15)</f>
        <v>0.124</v>
      </c>
      <c r="E15" s="53">
        <f t="shared" si="0"/>
        <v>0.05</v>
      </c>
    </row>
    <row r="16" spans="1:5">
      <c r="B16" s="77">
        <v>100</v>
      </c>
      <c r="C16" s="53">
        <v>4.0000000000000002E-4</v>
      </c>
      <c r="D16" s="53">
        <f>+SUM(C$10:$C16)</f>
        <v>0.1244</v>
      </c>
      <c r="E16" s="53">
        <f t="shared" si="0"/>
        <v>0.04</v>
      </c>
    </row>
    <row r="17" spans="1:5">
      <c r="B17" s="56" t="s">
        <v>11</v>
      </c>
      <c r="C17" s="56">
        <f>+SUM(C11:C16)</f>
        <v>0.1244</v>
      </c>
      <c r="D17" s="56"/>
      <c r="E17" s="47">
        <f>+SUM(E11:E16)</f>
        <v>0.95500000000000018</v>
      </c>
    </row>
    <row r="18" spans="1:5">
      <c r="B18" s="51"/>
    </row>
    <row r="20" spans="1:5" ht="18">
      <c r="A20" s="124" t="s">
        <v>23</v>
      </c>
      <c r="B20" s="124"/>
      <c r="C20" s="124"/>
      <c r="D20" s="124"/>
      <c r="E20" s="124"/>
    </row>
    <row r="21" spans="1:5" ht="15" thickBot="1"/>
    <row r="22" spans="1:5" ht="15" thickBot="1">
      <c r="A22" s="17" t="s">
        <v>21</v>
      </c>
      <c r="B22" s="18">
        <f>+Summary!E7</f>
        <v>100</v>
      </c>
    </row>
    <row r="23" spans="1:5">
      <c r="A23" s="60" t="s">
        <v>42</v>
      </c>
      <c r="B23" s="19"/>
    </row>
    <row r="24" spans="1:5">
      <c r="A24" s="122" t="s">
        <v>167</v>
      </c>
    </row>
    <row r="25" spans="1:5">
      <c r="A25" s="122" t="s">
        <v>168</v>
      </c>
    </row>
    <row r="26" spans="1:5">
      <c r="A26" s="49" t="s">
        <v>24</v>
      </c>
    </row>
    <row r="27" spans="1:5">
      <c r="A27" s="51" t="s">
        <v>25</v>
      </c>
    </row>
    <row r="28" spans="1:5">
      <c r="A28" s="51" t="s">
        <v>33</v>
      </c>
    </row>
    <row r="29" spans="1:5">
      <c r="A29" s="51"/>
    </row>
    <row r="31" spans="1:5">
      <c r="A31" s="52" t="s">
        <v>12</v>
      </c>
      <c r="B31" s="54" t="s">
        <v>26</v>
      </c>
      <c r="C31" s="54" t="s">
        <v>28</v>
      </c>
      <c r="D31" s="54" t="s">
        <v>1</v>
      </c>
    </row>
    <row r="32" spans="1:5">
      <c r="B32" s="53">
        <v>1</v>
      </c>
      <c r="C32" s="53">
        <v>0.01</v>
      </c>
      <c r="D32" s="53">
        <f>+B32*C32</f>
        <v>0.01</v>
      </c>
    </row>
    <row r="33" spans="1:5">
      <c r="B33" s="53">
        <v>2</v>
      </c>
      <c r="C33" s="53">
        <v>0.01</v>
      </c>
      <c r="D33" s="53">
        <f t="shared" ref="D33:D35" si="1">+B33*C33</f>
        <v>0.02</v>
      </c>
    </row>
    <row r="34" spans="1:5">
      <c r="B34" s="53">
        <v>3</v>
      </c>
      <c r="C34" s="53">
        <v>0.01</v>
      </c>
      <c r="D34" s="53">
        <f t="shared" si="1"/>
        <v>0.03</v>
      </c>
    </row>
    <row r="35" spans="1:5">
      <c r="B35" s="53">
        <v>4</v>
      </c>
      <c r="C35" s="53">
        <v>0.01</v>
      </c>
      <c r="D35" s="53">
        <f t="shared" si="1"/>
        <v>0.04</v>
      </c>
    </row>
    <row r="36" spans="1:5">
      <c r="B36" s="53">
        <v>5</v>
      </c>
      <c r="C36" s="53">
        <v>0.01</v>
      </c>
      <c r="D36" s="53">
        <f>+B36*C36</f>
        <v>0.05</v>
      </c>
    </row>
    <row r="37" spans="1:5">
      <c r="B37" s="56" t="s">
        <v>5</v>
      </c>
      <c r="C37" s="56">
        <f>+SUM(C32:C36)</f>
        <v>0.05</v>
      </c>
      <c r="D37" s="56">
        <f>+SUM(D32:D36)</f>
        <v>0.15000000000000002</v>
      </c>
      <c r="E37" s="49" t="s">
        <v>39</v>
      </c>
    </row>
    <row r="39" spans="1:5">
      <c r="A39" s="49" t="s">
        <v>27</v>
      </c>
    </row>
    <row r="41" spans="1:5">
      <c r="A41" s="52" t="s">
        <v>13</v>
      </c>
      <c r="B41" s="54" t="s">
        <v>26</v>
      </c>
      <c r="C41" s="54" t="s">
        <v>28</v>
      </c>
      <c r="D41" s="54" t="s">
        <v>1</v>
      </c>
    </row>
    <row r="42" spans="1:5">
      <c r="B42" s="53">
        <v>1</v>
      </c>
      <c r="C42" s="53">
        <v>0.15</v>
      </c>
      <c r="D42" s="53">
        <f>+C42*B42</f>
        <v>0.15</v>
      </c>
    </row>
    <row r="43" spans="1:5">
      <c r="B43" s="56" t="s">
        <v>5</v>
      </c>
      <c r="C43" s="56">
        <f>+SUM(C42)</f>
        <v>0.15</v>
      </c>
      <c r="D43" s="56">
        <f>+D42</f>
        <v>0.15</v>
      </c>
    </row>
    <row r="45" spans="1:5">
      <c r="A45" s="52" t="s">
        <v>29</v>
      </c>
    </row>
    <row r="46" spans="1:5">
      <c r="A46" s="49" t="s">
        <v>165</v>
      </c>
    </row>
    <row r="47" spans="1:5">
      <c r="A47" s="49" t="s">
        <v>166</v>
      </c>
    </row>
    <row r="48" spans="1:5">
      <c r="A48" s="51" t="s">
        <v>30</v>
      </c>
    </row>
    <row r="50" spans="1:6">
      <c r="A50" s="49" t="s">
        <v>41</v>
      </c>
    </row>
    <row r="52" spans="1:6">
      <c r="B52" s="52" t="s">
        <v>31</v>
      </c>
      <c r="C52" s="52" t="s">
        <v>34</v>
      </c>
    </row>
    <row r="53" spans="1:6">
      <c r="B53" s="54" t="s">
        <v>26</v>
      </c>
      <c r="C53" s="54" t="s">
        <v>28</v>
      </c>
      <c r="D53" s="48" t="s">
        <v>35</v>
      </c>
      <c r="E53" s="54" t="s">
        <v>36</v>
      </c>
      <c r="F53" s="54" t="s">
        <v>1</v>
      </c>
    </row>
    <row r="54" spans="1:6">
      <c r="B54" s="53">
        <v>1</v>
      </c>
      <c r="C54" s="53">
        <v>0.01</v>
      </c>
      <c r="D54" s="53">
        <f>25/75</f>
        <v>0.33333333333333331</v>
      </c>
      <c r="E54" s="53">
        <f>+C54*D54</f>
        <v>3.3333333333333331E-3</v>
      </c>
      <c r="F54" s="53">
        <f>+E54*B54</f>
        <v>3.3333333333333331E-3</v>
      </c>
    </row>
    <row r="55" spans="1:6">
      <c r="B55" s="53">
        <v>2</v>
      </c>
      <c r="C55" s="53">
        <v>0.01</v>
      </c>
      <c r="D55" s="53">
        <f t="shared" ref="D55:D58" si="2">25/75</f>
        <v>0.33333333333333331</v>
      </c>
      <c r="E55" s="53">
        <f t="shared" ref="E55:E58" si="3">+C55*D55</f>
        <v>3.3333333333333331E-3</v>
      </c>
      <c r="F55" s="53">
        <f t="shared" ref="F55:F58" si="4">+E55*B55</f>
        <v>6.6666666666666662E-3</v>
      </c>
    </row>
    <row r="56" spans="1:6">
      <c r="B56" s="53">
        <v>3</v>
      </c>
      <c r="C56" s="53">
        <v>0.01</v>
      </c>
      <c r="D56" s="53">
        <f t="shared" si="2"/>
        <v>0.33333333333333331</v>
      </c>
      <c r="E56" s="53">
        <f t="shared" si="3"/>
        <v>3.3333333333333331E-3</v>
      </c>
      <c r="F56" s="53">
        <f t="shared" si="4"/>
        <v>9.9999999999999985E-3</v>
      </c>
    </row>
    <row r="57" spans="1:6">
      <c r="B57" s="53">
        <v>4</v>
      </c>
      <c r="C57" s="53">
        <v>0.01</v>
      </c>
      <c r="D57" s="53">
        <f t="shared" si="2"/>
        <v>0.33333333333333331</v>
      </c>
      <c r="E57" s="53">
        <f t="shared" si="3"/>
        <v>3.3333333333333331E-3</v>
      </c>
      <c r="F57" s="53">
        <f t="shared" si="4"/>
        <v>1.3333333333333332E-2</v>
      </c>
    </row>
    <row r="58" spans="1:6">
      <c r="B58" s="53">
        <v>5</v>
      </c>
      <c r="C58" s="53">
        <v>0.01</v>
      </c>
      <c r="D58" s="53">
        <f t="shared" si="2"/>
        <v>0.33333333333333331</v>
      </c>
      <c r="E58" s="53">
        <f t="shared" si="3"/>
        <v>3.3333333333333331E-3</v>
      </c>
      <c r="F58" s="53">
        <f t="shared" si="4"/>
        <v>1.6666666666666666E-2</v>
      </c>
    </row>
    <row r="59" spans="1:6">
      <c r="B59" s="56" t="s">
        <v>5</v>
      </c>
      <c r="C59" s="56">
        <f>+SUM(C54:C58)</f>
        <v>0.05</v>
      </c>
      <c r="D59" s="56"/>
      <c r="E59" s="56">
        <f>+SUM(E54:E58)</f>
        <v>1.6666666666666666E-2</v>
      </c>
      <c r="F59" s="56">
        <f>+SUM(F54:F58)</f>
        <v>4.9999999999999989E-2</v>
      </c>
    </row>
    <row r="60" spans="1:6">
      <c r="B60" s="60"/>
      <c r="C60" s="60"/>
      <c r="D60" s="60"/>
      <c r="E60" s="60"/>
      <c r="F60" s="60"/>
    </row>
    <row r="61" spans="1:6">
      <c r="B61" s="52" t="s">
        <v>32</v>
      </c>
      <c r="C61" s="52" t="s">
        <v>37</v>
      </c>
    </row>
    <row r="62" spans="1:6">
      <c r="B62" s="54" t="s">
        <v>26</v>
      </c>
      <c r="C62" s="54" t="s">
        <v>28</v>
      </c>
      <c r="D62" s="48" t="s">
        <v>35</v>
      </c>
      <c r="E62" s="54" t="s">
        <v>36</v>
      </c>
      <c r="F62" s="54" t="s">
        <v>1</v>
      </c>
    </row>
    <row r="63" spans="1:6">
      <c r="B63" s="53">
        <v>1</v>
      </c>
      <c r="C63" s="53">
        <v>0.01</v>
      </c>
      <c r="D63" s="53">
        <f>50/75</f>
        <v>0.66666666666666663</v>
      </c>
      <c r="E63" s="53">
        <f>+C63*D63</f>
        <v>6.6666666666666662E-3</v>
      </c>
      <c r="F63" s="53">
        <f>+E63*B63</f>
        <v>6.6666666666666662E-3</v>
      </c>
    </row>
    <row r="64" spans="1:6">
      <c r="B64" s="53">
        <v>2</v>
      </c>
      <c r="C64" s="53">
        <v>0.01</v>
      </c>
      <c r="D64" s="53">
        <f t="shared" ref="D64:D67" si="5">50/75</f>
        <v>0.66666666666666663</v>
      </c>
      <c r="E64" s="53">
        <f t="shared" ref="E64:E67" si="6">+C64*D64</f>
        <v>6.6666666666666662E-3</v>
      </c>
      <c r="F64" s="53">
        <f t="shared" ref="F64:F67" si="7">+E64*B64</f>
        <v>1.3333333333333332E-2</v>
      </c>
    </row>
    <row r="65" spans="1:6">
      <c r="B65" s="53">
        <v>3</v>
      </c>
      <c r="C65" s="53">
        <v>0.01</v>
      </c>
      <c r="D65" s="53">
        <f t="shared" si="5"/>
        <v>0.66666666666666663</v>
      </c>
      <c r="E65" s="53">
        <f t="shared" si="6"/>
        <v>6.6666666666666662E-3</v>
      </c>
      <c r="F65" s="53">
        <f t="shared" si="7"/>
        <v>1.9999999999999997E-2</v>
      </c>
    </row>
    <row r="66" spans="1:6">
      <c r="B66" s="53">
        <v>4</v>
      </c>
      <c r="C66" s="53">
        <v>0.01</v>
      </c>
      <c r="D66" s="53">
        <f t="shared" si="5"/>
        <v>0.66666666666666663</v>
      </c>
      <c r="E66" s="53">
        <f t="shared" si="6"/>
        <v>6.6666666666666662E-3</v>
      </c>
      <c r="F66" s="53">
        <f t="shared" si="7"/>
        <v>2.6666666666666665E-2</v>
      </c>
    </row>
    <row r="67" spans="1:6">
      <c r="B67" s="53">
        <v>5</v>
      </c>
      <c r="C67" s="53">
        <v>0.01</v>
      </c>
      <c r="D67" s="53">
        <f t="shared" si="5"/>
        <v>0.66666666666666663</v>
      </c>
      <c r="E67" s="53">
        <f t="shared" si="6"/>
        <v>6.6666666666666662E-3</v>
      </c>
      <c r="F67" s="53">
        <f t="shared" si="7"/>
        <v>3.3333333333333333E-2</v>
      </c>
    </row>
    <row r="68" spans="1:6">
      <c r="B68" s="56" t="s">
        <v>5</v>
      </c>
      <c r="C68" s="56">
        <f>+SUM(C63:C67)</f>
        <v>0.05</v>
      </c>
      <c r="D68" s="56"/>
      <c r="E68" s="56">
        <f>+SUM(E63:E67)</f>
        <v>3.3333333333333333E-2</v>
      </c>
      <c r="F68" s="56">
        <f>+SUM(F63:F67)</f>
        <v>9.9999999999999978E-2</v>
      </c>
    </row>
    <row r="71" spans="1:6">
      <c r="A71" s="49" t="s">
        <v>163</v>
      </c>
    </row>
    <row r="72" spans="1:6">
      <c r="A72" s="49" t="s">
        <v>164</v>
      </c>
    </row>
    <row r="73" spans="1:6">
      <c r="A73" s="49" t="s">
        <v>38</v>
      </c>
    </row>
  </sheetData>
  <mergeCells count="3">
    <mergeCell ref="A1:E1"/>
    <mergeCell ref="A8:E8"/>
    <mergeCell ref="A20:E20"/>
  </mergeCells>
  <pageMargins left="0.7" right="0.7" top="0.75" bottom="0.75" header="0.3" footer="0.3"/>
  <pageSetup orientation="portrait" horizontalDpi="360" verticalDpi="360" r:id="rId1"/>
</worksheet>
</file>

<file path=xl/worksheets/sheet9.xml><?xml version="1.0" encoding="utf-8"?>
<worksheet xmlns="http://schemas.openxmlformats.org/spreadsheetml/2006/main" xmlns:r="http://schemas.openxmlformats.org/officeDocument/2006/relationships">
  <sheetPr codeName="Hoja8"/>
  <dimension ref="A1:F41"/>
  <sheetViews>
    <sheetView topLeftCell="A19" workbookViewId="0"/>
  </sheetViews>
  <sheetFormatPr baseColWidth="10" defaultRowHeight="14.4"/>
  <cols>
    <col min="1" max="1" width="28.33203125" style="49" customWidth="1"/>
    <col min="2" max="2" width="11.5546875" style="49"/>
    <col min="3" max="3" width="17" style="49" customWidth="1"/>
    <col min="4" max="4" width="13.5546875" style="49" bestFit="1" customWidth="1"/>
    <col min="5" max="16384" width="11.5546875" style="49"/>
  </cols>
  <sheetData>
    <row r="1" spans="1:6">
      <c r="A1" s="49" t="s">
        <v>156</v>
      </c>
    </row>
    <row r="2" spans="1:6">
      <c r="A2" s="49" t="s">
        <v>57</v>
      </c>
    </row>
    <row r="3" spans="1:6">
      <c r="A3" s="49" t="s">
        <v>61</v>
      </c>
    </row>
    <row r="6" spans="1:6">
      <c r="A6" s="49" t="s">
        <v>54</v>
      </c>
    </row>
    <row r="7" spans="1:6" ht="15" thickBot="1"/>
    <row r="8" spans="1:6">
      <c r="A8" s="65" t="s">
        <v>44</v>
      </c>
      <c r="B8" s="66" t="s">
        <v>45</v>
      </c>
      <c r="C8" s="66" t="s">
        <v>46</v>
      </c>
      <c r="D8" s="66" t="s">
        <v>47</v>
      </c>
      <c r="E8" s="67" t="s">
        <v>48</v>
      </c>
    </row>
    <row r="9" spans="1:6">
      <c r="A9" s="68" t="s">
        <v>49</v>
      </c>
      <c r="B9" s="111">
        <v>4</v>
      </c>
      <c r="C9" s="69">
        <v>1.2</v>
      </c>
      <c r="D9" s="69">
        <f>+B9*C9</f>
        <v>4.8</v>
      </c>
      <c r="E9" s="112">
        <v>20</v>
      </c>
    </row>
    <row r="10" spans="1:6">
      <c r="A10" s="68" t="s">
        <v>50</v>
      </c>
      <c r="B10" s="69">
        <v>5</v>
      </c>
      <c r="C10" s="69">
        <v>1.05</v>
      </c>
      <c r="D10" s="69">
        <f t="shared" ref="D10:D11" si="0">+B10*C10</f>
        <v>5.25</v>
      </c>
      <c r="E10" s="112">
        <v>16</v>
      </c>
    </row>
    <row r="11" spans="1:6">
      <c r="A11" s="68" t="s">
        <v>51</v>
      </c>
      <c r="B11" s="69">
        <v>10</v>
      </c>
      <c r="C11" s="69">
        <v>0.9</v>
      </c>
      <c r="D11" s="69">
        <f t="shared" si="0"/>
        <v>9</v>
      </c>
      <c r="E11" s="112">
        <v>9</v>
      </c>
    </row>
    <row r="12" spans="1:6" ht="15" thickBot="1">
      <c r="A12" s="71" t="s">
        <v>52</v>
      </c>
      <c r="B12" s="72">
        <v>1</v>
      </c>
      <c r="C12" s="72">
        <v>15</v>
      </c>
      <c r="D12" s="72">
        <f>+B12*C12</f>
        <v>15</v>
      </c>
      <c r="E12" s="113">
        <v>1</v>
      </c>
      <c r="F12" s="49" t="s">
        <v>157</v>
      </c>
    </row>
    <row r="13" spans="1:6" ht="15" thickBot="1">
      <c r="A13" s="51" t="s">
        <v>53</v>
      </c>
    </row>
    <row r="14" spans="1:6" ht="15" thickBot="1">
      <c r="C14" s="74" t="s">
        <v>56</v>
      </c>
      <c r="D14" s="75">
        <f>+SUMPRODUCT(D9:D12,E9:E12)/SUM(E9:E12)</f>
        <v>6</v>
      </c>
    </row>
    <row r="16" spans="1:6">
      <c r="A16" s="49" t="s">
        <v>106</v>
      </c>
    </row>
    <row r="17" spans="1:1">
      <c r="A17" s="49" t="s">
        <v>58</v>
      </c>
    </row>
    <row r="20" spans="1:1" ht="15.6">
      <c r="A20" s="85" t="s">
        <v>111</v>
      </c>
    </row>
    <row r="21" spans="1:1">
      <c r="A21" s="114" t="s">
        <v>129</v>
      </c>
    </row>
    <row r="23" spans="1:1">
      <c r="A23" s="49" t="s">
        <v>112</v>
      </c>
    </row>
    <row r="24" spans="1:1">
      <c r="A24" s="86" t="s">
        <v>113</v>
      </c>
    </row>
    <row r="25" spans="1:1">
      <c r="A25" s="49" t="s">
        <v>114</v>
      </c>
    </row>
    <row r="26" spans="1:1">
      <c r="A26" s="49" t="s">
        <v>118</v>
      </c>
    </row>
    <row r="28" spans="1:1">
      <c r="A28" s="49" t="s">
        <v>115</v>
      </c>
    </row>
    <row r="29" spans="1:1">
      <c r="A29" s="49" t="s">
        <v>116</v>
      </c>
    </row>
    <row r="30" spans="1:1">
      <c r="A30" s="49" t="s">
        <v>117</v>
      </c>
    </row>
    <row r="33" spans="1:6" ht="15" thickBot="1">
      <c r="A33" s="52" t="s">
        <v>140</v>
      </c>
    </row>
    <row r="34" spans="1:6">
      <c r="A34" s="65" t="s">
        <v>44</v>
      </c>
      <c r="B34" s="66" t="s">
        <v>45</v>
      </c>
      <c r="C34" s="66" t="s">
        <v>46</v>
      </c>
      <c r="D34" s="66" t="s">
        <v>47</v>
      </c>
      <c r="E34" s="67" t="s">
        <v>10</v>
      </c>
    </row>
    <row r="35" spans="1:6">
      <c r="A35" s="68" t="s">
        <v>49</v>
      </c>
      <c r="B35" s="111">
        <v>4</v>
      </c>
      <c r="C35" s="111">
        <v>1.2</v>
      </c>
      <c r="D35" s="111">
        <f>+B35*C35</f>
        <v>4.8</v>
      </c>
      <c r="E35" s="112">
        <f>+E9/SUM($E$9:$E$12)</f>
        <v>0.43478260869565216</v>
      </c>
    </row>
    <row r="36" spans="1:6">
      <c r="A36" s="68" t="s">
        <v>50</v>
      </c>
      <c r="B36" s="111">
        <v>1</v>
      </c>
      <c r="C36" s="111">
        <v>1.05</v>
      </c>
      <c r="D36" s="111">
        <f t="shared" ref="D36:D38" si="1">+B36*C36</f>
        <v>1.05</v>
      </c>
      <c r="E36" s="112">
        <f>+E10/SUM($E$9:$E$12)</f>
        <v>0.34782608695652173</v>
      </c>
      <c r="F36" s="49" t="s">
        <v>141</v>
      </c>
    </row>
    <row r="37" spans="1:6">
      <c r="A37" s="68" t="s">
        <v>142</v>
      </c>
      <c r="B37" s="111">
        <v>10</v>
      </c>
      <c r="C37" s="111">
        <v>0.9</v>
      </c>
      <c r="D37" s="111">
        <f t="shared" si="1"/>
        <v>9</v>
      </c>
      <c r="E37" s="112">
        <f>+E11/SUM($E$9:$E$12)*1/2</f>
        <v>9.7826086956521743E-2</v>
      </c>
    </row>
    <row r="38" spans="1:6">
      <c r="A38" s="68" t="s">
        <v>143</v>
      </c>
      <c r="B38" s="118">
        <v>5</v>
      </c>
      <c r="C38" s="118">
        <v>0.9</v>
      </c>
      <c r="D38" s="111">
        <f t="shared" si="1"/>
        <v>4.5</v>
      </c>
      <c r="E38" s="112">
        <f>+E11/SUM($E$9:$E$12)*1/2</f>
        <v>9.7826086956521743E-2</v>
      </c>
      <c r="F38" s="49" t="s">
        <v>144</v>
      </c>
    </row>
    <row r="39" spans="1:6" ht="15" thickBot="1">
      <c r="A39" s="71" t="s">
        <v>145</v>
      </c>
      <c r="B39" s="119">
        <v>1</v>
      </c>
      <c r="C39" s="119">
        <v>2</v>
      </c>
      <c r="D39" s="119">
        <f>+B39*C39</f>
        <v>2</v>
      </c>
      <c r="E39" s="113">
        <f>+E12/SUM($E$9:$E$12)</f>
        <v>2.1739130434782608E-2</v>
      </c>
      <c r="F39" s="49" t="s">
        <v>146</v>
      </c>
    </row>
    <row r="40" spans="1:6" ht="15" thickBot="1">
      <c r="A40" s="51"/>
    </row>
    <row r="41" spans="1:6" ht="15" thickBot="1">
      <c r="C41" s="74" t="s">
        <v>56</v>
      </c>
      <c r="D41" s="75">
        <f>+SUMPRODUCT(D35:D39,E35:E39)</f>
        <v>3.8163043478260872</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G47"/>
  <sheetViews>
    <sheetView workbookViewId="0"/>
  </sheetViews>
  <sheetFormatPr baseColWidth="10" defaultRowHeight="14.4"/>
  <cols>
    <col min="1" max="1" width="19.5546875" style="49" customWidth="1"/>
    <col min="2" max="2" width="11.5546875" style="49"/>
    <col min="3" max="3" width="17" style="49" customWidth="1"/>
    <col min="4" max="4" width="13.5546875" style="49" bestFit="1" customWidth="1"/>
    <col min="5" max="5" width="11.5546875" style="49"/>
    <col min="6" max="6" width="14" style="49" customWidth="1"/>
    <col min="7" max="16384" width="11.5546875" style="49"/>
  </cols>
  <sheetData>
    <row r="1" spans="1:7">
      <c r="A1" s="49" t="s">
        <v>119</v>
      </c>
    </row>
    <row r="2" spans="1:7">
      <c r="A2" s="49" t="s">
        <v>54</v>
      </c>
    </row>
    <row r="3" spans="1:7" ht="15" thickBot="1"/>
    <row r="4" spans="1:7" ht="15" thickBot="1">
      <c r="A4" s="96" t="s">
        <v>132</v>
      </c>
      <c r="B4" s="99">
        <v>20</v>
      </c>
    </row>
    <row r="7" spans="1:7">
      <c r="A7" s="49" t="s">
        <v>134</v>
      </c>
    </row>
    <row r="8" spans="1:7" ht="15" thickBot="1"/>
    <row r="9" spans="1:7" ht="15" thickBot="1">
      <c r="A9" s="65" t="s">
        <v>44</v>
      </c>
      <c r="B9" s="66" t="s">
        <v>45</v>
      </c>
      <c r="C9" s="66" t="s">
        <v>46</v>
      </c>
      <c r="D9" s="67" t="s">
        <v>47</v>
      </c>
      <c r="E9" s="87" t="s">
        <v>130</v>
      </c>
      <c r="F9" s="87" t="s">
        <v>133</v>
      </c>
    </row>
    <row r="10" spans="1:7">
      <c r="A10" s="104" t="s">
        <v>49</v>
      </c>
      <c r="B10" s="105">
        <v>8</v>
      </c>
      <c r="C10" s="105">
        <v>1.2</v>
      </c>
      <c r="D10" s="106">
        <f>+B10*C10</f>
        <v>9.6</v>
      </c>
      <c r="E10" s="107">
        <v>8</v>
      </c>
      <c r="F10" s="108">
        <f t="shared" ref="F10:F21" si="0">+D10/$B$4</f>
        <v>0.48</v>
      </c>
    </row>
    <row r="11" spans="1:7">
      <c r="A11" s="68" t="s">
        <v>49</v>
      </c>
      <c r="B11" s="69">
        <v>12</v>
      </c>
      <c r="C11" s="69">
        <v>1.2</v>
      </c>
      <c r="D11" s="70">
        <f t="shared" ref="D11:D21" si="1">+B11*C11</f>
        <v>14.399999999999999</v>
      </c>
      <c r="E11" s="93">
        <v>16</v>
      </c>
      <c r="F11" s="102">
        <f t="shared" si="0"/>
        <v>0.72</v>
      </c>
    </row>
    <row r="12" spans="1:7">
      <c r="A12" s="68" t="s">
        <v>49</v>
      </c>
      <c r="B12" s="69">
        <v>16</v>
      </c>
      <c r="C12" s="69">
        <v>1.2</v>
      </c>
      <c r="D12" s="70">
        <f t="shared" si="1"/>
        <v>19.2</v>
      </c>
      <c r="E12" s="93">
        <v>10</v>
      </c>
      <c r="F12" s="102">
        <f t="shared" si="0"/>
        <v>0.96</v>
      </c>
    </row>
    <row r="13" spans="1:7">
      <c r="A13" s="68" t="s">
        <v>49</v>
      </c>
      <c r="B13" s="69">
        <v>20</v>
      </c>
      <c r="C13" s="69">
        <v>1.2</v>
      </c>
      <c r="D13" s="70">
        <f t="shared" si="1"/>
        <v>24</v>
      </c>
      <c r="E13" s="93">
        <v>9</v>
      </c>
      <c r="F13" s="102">
        <f t="shared" si="0"/>
        <v>1.2</v>
      </c>
    </row>
    <row r="14" spans="1:7" ht="15" thickBot="1">
      <c r="A14" s="71" t="s">
        <v>49</v>
      </c>
      <c r="B14" s="72">
        <v>80</v>
      </c>
      <c r="C14" s="72">
        <v>1.2</v>
      </c>
      <c r="D14" s="73">
        <f t="shared" si="1"/>
        <v>96</v>
      </c>
      <c r="E14" s="94">
        <v>1</v>
      </c>
      <c r="F14" s="103">
        <f t="shared" si="0"/>
        <v>4.8</v>
      </c>
    </row>
    <row r="15" spans="1:7">
      <c r="A15" s="104" t="s">
        <v>50</v>
      </c>
      <c r="B15" s="105">
        <v>10</v>
      </c>
      <c r="C15" s="109">
        <v>1.05</v>
      </c>
      <c r="D15" s="106">
        <f t="shared" si="1"/>
        <v>10.5</v>
      </c>
      <c r="E15" s="107">
        <v>20</v>
      </c>
      <c r="F15" s="108">
        <f t="shared" si="0"/>
        <v>0.52500000000000002</v>
      </c>
      <c r="G15" s="110"/>
    </row>
    <row r="16" spans="1:7">
      <c r="A16" s="68" t="s">
        <v>50</v>
      </c>
      <c r="B16" s="69">
        <v>15</v>
      </c>
      <c r="C16" s="51">
        <v>1.05</v>
      </c>
      <c r="D16" s="70">
        <f t="shared" si="1"/>
        <v>15.75</v>
      </c>
      <c r="E16" s="93">
        <v>17</v>
      </c>
      <c r="F16" s="102">
        <f t="shared" si="0"/>
        <v>0.78749999999999998</v>
      </c>
      <c r="G16" s="110"/>
    </row>
    <row r="17" spans="1:7" ht="15" thickBot="1">
      <c r="A17" s="71" t="s">
        <v>50</v>
      </c>
      <c r="B17" s="72">
        <v>50</v>
      </c>
      <c r="C17" s="92">
        <v>1.05</v>
      </c>
      <c r="D17" s="73">
        <f t="shared" si="1"/>
        <v>52.5</v>
      </c>
      <c r="E17" s="94">
        <v>2</v>
      </c>
      <c r="F17" s="103">
        <f t="shared" si="0"/>
        <v>2.625</v>
      </c>
      <c r="G17" s="110"/>
    </row>
    <row r="18" spans="1:7">
      <c r="A18" s="68" t="s">
        <v>51</v>
      </c>
      <c r="B18" s="69">
        <v>20</v>
      </c>
      <c r="C18" s="51">
        <v>0.9</v>
      </c>
      <c r="D18" s="70">
        <f t="shared" si="1"/>
        <v>18</v>
      </c>
      <c r="E18" s="93">
        <v>10</v>
      </c>
      <c r="F18" s="102">
        <f t="shared" si="0"/>
        <v>0.9</v>
      </c>
    </row>
    <row r="19" spans="1:7">
      <c r="A19" s="68" t="s">
        <v>51</v>
      </c>
      <c r="B19" s="69">
        <v>30</v>
      </c>
      <c r="C19" s="51">
        <v>0.9</v>
      </c>
      <c r="D19" s="70">
        <f t="shared" si="1"/>
        <v>27</v>
      </c>
      <c r="E19" s="93">
        <v>4</v>
      </c>
      <c r="F19" s="102">
        <f t="shared" si="0"/>
        <v>1.35</v>
      </c>
    </row>
    <row r="20" spans="1:7">
      <c r="A20" s="68" t="s">
        <v>51</v>
      </c>
      <c r="B20" s="69">
        <v>50</v>
      </c>
      <c r="C20" s="51">
        <v>0.9</v>
      </c>
      <c r="D20" s="70">
        <f t="shared" si="1"/>
        <v>45</v>
      </c>
      <c r="E20" s="93">
        <v>2</v>
      </c>
      <c r="F20" s="102">
        <f t="shared" si="0"/>
        <v>2.25</v>
      </c>
    </row>
    <row r="21" spans="1:7" ht="15" thickBot="1">
      <c r="A21" s="71" t="s">
        <v>51</v>
      </c>
      <c r="B21" s="72">
        <v>200</v>
      </c>
      <c r="C21" s="92">
        <v>0.9</v>
      </c>
      <c r="D21" s="73">
        <f t="shared" si="1"/>
        <v>180</v>
      </c>
      <c r="E21" s="94">
        <v>1</v>
      </c>
      <c r="F21" s="103">
        <f t="shared" si="0"/>
        <v>9</v>
      </c>
    </row>
    <row r="22" spans="1:7" ht="15" thickBot="1">
      <c r="A22" s="95" t="s">
        <v>5</v>
      </c>
      <c r="B22" s="96"/>
      <c r="C22" s="96"/>
      <c r="D22" s="97">
        <f>+SUMPRODUCT(D10:D21,E10:E21)/SUM(E10:E21)</f>
        <v>19.519500000000001</v>
      </c>
      <c r="E22" s="98">
        <f>+SUM(E10:E21)</f>
        <v>100</v>
      </c>
    </row>
    <row r="24" spans="1:7">
      <c r="A24" s="100" t="s">
        <v>131</v>
      </c>
      <c r="B24" s="101">
        <f>+D22/B4</f>
        <v>0.97597500000000004</v>
      </c>
    </row>
    <row r="25" spans="1:7">
      <c r="A25" s="100"/>
      <c r="B25" s="101"/>
    </row>
    <row r="26" spans="1:7">
      <c r="A26" s="59" t="s">
        <v>137</v>
      </c>
    </row>
    <row r="27" spans="1:7">
      <c r="A27" s="49" t="s">
        <v>135</v>
      </c>
    </row>
    <row r="28" spans="1:7" ht="15" thickBot="1"/>
    <row r="29" spans="1:7" ht="15" thickBot="1">
      <c r="A29" s="65" t="s">
        <v>44</v>
      </c>
      <c r="B29" s="66" t="s">
        <v>45</v>
      </c>
      <c r="C29" s="66" t="s">
        <v>46</v>
      </c>
      <c r="D29" s="67" t="s">
        <v>47</v>
      </c>
      <c r="E29" s="87" t="s">
        <v>130</v>
      </c>
      <c r="F29" s="87" t="s">
        <v>133</v>
      </c>
    </row>
    <row r="30" spans="1:7">
      <c r="A30" s="104" t="s">
        <v>49</v>
      </c>
      <c r="B30" s="105">
        <v>8</v>
      </c>
      <c r="C30" s="105">
        <v>1.2</v>
      </c>
      <c r="D30" s="106">
        <f>+B30*C30</f>
        <v>9.6</v>
      </c>
      <c r="E30" s="107">
        <v>10</v>
      </c>
      <c r="F30" s="108">
        <f t="shared" ref="F30:F44" si="2">+D30/$B$4</f>
        <v>0.48</v>
      </c>
    </row>
    <row r="31" spans="1:7">
      <c r="A31" s="68" t="s">
        <v>49</v>
      </c>
      <c r="B31" s="69">
        <v>12</v>
      </c>
      <c r="C31" s="69">
        <v>1.2</v>
      </c>
      <c r="D31" s="70">
        <f t="shared" ref="D31:D44" si="3">+B31*C31</f>
        <v>14.399999999999999</v>
      </c>
      <c r="E31" s="93">
        <v>20</v>
      </c>
      <c r="F31" s="102">
        <f t="shared" si="2"/>
        <v>0.72</v>
      </c>
    </row>
    <row r="32" spans="1:7">
      <c r="A32" s="68" t="s">
        <v>49</v>
      </c>
      <c r="B32" s="69">
        <v>16</v>
      </c>
      <c r="C32" s="69">
        <v>1.2</v>
      </c>
      <c r="D32" s="70">
        <f t="shared" si="3"/>
        <v>19.2</v>
      </c>
      <c r="E32" s="93">
        <v>10</v>
      </c>
      <c r="F32" s="102">
        <f t="shared" si="2"/>
        <v>0.96</v>
      </c>
    </row>
    <row r="33" spans="1:6">
      <c r="A33" s="68" t="s">
        <v>49</v>
      </c>
      <c r="B33" s="69">
        <v>20</v>
      </c>
      <c r="C33" s="69">
        <v>1.2</v>
      </c>
      <c r="D33" s="70">
        <f t="shared" si="3"/>
        <v>24</v>
      </c>
      <c r="E33" s="93">
        <v>10</v>
      </c>
      <c r="F33" s="102">
        <f t="shared" si="2"/>
        <v>1.2</v>
      </c>
    </row>
    <row r="34" spans="1:6" ht="15" thickBot="1">
      <c r="A34" s="71" t="s">
        <v>49</v>
      </c>
      <c r="B34" s="72">
        <v>80</v>
      </c>
      <c r="C34" s="72">
        <v>1.2</v>
      </c>
      <c r="D34" s="73">
        <f t="shared" si="3"/>
        <v>96</v>
      </c>
      <c r="E34" s="94">
        <v>1</v>
      </c>
      <c r="F34" s="103">
        <f t="shared" si="2"/>
        <v>4.8</v>
      </c>
    </row>
    <row r="35" spans="1:6">
      <c r="A35" s="104" t="s">
        <v>50</v>
      </c>
      <c r="B35" s="105">
        <v>10</v>
      </c>
      <c r="C35" s="109">
        <v>1.05</v>
      </c>
      <c r="D35" s="106">
        <f t="shared" si="3"/>
        <v>10.5</v>
      </c>
      <c r="E35" s="107">
        <v>25</v>
      </c>
      <c r="F35" s="108">
        <f t="shared" si="2"/>
        <v>0.52500000000000002</v>
      </c>
    </row>
    <row r="36" spans="1:6">
      <c r="A36" s="68" t="s">
        <v>50</v>
      </c>
      <c r="B36" s="69">
        <v>15</v>
      </c>
      <c r="C36" s="51">
        <v>1.05</v>
      </c>
      <c r="D36" s="70">
        <f t="shared" si="3"/>
        <v>15.75</v>
      </c>
      <c r="E36" s="93">
        <v>17</v>
      </c>
      <c r="F36" s="102">
        <f t="shared" si="2"/>
        <v>0.78749999999999998</v>
      </c>
    </row>
    <row r="37" spans="1:6" ht="15" thickBot="1">
      <c r="A37" s="71" t="s">
        <v>50</v>
      </c>
      <c r="B37" s="72">
        <v>50</v>
      </c>
      <c r="C37" s="92">
        <v>1.05</v>
      </c>
      <c r="D37" s="73">
        <f t="shared" si="3"/>
        <v>52.5</v>
      </c>
      <c r="E37" s="94">
        <v>1</v>
      </c>
      <c r="F37" s="103">
        <f t="shared" si="2"/>
        <v>2.625</v>
      </c>
    </row>
    <row r="38" spans="1:6">
      <c r="A38" s="68" t="s">
        <v>51</v>
      </c>
      <c r="B38" s="69">
        <v>20</v>
      </c>
      <c r="C38" s="51">
        <v>0.9</v>
      </c>
      <c r="D38" s="70">
        <f t="shared" si="3"/>
        <v>18</v>
      </c>
      <c r="E38" s="93">
        <v>13</v>
      </c>
      <c r="F38" s="102">
        <f t="shared" si="2"/>
        <v>0.9</v>
      </c>
    </row>
    <row r="39" spans="1:6">
      <c r="A39" s="68" t="s">
        <v>51</v>
      </c>
      <c r="B39" s="69">
        <v>30</v>
      </c>
      <c r="C39" s="51">
        <v>0.9</v>
      </c>
      <c r="D39" s="70">
        <f t="shared" si="3"/>
        <v>27</v>
      </c>
      <c r="E39" s="93">
        <v>6</v>
      </c>
      <c r="F39" s="102">
        <f t="shared" si="2"/>
        <v>1.35</v>
      </c>
    </row>
    <row r="40" spans="1:6">
      <c r="A40" s="68" t="s">
        <v>51</v>
      </c>
      <c r="B40" s="69">
        <v>50</v>
      </c>
      <c r="C40" s="51">
        <v>0.9</v>
      </c>
      <c r="D40" s="70">
        <f t="shared" si="3"/>
        <v>45</v>
      </c>
      <c r="E40" s="93">
        <v>1</v>
      </c>
      <c r="F40" s="102">
        <f t="shared" si="2"/>
        <v>2.25</v>
      </c>
    </row>
    <row r="41" spans="1:6" ht="15" thickBot="1">
      <c r="A41" s="71" t="s">
        <v>51</v>
      </c>
      <c r="B41" s="72">
        <v>200</v>
      </c>
      <c r="C41" s="92">
        <v>0.9</v>
      </c>
      <c r="D41" s="73">
        <f t="shared" si="3"/>
        <v>180</v>
      </c>
      <c r="E41" s="94">
        <v>1</v>
      </c>
      <c r="F41" s="103">
        <f t="shared" si="2"/>
        <v>9</v>
      </c>
    </row>
    <row r="42" spans="1:6">
      <c r="A42" s="68" t="s">
        <v>136</v>
      </c>
      <c r="B42" s="51">
        <v>2</v>
      </c>
      <c r="C42" s="51">
        <v>15</v>
      </c>
      <c r="D42" s="70">
        <f>+B42*C42</f>
        <v>30</v>
      </c>
      <c r="E42" s="93">
        <v>2</v>
      </c>
      <c r="F42" s="102">
        <f t="shared" si="2"/>
        <v>1.5</v>
      </c>
    </row>
    <row r="43" spans="1:6">
      <c r="A43" s="68" t="s">
        <v>136</v>
      </c>
      <c r="B43" s="51">
        <v>3</v>
      </c>
      <c r="C43" s="51">
        <v>15</v>
      </c>
      <c r="D43" s="70">
        <f t="shared" si="3"/>
        <v>45</v>
      </c>
      <c r="E43" s="93">
        <v>2</v>
      </c>
      <c r="F43" s="102">
        <f t="shared" si="2"/>
        <v>2.25</v>
      </c>
    </row>
    <row r="44" spans="1:6" ht="15" thickBot="1">
      <c r="A44" s="68" t="s">
        <v>136</v>
      </c>
      <c r="B44" s="72">
        <v>5</v>
      </c>
      <c r="C44" s="92">
        <v>15</v>
      </c>
      <c r="D44" s="73">
        <f t="shared" si="3"/>
        <v>75</v>
      </c>
      <c r="E44" s="94">
        <v>1</v>
      </c>
      <c r="F44" s="103">
        <f t="shared" si="2"/>
        <v>3.75</v>
      </c>
    </row>
    <row r="45" spans="1:6" ht="15" thickBot="1">
      <c r="A45" s="95" t="s">
        <v>5</v>
      </c>
      <c r="B45" s="96"/>
      <c r="C45" s="96"/>
      <c r="D45" s="97">
        <f>+SUMPRODUCT(D30:D44,E30:E44)/SUM(E30:E44)</f>
        <v>19.506250000000001</v>
      </c>
      <c r="E45" s="98">
        <f>+SUM(E30:E44)</f>
        <v>120</v>
      </c>
    </row>
    <row r="47" spans="1:6">
      <c r="A47" s="100" t="s">
        <v>131</v>
      </c>
      <c r="B47" s="101">
        <f>+D45/B4</f>
        <v>0.97531250000000003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dimension ref="A1:G53"/>
  <sheetViews>
    <sheetView workbookViewId="0">
      <selection activeCell="E45" sqref="E45"/>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3" t="s">
        <v>158</v>
      </c>
      <c r="B1" s="123"/>
      <c r="C1" s="123"/>
      <c r="D1" s="123"/>
      <c r="E1" s="123"/>
    </row>
    <row r="2" spans="1:7">
      <c r="A2" s="59" t="s">
        <v>123</v>
      </c>
    </row>
    <row r="3" spans="1:7">
      <c r="A3" s="59" t="s">
        <v>124</v>
      </c>
    </row>
    <row r="4" spans="1:7">
      <c r="A4" s="59" t="s">
        <v>126</v>
      </c>
    </row>
    <row r="5" spans="1:7">
      <c r="A5" s="59"/>
    </row>
    <row r="6" spans="1:7">
      <c r="A6" s="59"/>
    </row>
    <row r="8" spans="1:7">
      <c r="A8" s="52" t="s">
        <v>9</v>
      </c>
      <c r="B8" s="54" t="s">
        <v>73</v>
      </c>
      <c r="C8" s="54" t="s">
        <v>10</v>
      </c>
      <c r="D8" s="54" t="s">
        <v>18</v>
      </c>
      <c r="E8" s="54" t="s">
        <v>8</v>
      </c>
      <c r="F8" s="54" t="s">
        <v>1</v>
      </c>
    </row>
    <row r="9" spans="1:7">
      <c r="B9" s="81">
        <v>1</v>
      </c>
      <c r="C9" s="88">
        <v>0.09</v>
      </c>
      <c r="D9" s="50">
        <f>+SUM($C$9:C9)</f>
        <v>0.09</v>
      </c>
      <c r="E9" s="50">
        <f>+Summary!H36</f>
        <v>2</v>
      </c>
      <c r="F9" s="50">
        <f>+C9*E9</f>
        <v>0.18</v>
      </c>
    </row>
    <row r="10" spans="1:7">
      <c r="B10" s="81">
        <v>2</v>
      </c>
      <c r="C10" s="88">
        <v>0.02</v>
      </c>
      <c r="D10" s="50">
        <f>+SUM($C$9:C10)</f>
        <v>0.11</v>
      </c>
      <c r="E10" s="50">
        <f>+Summary!H37</f>
        <v>5</v>
      </c>
      <c r="F10" s="50">
        <f t="shared" ref="F10:F15" si="0">+C10*E10</f>
        <v>0.1</v>
      </c>
    </row>
    <row r="11" spans="1:7">
      <c r="B11" s="81">
        <v>3</v>
      </c>
      <c r="C11" s="88">
        <v>1.4999999999999999E-2</v>
      </c>
      <c r="D11" s="50">
        <f>+SUM($C$9:C11)</f>
        <v>0.125</v>
      </c>
      <c r="E11" s="50">
        <f>+Summary!H38</f>
        <v>10</v>
      </c>
      <c r="F11" s="50">
        <f t="shared" si="0"/>
        <v>0.15</v>
      </c>
    </row>
    <row r="12" spans="1:7">
      <c r="B12" s="81">
        <v>4</v>
      </c>
      <c r="C12" s="88">
        <v>1E-3</v>
      </c>
      <c r="D12" s="50">
        <f>+SUM($C$9:C12)</f>
        <v>0.126</v>
      </c>
      <c r="E12" s="50">
        <f>+Summary!H39</f>
        <v>20</v>
      </c>
      <c r="F12" s="50">
        <f t="shared" si="0"/>
        <v>0.02</v>
      </c>
    </row>
    <row r="13" spans="1:7">
      <c r="B13" s="81">
        <v>5</v>
      </c>
      <c r="C13" s="88">
        <v>8.0000000000000007E-5</v>
      </c>
      <c r="D13" s="50">
        <f>+SUM($C$9:C13)</f>
        <v>0.12608</v>
      </c>
      <c r="E13" s="50">
        <f>+Summary!H40</f>
        <v>50</v>
      </c>
      <c r="F13" s="50">
        <f t="shared" si="0"/>
        <v>4.0000000000000001E-3</v>
      </c>
    </row>
    <row r="14" spans="1:7">
      <c r="B14" s="81">
        <v>6</v>
      </c>
      <c r="C14" s="88">
        <v>1.0000000000000001E-5</v>
      </c>
      <c r="D14" s="50">
        <f>+SUM($C$9:C14)</f>
        <v>0.12609000000000001</v>
      </c>
      <c r="E14" s="50">
        <f>+Summary!H41</f>
        <v>100</v>
      </c>
      <c r="F14" s="50">
        <f t="shared" si="0"/>
        <v>1E-3</v>
      </c>
    </row>
    <row r="15" spans="1:7">
      <c r="B15" s="81">
        <v>7</v>
      </c>
      <c r="C15" s="88">
        <v>1E-3</v>
      </c>
      <c r="D15" s="50">
        <f>+SUM($C$9:C15)</f>
        <v>0.12709000000000001</v>
      </c>
      <c r="E15" s="50">
        <f>+Summary!H42</f>
        <v>500</v>
      </c>
      <c r="F15" s="50">
        <f t="shared" si="0"/>
        <v>0.5</v>
      </c>
      <c r="G15" s="49" t="s">
        <v>79</v>
      </c>
    </row>
    <row r="16" spans="1:7">
      <c r="B16" s="56" t="s">
        <v>11</v>
      </c>
      <c r="C16" s="56">
        <f>+SUM(C9:C15)</f>
        <v>0.12709000000000001</v>
      </c>
      <c r="D16" s="56"/>
      <c r="E16" s="56"/>
      <c r="F16" s="47">
        <f>+SUM(F9:F15)</f>
        <v>0.95500000000000007</v>
      </c>
    </row>
    <row r="17" spans="1:7">
      <c r="B17" s="57" t="s">
        <v>78</v>
      </c>
    </row>
    <row r="20" spans="1:7">
      <c r="A20" s="52" t="s">
        <v>12</v>
      </c>
      <c r="B20" s="54" t="s">
        <v>73</v>
      </c>
      <c r="C20" s="54" t="s">
        <v>10</v>
      </c>
      <c r="D20" s="54" t="s">
        <v>18</v>
      </c>
      <c r="E20" s="54" t="s">
        <v>8</v>
      </c>
      <c r="F20" s="54" t="s">
        <v>1</v>
      </c>
    </row>
    <row r="21" spans="1:7">
      <c r="B21" s="81">
        <v>1</v>
      </c>
      <c r="C21" s="88">
        <v>8.5000000000000006E-2</v>
      </c>
      <c r="D21" s="89">
        <f>+SUM($C$21:C21)</f>
        <v>8.5000000000000006E-2</v>
      </c>
      <c r="E21" s="50">
        <f>+Summary!H36</f>
        <v>2</v>
      </c>
      <c r="F21" s="50">
        <f>+C21*E21</f>
        <v>0.17</v>
      </c>
    </row>
    <row r="22" spans="1:7">
      <c r="B22" s="81">
        <v>2</v>
      </c>
      <c r="C22" s="88">
        <v>0.03</v>
      </c>
      <c r="D22" s="89">
        <f>+SUM($C$21:C22)</f>
        <v>0.115</v>
      </c>
      <c r="E22" s="50">
        <f>+Summary!H37</f>
        <v>5</v>
      </c>
      <c r="F22" s="50">
        <f t="shared" ref="F22:F27" si="1">+C22*E22</f>
        <v>0.15</v>
      </c>
    </row>
    <row r="23" spans="1:7">
      <c r="B23" s="81">
        <v>3</v>
      </c>
      <c r="C23" s="88">
        <v>1.0999999999999999E-2</v>
      </c>
      <c r="D23" s="89">
        <f>+SUM($C$21:C23)</f>
        <v>0.126</v>
      </c>
      <c r="E23" s="50">
        <f>+Summary!H38</f>
        <v>10</v>
      </c>
      <c r="F23" s="50">
        <f t="shared" si="1"/>
        <v>0.10999999999999999</v>
      </c>
    </row>
    <row r="24" spans="1:7">
      <c r="B24" s="81">
        <v>4</v>
      </c>
      <c r="C24" s="88">
        <v>1E-3</v>
      </c>
      <c r="D24" s="89">
        <f>+SUM($C$21:C24)</f>
        <v>0.127</v>
      </c>
      <c r="E24" s="50">
        <f>+Summary!H39</f>
        <v>20</v>
      </c>
      <c r="F24" s="50">
        <f t="shared" si="1"/>
        <v>0.02</v>
      </c>
    </row>
    <row r="25" spans="1:7">
      <c r="B25" s="81">
        <v>5</v>
      </c>
      <c r="C25" s="88">
        <v>8.0000000000000007E-5</v>
      </c>
      <c r="D25" s="89">
        <f>+SUM($C$21:C25)</f>
        <v>0.12708</v>
      </c>
      <c r="E25" s="50">
        <f>+Summary!H40</f>
        <v>50</v>
      </c>
      <c r="F25" s="50">
        <f t="shared" si="1"/>
        <v>4.0000000000000001E-3</v>
      </c>
    </row>
    <row r="26" spans="1:7">
      <c r="B26" s="81">
        <v>6</v>
      </c>
      <c r="C26" s="88">
        <v>1.0000000000000001E-5</v>
      </c>
      <c r="D26" s="89">
        <f>+SUM($C$21:C26)</f>
        <v>0.12709000000000001</v>
      </c>
      <c r="E26" s="50">
        <f>+Summary!H41</f>
        <v>100</v>
      </c>
      <c r="F26" s="50">
        <f t="shared" si="1"/>
        <v>1E-3</v>
      </c>
    </row>
    <row r="27" spans="1:7">
      <c r="B27" s="81">
        <v>7</v>
      </c>
      <c r="C27" s="88">
        <v>1E-3</v>
      </c>
      <c r="D27" s="89">
        <f>+SUM($C$21:C27)</f>
        <v>0.12809000000000001</v>
      </c>
      <c r="E27" s="50">
        <f>+Summary!H42</f>
        <v>500</v>
      </c>
      <c r="F27" s="50">
        <f t="shared" si="1"/>
        <v>0.5</v>
      </c>
      <c r="G27" s="49" t="s">
        <v>79</v>
      </c>
    </row>
    <row r="28" spans="1:7">
      <c r="B28" s="56" t="s">
        <v>11</v>
      </c>
      <c r="C28" s="56">
        <f>+SUM(C21:C27)</f>
        <v>0.12809000000000001</v>
      </c>
      <c r="D28" s="56"/>
      <c r="E28" s="56"/>
      <c r="F28" s="47">
        <f>+SUM(F21:F27)</f>
        <v>0.95500000000000007</v>
      </c>
    </row>
    <row r="29" spans="1:7">
      <c r="B29" s="57" t="s">
        <v>78</v>
      </c>
    </row>
    <row r="32" spans="1:7">
      <c r="A32" s="52" t="s">
        <v>13</v>
      </c>
      <c r="B32" s="54" t="s">
        <v>73</v>
      </c>
      <c r="C32" s="54" t="s">
        <v>10</v>
      </c>
      <c r="D32" s="54" t="s">
        <v>18</v>
      </c>
      <c r="E32" s="54" t="s">
        <v>8</v>
      </c>
      <c r="F32" s="54" t="s">
        <v>1</v>
      </c>
    </row>
    <row r="33" spans="1:7">
      <c r="B33" s="81">
        <v>1</v>
      </c>
      <c r="C33" s="88">
        <v>8.5000000000000006E-2</v>
      </c>
      <c r="D33" s="89">
        <f>+SUM($C$33:C33)</f>
        <v>8.5000000000000006E-2</v>
      </c>
      <c r="E33" s="50">
        <f>+Summary!H36</f>
        <v>2</v>
      </c>
      <c r="F33" s="50">
        <f>+C33*E33</f>
        <v>0.17</v>
      </c>
    </row>
    <row r="34" spans="1:7">
      <c r="B34" s="81">
        <v>2</v>
      </c>
      <c r="C34" s="88">
        <v>0.03</v>
      </c>
      <c r="D34" s="89">
        <f>+SUM($C$33:C34)</f>
        <v>0.115</v>
      </c>
      <c r="E34" s="50">
        <f>+Summary!H37</f>
        <v>5</v>
      </c>
      <c r="F34" s="50">
        <f t="shared" ref="F34:F39" si="2">+C34*E34</f>
        <v>0.15</v>
      </c>
    </row>
    <row r="35" spans="1:7">
      <c r="B35" s="81">
        <v>3</v>
      </c>
      <c r="C35" s="88">
        <v>6.0000000000000001E-3</v>
      </c>
      <c r="D35" s="89">
        <f>+SUM($C$33:C35)</f>
        <v>0.12100000000000001</v>
      </c>
      <c r="E35" s="50">
        <f>+Summary!H38</f>
        <v>10</v>
      </c>
      <c r="F35" s="50">
        <f t="shared" si="2"/>
        <v>0.06</v>
      </c>
    </row>
    <row r="36" spans="1:7">
      <c r="B36" s="81">
        <v>4</v>
      </c>
      <c r="C36" s="88">
        <v>1E-3</v>
      </c>
      <c r="D36" s="89">
        <f>+SUM($C$33:C36)</f>
        <v>0.12200000000000001</v>
      </c>
      <c r="E36" s="50">
        <f>+Summary!H39</f>
        <v>20</v>
      </c>
      <c r="F36" s="50">
        <f t="shared" si="2"/>
        <v>0.02</v>
      </c>
    </row>
    <row r="37" spans="1:7">
      <c r="B37" s="81">
        <v>5</v>
      </c>
      <c r="C37" s="88">
        <v>8.0000000000000007E-5</v>
      </c>
      <c r="D37" s="89">
        <f>+SUM($C$33:C37)</f>
        <v>0.12208000000000001</v>
      </c>
      <c r="E37" s="50">
        <f>+Summary!H40</f>
        <v>50</v>
      </c>
      <c r="F37" s="50">
        <f t="shared" si="2"/>
        <v>4.0000000000000001E-3</v>
      </c>
    </row>
    <row r="38" spans="1:7">
      <c r="B38" s="81">
        <v>6</v>
      </c>
      <c r="C38" s="88">
        <v>1.0000000000000001E-5</v>
      </c>
      <c r="D38" s="89">
        <f>+SUM($C$33:C38)</f>
        <v>0.12209</v>
      </c>
      <c r="E38" s="50">
        <f>+Summary!H41</f>
        <v>100</v>
      </c>
      <c r="F38" s="50">
        <f t="shared" si="2"/>
        <v>1E-3</v>
      </c>
    </row>
    <row r="39" spans="1:7">
      <c r="B39" s="81">
        <v>7</v>
      </c>
      <c r="C39" s="88">
        <v>1.1000000000000001E-3</v>
      </c>
      <c r="D39" s="89">
        <f>+SUM($C$33:C39)</f>
        <v>0.12319000000000001</v>
      </c>
      <c r="E39" s="50">
        <f>+Summary!H42</f>
        <v>500</v>
      </c>
      <c r="F39" s="50">
        <f t="shared" si="2"/>
        <v>0.55000000000000004</v>
      </c>
      <c r="G39" s="49" t="s">
        <v>79</v>
      </c>
    </row>
    <row r="40" spans="1:7">
      <c r="B40" s="56" t="s">
        <v>11</v>
      </c>
      <c r="C40" s="47">
        <f>+SUM(C33:C39)</f>
        <v>0.12319000000000001</v>
      </c>
      <c r="D40" s="56"/>
      <c r="E40" s="56"/>
      <c r="F40" s="47">
        <f>+SUM(F33:F39)</f>
        <v>0.95500000000000007</v>
      </c>
    </row>
    <row r="41" spans="1:7">
      <c r="B41" s="57" t="s">
        <v>78</v>
      </c>
    </row>
    <row r="44" spans="1:7">
      <c r="A44" s="52" t="s">
        <v>14</v>
      </c>
      <c r="B44" s="54" t="s">
        <v>73</v>
      </c>
      <c r="C44" s="54" t="s">
        <v>10</v>
      </c>
      <c r="D44" s="54" t="s">
        <v>18</v>
      </c>
      <c r="E44" s="54" t="s">
        <v>8</v>
      </c>
      <c r="F44" s="54" t="s">
        <v>1</v>
      </c>
    </row>
    <row r="45" spans="1:7">
      <c r="B45" s="81">
        <v>1</v>
      </c>
      <c r="C45" s="88">
        <v>0.105</v>
      </c>
      <c r="D45" s="89">
        <f>+SUM($C$45:C45)</f>
        <v>0.105</v>
      </c>
      <c r="E45" s="50">
        <f>+Summary!H36</f>
        <v>2</v>
      </c>
      <c r="F45" s="50">
        <f>+C45*E45</f>
        <v>0.21</v>
      </c>
    </row>
    <row r="46" spans="1:7">
      <c r="B46" s="81">
        <v>2</v>
      </c>
      <c r="C46" s="88">
        <v>0.02</v>
      </c>
      <c r="D46" s="89">
        <f>+SUM($C$45:C46)</f>
        <v>0.125</v>
      </c>
      <c r="E46" s="50">
        <f>+Summary!H37</f>
        <v>5</v>
      </c>
      <c r="F46" s="50">
        <f t="shared" ref="F46:F51" si="3">+C46*E46</f>
        <v>0.1</v>
      </c>
    </row>
    <row r="47" spans="1:7">
      <c r="B47" s="81">
        <v>3</v>
      </c>
      <c r="C47" s="88">
        <v>2E-3</v>
      </c>
      <c r="D47" s="89">
        <f>+SUM($C$45:C47)</f>
        <v>0.127</v>
      </c>
      <c r="E47" s="50">
        <f>+Summary!H38</f>
        <v>10</v>
      </c>
      <c r="F47" s="50">
        <f t="shared" si="3"/>
        <v>0.02</v>
      </c>
    </row>
    <row r="48" spans="1:7">
      <c r="B48" s="81">
        <v>4</v>
      </c>
      <c r="C48" s="88">
        <v>1E-3</v>
      </c>
      <c r="D48" s="89">
        <f>+SUM($C$45:C48)</f>
        <v>0.128</v>
      </c>
      <c r="E48" s="50">
        <f>+Summary!H39</f>
        <v>20</v>
      </c>
      <c r="F48" s="50">
        <f t="shared" si="3"/>
        <v>0.02</v>
      </c>
    </row>
    <row r="49" spans="2:7">
      <c r="B49" s="81">
        <v>5</v>
      </c>
      <c r="C49" s="88">
        <v>8.0000000000000007E-5</v>
      </c>
      <c r="D49" s="89">
        <f>+SUM($C$45:C49)</f>
        <v>0.12808</v>
      </c>
      <c r="E49" s="50">
        <f>+Summary!H40</f>
        <v>50</v>
      </c>
      <c r="F49" s="50">
        <f t="shared" si="3"/>
        <v>4.0000000000000001E-3</v>
      </c>
    </row>
    <row r="50" spans="2:7">
      <c r="B50" s="81">
        <v>6</v>
      </c>
      <c r="C50" s="88">
        <v>1.0000000000000001E-5</v>
      </c>
      <c r="D50" s="89">
        <f>+SUM($C$45:C50)</f>
        <v>0.12809000000000001</v>
      </c>
      <c r="E50" s="50">
        <f>+Summary!H41</f>
        <v>100</v>
      </c>
      <c r="F50" s="50">
        <f t="shared" si="3"/>
        <v>1E-3</v>
      </c>
    </row>
    <row r="51" spans="2:7">
      <c r="B51" s="81">
        <v>7</v>
      </c>
      <c r="C51" s="88">
        <v>1.1999999999999999E-3</v>
      </c>
      <c r="D51" s="89">
        <f>+SUM($C$45:C51)</f>
        <v>0.12929000000000002</v>
      </c>
      <c r="E51" s="50">
        <f>+Summary!H42</f>
        <v>500</v>
      </c>
      <c r="F51" s="50">
        <f t="shared" si="3"/>
        <v>0.6</v>
      </c>
      <c r="G51" s="49" t="s">
        <v>79</v>
      </c>
    </row>
    <row r="52" spans="2:7">
      <c r="B52" s="56" t="s">
        <v>11</v>
      </c>
      <c r="C52" s="56">
        <f>+SUM(C45:C51)</f>
        <v>0.12929000000000002</v>
      </c>
      <c r="D52" s="56"/>
      <c r="E52" s="56"/>
      <c r="F52" s="47">
        <f>+SUM(F45:F51)</f>
        <v>0.95500000000000007</v>
      </c>
    </row>
    <row r="53" spans="2:7">
      <c r="B53" s="57" t="s">
        <v>78</v>
      </c>
    </row>
  </sheetData>
  <mergeCells count="1">
    <mergeCell ref="A1:E1"/>
  </mergeCells>
  <pageMargins left="0.7" right="0.7" top="0.75" bottom="0.75" header="0.3" footer="0.3"/>
  <pageSetup paperSize="9" orientation="portrait" horizontalDpi="200" verticalDpi="200" r:id="rId1"/>
</worksheet>
</file>

<file path=xl/worksheets/sheet12.xml><?xml version="1.0" encoding="utf-8"?>
<worksheet xmlns="http://schemas.openxmlformats.org/spreadsheetml/2006/main" xmlns:r="http://schemas.openxmlformats.org/officeDocument/2006/relationships">
  <dimension ref="A1:G53"/>
  <sheetViews>
    <sheetView workbookViewId="0">
      <selection activeCell="E45" sqref="E45"/>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3" t="s">
        <v>122</v>
      </c>
      <c r="B1" s="123"/>
      <c r="C1" s="123"/>
      <c r="D1" s="123"/>
      <c r="E1" s="123"/>
    </row>
    <row r="2" spans="1:7">
      <c r="A2" s="59" t="s">
        <v>123</v>
      </c>
    </row>
    <row r="3" spans="1:7">
      <c r="A3" s="59" t="s">
        <v>124</v>
      </c>
    </row>
    <row r="4" spans="1:7">
      <c r="A4" s="59" t="s">
        <v>126</v>
      </c>
    </row>
    <row r="5" spans="1:7">
      <c r="A5" s="59"/>
    </row>
    <row r="8" spans="1:7">
      <c r="A8" s="52" t="s">
        <v>9</v>
      </c>
      <c r="B8" s="54" t="s">
        <v>73</v>
      </c>
      <c r="C8" s="54" t="s">
        <v>10</v>
      </c>
      <c r="D8" s="54" t="s">
        <v>18</v>
      </c>
      <c r="E8" s="54" t="s">
        <v>8</v>
      </c>
      <c r="F8" s="54" t="s">
        <v>128</v>
      </c>
    </row>
    <row r="9" spans="1:7">
      <c r="B9" s="81">
        <v>1</v>
      </c>
      <c r="C9" s="88">
        <v>0.21</v>
      </c>
      <c r="D9" s="50">
        <f>+SUM($C$9:C9)</f>
        <v>0.21</v>
      </c>
      <c r="E9" s="50">
        <f>+Summary!H36</f>
        <v>2</v>
      </c>
      <c r="F9" s="50">
        <f>+C9*E9</f>
        <v>0.42</v>
      </c>
    </row>
    <row r="10" spans="1:7">
      <c r="B10" s="81">
        <v>2</v>
      </c>
      <c r="C10" s="88">
        <v>0.03</v>
      </c>
      <c r="D10" s="50">
        <f>+SUM($C$9:C10)</f>
        <v>0.24</v>
      </c>
      <c r="E10" s="50">
        <f>+Summary!H37</f>
        <v>5</v>
      </c>
      <c r="F10" s="50">
        <f t="shared" ref="F10:F15" si="0">+C10*E10</f>
        <v>0.15</v>
      </c>
    </row>
    <row r="11" spans="1:7">
      <c r="B11" s="81">
        <v>3</v>
      </c>
      <c r="C11" s="88">
        <v>2E-3</v>
      </c>
      <c r="D11" s="50">
        <f>+SUM($C$9:C11)</f>
        <v>0.24199999999999999</v>
      </c>
      <c r="E11" s="50">
        <f>+Summary!H38</f>
        <v>10</v>
      </c>
      <c r="F11" s="50">
        <f t="shared" si="0"/>
        <v>0.02</v>
      </c>
    </row>
    <row r="12" spans="1:7">
      <c r="B12" s="81">
        <v>4</v>
      </c>
      <c r="C12" s="88">
        <v>2E-3</v>
      </c>
      <c r="D12" s="50">
        <f>+SUM($C$9:C12)</f>
        <v>0.24399999999999999</v>
      </c>
      <c r="E12" s="50">
        <f>+Summary!H39</f>
        <v>20</v>
      </c>
      <c r="F12" s="50">
        <f t="shared" si="0"/>
        <v>0.04</v>
      </c>
    </row>
    <row r="13" spans="1:7">
      <c r="B13" s="81">
        <v>5</v>
      </c>
      <c r="C13" s="88">
        <v>1E-3</v>
      </c>
      <c r="D13" s="50">
        <f>+SUM($C$9:C13)</f>
        <v>0.245</v>
      </c>
      <c r="E13" s="50">
        <f>+Summary!H40</f>
        <v>50</v>
      </c>
      <c r="F13" s="50">
        <f t="shared" si="0"/>
        <v>0.05</v>
      </c>
    </row>
    <row r="14" spans="1:7">
      <c r="B14" s="81">
        <v>6</v>
      </c>
      <c r="C14" s="88">
        <v>2.0000000000000001E-4</v>
      </c>
      <c r="D14" s="50">
        <f>+SUM($C$9:C14)</f>
        <v>0.2452</v>
      </c>
      <c r="E14" s="50">
        <f>+Summary!H41</f>
        <v>100</v>
      </c>
      <c r="F14" s="50">
        <f t="shared" si="0"/>
        <v>0.02</v>
      </c>
    </row>
    <row r="15" spans="1:7">
      <c r="B15" s="81">
        <v>7</v>
      </c>
      <c r="C15" s="88">
        <v>1E-3</v>
      </c>
      <c r="D15" s="50">
        <f>+SUM($C$9:C15)</f>
        <v>0.2462</v>
      </c>
      <c r="E15" s="50">
        <f>+Summary!H42</f>
        <v>500</v>
      </c>
      <c r="F15" s="50">
        <f t="shared" si="0"/>
        <v>0.5</v>
      </c>
      <c r="G15" s="49" t="s">
        <v>79</v>
      </c>
    </row>
    <row r="16" spans="1:7">
      <c r="B16" s="56" t="s">
        <v>11</v>
      </c>
      <c r="C16" s="56">
        <f>+SUM(C9:C15)</f>
        <v>0.2462</v>
      </c>
      <c r="D16" s="56"/>
      <c r="E16" s="56"/>
      <c r="F16" s="47">
        <f>+SUM(F9:F15)</f>
        <v>1.2000000000000002</v>
      </c>
    </row>
    <row r="17" spans="1:7">
      <c r="B17" s="57" t="s">
        <v>78</v>
      </c>
    </row>
    <row r="20" spans="1:7">
      <c r="A20" s="52" t="s">
        <v>12</v>
      </c>
      <c r="B20" s="54" t="s">
        <v>73</v>
      </c>
      <c r="C20" s="54" t="s">
        <v>10</v>
      </c>
      <c r="D20" s="54" t="s">
        <v>18</v>
      </c>
      <c r="E20" s="54" t="s">
        <v>8</v>
      </c>
      <c r="F20" s="54" t="s">
        <v>128</v>
      </c>
    </row>
    <row r="21" spans="1:7">
      <c r="B21" s="81">
        <v>1</v>
      </c>
      <c r="C21" s="88">
        <v>0.22500000000000001</v>
      </c>
      <c r="D21" s="89">
        <f>+SUM($C$21:C21)</f>
        <v>0.22500000000000001</v>
      </c>
      <c r="E21" s="50">
        <f>+Summary!H36</f>
        <v>2</v>
      </c>
      <c r="F21" s="50">
        <f>+C21*E21</f>
        <v>0.45</v>
      </c>
    </row>
    <row r="22" spans="1:7">
      <c r="B22" s="81">
        <v>2</v>
      </c>
      <c r="C22" s="88">
        <v>0.02</v>
      </c>
      <c r="D22" s="89">
        <f>+SUM($C$21:C22)</f>
        <v>0.245</v>
      </c>
      <c r="E22" s="50">
        <f>+Summary!H37</f>
        <v>5</v>
      </c>
      <c r="F22" s="50">
        <f t="shared" ref="F22:F27" si="1">+C22*E22</f>
        <v>0.1</v>
      </c>
    </row>
    <row r="23" spans="1:7">
      <c r="B23" s="81">
        <v>3</v>
      </c>
      <c r="C23" s="88">
        <v>2E-3</v>
      </c>
      <c r="D23" s="89">
        <f>+SUM($C$21:C23)</f>
        <v>0.247</v>
      </c>
      <c r="E23" s="50">
        <f>+Summary!H38</f>
        <v>10</v>
      </c>
      <c r="F23" s="50">
        <f t="shared" si="1"/>
        <v>0.02</v>
      </c>
    </row>
    <row r="24" spans="1:7">
      <c r="B24" s="81">
        <v>4</v>
      </c>
      <c r="C24" s="88">
        <v>1.5E-3</v>
      </c>
      <c r="D24" s="89">
        <f>+SUM($C$21:C24)</f>
        <v>0.2485</v>
      </c>
      <c r="E24" s="50">
        <f>+Summary!H39</f>
        <v>20</v>
      </c>
      <c r="F24" s="50">
        <f t="shared" si="1"/>
        <v>0.03</v>
      </c>
    </row>
    <row r="25" spans="1:7">
      <c r="B25" s="81">
        <v>5</v>
      </c>
      <c r="C25" s="88">
        <v>0</v>
      </c>
      <c r="D25" s="89">
        <f>+SUM($C$21:C25)</f>
        <v>0.2485</v>
      </c>
      <c r="E25" s="50">
        <f>+Summary!H40</f>
        <v>50</v>
      </c>
      <c r="F25" s="50">
        <f t="shared" si="1"/>
        <v>0</v>
      </c>
    </row>
    <row r="26" spans="1:7">
      <c r="B26" s="81">
        <v>6</v>
      </c>
      <c r="C26" s="88">
        <v>0</v>
      </c>
      <c r="D26" s="89">
        <f>+SUM($C$21:C26)</f>
        <v>0.2485</v>
      </c>
      <c r="E26" s="50">
        <f>+Summary!H41</f>
        <v>100</v>
      </c>
      <c r="F26" s="50">
        <f t="shared" si="1"/>
        <v>0</v>
      </c>
    </row>
    <row r="27" spans="1:7">
      <c r="B27" s="81">
        <v>7</v>
      </c>
      <c r="C27" s="88">
        <v>1.1999999999999999E-3</v>
      </c>
      <c r="D27" s="89">
        <f>+SUM($C$21:C27)</f>
        <v>0.24970000000000001</v>
      </c>
      <c r="E27" s="50">
        <f>+Summary!H42</f>
        <v>500</v>
      </c>
      <c r="F27" s="50">
        <f t="shared" si="1"/>
        <v>0.6</v>
      </c>
      <c r="G27" s="49" t="s">
        <v>79</v>
      </c>
    </row>
    <row r="28" spans="1:7">
      <c r="B28" s="56" t="s">
        <v>11</v>
      </c>
      <c r="C28" s="56">
        <f>+SUM(C21:C27)</f>
        <v>0.24970000000000001</v>
      </c>
      <c r="D28" s="56"/>
      <c r="E28" s="56"/>
      <c r="F28" s="47">
        <f>+SUM(F21:F27)</f>
        <v>1.2000000000000002</v>
      </c>
    </row>
    <row r="29" spans="1:7">
      <c r="B29" s="57" t="s">
        <v>78</v>
      </c>
    </row>
    <row r="32" spans="1:7">
      <c r="A32" s="52" t="s">
        <v>13</v>
      </c>
      <c r="B32" s="54" t="s">
        <v>73</v>
      </c>
      <c r="C32" s="54" t="s">
        <v>10</v>
      </c>
      <c r="D32" s="54" t="s">
        <v>18</v>
      </c>
      <c r="E32" s="54" t="s">
        <v>8</v>
      </c>
      <c r="F32" s="54" t="s">
        <v>128</v>
      </c>
    </row>
    <row r="33" spans="1:7">
      <c r="B33" s="81">
        <v>1</v>
      </c>
      <c r="C33" s="88">
        <v>0.23</v>
      </c>
      <c r="D33" s="89">
        <f>+SUM($C$33:C33)</f>
        <v>0.23</v>
      </c>
      <c r="E33" s="50">
        <f>+Summary!H36</f>
        <v>2</v>
      </c>
      <c r="F33" s="50">
        <f>+C33*E33</f>
        <v>0.46</v>
      </c>
    </row>
    <row r="34" spans="1:7">
      <c r="B34" s="81">
        <v>2</v>
      </c>
      <c r="C34" s="88">
        <v>0.01</v>
      </c>
      <c r="D34" s="89">
        <f>+SUM($C$33:C34)</f>
        <v>0.24000000000000002</v>
      </c>
      <c r="E34" s="50">
        <f>+Summary!H37</f>
        <v>5</v>
      </c>
      <c r="F34" s="50">
        <f t="shared" ref="F34:F39" si="2">+C34*E34</f>
        <v>0.05</v>
      </c>
    </row>
    <row r="35" spans="1:7">
      <c r="B35" s="81">
        <v>3</v>
      </c>
      <c r="C35" s="88">
        <v>2E-3</v>
      </c>
      <c r="D35" s="89">
        <f>+SUM($C$33:C35)</f>
        <v>0.24200000000000002</v>
      </c>
      <c r="E35" s="50">
        <f>+Summary!H38</f>
        <v>10</v>
      </c>
      <c r="F35" s="50">
        <f t="shared" si="2"/>
        <v>0.02</v>
      </c>
    </row>
    <row r="36" spans="1:7">
      <c r="B36" s="81">
        <v>4</v>
      </c>
      <c r="C36" s="88">
        <v>1E-3</v>
      </c>
      <c r="D36" s="89">
        <f>+SUM($C$33:C36)</f>
        <v>0.24300000000000002</v>
      </c>
      <c r="E36" s="50">
        <f>+Summary!H39</f>
        <v>20</v>
      </c>
      <c r="F36" s="50">
        <f t="shared" si="2"/>
        <v>0.02</v>
      </c>
    </row>
    <row r="37" spans="1:7">
      <c r="B37" s="81">
        <v>5</v>
      </c>
      <c r="C37" s="88">
        <v>0</v>
      </c>
      <c r="D37" s="89">
        <f>+SUM($C$33:C37)</f>
        <v>0.24300000000000002</v>
      </c>
      <c r="E37" s="50">
        <f>+Summary!H40</f>
        <v>50</v>
      </c>
      <c r="F37" s="50">
        <f t="shared" si="2"/>
        <v>0</v>
      </c>
    </row>
    <row r="38" spans="1:7">
      <c r="B38" s="81">
        <v>6</v>
      </c>
      <c r="C38" s="88">
        <v>0</v>
      </c>
      <c r="D38" s="89">
        <f>+SUM($C$33:C38)</f>
        <v>0.24300000000000002</v>
      </c>
      <c r="E38" s="50">
        <f>+Summary!H41</f>
        <v>100</v>
      </c>
      <c r="F38" s="50">
        <f t="shared" si="2"/>
        <v>0</v>
      </c>
    </row>
    <row r="39" spans="1:7">
      <c r="B39" s="81">
        <v>7</v>
      </c>
      <c r="C39" s="88">
        <v>1.2999999999999999E-3</v>
      </c>
      <c r="D39" s="89">
        <f>+SUM($C$33:C39)</f>
        <v>0.24430000000000002</v>
      </c>
      <c r="E39" s="50">
        <f>+Summary!H42</f>
        <v>500</v>
      </c>
      <c r="F39" s="50">
        <f t="shared" si="2"/>
        <v>0.65</v>
      </c>
      <c r="G39" s="49" t="s">
        <v>79</v>
      </c>
    </row>
    <row r="40" spans="1:7">
      <c r="B40" s="56" t="s">
        <v>11</v>
      </c>
      <c r="C40" s="47">
        <f>+SUM(C33:C39)</f>
        <v>0.24430000000000002</v>
      </c>
      <c r="D40" s="56"/>
      <c r="E40" s="56"/>
      <c r="F40" s="47">
        <f>+SUM(F33:F39)</f>
        <v>1.2000000000000002</v>
      </c>
    </row>
    <row r="41" spans="1:7">
      <c r="B41" s="57" t="s">
        <v>78</v>
      </c>
    </row>
    <row r="44" spans="1:7">
      <c r="A44" s="52" t="s">
        <v>14</v>
      </c>
      <c r="B44" s="54" t="s">
        <v>73</v>
      </c>
      <c r="C44" s="54" t="s">
        <v>10</v>
      </c>
      <c r="D44" s="54" t="s">
        <v>18</v>
      </c>
      <c r="E44" s="54" t="s">
        <v>8</v>
      </c>
      <c r="F44" s="54" t="s">
        <v>128</v>
      </c>
    </row>
    <row r="45" spans="1:7">
      <c r="B45" s="81">
        <v>1</v>
      </c>
      <c r="C45" s="88">
        <v>0.1</v>
      </c>
      <c r="D45" s="89">
        <f>+SUM($C$45:C45)</f>
        <v>0.1</v>
      </c>
      <c r="E45" s="50">
        <f>+Summary!H36</f>
        <v>2</v>
      </c>
      <c r="F45" s="50">
        <f>+C45*E45</f>
        <v>0.2</v>
      </c>
    </row>
    <row r="46" spans="1:7">
      <c r="B46" s="81">
        <v>2</v>
      </c>
      <c r="C46" s="88">
        <v>0.01</v>
      </c>
      <c r="D46" s="89">
        <f>+SUM($C$45:C46)</f>
        <v>0.11</v>
      </c>
      <c r="E46" s="50">
        <f>+Summary!H37</f>
        <v>5</v>
      </c>
      <c r="F46" s="50">
        <f t="shared" ref="F46:F51" si="3">+C46*E46</f>
        <v>0.05</v>
      </c>
    </row>
    <row r="47" spans="1:7">
      <c r="B47" s="81">
        <v>3</v>
      </c>
      <c r="C47" s="88">
        <v>1E-3</v>
      </c>
      <c r="D47" s="89">
        <f>+SUM($C$45:C47)</f>
        <v>0.111</v>
      </c>
      <c r="E47" s="50">
        <f>+Summary!H38</f>
        <v>10</v>
      </c>
      <c r="F47" s="50">
        <f t="shared" si="3"/>
        <v>0.01</v>
      </c>
    </row>
    <row r="48" spans="1:7">
      <c r="B48" s="81">
        <v>4</v>
      </c>
      <c r="C48" s="88">
        <v>1E-3</v>
      </c>
      <c r="D48" s="89">
        <f>+SUM($C$45:C48)</f>
        <v>0.112</v>
      </c>
      <c r="E48" s="50">
        <f>+Summary!H39</f>
        <v>20</v>
      </c>
      <c r="F48" s="50">
        <f t="shared" si="3"/>
        <v>0.02</v>
      </c>
    </row>
    <row r="49" spans="2:7">
      <c r="B49" s="81">
        <v>5</v>
      </c>
      <c r="C49" s="88">
        <v>2.0000000000000001E-4</v>
      </c>
      <c r="D49" s="89">
        <f>+SUM($C$45:C49)</f>
        <v>0.11220000000000001</v>
      </c>
      <c r="E49" s="50">
        <f>+Summary!H40</f>
        <v>50</v>
      </c>
      <c r="F49" s="50">
        <f t="shared" si="3"/>
        <v>0.01</v>
      </c>
    </row>
    <row r="50" spans="2:7">
      <c r="B50" s="81">
        <v>6</v>
      </c>
      <c r="C50" s="88">
        <v>1E-4</v>
      </c>
      <c r="D50" s="89">
        <f>+SUM($C$45:C50)</f>
        <v>0.11230000000000001</v>
      </c>
      <c r="E50" s="50">
        <f>+Summary!H41</f>
        <v>100</v>
      </c>
      <c r="F50" s="50">
        <f t="shared" si="3"/>
        <v>0.01</v>
      </c>
    </row>
    <row r="51" spans="2:7">
      <c r="B51" s="81">
        <v>7</v>
      </c>
      <c r="C51" s="88">
        <v>1.8E-3</v>
      </c>
      <c r="D51" s="89">
        <f>+SUM($C$45:C51)</f>
        <v>0.11410000000000001</v>
      </c>
      <c r="E51" s="50">
        <f>+Summary!H42</f>
        <v>500</v>
      </c>
      <c r="F51" s="50">
        <f t="shared" si="3"/>
        <v>0.9</v>
      </c>
      <c r="G51" s="49" t="s">
        <v>79</v>
      </c>
    </row>
    <row r="52" spans="2:7">
      <c r="B52" s="56" t="s">
        <v>11</v>
      </c>
      <c r="C52" s="56">
        <f>+SUM(C45:C51)</f>
        <v>0.11410000000000001</v>
      </c>
      <c r="D52" s="56"/>
      <c r="E52" s="56"/>
      <c r="F52" s="47">
        <f>+SUM(F45:F51)</f>
        <v>1.2000000000000002</v>
      </c>
    </row>
    <row r="53" spans="2:7">
      <c r="B53" s="57" t="s">
        <v>78</v>
      </c>
    </row>
  </sheetData>
  <mergeCells count="1">
    <mergeCell ref="A1:E1"/>
  </mergeCells>
  <pageMargins left="0.7" right="0.7" top="0.75" bottom="0.75" header="0.3" footer="0.3"/>
  <pageSetup paperSize="9" orientation="portrait" horizontalDpi="200" verticalDpi="200" r:id="rId1"/>
</worksheet>
</file>

<file path=xl/worksheets/sheet13.xml><?xml version="1.0" encoding="utf-8"?>
<worksheet xmlns="http://schemas.openxmlformats.org/spreadsheetml/2006/main" xmlns:r="http://schemas.openxmlformats.org/officeDocument/2006/relationships">
  <dimension ref="A1:G53"/>
  <sheetViews>
    <sheetView workbookViewId="0">
      <selection activeCell="E45" sqref="E45"/>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3" t="s">
        <v>121</v>
      </c>
      <c r="B1" s="123"/>
      <c r="C1" s="123"/>
      <c r="D1" s="123"/>
      <c r="E1" s="123"/>
    </row>
    <row r="2" spans="1:7">
      <c r="A2" s="59" t="s">
        <v>123</v>
      </c>
    </row>
    <row r="3" spans="1:7">
      <c r="A3" s="59" t="s">
        <v>124</v>
      </c>
    </row>
    <row r="4" spans="1:7">
      <c r="A4" s="59" t="s">
        <v>126</v>
      </c>
    </row>
    <row r="8" spans="1:7">
      <c r="A8" s="52" t="s">
        <v>9</v>
      </c>
      <c r="B8" s="54" t="s">
        <v>73</v>
      </c>
      <c r="C8" s="54" t="s">
        <v>10</v>
      </c>
      <c r="D8" s="54" t="s">
        <v>18</v>
      </c>
      <c r="E8" s="54" t="s">
        <v>8</v>
      </c>
      <c r="F8" s="54" t="s">
        <v>128</v>
      </c>
    </row>
    <row r="9" spans="1:7">
      <c r="B9" s="81">
        <v>1</v>
      </c>
      <c r="C9" s="88">
        <v>0.15</v>
      </c>
      <c r="D9" s="50">
        <f>+SUM($C$9:C9)</f>
        <v>0.15</v>
      </c>
      <c r="E9" s="50">
        <f>+Summary!H36</f>
        <v>2</v>
      </c>
      <c r="F9" s="50">
        <f>+C9*E9</f>
        <v>0.3</v>
      </c>
    </row>
    <row r="10" spans="1:7">
      <c r="B10" s="81">
        <v>2</v>
      </c>
      <c r="C10" s="88">
        <v>0.01</v>
      </c>
      <c r="D10" s="50">
        <f>+SUM($C$9:C10)</f>
        <v>0.16</v>
      </c>
      <c r="E10" s="50">
        <f>+Summary!H37</f>
        <v>5</v>
      </c>
      <c r="F10" s="50">
        <f t="shared" ref="F10:F15" si="0">+C10*E10</f>
        <v>0.05</v>
      </c>
    </row>
    <row r="11" spans="1:7">
      <c r="B11" s="81">
        <v>3</v>
      </c>
      <c r="C11" s="88">
        <v>1E-3</v>
      </c>
      <c r="D11" s="50">
        <f>+SUM($C$9:C11)</f>
        <v>0.161</v>
      </c>
      <c r="E11" s="50">
        <f>+Summary!H38</f>
        <v>10</v>
      </c>
      <c r="F11" s="50">
        <f t="shared" si="0"/>
        <v>0.01</v>
      </c>
    </row>
    <row r="12" spans="1:7">
      <c r="B12" s="81">
        <v>4</v>
      </c>
      <c r="C12" s="88">
        <v>2E-3</v>
      </c>
      <c r="D12" s="50">
        <f>+SUM($C$9:C12)</f>
        <v>0.16300000000000001</v>
      </c>
      <c r="E12" s="50">
        <f>+Summary!H39</f>
        <v>20</v>
      </c>
      <c r="F12" s="50">
        <f t="shared" si="0"/>
        <v>0.04</v>
      </c>
    </row>
    <row r="13" spans="1:7">
      <c r="B13" s="81">
        <v>5</v>
      </c>
      <c r="C13" s="88">
        <v>1E-3</v>
      </c>
      <c r="D13" s="50">
        <f>+SUM($C$9:C13)</f>
        <v>0.16400000000000001</v>
      </c>
      <c r="E13" s="50">
        <f>+Summary!H40</f>
        <v>50</v>
      </c>
      <c r="F13" s="50">
        <f t="shared" si="0"/>
        <v>0.05</v>
      </c>
    </row>
    <row r="14" spans="1:7">
      <c r="B14" s="81">
        <v>6</v>
      </c>
      <c r="C14" s="88">
        <v>1E-3</v>
      </c>
      <c r="D14" s="50">
        <f>+SUM($C$9:C14)</f>
        <v>0.16500000000000001</v>
      </c>
      <c r="E14" s="50">
        <f>+Summary!H41</f>
        <v>100</v>
      </c>
      <c r="F14" s="50">
        <f t="shared" si="0"/>
        <v>0.1</v>
      </c>
    </row>
    <row r="15" spans="1:7">
      <c r="B15" s="81">
        <v>7</v>
      </c>
      <c r="C15" s="88">
        <v>1E-3</v>
      </c>
      <c r="D15" s="50">
        <f>+SUM($C$9:C15)</f>
        <v>0.16600000000000001</v>
      </c>
      <c r="E15" s="50">
        <f>+Summary!H42</f>
        <v>500</v>
      </c>
      <c r="F15" s="50">
        <f t="shared" si="0"/>
        <v>0.5</v>
      </c>
      <c r="G15" s="49" t="s">
        <v>79</v>
      </c>
    </row>
    <row r="16" spans="1:7">
      <c r="B16" s="56" t="s">
        <v>11</v>
      </c>
      <c r="C16" s="56">
        <f>+SUM(C9:C15)</f>
        <v>0.16600000000000001</v>
      </c>
      <c r="D16" s="56"/>
      <c r="E16" s="56"/>
      <c r="F16" s="47">
        <f>+SUM(F9:F15)</f>
        <v>1.0499999999999998</v>
      </c>
    </row>
    <row r="17" spans="1:7">
      <c r="B17" s="57" t="s">
        <v>78</v>
      </c>
    </row>
    <row r="20" spans="1:7">
      <c r="A20" s="52" t="s">
        <v>12</v>
      </c>
      <c r="B20" s="54" t="s">
        <v>73</v>
      </c>
      <c r="C20" s="54" t="s">
        <v>10</v>
      </c>
      <c r="D20" s="54" t="s">
        <v>18</v>
      </c>
      <c r="E20" s="54" t="s">
        <v>8</v>
      </c>
      <c r="F20" s="54" t="s">
        <v>128</v>
      </c>
    </row>
    <row r="21" spans="1:7">
      <c r="B21" s="81">
        <v>1</v>
      </c>
      <c r="C21" s="88">
        <v>0.185</v>
      </c>
      <c r="D21" s="89">
        <f>+SUM($C$21:C21)</f>
        <v>0.185</v>
      </c>
      <c r="E21" s="50">
        <f>+Summary!H36</f>
        <v>2</v>
      </c>
      <c r="F21" s="50">
        <f>+C21*E21</f>
        <v>0.37</v>
      </c>
    </row>
    <row r="22" spans="1:7">
      <c r="B22" s="81">
        <v>2</v>
      </c>
      <c r="C22" s="88">
        <v>0.01</v>
      </c>
      <c r="D22" s="89">
        <f>+SUM($C$21:C22)</f>
        <v>0.19500000000000001</v>
      </c>
      <c r="E22" s="50">
        <f>+Summary!H37</f>
        <v>5</v>
      </c>
      <c r="F22" s="50">
        <f t="shared" ref="F22:F27" si="1">+C22*E22</f>
        <v>0.05</v>
      </c>
    </row>
    <row r="23" spans="1:7">
      <c r="B23" s="81">
        <v>3</v>
      </c>
      <c r="C23" s="88">
        <v>1E-3</v>
      </c>
      <c r="D23" s="89">
        <f>+SUM($C$21:C23)</f>
        <v>0.19600000000000001</v>
      </c>
      <c r="E23" s="50">
        <f>+Summary!H38</f>
        <v>10</v>
      </c>
      <c r="F23" s="50">
        <f t="shared" si="1"/>
        <v>0.01</v>
      </c>
    </row>
    <row r="24" spans="1:7">
      <c r="B24" s="81">
        <v>4</v>
      </c>
      <c r="C24" s="88">
        <v>1E-3</v>
      </c>
      <c r="D24" s="89">
        <f>+SUM($C$21:C24)</f>
        <v>0.19700000000000001</v>
      </c>
      <c r="E24" s="50">
        <f>+Summary!H39</f>
        <v>20</v>
      </c>
      <c r="F24" s="50">
        <f t="shared" si="1"/>
        <v>0.02</v>
      </c>
    </row>
    <row r="25" spans="1:7">
      <c r="B25" s="81">
        <v>5</v>
      </c>
      <c r="C25" s="88">
        <v>1E-3</v>
      </c>
      <c r="D25" s="89">
        <f>+SUM($C$21:C25)</f>
        <v>0.19800000000000001</v>
      </c>
      <c r="E25" s="50">
        <f>+Summary!H40</f>
        <v>50</v>
      </c>
      <c r="F25" s="50">
        <f t="shared" si="1"/>
        <v>0.05</v>
      </c>
    </row>
    <row r="26" spans="1:7">
      <c r="B26" s="81">
        <v>6</v>
      </c>
      <c r="C26" s="88">
        <v>0</v>
      </c>
      <c r="D26" s="89">
        <f>+SUM($C$21:C26)</f>
        <v>0.19800000000000001</v>
      </c>
      <c r="E26" s="50">
        <f>+Summary!H41</f>
        <v>100</v>
      </c>
      <c r="F26" s="50">
        <f t="shared" si="1"/>
        <v>0</v>
      </c>
    </row>
    <row r="27" spans="1:7">
      <c r="B27" s="81">
        <v>7</v>
      </c>
      <c r="C27" s="88">
        <v>1.1000000000000001E-3</v>
      </c>
      <c r="D27" s="89">
        <f>+SUM($C$21:C27)</f>
        <v>0.1991</v>
      </c>
      <c r="E27" s="50">
        <f>+Summary!H42</f>
        <v>500</v>
      </c>
      <c r="F27" s="50">
        <f t="shared" si="1"/>
        <v>0.55000000000000004</v>
      </c>
      <c r="G27" s="49" t="s">
        <v>79</v>
      </c>
    </row>
    <row r="28" spans="1:7">
      <c r="B28" s="56" t="s">
        <v>11</v>
      </c>
      <c r="C28" s="56">
        <f>+SUM(C21:C27)</f>
        <v>0.1991</v>
      </c>
      <c r="D28" s="56"/>
      <c r="E28" s="56"/>
      <c r="F28" s="47">
        <f>+SUM(F21:F27)</f>
        <v>1.05</v>
      </c>
    </row>
    <row r="29" spans="1:7">
      <c r="B29" s="57" t="s">
        <v>78</v>
      </c>
    </row>
    <row r="32" spans="1:7">
      <c r="A32" s="52" t="s">
        <v>13</v>
      </c>
      <c r="B32" s="54" t="s">
        <v>73</v>
      </c>
      <c r="C32" s="54" t="s">
        <v>10</v>
      </c>
      <c r="D32" s="54" t="s">
        <v>18</v>
      </c>
      <c r="E32" s="54" t="s">
        <v>8</v>
      </c>
      <c r="F32" s="54" t="s">
        <v>128</v>
      </c>
    </row>
    <row r="33" spans="1:7">
      <c r="B33" s="81">
        <v>1</v>
      </c>
      <c r="C33" s="88">
        <v>0.2</v>
      </c>
      <c r="D33" s="89">
        <f>+SUM($C$33:C33)</f>
        <v>0.2</v>
      </c>
      <c r="E33" s="50">
        <f>+Summary!H36</f>
        <v>2</v>
      </c>
      <c r="F33" s="50">
        <f>+C33*E33</f>
        <v>0.4</v>
      </c>
    </row>
    <row r="34" spans="1:7">
      <c r="B34" s="81">
        <v>2</v>
      </c>
      <c r="C34" s="88">
        <v>6.0000000000000001E-3</v>
      </c>
      <c r="D34" s="89">
        <f>+SUM($C$33:C34)</f>
        <v>0.20600000000000002</v>
      </c>
      <c r="E34" s="50">
        <f>+Summary!H37</f>
        <v>5</v>
      </c>
      <c r="F34" s="50">
        <f t="shared" ref="F34:F39" si="2">+C34*E34</f>
        <v>0.03</v>
      </c>
    </row>
    <row r="35" spans="1:7">
      <c r="B35" s="81">
        <v>3</v>
      </c>
      <c r="C35" s="88">
        <v>1E-3</v>
      </c>
      <c r="D35" s="89">
        <f>+SUM($C$33:C35)</f>
        <v>0.20700000000000002</v>
      </c>
      <c r="E35" s="50">
        <f>+Summary!H38</f>
        <v>10</v>
      </c>
      <c r="F35" s="50">
        <f t="shared" si="2"/>
        <v>0.01</v>
      </c>
    </row>
    <row r="36" spans="1:7">
      <c r="B36" s="81">
        <v>4</v>
      </c>
      <c r="C36" s="88">
        <v>5.0000000000000001E-4</v>
      </c>
      <c r="D36" s="89">
        <f>+SUM($C$33:C36)</f>
        <v>0.20750000000000002</v>
      </c>
      <c r="E36" s="50">
        <f>+Summary!H39</f>
        <v>20</v>
      </c>
      <c r="F36" s="50">
        <f t="shared" si="2"/>
        <v>0.01</v>
      </c>
    </row>
    <row r="37" spans="1:7">
      <c r="B37" s="81">
        <v>5</v>
      </c>
      <c r="C37" s="88">
        <v>0</v>
      </c>
      <c r="D37" s="89">
        <f>+SUM($C$33:C37)</f>
        <v>0.20750000000000002</v>
      </c>
      <c r="E37" s="50">
        <f>+Summary!H40</f>
        <v>50</v>
      </c>
      <c r="F37" s="50">
        <f t="shared" si="2"/>
        <v>0</v>
      </c>
    </row>
    <row r="38" spans="1:7">
      <c r="B38" s="81">
        <v>6</v>
      </c>
      <c r="C38" s="88">
        <v>0</v>
      </c>
      <c r="D38" s="89">
        <f>+SUM($C$33:C38)</f>
        <v>0.20750000000000002</v>
      </c>
      <c r="E38" s="50">
        <f>+Summary!H41</f>
        <v>100</v>
      </c>
      <c r="F38" s="50">
        <f t="shared" si="2"/>
        <v>0</v>
      </c>
    </row>
    <row r="39" spans="1:7">
      <c r="B39" s="81">
        <v>7</v>
      </c>
      <c r="C39" s="88">
        <v>1.1999999999999999E-3</v>
      </c>
      <c r="D39" s="89">
        <f>+SUM($C$33:C39)</f>
        <v>0.20870000000000002</v>
      </c>
      <c r="E39" s="50">
        <f>+Summary!H42</f>
        <v>500</v>
      </c>
      <c r="F39" s="50">
        <f t="shared" si="2"/>
        <v>0.6</v>
      </c>
      <c r="G39" s="49" t="s">
        <v>79</v>
      </c>
    </row>
    <row r="40" spans="1:7">
      <c r="B40" s="56" t="s">
        <v>11</v>
      </c>
      <c r="C40" s="47">
        <f>+SUM(C33:C39)</f>
        <v>0.20870000000000002</v>
      </c>
      <c r="D40" s="56"/>
      <c r="E40" s="56"/>
      <c r="F40" s="47">
        <f>+SUM(F33:F39)</f>
        <v>1.05</v>
      </c>
    </row>
    <row r="41" spans="1:7">
      <c r="B41" s="57" t="s">
        <v>78</v>
      </c>
    </row>
    <row r="44" spans="1:7">
      <c r="A44" s="52" t="s">
        <v>14</v>
      </c>
      <c r="B44" s="54" t="s">
        <v>73</v>
      </c>
      <c r="C44" s="54" t="s">
        <v>10</v>
      </c>
      <c r="D44" s="54" t="s">
        <v>18</v>
      </c>
      <c r="E44" s="54" t="s">
        <v>8</v>
      </c>
      <c r="F44" s="54" t="s">
        <v>128</v>
      </c>
    </row>
    <row r="45" spans="1:7">
      <c r="B45" s="81">
        <v>1</v>
      </c>
      <c r="C45" s="88">
        <v>0.14499999999999999</v>
      </c>
      <c r="D45" s="89">
        <f>+SUM($C$45:C45)</f>
        <v>0.14499999999999999</v>
      </c>
      <c r="E45" s="50">
        <f>+Summary!H36</f>
        <v>2</v>
      </c>
      <c r="F45" s="50">
        <f>+C45*E45</f>
        <v>0.28999999999999998</v>
      </c>
    </row>
    <row r="46" spans="1:7">
      <c r="B46" s="81">
        <v>2</v>
      </c>
      <c r="C46" s="88">
        <v>4.0000000000000001E-3</v>
      </c>
      <c r="D46" s="89">
        <f>+SUM($C$45:C46)</f>
        <v>0.14899999999999999</v>
      </c>
      <c r="E46" s="50">
        <f>+Summary!H37</f>
        <v>5</v>
      </c>
      <c r="F46" s="50">
        <f t="shared" ref="F46:F51" si="3">+C46*E46</f>
        <v>0.02</v>
      </c>
    </row>
    <row r="47" spans="1:7">
      <c r="B47" s="81">
        <v>3</v>
      </c>
      <c r="C47" s="88">
        <v>1E-3</v>
      </c>
      <c r="D47" s="89">
        <f>+SUM($C$45:C47)</f>
        <v>0.15</v>
      </c>
      <c r="E47" s="50">
        <f>+Summary!H38</f>
        <v>10</v>
      </c>
      <c r="F47" s="50">
        <f t="shared" si="3"/>
        <v>0.01</v>
      </c>
    </row>
    <row r="48" spans="1:7">
      <c r="B48" s="81">
        <v>4</v>
      </c>
      <c r="C48" s="88">
        <v>5.0000000000000001E-4</v>
      </c>
      <c r="D48" s="89">
        <f>+SUM($C$45:C48)</f>
        <v>0.15049999999999999</v>
      </c>
      <c r="E48" s="50">
        <f>+Summary!H39</f>
        <v>20</v>
      </c>
      <c r="F48" s="50">
        <f t="shared" si="3"/>
        <v>0.01</v>
      </c>
    </row>
    <row r="49" spans="2:7">
      <c r="B49" s="81">
        <v>5</v>
      </c>
      <c r="C49" s="88">
        <v>2.0000000000000001E-4</v>
      </c>
      <c r="D49" s="89">
        <f>+SUM($C$45:C49)</f>
        <v>0.1507</v>
      </c>
      <c r="E49" s="50">
        <f>+Summary!H40</f>
        <v>50</v>
      </c>
      <c r="F49" s="50">
        <f t="shared" si="3"/>
        <v>0.01</v>
      </c>
    </row>
    <row r="50" spans="2:7">
      <c r="B50" s="81">
        <v>6</v>
      </c>
      <c r="C50" s="88">
        <v>1E-4</v>
      </c>
      <c r="D50" s="89">
        <f>+SUM($C$45:C50)</f>
        <v>0.15079999999999999</v>
      </c>
      <c r="E50" s="50">
        <f>+Summary!H41</f>
        <v>100</v>
      </c>
      <c r="F50" s="50">
        <f t="shared" si="3"/>
        <v>0.01</v>
      </c>
    </row>
    <row r="51" spans="2:7">
      <c r="B51" s="81">
        <v>7</v>
      </c>
      <c r="C51" s="88">
        <v>1.4E-3</v>
      </c>
      <c r="D51" s="89">
        <f>+SUM($C$45:C51)</f>
        <v>0.1522</v>
      </c>
      <c r="E51" s="50">
        <f>+Summary!H42</f>
        <v>500</v>
      </c>
      <c r="F51" s="50">
        <f t="shared" si="3"/>
        <v>0.7</v>
      </c>
      <c r="G51" s="49" t="s">
        <v>79</v>
      </c>
    </row>
    <row r="52" spans="2:7">
      <c r="B52" s="56" t="s">
        <v>11</v>
      </c>
      <c r="C52" s="56">
        <f>+SUM(C45:C51)</f>
        <v>0.1522</v>
      </c>
      <c r="D52" s="56"/>
      <c r="E52" s="56"/>
      <c r="F52" s="47">
        <f>+SUM(F45:F51)</f>
        <v>1.05</v>
      </c>
    </row>
    <row r="53" spans="2:7">
      <c r="B53" s="57" t="s">
        <v>78</v>
      </c>
    </row>
  </sheetData>
  <mergeCells count="1">
    <mergeCell ref="A1:E1"/>
  </mergeCells>
  <pageMargins left="0.7" right="0.7" top="0.75" bottom="0.75" header="0.3" footer="0.3"/>
  <pageSetup paperSize="9" orientation="portrait" horizontalDpi="200" verticalDpi="200" r:id="rId1"/>
</worksheet>
</file>

<file path=xl/worksheets/sheet14.xml><?xml version="1.0" encoding="utf-8"?>
<worksheet xmlns="http://schemas.openxmlformats.org/spreadsheetml/2006/main" xmlns:r="http://schemas.openxmlformats.org/officeDocument/2006/relationships">
  <dimension ref="A1:G53"/>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3" t="s">
        <v>120</v>
      </c>
      <c r="B1" s="123"/>
      <c r="C1" s="123"/>
      <c r="D1" s="123"/>
      <c r="E1" s="123"/>
    </row>
    <row r="2" spans="1:7">
      <c r="A2" s="59" t="s">
        <v>123</v>
      </c>
    </row>
    <row r="3" spans="1:7">
      <c r="A3" s="59" t="s">
        <v>124</v>
      </c>
    </row>
    <row r="4" spans="1:7">
      <c r="A4" s="59" t="s">
        <v>126</v>
      </c>
    </row>
    <row r="8" spans="1:7">
      <c r="A8" s="52" t="s">
        <v>9</v>
      </c>
      <c r="B8" s="54" t="s">
        <v>73</v>
      </c>
      <c r="C8" s="54" t="s">
        <v>10</v>
      </c>
      <c r="D8" s="54" t="s">
        <v>18</v>
      </c>
      <c r="E8" s="54" t="s">
        <v>8</v>
      </c>
      <c r="F8" s="54" t="s">
        <v>128</v>
      </c>
    </row>
    <row r="9" spans="1:7">
      <c r="B9" s="81">
        <v>1</v>
      </c>
      <c r="C9" s="88">
        <v>0.15</v>
      </c>
      <c r="D9" s="50">
        <f>+SUM($C$9:C9)</f>
        <v>0.15</v>
      </c>
      <c r="E9" s="50">
        <f>+Summary!H36</f>
        <v>2</v>
      </c>
      <c r="F9" s="50">
        <f>+C9*E9</f>
        <v>0.3</v>
      </c>
    </row>
    <row r="10" spans="1:7">
      <c r="B10" s="81">
        <v>2</v>
      </c>
      <c r="C10" s="88">
        <v>1.2E-2</v>
      </c>
      <c r="D10" s="50">
        <f>+SUM($C$9:C10)</f>
        <v>0.16200000000000001</v>
      </c>
      <c r="E10" s="50">
        <f>+Summary!H37</f>
        <v>5</v>
      </c>
      <c r="F10" s="50">
        <f t="shared" ref="F10:F15" si="0">+C10*E10</f>
        <v>0.06</v>
      </c>
    </row>
    <row r="11" spans="1:7">
      <c r="B11" s="81">
        <v>3</v>
      </c>
      <c r="C11" s="88">
        <v>2E-3</v>
      </c>
      <c r="D11" s="50">
        <f>+SUM($C$9:C11)</f>
        <v>0.16400000000000001</v>
      </c>
      <c r="E11" s="50">
        <f>+Summary!H38</f>
        <v>10</v>
      </c>
      <c r="F11" s="50">
        <f t="shared" si="0"/>
        <v>0.02</v>
      </c>
    </row>
    <row r="12" spans="1:7">
      <c r="B12" s="81">
        <v>4</v>
      </c>
      <c r="C12" s="88">
        <v>1E-3</v>
      </c>
      <c r="D12" s="50">
        <f>+SUM($C$9:C12)</f>
        <v>0.16500000000000001</v>
      </c>
      <c r="E12" s="50">
        <f>+Summary!H39</f>
        <v>20</v>
      </c>
      <c r="F12" s="50">
        <f t="shared" si="0"/>
        <v>0.02</v>
      </c>
    </row>
    <row r="13" spans="1:7">
      <c r="B13" s="81">
        <v>5</v>
      </c>
      <c r="C13" s="88">
        <v>0</v>
      </c>
      <c r="D13" s="50">
        <f>+SUM($C$9:C13)</f>
        <v>0.16500000000000001</v>
      </c>
      <c r="E13" s="50">
        <f>+Summary!H40</f>
        <v>50</v>
      </c>
      <c r="F13" s="50">
        <f t="shared" si="0"/>
        <v>0</v>
      </c>
    </row>
    <row r="14" spans="1:7">
      <c r="B14" s="81">
        <v>6</v>
      </c>
      <c r="C14" s="88">
        <v>0</v>
      </c>
      <c r="D14" s="50">
        <f>+SUM($C$9:C14)</f>
        <v>0.16500000000000001</v>
      </c>
      <c r="E14" s="50">
        <f>+Summary!H41</f>
        <v>100</v>
      </c>
      <c r="F14" s="50">
        <f t="shared" si="0"/>
        <v>0</v>
      </c>
    </row>
    <row r="15" spans="1:7">
      <c r="B15" s="81">
        <v>7</v>
      </c>
      <c r="C15" s="88">
        <v>1E-3</v>
      </c>
      <c r="D15" s="50">
        <f>+SUM($C$9:C15)</f>
        <v>0.16600000000000001</v>
      </c>
      <c r="E15" s="50">
        <f>+Summary!H42</f>
        <v>500</v>
      </c>
      <c r="F15" s="50">
        <f t="shared" si="0"/>
        <v>0.5</v>
      </c>
      <c r="G15" s="49" t="s">
        <v>79</v>
      </c>
    </row>
    <row r="16" spans="1:7">
      <c r="B16" s="56" t="s">
        <v>11</v>
      </c>
      <c r="C16" s="56">
        <f>+SUM(C9:C15)</f>
        <v>0.16600000000000001</v>
      </c>
      <c r="D16" s="56"/>
      <c r="E16" s="56"/>
      <c r="F16" s="47">
        <f>+SUM(F9:F15)</f>
        <v>0.9</v>
      </c>
    </row>
    <row r="17" spans="1:7">
      <c r="B17" s="57" t="s">
        <v>78</v>
      </c>
    </row>
    <row r="20" spans="1:7">
      <c r="A20" s="52" t="s">
        <v>12</v>
      </c>
      <c r="B20" s="54" t="s">
        <v>73</v>
      </c>
      <c r="C20" s="54" t="s">
        <v>10</v>
      </c>
      <c r="D20" s="54" t="s">
        <v>18</v>
      </c>
      <c r="E20" s="54" t="s">
        <v>8</v>
      </c>
      <c r="F20" s="54" t="s">
        <v>128</v>
      </c>
    </row>
    <row r="21" spans="1:7">
      <c r="B21" s="81">
        <v>1</v>
      </c>
      <c r="C21" s="88">
        <v>0.08</v>
      </c>
      <c r="D21" s="89">
        <f>+SUM($C$21:C21)</f>
        <v>0.08</v>
      </c>
      <c r="E21" s="50">
        <f>+Summary!H36</f>
        <v>2</v>
      </c>
      <c r="F21" s="50">
        <f>+C21*E21</f>
        <v>0.16</v>
      </c>
    </row>
    <row r="22" spans="1:7">
      <c r="B22" s="81">
        <v>2</v>
      </c>
      <c r="C22" s="88">
        <v>2.4E-2</v>
      </c>
      <c r="D22" s="89">
        <f>+SUM($C$21:C22)</f>
        <v>0.10400000000000001</v>
      </c>
      <c r="E22" s="50">
        <f>+Summary!H37</f>
        <v>5</v>
      </c>
      <c r="F22" s="50">
        <f t="shared" ref="F22:F27" si="1">+C22*E22</f>
        <v>0.12</v>
      </c>
    </row>
    <row r="23" spans="1:7">
      <c r="B23" s="81">
        <v>3</v>
      </c>
      <c r="C23" s="88">
        <v>0</v>
      </c>
      <c r="D23" s="89">
        <f>+SUM($C$21:C23)</f>
        <v>0.10400000000000001</v>
      </c>
      <c r="E23" s="50">
        <f>+Summary!H38</f>
        <v>10</v>
      </c>
      <c r="F23" s="50">
        <f t="shared" si="1"/>
        <v>0</v>
      </c>
    </row>
    <row r="24" spans="1:7">
      <c r="B24" s="81">
        <v>4</v>
      </c>
      <c r="C24" s="88">
        <v>1E-3</v>
      </c>
      <c r="D24" s="89">
        <f>+SUM($C$21:C24)</f>
        <v>0.10500000000000001</v>
      </c>
      <c r="E24" s="50">
        <f>+Summary!H39</f>
        <v>20</v>
      </c>
      <c r="F24" s="50">
        <f t="shared" si="1"/>
        <v>0.02</v>
      </c>
    </row>
    <row r="25" spans="1:7">
      <c r="B25" s="81">
        <v>5</v>
      </c>
      <c r="C25" s="88">
        <v>1E-3</v>
      </c>
      <c r="D25" s="89">
        <f>+SUM($C$21:C25)</f>
        <v>0.10600000000000001</v>
      </c>
      <c r="E25" s="50">
        <f>+Summary!H40</f>
        <v>50</v>
      </c>
      <c r="F25" s="50">
        <f t="shared" si="1"/>
        <v>0.05</v>
      </c>
    </row>
    <row r="26" spans="1:7">
      <c r="B26" s="81">
        <v>6</v>
      </c>
      <c r="C26" s="88">
        <v>5.0000000000000001E-4</v>
      </c>
      <c r="D26" s="89">
        <f>+SUM($C$21:C26)</f>
        <v>0.10650000000000001</v>
      </c>
      <c r="E26" s="50">
        <f>+Summary!H41</f>
        <v>100</v>
      </c>
      <c r="F26" s="50">
        <f t="shared" si="1"/>
        <v>0.05</v>
      </c>
    </row>
    <row r="27" spans="1:7">
      <c r="B27" s="81">
        <v>7</v>
      </c>
      <c r="C27" s="88">
        <v>1E-3</v>
      </c>
      <c r="D27" s="89">
        <f>+SUM($C$21:C27)</f>
        <v>0.10750000000000001</v>
      </c>
      <c r="E27" s="50">
        <f>+Summary!H42</f>
        <v>500</v>
      </c>
      <c r="F27" s="50">
        <f t="shared" si="1"/>
        <v>0.5</v>
      </c>
      <c r="G27" s="49" t="s">
        <v>79</v>
      </c>
    </row>
    <row r="28" spans="1:7">
      <c r="B28" s="56" t="s">
        <v>11</v>
      </c>
      <c r="C28" s="56">
        <f>+SUM(C21:C27)</f>
        <v>0.10750000000000001</v>
      </c>
      <c r="D28" s="56"/>
      <c r="E28" s="56"/>
      <c r="F28" s="47">
        <f>+SUM(F21:F27)</f>
        <v>0.9</v>
      </c>
    </row>
    <row r="29" spans="1:7">
      <c r="B29" s="57" t="s">
        <v>78</v>
      </c>
    </row>
    <row r="32" spans="1:7">
      <c r="A32" s="52" t="s">
        <v>13</v>
      </c>
      <c r="B32" s="54" t="s">
        <v>73</v>
      </c>
      <c r="C32" s="54" t="s">
        <v>10</v>
      </c>
      <c r="D32" s="54" t="s">
        <v>18</v>
      </c>
      <c r="E32" s="54" t="s">
        <v>8</v>
      </c>
      <c r="F32" s="54" t="s">
        <v>128</v>
      </c>
    </row>
    <row r="33" spans="1:7">
      <c r="B33" s="81">
        <v>1</v>
      </c>
      <c r="C33" s="88">
        <v>0.09</v>
      </c>
      <c r="D33" s="89">
        <f>+SUM($C$33:C33)</f>
        <v>0.09</v>
      </c>
      <c r="E33" s="50">
        <f>+Summary!H36</f>
        <v>2</v>
      </c>
      <c r="F33" s="50">
        <f>+C33*E33</f>
        <v>0.18</v>
      </c>
    </row>
    <row r="34" spans="1:7">
      <c r="B34" s="81">
        <v>2</v>
      </c>
      <c r="C34" s="88">
        <v>1.6E-2</v>
      </c>
      <c r="D34" s="89">
        <f>+SUM($C$33:C34)</f>
        <v>0.106</v>
      </c>
      <c r="E34" s="50">
        <f>+Summary!H37</f>
        <v>5</v>
      </c>
      <c r="F34" s="50">
        <f t="shared" ref="F34:F39" si="2">+C34*E34</f>
        <v>0.08</v>
      </c>
    </row>
    <row r="35" spans="1:7">
      <c r="B35" s="81">
        <v>3</v>
      </c>
      <c r="C35" s="88">
        <v>2E-3</v>
      </c>
      <c r="D35" s="89">
        <f>+SUM($C$33:C35)</f>
        <v>0.108</v>
      </c>
      <c r="E35" s="50">
        <f>+Summary!H38</f>
        <v>10</v>
      </c>
      <c r="F35" s="50">
        <f t="shared" si="2"/>
        <v>0.02</v>
      </c>
    </row>
    <row r="36" spans="1:7">
      <c r="B36" s="81">
        <v>4</v>
      </c>
      <c r="C36" s="88">
        <v>1E-3</v>
      </c>
      <c r="D36" s="89">
        <f>+SUM($C$33:C36)</f>
        <v>0.109</v>
      </c>
      <c r="E36" s="50">
        <f>+Summary!H39</f>
        <v>20</v>
      </c>
      <c r="F36" s="50">
        <f t="shared" si="2"/>
        <v>0.02</v>
      </c>
    </row>
    <row r="37" spans="1:7">
      <c r="B37" s="81">
        <v>5</v>
      </c>
      <c r="C37" s="88">
        <v>1E-3</v>
      </c>
      <c r="D37" s="89">
        <f>+SUM($C$33:C37)</f>
        <v>0.11</v>
      </c>
      <c r="E37" s="50">
        <f>+Summary!H40</f>
        <v>50</v>
      </c>
      <c r="F37" s="50">
        <f t="shared" si="2"/>
        <v>0.05</v>
      </c>
    </row>
    <row r="38" spans="1:7">
      <c r="B38" s="81">
        <v>6</v>
      </c>
      <c r="C38" s="88">
        <v>0</v>
      </c>
      <c r="D38" s="89">
        <f>+SUM($C$33:C38)</f>
        <v>0.11</v>
      </c>
      <c r="E38" s="50">
        <f>+Summary!H41</f>
        <v>100</v>
      </c>
      <c r="F38" s="50">
        <f t="shared" si="2"/>
        <v>0</v>
      </c>
    </row>
    <row r="39" spans="1:7">
      <c r="B39" s="81">
        <v>7</v>
      </c>
      <c r="C39" s="88">
        <v>1.1000000000000001E-3</v>
      </c>
      <c r="D39" s="89">
        <f>+SUM($C$33:C39)</f>
        <v>0.1111</v>
      </c>
      <c r="E39" s="50">
        <f>+Summary!H42</f>
        <v>500</v>
      </c>
      <c r="F39" s="50">
        <f t="shared" si="2"/>
        <v>0.55000000000000004</v>
      </c>
      <c r="G39" s="49" t="s">
        <v>79</v>
      </c>
    </row>
    <row r="40" spans="1:7">
      <c r="B40" s="56" t="s">
        <v>11</v>
      </c>
      <c r="C40" s="47">
        <f>+SUM(C33:C39)</f>
        <v>0.1111</v>
      </c>
      <c r="D40" s="56"/>
      <c r="E40" s="56"/>
      <c r="F40" s="47">
        <f>+SUM(F33:F39)</f>
        <v>0.90000000000000013</v>
      </c>
    </row>
    <row r="41" spans="1:7">
      <c r="B41" s="57" t="s">
        <v>78</v>
      </c>
    </row>
    <row r="44" spans="1:7">
      <c r="A44" s="52" t="s">
        <v>14</v>
      </c>
      <c r="B44" s="54" t="s">
        <v>73</v>
      </c>
      <c r="C44" s="54" t="s">
        <v>10</v>
      </c>
      <c r="D44" s="54" t="s">
        <v>18</v>
      </c>
      <c r="E44" s="54" t="s">
        <v>8</v>
      </c>
      <c r="F44" s="54" t="s">
        <v>128</v>
      </c>
    </row>
    <row r="45" spans="1:7">
      <c r="B45" s="81">
        <v>1</v>
      </c>
      <c r="C45" s="88">
        <v>0.1</v>
      </c>
      <c r="D45" s="89">
        <f>+SUM($C$45:C45)</f>
        <v>0.1</v>
      </c>
      <c r="E45" s="50">
        <f>+Summary!H36</f>
        <v>2</v>
      </c>
      <c r="F45" s="50">
        <f>+C45*E45</f>
        <v>0.2</v>
      </c>
    </row>
    <row r="46" spans="1:7">
      <c r="B46" s="81">
        <v>2</v>
      </c>
      <c r="C46" s="88">
        <v>0.01</v>
      </c>
      <c r="D46" s="89">
        <f>+SUM($C$45:C46)</f>
        <v>0.11</v>
      </c>
      <c r="E46" s="50">
        <f>+Summary!H37</f>
        <v>5</v>
      </c>
      <c r="F46" s="50">
        <f t="shared" ref="F46:F51" si="3">+C46*E46</f>
        <v>0.05</v>
      </c>
    </row>
    <row r="47" spans="1:7">
      <c r="B47" s="81">
        <v>3</v>
      </c>
      <c r="C47" s="88">
        <v>5.0000000000000001E-3</v>
      </c>
      <c r="D47" s="89">
        <f>+SUM($C$45:C47)</f>
        <v>0.115</v>
      </c>
      <c r="E47" s="50">
        <f>+Summary!H38</f>
        <v>10</v>
      </c>
      <c r="F47" s="50">
        <f t="shared" si="3"/>
        <v>0.05</v>
      </c>
    </row>
    <row r="48" spans="1:7">
      <c r="B48" s="81">
        <v>4</v>
      </c>
      <c r="C48" s="88">
        <v>0</v>
      </c>
      <c r="D48" s="89">
        <f>+SUM($C$45:C48)</f>
        <v>0.115</v>
      </c>
      <c r="E48" s="50">
        <f>+Summary!H39</f>
        <v>20</v>
      </c>
      <c r="F48" s="50">
        <f t="shared" si="3"/>
        <v>0</v>
      </c>
    </row>
    <row r="49" spans="2:7">
      <c r="B49" s="81">
        <v>5</v>
      </c>
      <c r="C49" s="88">
        <v>0</v>
      </c>
      <c r="D49" s="89">
        <f>+SUM($C$45:C49)</f>
        <v>0.115</v>
      </c>
      <c r="E49" s="50">
        <f>+Summary!H40</f>
        <v>50</v>
      </c>
      <c r="F49" s="50">
        <f t="shared" si="3"/>
        <v>0</v>
      </c>
    </row>
    <row r="50" spans="2:7">
      <c r="B50" s="81">
        <v>6</v>
      </c>
      <c r="C50" s="88">
        <v>0</v>
      </c>
      <c r="D50" s="89">
        <f>+SUM($C$45:C50)</f>
        <v>0.115</v>
      </c>
      <c r="E50" s="50">
        <f>+Summary!H41</f>
        <v>100</v>
      </c>
      <c r="F50" s="50">
        <f t="shared" si="3"/>
        <v>0</v>
      </c>
    </row>
    <row r="51" spans="2:7">
      <c r="B51" s="81">
        <v>7</v>
      </c>
      <c r="C51" s="88">
        <v>1.1999999999999999E-3</v>
      </c>
      <c r="D51" s="89">
        <f>+SUM($C$45:C51)</f>
        <v>0.11620000000000001</v>
      </c>
      <c r="E51" s="50">
        <f>+Summary!H42</f>
        <v>500</v>
      </c>
      <c r="F51" s="50">
        <f t="shared" si="3"/>
        <v>0.6</v>
      </c>
      <c r="G51" s="49" t="s">
        <v>79</v>
      </c>
    </row>
    <row r="52" spans="2:7">
      <c r="B52" s="56" t="s">
        <v>11</v>
      </c>
      <c r="C52" s="56">
        <f>+SUM(C45:C51)</f>
        <v>0.11620000000000001</v>
      </c>
      <c r="D52" s="56"/>
      <c r="E52" s="56"/>
      <c r="F52" s="47">
        <f>+SUM(F45:F51)</f>
        <v>0.89999999999999991</v>
      </c>
    </row>
    <row r="53" spans="2:7">
      <c r="B53" s="57" t="s">
        <v>78</v>
      </c>
    </row>
  </sheetData>
  <mergeCells count="1">
    <mergeCell ref="A1:E1"/>
  </mergeCells>
  <pageMargins left="0.7" right="0.7" top="0.75" bottom="0.75" header="0.3" footer="0.3"/>
  <pageSetup paperSize="9" orientation="portrait" horizontalDpi="200" verticalDpi="200" r:id="rId1"/>
</worksheet>
</file>

<file path=xl/worksheets/sheet15.xml><?xml version="1.0" encoding="utf-8"?>
<worksheet xmlns="http://schemas.openxmlformats.org/spreadsheetml/2006/main" xmlns:r="http://schemas.openxmlformats.org/officeDocument/2006/relationships">
  <dimension ref="A1:G53"/>
  <sheetViews>
    <sheetView workbookViewId="0">
      <selection activeCell="E45" sqref="E45"/>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3" t="s">
        <v>120</v>
      </c>
      <c r="B1" s="123"/>
      <c r="C1" s="123"/>
      <c r="D1" s="123"/>
      <c r="E1" s="123"/>
    </row>
    <row r="2" spans="1:7">
      <c r="A2" s="59" t="s">
        <v>123</v>
      </c>
    </row>
    <row r="3" spans="1:7">
      <c r="A3" s="59" t="s">
        <v>124</v>
      </c>
    </row>
    <row r="4" spans="1:7">
      <c r="A4" s="59" t="s">
        <v>126</v>
      </c>
    </row>
    <row r="8" spans="1:7">
      <c r="A8" s="52" t="s">
        <v>9</v>
      </c>
      <c r="B8" s="54" t="s">
        <v>73</v>
      </c>
      <c r="C8" s="54" t="s">
        <v>10</v>
      </c>
      <c r="D8" s="54" t="s">
        <v>18</v>
      </c>
      <c r="E8" s="54" t="s">
        <v>8</v>
      </c>
      <c r="F8" s="54" t="s">
        <v>128</v>
      </c>
    </row>
    <row r="9" spans="1:7">
      <c r="B9" s="81">
        <v>1</v>
      </c>
      <c r="C9" s="88">
        <v>0.1</v>
      </c>
      <c r="D9" s="50">
        <f>+SUM($C$9:C9)</f>
        <v>0.1</v>
      </c>
      <c r="E9" s="50">
        <f>+Summary!H36</f>
        <v>2</v>
      </c>
      <c r="F9" s="50">
        <f>+C9*E9</f>
        <v>0.2</v>
      </c>
    </row>
    <row r="10" spans="1:7">
      <c r="B10" s="81">
        <v>2</v>
      </c>
      <c r="C10" s="88">
        <v>0.26</v>
      </c>
      <c r="D10" s="50">
        <f>+SUM($C$9:C10)</f>
        <v>0.36</v>
      </c>
      <c r="E10" s="50">
        <f>+Summary!H37</f>
        <v>5</v>
      </c>
      <c r="F10" s="50">
        <f t="shared" ref="F10:F15" si="0">+C10*E10</f>
        <v>1.3</v>
      </c>
    </row>
    <row r="11" spans="1:7">
      <c r="B11" s="81">
        <v>3</v>
      </c>
      <c r="C11" s="88">
        <v>0.25</v>
      </c>
      <c r="D11" s="50">
        <f>+SUM($C$9:C11)</f>
        <v>0.61</v>
      </c>
      <c r="E11" s="50">
        <f>+Summary!H38</f>
        <v>10</v>
      </c>
      <c r="F11" s="50">
        <f t="shared" si="0"/>
        <v>2.5</v>
      </c>
    </row>
    <row r="12" spans="1:7">
      <c r="B12" s="81">
        <v>4</v>
      </c>
      <c r="C12" s="88">
        <v>0.2</v>
      </c>
      <c r="D12" s="50">
        <f>+SUM($C$9:C12)</f>
        <v>0.81</v>
      </c>
      <c r="E12" s="50">
        <f>+Summary!H39</f>
        <v>20</v>
      </c>
      <c r="F12" s="50">
        <f t="shared" si="0"/>
        <v>4</v>
      </c>
    </row>
    <row r="13" spans="1:7">
      <c r="B13" s="81">
        <v>5</v>
      </c>
      <c r="C13" s="88">
        <v>0.02</v>
      </c>
      <c r="D13" s="50">
        <f>+SUM($C$9:C13)</f>
        <v>0.83000000000000007</v>
      </c>
      <c r="E13" s="50">
        <f>+Summary!H40</f>
        <v>50</v>
      </c>
      <c r="F13" s="50">
        <f t="shared" si="0"/>
        <v>1</v>
      </c>
    </row>
    <row r="14" spans="1:7">
      <c r="B14" s="81">
        <v>6</v>
      </c>
      <c r="C14" s="88">
        <v>0.01</v>
      </c>
      <c r="D14" s="50">
        <f>+SUM($C$9:C14)</f>
        <v>0.84000000000000008</v>
      </c>
      <c r="E14" s="50">
        <f>+Summary!H41</f>
        <v>100</v>
      </c>
      <c r="F14" s="50">
        <f t="shared" si="0"/>
        <v>1</v>
      </c>
    </row>
    <row r="15" spans="1:7">
      <c r="B15" s="81">
        <v>7</v>
      </c>
      <c r="C15" s="88">
        <v>0.01</v>
      </c>
      <c r="D15" s="50">
        <f>+SUM($C$9:C15)</f>
        <v>0.85000000000000009</v>
      </c>
      <c r="E15" s="50">
        <f>+Summary!H42</f>
        <v>500</v>
      </c>
      <c r="F15" s="50">
        <f t="shared" si="0"/>
        <v>5</v>
      </c>
      <c r="G15" s="49" t="s">
        <v>79</v>
      </c>
    </row>
    <row r="16" spans="1:7">
      <c r="B16" s="56" t="s">
        <v>11</v>
      </c>
      <c r="C16" s="56">
        <f>+SUM(C9:C15)</f>
        <v>0.85000000000000009</v>
      </c>
      <c r="D16" s="56"/>
      <c r="E16" s="56"/>
      <c r="F16" s="47">
        <f>+SUM(F9:F15)</f>
        <v>15</v>
      </c>
    </row>
    <row r="17" spans="1:7">
      <c r="B17" s="57" t="s">
        <v>78</v>
      </c>
    </row>
    <row r="20" spans="1:7">
      <c r="A20" s="52" t="s">
        <v>12</v>
      </c>
      <c r="B20" s="54" t="s">
        <v>73</v>
      </c>
      <c r="C20" s="54" t="s">
        <v>10</v>
      </c>
      <c r="D20" s="54" t="s">
        <v>18</v>
      </c>
      <c r="E20" s="54" t="s">
        <v>8</v>
      </c>
      <c r="F20" s="54" t="s">
        <v>128</v>
      </c>
    </row>
    <row r="21" spans="1:7">
      <c r="B21" s="81">
        <v>1</v>
      </c>
      <c r="C21" s="88">
        <v>0</v>
      </c>
      <c r="D21" s="89">
        <f>+SUM($C$21:C21)</f>
        <v>0</v>
      </c>
      <c r="E21" s="50">
        <f>+Summary!H36</f>
        <v>2</v>
      </c>
      <c r="F21" s="50">
        <f>+C21*E21</f>
        <v>0</v>
      </c>
    </row>
    <row r="22" spans="1:7">
      <c r="B22" s="81">
        <v>2</v>
      </c>
      <c r="C22" s="88">
        <v>0.4</v>
      </c>
      <c r="D22" s="89">
        <f>+SUM($C$21:C22)</f>
        <v>0.4</v>
      </c>
      <c r="E22" s="50">
        <f>+Summary!H37</f>
        <v>5</v>
      </c>
      <c r="F22" s="50">
        <f t="shared" ref="F22:F27" si="1">+C22*E22</f>
        <v>2</v>
      </c>
    </row>
    <row r="23" spans="1:7">
      <c r="B23" s="81">
        <v>3</v>
      </c>
      <c r="C23" s="88">
        <v>0.19</v>
      </c>
      <c r="D23" s="89">
        <f>+SUM($C$21:C23)</f>
        <v>0.59000000000000008</v>
      </c>
      <c r="E23" s="50">
        <f>+Summary!H38</f>
        <v>10</v>
      </c>
      <c r="F23" s="50">
        <f t="shared" si="1"/>
        <v>1.9</v>
      </c>
    </row>
    <row r="24" spans="1:7">
      <c r="B24" s="81">
        <v>4</v>
      </c>
      <c r="C24" s="88">
        <v>0.2</v>
      </c>
      <c r="D24" s="89">
        <f>+SUM($C$21:C24)</f>
        <v>0.79</v>
      </c>
      <c r="E24" s="50">
        <f>+Summary!H39</f>
        <v>20</v>
      </c>
      <c r="F24" s="50">
        <f t="shared" si="1"/>
        <v>4</v>
      </c>
    </row>
    <row r="25" spans="1:7">
      <c r="B25" s="81">
        <v>5</v>
      </c>
      <c r="C25" s="88">
        <v>0.02</v>
      </c>
      <c r="D25" s="89">
        <f>+SUM($C$21:C25)</f>
        <v>0.81</v>
      </c>
      <c r="E25" s="50">
        <f>+Summary!H40</f>
        <v>50</v>
      </c>
      <c r="F25" s="50">
        <f t="shared" si="1"/>
        <v>1</v>
      </c>
    </row>
    <row r="26" spans="1:7">
      <c r="B26" s="81">
        <v>6</v>
      </c>
      <c r="C26" s="88">
        <v>1E-3</v>
      </c>
      <c r="D26" s="89">
        <f>+SUM($C$21:C26)</f>
        <v>0.81100000000000005</v>
      </c>
      <c r="E26" s="50">
        <f>+Summary!H41</f>
        <v>100</v>
      </c>
      <c r="F26" s="50">
        <f t="shared" si="1"/>
        <v>0.1</v>
      </c>
    </row>
    <row r="27" spans="1:7">
      <c r="B27" s="81">
        <v>7</v>
      </c>
      <c r="C27" s="88">
        <v>1.2E-2</v>
      </c>
      <c r="D27" s="89">
        <f>+SUM($C$21:C27)</f>
        <v>0.82300000000000006</v>
      </c>
      <c r="E27" s="50">
        <f>+Summary!H42</f>
        <v>500</v>
      </c>
      <c r="F27" s="50">
        <f t="shared" si="1"/>
        <v>6</v>
      </c>
      <c r="G27" s="49" t="s">
        <v>79</v>
      </c>
    </row>
    <row r="28" spans="1:7">
      <c r="B28" s="56" t="s">
        <v>11</v>
      </c>
      <c r="C28" s="56">
        <f>+SUM(C21:C27)</f>
        <v>0.82300000000000006</v>
      </c>
      <c r="D28" s="56"/>
      <c r="E28" s="56"/>
      <c r="F28" s="47">
        <f>+SUM(F21:F27)</f>
        <v>15</v>
      </c>
    </row>
    <row r="29" spans="1:7">
      <c r="B29" s="57" t="s">
        <v>78</v>
      </c>
    </row>
    <row r="32" spans="1:7">
      <c r="A32" s="52" t="s">
        <v>13</v>
      </c>
      <c r="B32" s="54" t="s">
        <v>73</v>
      </c>
      <c r="C32" s="54" t="s">
        <v>10</v>
      </c>
      <c r="D32" s="54" t="s">
        <v>18</v>
      </c>
      <c r="E32" s="54" t="s">
        <v>8</v>
      </c>
      <c r="F32" s="54" t="s">
        <v>128</v>
      </c>
    </row>
    <row r="33" spans="1:7">
      <c r="B33" s="81">
        <v>1</v>
      </c>
      <c r="C33" s="88">
        <v>0</v>
      </c>
      <c r="D33" s="89">
        <f>+SUM($C$33:C33)</f>
        <v>0</v>
      </c>
      <c r="E33" s="50">
        <f>+Summary!H36</f>
        <v>2</v>
      </c>
      <c r="F33" s="50">
        <f>+C33*E33</f>
        <v>0</v>
      </c>
    </row>
    <row r="34" spans="1:7">
      <c r="B34" s="81">
        <v>2</v>
      </c>
      <c r="C34" s="88">
        <v>0.4</v>
      </c>
      <c r="D34" s="89">
        <f>+SUM($C$33:C34)</f>
        <v>0.4</v>
      </c>
      <c r="E34" s="50">
        <f>+Summary!H37</f>
        <v>5</v>
      </c>
      <c r="F34" s="50">
        <f t="shared" ref="F34:F39" si="2">+C34*E34</f>
        <v>2</v>
      </c>
    </row>
    <row r="35" spans="1:7">
      <c r="B35" s="81">
        <v>3</v>
      </c>
      <c r="C35" s="88">
        <v>0.25</v>
      </c>
      <c r="D35" s="89">
        <f>+SUM($C$33:C35)</f>
        <v>0.65</v>
      </c>
      <c r="E35" s="50">
        <f>+Summary!H38</f>
        <v>10</v>
      </c>
      <c r="F35" s="50">
        <f t="shared" si="2"/>
        <v>2.5</v>
      </c>
    </row>
    <row r="36" spans="1:7">
      <c r="B36" s="81">
        <v>4</v>
      </c>
      <c r="C36" s="88">
        <v>0.05</v>
      </c>
      <c r="D36" s="89">
        <f>+SUM($C$33:C36)</f>
        <v>0.70000000000000007</v>
      </c>
      <c r="E36" s="50">
        <f>+Summary!H39</f>
        <v>20</v>
      </c>
      <c r="F36" s="50">
        <f t="shared" si="2"/>
        <v>1</v>
      </c>
    </row>
    <row r="37" spans="1:7">
      <c r="B37" s="81">
        <v>5</v>
      </c>
      <c r="C37" s="88">
        <v>0.02</v>
      </c>
      <c r="D37" s="89">
        <f>+SUM($C$33:C37)</f>
        <v>0.72000000000000008</v>
      </c>
      <c r="E37" s="50">
        <f>+Summary!H40</f>
        <v>50</v>
      </c>
      <c r="F37" s="50">
        <f t="shared" si="2"/>
        <v>1</v>
      </c>
    </row>
    <row r="38" spans="1:7">
      <c r="B38" s="81">
        <v>6</v>
      </c>
      <c r="C38" s="88">
        <v>0.01</v>
      </c>
      <c r="D38" s="89">
        <f>+SUM($C$33:C38)</f>
        <v>0.73000000000000009</v>
      </c>
      <c r="E38" s="50">
        <f>+Summary!H41</f>
        <v>100</v>
      </c>
      <c r="F38" s="50">
        <f t="shared" si="2"/>
        <v>1</v>
      </c>
    </row>
    <row r="39" spans="1:7">
      <c r="B39" s="81">
        <v>7</v>
      </c>
      <c r="C39" s="88">
        <v>1.4999999999999999E-2</v>
      </c>
      <c r="D39" s="89">
        <f>+SUM($C$33:C39)</f>
        <v>0.74500000000000011</v>
      </c>
      <c r="E39" s="50">
        <f>+Summary!H42</f>
        <v>500</v>
      </c>
      <c r="F39" s="50">
        <f t="shared" si="2"/>
        <v>7.5</v>
      </c>
      <c r="G39" s="49" t="s">
        <v>79</v>
      </c>
    </row>
    <row r="40" spans="1:7">
      <c r="B40" s="56" t="s">
        <v>11</v>
      </c>
      <c r="C40" s="47">
        <f>+SUM(C33:C39)</f>
        <v>0.74500000000000011</v>
      </c>
      <c r="D40" s="56"/>
      <c r="E40" s="56"/>
      <c r="F40" s="47">
        <f>+SUM(F33:F39)</f>
        <v>15</v>
      </c>
    </row>
    <row r="41" spans="1:7">
      <c r="B41" s="57" t="s">
        <v>78</v>
      </c>
    </row>
    <row r="44" spans="1:7">
      <c r="A44" s="52" t="s">
        <v>14</v>
      </c>
      <c r="B44" s="54" t="s">
        <v>73</v>
      </c>
      <c r="C44" s="54" t="s">
        <v>10</v>
      </c>
      <c r="D44" s="54" t="s">
        <v>18</v>
      </c>
      <c r="E44" s="54" t="s">
        <v>8</v>
      </c>
      <c r="F44" s="54" t="s">
        <v>128</v>
      </c>
    </row>
    <row r="45" spans="1:7">
      <c r="B45" s="81">
        <v>1</v>
      </c>
      <c r="C45" s="88">
        <v>0</v>
      </c>
      <c r="D45" s="89">
        <f>+SUM($C$45:C45)</f>
        <v>0</v>
      </c>
      <c r="E45" s="50">
        <f>+Summary!H36</f>
        <v>2</v>
      </c>
      <c r="F45" s="50">
        <f>+C45*E45</f>
        <v>0</v>
      </c>
    </row>
    <row r="46" spans="1:7">
      <c r="B46" s="81">
        <v>2</v>
      </c>
      <c r="C46" s="88">
        <v>0.4</v>
      </c>
      <c r="D46" s="89">
        <f>+SUM($C$45:C46)</f>
        <v>0.4</v>
      </c>
      <c r="E46" s="50">
        <f>+Summary!H37</f>
        <v>5</v>
      </c>
      <c r="F46" s="50">
        <f t="shared" ref="F46:F51" si="3">+C46*E46</f>
        <v>2</v>
      </c>
    </row>
    <row r="47" spans="1:7">
      <c r="B47" s="81">
        <v>3</v>
      </c>
      <c r="C47" s="88">
        <v>0.14000000000000001</v>
      </c>
      <c r="D47" s="89">
        <f>+SUM($C$45:C47)</f>
        <v>0.54</v>
      </c>
      <c r="E47" s="50">
        <f>+Summary!H38</f>
        <v>10</v>
      </c>
      <c r="F47" s="50">
        <f t="shared" si="3"/>
        <v>1.4000000000000001</v>
      </c>
    </row>
    <row r="48" spans="1:7">
      <c r="B48" s="81">
        <v>4</v>
      </c>
      <c r="C48" s="88">
        <v>0.05</v>
      </c>
      <c r="D48" s="89">
        <f>+SUM($C$45:C48)</f>
        <v>0.59000000000000008</v>
      </c>
      <c r="E48" s="50">
        <f>+Summary!H39</f>
        <v>20</v>
      </c>
      <c r="F48" s="50">
        <f t="shared" si="3"/>
        <v>1</v>
      </c>
    </row>
    <row r="49" spans="2:7">
      <c r="B49" s="81">
        <v>5</v>
      </c>
      <c r="C49" s="88">
        <v>0.01</v>
      </c>
      <c r="D49" s="89">
        <f>+SUM($C$45:C49)</f>
        <v>0.60000000000000009</v>
      </c>
      <c r="E49" s="50">
        <f>+Summary!H40</f>
        <v>50</v>
      </c>
      <c r="F49" s="50">
        <f t="shared" si="3"/>
        <v>0.5</v>
      </c>
    </row>
    <row r="50" spans="2:7">
      <c r="B50" s="81">
        <v>6</v>
      </c>
      <c r="C50" s="88">
        <v>1E-3</v>
      </c>
      <c r="D50" s="89">
        <f>+SUM($C$45:C50)</f>
        <v>0.60100000000000009</v>
      </c>
      <c r="E50" s="50">
        <f>+Summary!H41</f>
        <v>100</v>
      </c>
      <c r="F50" s="50">
        <f t="shared" si="3"/>
        <v>0.1</v>
      </c>
    </row>
    <row r="51" spans="2:7">
      <c r="B51" s="81">
        <v>7</v>
      </c>
      <c r="C51" s="88">
        <v>0.02</v>
      </c>
      <c r="D51" s="89">
        <f>+SUM($C$45:C51)</f>
        <v>0.62100000000000011</v>
      </c>
      <c r="E51" s="50">
        <f>+Summary!H42</f>
        <v>500</v>
      </c>
      <c r="F51" s="50">
        <f t="shared" si="3"/>
        <v>10</v>
      </c>
      <c r="G51" s="49" t="s">
        <v>79</v>
      </c>
    </row>
    <row r="52" spans="2:7">
      <c r="B52" s="56" t="s">
        <v>11</v>
      </c>
      <c r="C52" s="56">
        <f>+SUM(C45:C51)</f>
        <v>0.62100000000000011</v>
      </c>
      <c r="D52" s="56"/>
      <c r="E52" s="56"/>
      <c r="F52" s="47">
        <f>+SUM(F45:F51)</f>
        <v>15</v>
      </c>
    </row>
    <row r="53" spans="2:7">
      <c r="B53" s="57" t="s">
        <v>78</v>
      </c>
    </row>
  </sheetData>
  <mergeCells count="1">
    <mergeCell ref="A1:E1"/>
  </mergeCells>
  <pageMargins left="0.7" right="0.7" top="0.75" bottom="0.75" header="0.3" footer="0.3"/>
  <pageSetup paperSize="9" orientation="portrait" horizontalDpi="200" verticalDpi="200" r:id="rId1"/>
</worksheet>
</file>

<file path=xl/worksheets/sheet16.xml><?xml version="1.0" encoding="utf-8"?>
<worksheet xmlns="http://schemas.openxmlformats.org/spreadsheetml/2006/main" xmlns:r="http://schemas.openxmlformats.org/officeDocument/2006/relationships">
  <dimension ref="A1:I97"/>
  <sheetViews>
    <sheetView workbookViewId="0">
      <selection activeCell="C13" sqref="C13"/>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3" t="s">
        <v>109</v>
      </c>
      <c r="B1" s="123"/>
      <c r="C1" s="123"/>
      <c r="D1" s="123"/>
      <c r="E1" s="123"/>
    </row>
    <row r="2" spans="1:9">
      <c r="A2" s="59" t="s">
        <v>86</v>
      </c>
    </row>
    <row r="4" spans="1:9">
      <c r="A4" s="52" t="s">
        <v>9</v>
      </c>
      <c r="B4" s="54" t="s">
        <v>73</v>
      </c>
      <c r="C4" s="54" t="s">
        <v>10</v>
      </c>
      <c r="D4" s="54" t="s">
        <v>18</v>
      </c>
      <c r="E4" s="54" t="s">
        <v>8</v>
      </c>
      <c r="F4" s="54" t="s">
        <v>1</v>
      </c>
      <c r="G4" s="54" t="s">
        <v>43</v>
      </c>
    </row>
    <row r="5" spans="1:9">
      <c r="A5" s="49" t="s">
        <v>80</v>
      </c>
      <c r="B5" s="81">
        <v>1</v>
      </c>
      <c r="C5" s="88">
        <v>7.4999999999999997E-2</v>
      </c>
      <c r="D5" s="50">
        <f>+SUM($C$5:C5)</f>
        <v>7.4999999999999997E-2</v>
      </c>
      <c r="E5" s="50">
        <f>+Summary!E27</f>
        <v>5</v>
      </c>
      <c r="F5" s="50">
        <f>+C5*E5</f>
        <v>0.375</v>
      </c>
      <c r="G5" s="43"/>
    </row>
    <row r="6" spans="1:9">
      <c r="B6" s="81">
        <v>2</v>
      </c>
      <c r="C6" s="88">
        <v>2.0500000000000001E-2</v>
      </c>
      <c r="D6" s="84">
        <f>+SUM($C$5:C6)</f>
        <v>9.5500000000000002E-2</v>
      </c>
      <c r="E6" s="50">
        <f>+Summary!E28</f>
        <v>10</v>
      </c>
      <c r="F6" s="50">
        <f t="shared" ref="F6:F7" si="0">+C6*E6</f>
        <v>0.20500000000000002</v>
      </c>
      <c r="G6" s="43"/>
    </row>
    <row r="7" spans="1:9">
      <c r="B7" s="81" t="s">
        <v>74</v>
      </c>
      <c r="C7" s="38">
        <v>5.0000000000000001E-3</v>
      </c>
      <c r="D7" s="50">
        <f>+SUM($C$5:C7)</f>
        <v>0.10050000000000001</v>
      </c>
      <c r="E7" s="50">
        <f>+E5+E6</f>
        <v>15</v>
      </c>
      <c r="F7" s="50">
        <f t="shared" si="0"/>
        <v>7.4999999999999997E-2</v>
      </c>
      <c r="G7" s="43">
        <f>1/C7/Summary!$C$7</f>
        <v>0.4</v>
      </c>
      <c r="H7" s="49" t="s">
        <v>79</v>
      </c>
      <c r="I7" s="83"/>
    </row>
    <row r="8" spans="1:9">
      <c r="B8" s="56" t="s">
        <v>11</v>
      </c>
      <c r="C8" s="56">
        <f>+SUM(C5:C7)</f>
        <v>0.10050000000000001</v>
      </c>
      <c r="D8" s="56"/>
      <c r="E8" s="56"/>
      <c r="F8" s="47">
        <f>+SUM(F5:F7)</f>
        <v>0.65500000000000003</v>
      </c>
      <c r="G8" s="44"/>
    </row>
    <row r="9" spans="1:9">
      <c r="B9" s="57" t="s">
        <v>78</v>
      </c>
      <c r="G9" s="41"/>
    </row>
    <row r="10" spans="1:9">
      <c r="G10" s="41"/>
    </row>
    <row r="11" spans="1:9">
      <c r="G11" s="41"/>
    </row>
    <row r="12" spans="1:9">
      <c r="A12" s="52" t="s">
        <v>16</v>
      </c>
      <c r="B12" s="54" t="s">
        <v>73</v>
      </c>
      <c r="C12" s="54" t="s">
        <v>10</v>
      </c>
      <c r="D12" s="54" t="s">
        <v>18</v>
      </c>
      <c r="E12" s="54" t="s">
        <v>8</v>
      </c>
      <c r="F12" s="54" t="s">
        <v>1</v>
      </c>
      <c r="G12" s="54" t="s">
        <v>43</v>
      </c>
    </row>
    <row r="13" spans="1:9">
      <c r="A13" s="49" t="s">
        <v>81</v>
      </c>
      <c r="B13" s="80">
        <v>1</v>
      </c>
      <c r="C13" s="90">
        <v>0.13100000000000001</v>
      </c>
      <c r="D13" s="53">
        <f>+SUM(C13:$C$13)</f>
        <v>0.13100000000000001</v>
      </c>
      <c r="E13" s="53">
        <f>+E5</f>
        <v>5</v>
      </c>
      <c r="F13" s="53">
        <f>+E13*C13</f>
        <v>0.65500000000000003</v>
      </c>
      <c r="G13" s="43">
        <f>1/C13/Summary!$C$7</f>
        <v>1.5267175572519083E-2</v>
      </c>
      <c r="H13" s="49" t="s">
        <v>79</v>
      </c>
      <c r="I13" s="83"/>
    </row>
    <row r="14" spans="1:9">
      <c r="A14" s="49" t="s">
        <v>83</v>
      </c>
      <c r="B14" s="56" t="s">
        <v>5</v>
      </c>
      <c r="C14" s="56">
        <f>+SUM(C13:C13)</f>
        <v>0.13100000000000001</v>
      </c>
      <c r="D14" s="56"/>
      <c r="E14" s="56"/>
      <c r="F14" s="61">
        <f>+SUM(F13:F13)</f>
        <v>0.65500000000000003</v>
      </c>
      <c r="G14" s="45"/>
    </row>
    <row r="15" spans="1:9">
      <c r="G15" s="41"/>
    </row>
    <row r="16" spans="1:9">
      <c r="G16" s="41"/>
    </row>
    <row r="17" spans="1:9">
      <c r="A17" s="52" t="s">
        <v>17</v>
      </c>
      <c r="B17" s="54" t="s">
        <v>73</v>
      </c>
      <c r="C17" s="54" t="s">
        <v>10</v>
      </c>
      <c r="D17" s="54" t="s">
        <v>18</v>
      </c>
      <c r="E17" s="54" t="s">
        <v>8</v>
      </c>
      <c r="F17" s="54" t="s">
        <v>1</v>
      </c>
      <c r="G17" s="54" t="s">
        <v>43</v>
      </c>
    </row>
    <row r="18" spans="1:9">
      <c r="A18" s="49" t="s">
        <v>81</v>
      </c>
      <c r="B18" s="80">
        <v>2</v>
      </c>
      <c r="C18" s="90">
        <v>6.5500000000000003E-2</v>
      </c>
      <c r="D18" s="53">
        <f>+SUM(C$18:$C18)</f>
        <v>6.5500000000000003E-2</v>
      </c>
      <c r="E18" s="53">
        <f>+E6</f>
        <v>10</v>
      </c>
      <c r="F18" s="53">
        <f>+E18*C18</f>
        <v>0.65500000000000003</v>
      </c>
      <c r="G18" s="43">
        <f>1/C18/Summary!$C$7</f>
        <v>3.0534351145038167E-2</v>
      </c>
      <c r="H18" s="49" t="s">
        <v>79</v>
      </c>
      <c r="I18" s="83"/>
    </row>
    <row r="19" spans="1:9">
      <c r="A19" s="49" t="s">
        <v>82</v>
      </c>
      <c r="B19" s="56" t="s">
        <v>5</v>
      </c>
      <c r="C19" s="56">
        <f>+SUM(C18:C18)</f>
        <v>6.5500000000000003E-2</v>
      </c>
      <c r="D19" s="56"/>
      <c r="E19" s="56"/>
      <c r="F19" s="61">
        <f>+SUM(F18:F18)</f>
        <v>0.65500000000000003</v>
      </c>
      <c r="G19" s="45"/>
    </row>
    <row r="20" spans="1:9">
      <c r="G20" s="42"/>
    </row>
    <row r="21" spans="1:9">
      <c r="G21" s="42"/>
    </row>
    <row r="22" spans="1:9">
      <c r="G22" s="42"/>
    </row>
    <row r="23" spans="1:9">
      <c r="G23" s="42"/>
    </row>
    <row r="24" spans="1:9">
      <c r="G24" s="42"/>
    </row>
    <row r="25" spans="1:9">
      <c r="G25" s="42"/>
    </row>
    <row r="26" spans="1:9">
      <c r="G26" s="42"/>
    </row>
    <row r="27" spans="1:9">
      <c r="G27" s="42"/>
    </row>
    <row r="28" spans="1:9">
      <c r="G28" s="42"/>
    </row>
    <row r="29" spans="1:9">
      <c r="G29" s="42"/>
    </row>
    <row r="30" spans="1:9">
      <c r="G30" s="42"/>
    </row>
    <row r="31" spans="1:9">
      <c r="G31" s="42"/>
    </row>
    <row r="32" spans="1:9">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ignoredErrors>
    <ignoredError sqref="D6" formulaRange="1"/>
  </ignoredErrors>
</worksheet>
</file>

<file path=xl/worksheets/sheet17.xml><?xml version="1.0" encoding="utf-8"?>
<worksheet xmlns="http://schemas.openxmlformats.org/spreadsheetml/2006/main" xmlns:r="http://schemas.openxmlformats.org/officeDocument/2006/relationships">
  <sheetPr codeName="Hoja3"/>
  <dimension ref="A1:J126"/>
  <sheetViews>
    <sheetView topLeftCell="A22" workbookViewId="0">
      <selection activeCell="C42" sqref="C42"/>
    </sheetView>
  </sheetViews>
  <sheetFormatPr baseColWidth="10" defaultRowHeight="14.4"/>
  <cols>
    <col min="1" max="1" width="40.6640625" style="8" customWidth="1"/>
    <col min="2" max="2" width="25.21875" style="8" bestFit="1" customWidth="1"/>
    <col min="3" max="3" width="11.5546875" style="8"/>
    <col min="4" max="4" width="15.5546875" style="8" bestFit="1" customWidth="1"/>
    <col min="5" max="5" width="11.5546875" style="8"/>
    <col min="6" max="6" width="13.33203125" style="8" customWidth="1"/>
    <col min="7" max="7" width="15.33203125" style="8" bestFit="1" customWidth="1"/>
    <col min="8" max="8" width="15.109375" style="8" customWidth="1"/>
    <col min="9" max="9" width="11.5546875" style="8"/>
    <col min="10" max="10" width="12.5546875" style="8" bestFit="1" customWidth="1"/>
    <col min="11" max="16384" width="11.5546875" style="8"/>
  </cols>
  <sheetData>
    <row r="1" spans="1:9" ht="18">
      <c r="A1" s="123" t="s">
        <v>85</v>
      </c>
      <c r="B1" s="123"/>
      <c r="C1" s="123"/>
      <c r="D1" s="123"/>
      <c r="E1" s="123"/>
    </row>
    <row r="2" spans="1:9">
      <c r="A2" s="59" t="s">
        <v>86</v>
      </c>
    </row>
    <row r="4" spans="1:9">
      <c r="A4" s="52" t="s">
        <v>9</v>
      </c>
      <c r="B4" s="13" t="s">
        <v>73</v>
      </c>
      <c r="C4" s="13" t="s">
        <v>10</v>
      </c>
      <c r="D4" s="13" t="s">
        <v>18</v>
      </c>
      <c r="E4" s="13" t="s">
        <v>8</v>
      </c>
      <c r="F4" s="13" t="s">
        <v>1</v>
      </c>
      <c r="G4" s="54" t="s">
        <v>43</v>
      </c>
      <c r="H4" s="21"/>
      <c r="I4" s="21"/>
    </row>
    <row r="5" spans="1:9">
      <c r="A5" s="49" t="s">
        <v>80</v>
      </c>
      <c r="B5" s="81">
        <v>1</v>
      </c>
      <c r="C5" s="31">
        <v>0.08</v>
      </c>
      <c r="D5" s="1">
        <f>+SUM($C$5:C5)</f>
        <v>0.08</v>
      </c>
      <c r="E5" s="1">
        <f>+Summary!H27</f>
        <v>5</v>
      </c>
      <c r="F5" s="1">
        <f>+C5*E5</f>
        <v>0.4</v>
      </c>
      <c r="G5" s="43"/>
      <c r="H5" s="21"/>
      <c r="I5" s="21"/>
    </row>
    <row r="6" spans="1:9">
      <c r="A6" s="49"/>
      <c r="B6" s="81">
        <v>2</v>
      </c>
      <c r="C6" s="31">
        <v>1.5E-3</v>
      </c>
      <c r="D6" s="1">
        <f>+SUM($C$5:C6)</f>
        <v>8.1500000000000003E-2</v>
      </c>
      <c r="E6" s="1">
        <f>+Summary!H28</f>
        <v>10</v>
      </c>
      <c r="F6" s="1">
        <f t="shared" ref="F6:F11" si="0">+C6*E6</f>
        <v>1.4999999999999999E-2</v>
      </c>
      <c r="G6" s="43"/>
      <c r="H6" s="21"/>
      <c r="I6" s="21"/>
    </row>
    <row r="7" spans="1:9">
      <c r="A7" s="49"/>
      <c r="B7" s="81">
        <v>3</v>
      </c>
      <c r="C7" s="91">
        <v>0</v>
      </c>
      <c r="D7" s="1">
        <f>+SUM($C$5:C7)</f>
        <v>8.1500000000000003E-2</v>
      </c>
      <c r="E7" s="1">
        <f>+Summary!H29</f>
        <v>15</v>
      </c>
      <c r="F7" s="1">
        <f t="shared" si="0"/>
        <v>0</v>
      </c>
      <c r="G7" s="43"/>
      <c r="H7" s="21"/>
      <c r="I7" s="21"/>
    </row>
    <row r="8" spans="1:9">
      <c r="A8" s="49"/>
      <c r="B8" s="81" t="s">
        <v>74</v>
      </c>
      <c r="C8" s="31">
        <v>0</v>
      </c>
      <c r="D8" s="1">
        <f>+SUM($C$5:C8)</f>
        <v>8.1500000000000003E-2</v>
      </c>
      <c r="E8" s="1">
        <f>+E5+E6</f>
        <v>15</v>
      </c>
      <c r="F8" s="1">
        <f t="shared" si="0"/>
        <v>0</v>
      </c>
      <c r="G8" s="43"/>
      <c r="H8" s="21"/>
      <c r="I8" s="21"/>
    </row>
    <row r="9" spans="1:9">
      <c r="A9" s="49"/>
      <c r="B9" s="81" t="s">
        <v>75</v>
      </c>
      <c r="C9" s="31">
        <v>0</v>
      </c>
      <c r="D9" s="1">
        <f>+SUM($C$5:C9)</f>
        <v>8.1500000000000003E-2</v>
      </c>
      <c r="E9" s="1">
        <f>+E5+E7</f>
        <v>20</v>
      </c>
      <c r="F9" s="1">
        <f t="shared" si="0"/>
        <v>0</v>
      </c>
      <c r="G9" s="43"/>
      <c r="H9" s="21"/>
      <c r="I9" s="21"/>
    </row>
    <row r="10" spans="1:9">
      <c r="A10" s="49"/>
      <c r="B10" s="81" t="s">
        <v>76</v>
      </c>
      <c r="C10" s="31">
        <v>0</v>
      </c>
      <c r="D10" s="1">
        <f>+SUM($C$5:C10)</f>
        <v>8.1500000000000003E-2</v>
      </c>
      <c r="E10" s="1">
        <f>+E6+E7</f>
        <v>25</v>
      </c>
      <c r="F10" s="1">
        <f t="shared" si="0"/>
        <v>0</v>
      </c>
      <c r="G10" s="43"/>
      <c r="H10" s="21"/>
      <c r="I10" s="21"/>
    </row>
    <row r="11" spans="1:9">
      <c r="A11" s="49"/>
      <c r="B11" s="81" t="s">
        <v>77</v>
      </c>
      <c r="C11" s="32">
        <v>8.0000000000000002E-3</v>
      </c>
      <c r="D11" s="1">
        <f>+SUM($C$5:C11)</f>
        <v>8.9499999999999996E-2</v>
      </c>
      <c r="E11" s="1">
        <f>+E5+E6+E7</f>
        <v>30</v>
      </c>
      <c r="F11" s="1">
        <f t="shared" si="0"/>
        <v>0.24</v>
      </c>
      <c r="G11" s="43">
        <f>1/C11/200</f>
        <v>0.625</v>
      </c>
      <c r="H11" s="49" t="s">
        <v>79</v>
      </c>
      <c r="I11" s="21"/>
    </row>
    <row r="12" spans="1:9">
      <c r="A12" s="49"/>
      <c r="B12" s="10" t="s">
        <v>11</v>
      </c>
      <c r="C12" s="10">
        <f>+SUM(C5:C11)</f>
        <v>8.9499999999999996E-2</v>
      </c>
      <c r="D12" s="10"/>
      <c r="E12" s="10"/>
      <c r="F12" s="14">
        <f>+SUM(F5:F11)</f>
        <v>0.65500000000000003</v>
      </c>
      <c r="G12" s="44"/>
      <c r="H12" s="21"/>
      <c r="I12" s="21"/>
    </row>
    <row r="13" spans="1:9">
      <c r="A13" s="49"/>
      <c r="B13" s="15" t="s">
        <v>78</v>
      </c>
      <c r="G13" s="41"/>
      <c r="H13" s="21"/>
      <c r="I13" s="21"/>
    </row>
    <row r="14" spans="1:9">
      <c r="A14" s="49"/>
      <c r="G14" s="41"/>
      <c r="H14" s="21"/>
      <c r="I14" s="21"/>
    </row>
    <row r="15" spans="1:9">
      <c r="A15" s="52" t="s">
        <v>12</v>
      </c>
      <c r="B15" s="13" t="s">
        <v>73</v>
      </c>
      <c r="C15" s="13" t="s">
        <v>10</v>
      </c>
      <c r="D15" s="13" t="s">
        <v>18</v>
      </c>
      <c r="E15" s="13" t="s">
        <v>8</v>
      </c>
      <c r="F15" s="13" t="s">
        <v>1</v>
      </c>
      <c r="G15" s="54" t="s">
        <v>43</v>
      </c>
      <c r="H15" s="21"/>
      <c r="I15" s="21"/>
    </row>
    <row r="16" spans="1:9">
      <c r="A16" s="49" t="s">
        <v>81</v>
      </c>
      <c r="B16" s="80">
        <v>2</v>
      </c>
      <c r="C16" s="90">
        <v>4.0500000000000001E-2</v>
      </c>
      <c r="D16" s="9">
        <f>+SUM(C16:$C$16)</f>
        <v>4.0500000000000001E-2</v>
      </c>
      <c r="E16" s="9">
        <f>+E6</f>
        <v>10</v>
      </c>
      <c r="F16" s="9">
        <f>+C16*E16</f>
        <v>0.40500000000000003</v>
      </c>
      <c r="G16" s="43"/>
      <c r="H16" s="21"/>
      <c r="I16" s="21"/>
    </row>
    <row r="17" spans="1:10">
      <c r="A17" s="49" t="s">
        <v>82</v>
      </c>
      <c r="B17" s="80">
        <v>3</v>
      </c>
      <c r="C17" s="33">
        <v>0</v>
      </c>
      <c r="D17" s="9">
        <f>+SUM(C$16:$C17)</f>
        <v>4.0500000000000001E-2</v>
      </c>
      <c r="E17" s="9">
        <f>+E7</f>
        <v>15</v>
      </c>
      <c r="F17" s="9">
        <f t="shared" ref="F17:F18" si="1">+C17*E17</f>
        <v>0</v>
      </c>
      <c r="G17" s="43"/>
      <c r="H17" s="21"/>
      <c r="I17" s="21"/>
    </row>
    <row r="18" spans="1:10">
      <c r="A18" s="49"/>
      <c r="B18" s="80" t="s">
        <v>76</v>
      </c>
      <c r="C18" s="33">
        <v>0.01</v>
      </c>
      <c r="D18" s="9">
        <f>+SUM(C$16:$C18)</f>
        <v>5.0500000000000003E-2</v>
      </c>
      <c r="E18" s="9">
        <f>+E16+E17</f>
        <v>25</v>
      </c>
      <c r="F18" s="9">
        <f t="shared" si="1"/>
        <v>0.25</v>
      </c>
      <c r="G18" s="43">
        <f>1/C18/200</f>
        <v>0.5</v>
      </c>
      <c r="H18" s="49" t="s">
        <v>79</v>
      </c>
      <c r="I18" s="49"/>
    </row>
    <row r="19" spans="1:10">
      <c r="A19" s="49"/>
      <c r="B19" s="10" t="s">
        <v>5</v>
      </c>
      <c r="C19" s="10">
        <f>+SUM(C16:C18)</f>
        <v>5.0500000000000003E-2</v>
      </c>
      <c r="D19" s="10"/>
      <c r="E19" s="10"/>
      <c r="F19" s="12">
        <f>+SUM(F16:F18)</f>
        <v>0.65500000000000003</v>
      </c>
      <c r="G19" s="45"/>
      <c r="H19" s="21"/>
      <c r="I19" s="21"/>
    </row>
    <row r="20" spans="1:10">
      <c r="A20" s="49"/>
      <c r="B20" s="11"/>
      <c r="C20" s="11"/>
      <c r="D20" s="11"/>
      <c r="E20" s="11"/>
      <c r="F20" s="7"/>
      <c r="G20" s="46"/>
      <c r="H20" s="21"/>
      <c r="I20" s="21"/>
    </row>
    <row r="21" spans="1:10">
      <c r="A21" s="49"/>
      <c r="B21" s="11"/>
      <c r="C21" s="11"/>
      <c r="D21" s="11"/>
      <c r="E21" s="11"/>
      <c r="F21" s="7"/>
      <c r="G21" s="46"/>
      <c r="H21" s="21"/>
      <c r="I21" s="21"/>
    </row>
    <row r="22" spans="1:10">
      <c r="A22" s="52" t="s">
        <v>13</v>
      </c>
      <c r="B22" s="13" t="s">
        <v>73</v>
      </c>
      <c r="C22" s="13" t="s">
        <v>10</v>
      </c>
      <c r="D22" s="13" t="s">
        <v>18</v>
      </c>
      <c r="E22" s="13" t="s">
        <v>8</v>
      </c>
      <c r="F22" s="13" t="s">
        <v>1</v>
      </c>
      <c r="G22" s="54" t="s">
        <v>43</v>
      </c>
      <c r="H22" s="21"/>
      <c r="I22" s="21"/>
    </row>
    <row r="23" spans="1:10">
      <c r="A23" s="49" t="s">
        <v>81</v>
      </c>
      <c r="B23" s="80">
        <v>1</v>
      </c>
      <c r="C23" s="90">
        <v>9.0999999999999998E-2</v>
      </c>
      <c r="D23" s="9">
        <f>+SUM(C23:$C$23)</f>
        <v>9.0999999999999998E-2</v>
      </c>
      <c r="E23" s="9">
        <f>+E5</f>
        <v>5</v>
      </c>
      <c r="F23" s="9">
        <f>+C23*E23</f>
        <v>0.45499999999999996</v>
      </c>
      <c r="G23" s="43"/>
      <c r="H23" s="21"/>
      <c r="I23" s="21"/>
    </row>
    <row r="24" spans="1:10">
      <c r="A24" s="49" t="s">
        <v>83</v>
      </c>
      <c r="B24" s="80">
        <v>3</v>
      </c>
      <c r="C24" s="34">
        <v>0</v>
      </c>
      <c r="D24" s="9">
        <f>+SUM(C$23:$C24)</f>
        <v>9.0999999999999998E-2</v>
      </c>
      <c r="E24" s="9">
        <f>+E7</f>
        <v>15</v>
      </c>
      <c r="F24" s="9">
        <f t="shared" ref="F24:F25" si="2">+C24*E24</f>
        <v>0</v>
      </c>
      <c r="G24" s="43"/>
      <c r="H24" s="21"/>
      <c r="I24" s="21"/>
    </row>
    <row r="25" spans="1:10">
      <c r="A25" s="49"/>
      <c r="B25" s="80" t="s">
        <v>75</v>
      </c>
      <c r="C25" s="34">
        <v>0.01</v>
      </c>
      <c r="D25" s="9">
        <f>+SUM(C$23:$C25)</f>
        <v>0.10099999999999999</v>
      </c>
      <c r="E25" s="9">
        <f>+E23+E24</f>
        <v>20</v>
      </c>
      <c r="F25" s="9">
        <f t="shared" si="2"/>
        <v>0.2</v>
      </c>
      <c r="G25" s="43">
        <f>1/C25/Summary!$C$7</f>
        <v>0.2</v>
      </c>
      <c r="H25" s="49" t="s">
        <v>79</v>
      </c>
      <c r="I25" s="49"/>
      <c r="J25" s="29"/>
    </row>
    <row r="26" spans="1:10">
      <c r="A26" s="49"/>
      <c r="B26" s="10" t="s">
        <v>5</v>
      </c>
      <c r="C26" s="10">
        <f>+SUM(C23:C25)</f>
        <v>0.10099999999999999</v>
      </c>
      <c r="D26" s="10"/>
      <c r="E26" s="10"/>
      <c r="F26" s="12">
        <f>+SUM(F23:F25)</f>
        <v>0.65500000000000003</v>
      </c>
      <c r="G26" s="45"/>
      <c r="H26" s="21"/>
      <c r="I26" s="21"/>
    </row>
    <row r="27" spans="1:10">
      <c r="A27" s="49"/>
      <c r="B27" s="11"/>
      <c r="C27" s="11"/>
      <c r="D27" s="11"/>
      <c r="E27" s="11"/>
      <c r="F27" s="7"/>
      <c r="G27" s="46"/>
      <c r="H27" s="21"/>
      <c r="I27" s="21"/>
    </row>
    <row r="28" spans="1:10">
      <c r="A28" s="49"/>
      <c r="G28" s="41"/>
      <c r="H28" s="21"/>
      <c r="I28" s="21"/>
    </row>
    <row r="29" spans="1:10">
      <c r="A29" s="52" t="s">
        <v>14</v>
      </c>
      <c r="B29" s="13" t="s">
        <v>73</v>
      </c>
      <c r="C29" s="13" t="s">
        <v>10</v>
      </c>
      <c r="D29" s="13" t="s">
        <v>18</v>
      </c>
      <c r="E29" s="13" t="s">
        <v>8</v>
      </c>
      <c r="F29" s="13" t="s">
        <v>1</v>
      </c>
      <c r="G29" s="54" t="s">
        <v>43</v>
      </c>
      <c r="H29" s="21"/>
      <c r="I29" s="21"/>
    </row>
    <row r="30" spans="1:10">
      <c r="A30" s="49" t="s">
        <v>81</v>
      </c>
      <c r="B30" s="80">
        <v>3</v>
      </c>
      <c r="C30" s="90">
        <v>4.3666666666666597E-2</v>
      </c>
      <c r="D30" s="9">
        <f>+SUM(C30:$C$30)</f>
        <v>4.3666666666666597E-2</v>
      </c>
      <c r="E30" s="9">
        <f>+E7</f>
        <v>15</v>
      </c>
      <c r="F30" s="9">
        <f>+C30*E30</f>
        <v>0.65499999999999892</v>
      </c>
      <c r="G30" s="43">
        <f>1/C30/Summary!$C$7</f>
        <v>4.5801526717557321E-2</v>
      </c>
      <c r="H30" s="49" t="s">
        <v>79</v>
      </c>
      <c r="I30" s="49"/>
    </row>
    <row r="31" spans="1:10">
      <c r="A31" s="49" t="s">
        <v>82</v>
      </c>
      <c r="B31" s="10" t="s">
        <v>5</v>
      </c>
      <c r="C31" s="10">
        <f>+SUM(C30:C30)</f>
        <v>4.3666666666666597E-2</v>
      </c>
      <c r="D31" s="10"/>
      <c r="E31" s="10"/>
      <c r="F31" s="12">
        <f>+SUM(F30:F30)</f>
        <v>0.65499999999999892</v>
      </c>
      <c r="G31" s="45"/>
      <c r="H31" s="21"/>
      <c r="I31" s="49"/>
    </row>
    <row r="32" spans="1:10">
      <c r="A32" s="49" t="s">
        <v>83</v>
      </c>
      <c r="G32" s="41"/>
      <c r="H32" s="21"/>
      <c r="I32" s="49"/>
    </row>
    <row r="33" spans="1:9">
      <c r="A33" s="49"/>
      <c r="G33" s="41"/>
      <c r="H33" s="21"/>
      <c r="I33" s="49"/>
    </row>
    <row r="34" spans="1:9">
      <c r="A34" s="52" t="s">
        <v>15</v>
      </c>
      <c r="B34" s="13" t="s">
        <v>73</v>
      </c>
      <c r="C34" s="13" t="s">
        <v>10</v>
      </c>
      <c r="D34" s="13" t="s">
        <v>18</v>
      </c>
      <c r="E34" s="13" t="s">
        <v>8</v>
      </c>
      <c r="F34" s="13" t="s">
        <v>1</v>
      </c>
      <c r="G34" s="54" t="s">
        <v>43</v>
      </c>
      <c r="H34" s="21"/>
      <c r="I34" s="49"/>
    </row>
    <row r="35" spans="1:9">
      <c r="A35" s="49" t="s">
        <v>81</v>
      </c>
      <c r="B35" s="80">
        <v>1</v>
      </c>
      <c r="C35" s="90">
        <v>8.5000000000000006E-2</v>
      </c>
      <c r="D35" s="9">
        <f>+SUM(C35:$C$35)</f>
        <v>8.5000000000000006E-2</v>
      </c>
      <c r="E35" s="9">
        <f>+E5</f>
        <v>5</v>
      </c>
      <c r="F35" s="9">
        <f>+C35*E35</f>
        <v>0.42500000000000004</v>
      </c>
      <c r="G35" s="43"/>
      <c r="H35" s="21"/>
      <c r="I35" s="49"/>
    </row>
    <row r="36" spans="1:9">
      <c r="A36" s="49" t="s">
        <v>84</v>
      </c>
      <c r="B36" s="80">
        <v>2</v>
      </c>
      <c r="C36" s="90">
        <v>1.55E-2</v>
      </c>
      <c r="D36" s="9">
        <f>+SUM(C$35:$C36)</f>
        <v>0.10050000000000001</v>
      </c>
      <c r="E36" s="9">
        <f>+E6</f>
        <v>10</v>
      </c>
      <c r="F36" s="9">
        <f t="shared" ref="F36:F37" si="3">+C36*E36</f>
        <v>0.155</v>
      </c>
      <c r="G36" s="43"/>
      <c r="H36" s="21"/>
      <c r="I36" s="49"/>
    </row>
    <row r="37" spans="1:9">
      <c r="A37" s="49"/>
      <c r="B37" s="80" t="s">
        <v>74</v>
      </c>
      <c r="C37" s="35">
        <v>5.0000000000000001E-3</v>
      </c>
      <c r="D37" s="9">
        <f>+SUM(C$35:$C37)</f>
        <v>0.10550000000000001</v>
      </c>
      <c r="E37" s="9">
        <f>+E35+E36</f>
        <v>15</v>
      </c>
      <c r="F37" s="9">
        <f t="shared" si="3"/>
        <v>7.4999999999999997E-2</v>
      </c>
      <c r="G37" s="43">
        <f>1/C37/Summary!$C$7</f>
        <v>0.4</v>
      </c>
      <c r="H37" s="49" t="s">
        <v>79</v>
      </c>
      <c r="I37" s="49"/>
    </row>
    <row r="38" spans="1:9">
      <c r="A38" s="58"/>
      <c r="B38" s="10" t="s">
        <v>5</v>
      </c>
      <c r="C38" s="10">
        <f>+SUM(C35:C37)</f>
        <v>0.10550000000000001</v>
      </c>
      <c r="D38" s="10"/>
      <c r="E38" s="10"/>
      <c r="F38" s="12">
        <f>+SUM(F35:F37)</f>
        <v>0.65500000000000003</v>
      </c>
      <c r="G38" s="45"/>
      <c r="H38" s="21"/>
      <c r="I38" s="49"/>
    </row>
    <row r="39" spans="1:9">
      <c r="A39" s="58"/>
      <c r="G39" s="41"/>
      <c r="H39" s="21"/>
      <c r="I39" s="49"/>
    </row>
    <row r="40" spans="1:9">
      <c r="A40" s="49"/>
      <c r="G40" s="41"/>
      <c r="H40" s="21"/>
      <c r="I40" s="49"/>
    </row>
    <row r="41" spans="1:9">
      <c r="A41" s="52" t="s">
        <v>16</v>
      </c>
      <c r="B41" s="13" t="s">
        <v>73</v>
      </c>
      <c r="C41" s="13" t="s">
        <v>10</v>
      </c>
      <c r="D41" s="13" t="s">
        <v>18</v>
      </c>
      <c r="E41" s="13" t="s">
        <v>8</v>
      </c>
      <c r="F41" s="13" t="s">
        <v>1</v>
      </c>
      <c r="G41" s="54" t="s">
        <v>43</v>
      </c>
      <c r="H41" s="21"/>
      <c r="I41" s="49"/>
    </row>
    <row r="42" spans="1:9">
      <c r="A42" s="49" t="s">
        <v>81</v>
      </c>
      <c r="B42" s="80">
        <v>1</v>
      </c>
      <c r="C42" s="90">
        <v>0.13100000000000001</v>
      </c>
      <c r="D42" s="9">
        <f>+SUM(C42:$C$42)</f>
        <v>0.13100000000000001</v>
      </c>
      <c r="E42" s="9">
        <f>+E5</f>
        <v>5</v>
      </c>
      <c r="F42" s="9">
        <f>+E42*C42</f>
        <v>0.65500000000000003</v>
      </c>
      <c r="G42" s="43">
        <f>1/C42/Summary!$C$7</f>
        <v>1.5267175572519083E-2</v>
      </c>
      <c r="H42" s="49" t="s">
        <v>79</v>
      </c>
      <c r="I42" s="49"/>
    </row>
    <row r="43" spans="1:9">
      <c r="A43" s="49" t="s">
        <v>83</v>
      </c>
      <c r="B43" s="10" t="s">
        <v>5</v>
      </c>
      <c r="C43" s="10">
        <f>+SUM(C42:C42)</f>
        <v>0.13100000000000001</v>
      </c>
      <c r="D43" s="10"/>
      <c r="E43" s="10"/>
      <c r="F43" s="12">
        <f>+SUM(F42:F42)</f>
        <v>0.65500000000000003</v>
      </c>
      <c r="G43" s="45"/>
      <c r="H43" s="21"/>
      <c r="I43" s="49"/>
    </row>
    <row r="44" spans="1:9">
      <c r="A44" s="49" t="s">
        <v>84</v>
      </c>
      <c r="G44" s="41"/>
      <c r="H44" s="21"/>
      <c r="I44" s="49"/>
    </row>
    <row r="45" spans="1:9">
      <c r="A45" s="49"/>
      <c r="G45" s="41"/>
      <c r="H45" s="21"/>
      <c r="I45" s="49"/>
    </row>
    <row r="46" spans="1:9">
      <c r="A46" s="52" t="s">
        <v>17</v>
      </c>
      <c r="B46" s="13" t="s">
        <v>73</v>
      </c>
      <c r="C46" s="13" t="s">
        <v>10</v>
      </c>
      <c r="D46" s="13" t="s">
        <v>18</v>
      </c>
      <c r="E46" s="13" t="s">
        <v>8</v>
      </c>
      <c r="F46" s="13" t="s">
        <v>1</v>
      </c>
      <c r="G46" s="54" t="s">
        <v>43</v>
      </c>
      <c r="H46" s="21"/>
      <c r="I46" s="49"/>
    </row>
    <row r="47" spans="1:9">
      <c r="A47" s="49" t="s">
        <v>81</v>
      </c>
      <c r="B47" s="80">
        <v>2</v>
      </c>
      <c r="C47" s="90">
        <v>6.5500000000000003E-2</v>
      </c>
      <c r="D47" s="9">
        <f>+SUM(C$47:$C47)</f>
        <v>6.5500000000000003E-2</v>
      </c>
      <c r="E47" s="9">
        <f>+E6</f>
        <v>10</v>
      </c>
      <c r="F47" s="9">
        <f>+E47*C47</f>
        <v>0.65500000000000003</v>
      </c>
      <c r="G47" s="43">
        <f>1/C47/Summary!$C$7</f>
        <v>3.0534351145038167E-2</v>
      </c>
      <c r="H47" s="49" t="s">
        <v>79</v>
      </c>
      <c r="I47" s="49"/>
    </row>
    <row r="48" spans="1:9">
      <c r="A48" s="49" t="s">
        <v>82</v>
      </c>
      <c r="B48" s="10" t="s">
        <v>5</v>
      </c>
      <c r="C48" s="10">
        <f>+SUM(C47:C47)</f>
        <v>6.5500000000000003E-2</v>
      </c>
      <c r="D48" s="10"/>
      <c r="E48" s="10"/>
      <c r="F48" s="12">
        <f>+SUM(F47:F47)</f>
        <v>0.65500000000000003</v>
      </c>
      <c r="G48" s="45"/>
      <c r="H48" s="21"/>
      <c r="I48" s="21"/>
    </row>
    <row r="49" spans="1:9">
      <c r="A49" s="49" t="s">
        <v>84</v>
      </c>
      <c r="G49" s="42"/>
      <c r="H49" s="21"/>
      <c r="I49" s="21"/>
    </row>
    <row r="50" spans="1:9">
      <c r="A50" s="49"/>
      <c r="G50" s="42"/>
      <c r="H50" s="21"/>
      <c r="I50" s="21"/>
    </row>
    <row r="51" spans="1:9">
      <c r="A51" s="49"/>
      <c r="G51" s="42"/>
      <c r="H51" s="21"/>
      <c r="I51" s="21"/>
    </row>
    <row r="52" spans="1:9">
      <c r="A52" s="49"/>
      <c r="G52" s="42"/>
      <c r="H52" s="21"/>
      <c r="I52" s="21"/>
    </row>
    <row r="53" spans="1:9">
      <c r="A53" s="49"/>
      <c r="G53" s="42"/>
      <c r="H53" s="21"/>
      <c r="I53" s="21"/>
    </row>
    <row r="54" spans="1:9">
      <c r="A54" s="49"/>
      <c r="G54" s="42"/>
      <c r="H54" s="21"/>
      <c r="I54" s="21"/>
    </row>
    <row r="55" spans="1:9">
      <c r="A55" s="49"/>
      <c r="G55" s="42"/>
      <c r="H55" s="21"/>
      <c r="I55" s="21"/>
    </row>
    <row r="56" spans="1:9">
      <c r="A56" s="49"/>
      <c r="G56" s="42"/>
      <c r="H56" s="21"/>
      <c r="I56" s="21"/>
    </row>
    <row r="57" spans="1:9">
      <c r="A57" s="49"/>
      <c r="G57" s="42"/>
      <c r="H57" s="21"/>
      <c r="I57" s="21"/>
    </row>
    <row r="58" spans="1:9">
      <c r="A58" s="49"/>
      <c r="G58" s="42"/>
      <c r="H58" s="21"/>
      <c r="I58" s="21"/>
    </row>
    <row r="59" spans="1:9">
      <c r="A59" s="49"/>
      <c r="G59" s="42"/>
      <c r="H59" s="21"/>
      <c r="I59" s="21"/>
    </row>
    <row r="60" spans="1:9">
      <c r="A60" s="49"/>
      <c r="G60" s="42"/>
      <c r="H60" s="21"/>
      <c r="I60" s="21"/>
    </row>
    <row r="61" spans="1:9">
      <c r="A61" s="49"/>
      <c r="G61" s="42"/>
      <c r="H61" s="21"/>
      <c r="I61" s="21"/>
    </row>
    <row r="62" spans="1:9">
      <c r="A62" s="49"/>
      <c r="G62" s="42"/>
      <c r="H62" s="21"/>
      <c r="I62" s="21"/>
    </row>
    <row r="63" spans="1:9">
      <c r="A63" s="49"/>
      <c r="G63" s="37"/>
      <c r="H63" s="21"/>
      <c r="I63" s="21"/>
    </row>
    <row r="64" spans="1:9">
      <c r="A64" s="49"/>
      <c r="G64" s="37"/>
      <c r="H64" s="21"/>
      <c r="I64" s="21"/>
    </row>
    <row r="65" spans="1:9">
      <c r="A65" s="49"/>
      <c r="G65" s="37"/>
      <c r="H65" s="21"/>
      <c r="I65" s="21"/>
    </row>
    <row r="66" spans="1:9">
      <c r="A66" s="49"/>
      <c r="G66" s="37"/>
      <c r="H66" s="21"/>
      <c r="I66" s="21"/>
    </row>
    <row r="67" spans="1:9">
      <c r="A67" s="49"/>
      <c r="G67" s="37"/>
      <c r="H67" s="21"/>
      <c r="I67" s="21"/>
    </row>
    <row r="68" spans="1:9">
      <c r="A68" s="49"/>
      <c r="G68" s="37"/>
      <c r="H68" s="21"/>
      <c r="I68" s="21"/>
    </row>
    <row r="69" spans="1:9">
      <c r="A69" s="49"/>
      <c r="G69" s="37"/>
      <c r="H69" s="21"/>
      <c r="I69" s="21"/>
    </row>
    <row r="70" spans="1:9">
      <c r="A70" s="49"/>
      <c r="G70" s="37"/>
      <c r="H70" s="21"/>
      <c r="I70" s="21"/>
    </row>
    <row r="71" spans="1:9">
      <c r="A71" s="49"/>
      <c r="G71" s="36"/>
      <c r="H71" s="21"/>
      <c r="I71" s="21"/>
    </row>
    <row r="72" spans="1:9">
      <c r="A72" s="49"/>
      <c r="G72" s="36"/>
      <c r="H72" s="21"/>
      <c r="I72" s="21"/>
    </row>
    <row r="73" spans="1:9">
      <c r="A73" s="49"/>
      <c r="G73" s="36"/>
      <c r="H73" s="21"/>
      <c r="I73" s="21"/>
    </row>
    <row r="74" spans="1:9">
      <c r="A74" s="49"/>
      <c r="G74" s="36"/>
      <c r="H74" s="21"/>
      <c r="I74" s="21"/>
    </row>
    <row r="75" spans="1:9">
      <c r="A75" s="49"/>
      <c r="G75" s="36"/>
      <c r="H75" s="21"/>
      <c r="I75" s="21"/>
    </row>
    <row r="76" spans="1:9">
      <c r="A76" s="49"/>
      <c r="G76" s="36"/>
      <c r="H76" s="21"/>
      <c r="I76" s="21"/>
    </row>
    <row r="77" spans="1:9">
      <c r="A77" s="49"/>
      <c r="G77" s="36"/>
      <c r="H77" s="21"/>
      <c r="I77" s="21"/>
    </row>
    <row r="78" spans="1:9">
      <c r="A78" s="49"/>
      <c r="G78" s="36"/>
      <c r="H78" s="21"/>
      <c r="I78" s="21"/>
    </row>
    <row r="79" spans="1:9">
      <c r="A79" s="49"/>
      <c r="G79" s="36"/>
      <c r="H79" s="21"/>
      <c r="I79" s="21"/>
    </row>
    <row r="80" spans="1:9">
      <c r="A80" s="49"/>
      <c r="G80" s="36"/>
      <c r="H80" s="21"/>
      <c r="I80" s="21"/>
    </row>
    <row r="81" spans="1:9">
      <c r="A81" s="49"/>
      <c r="G81" s="36"/>
      <c r="H81" s="21"/>
      <c r="I81" s="21"/>
    </row>
    <row r="82" spans="1:9">
      <c r="A82" s="49"/>
      <c r="G82" s="36"/>
      <c r="H82" s="21"/>
      <c r="I82" s="21"/>
    </row>
    <row r="83" spans="1:9">
      <c r="A83" s="49"/>
      <c r="G83" s="36"/>
      <c r="H83" s="21"/>
      <c r="I83" s="21"/>
    </row>
    <row r="84" spans="1:9">
      <c r="A84" s="49"/>
      <c r="G84" s="36"/>
      <c r="H84" s="21"/>
      <c r="I84" s="21"/>
    </row>
    <row r="85" spans="1:9">
      <c r="A85" s="49"/>
      <c r="G85" s="36"/>
      <c r="H85" s="21"/>
      <c r="I85" s="21"/>
    </row>
    <row r="86" spans="1:9">
      <c r="A86" s="49"/>
      <c r="G86" s="36"/>
      <c r="H86" s="21"/>
      <c r="I86" s="21"/>
    </row>
    <row r="87" spans="1:9">
      <c r="A87" s="49"/>
      <c r="G87" s="36"/>
      <c r="H87" s="21"/>
      <c r="I87" s="21"/>
    </row>
    <row r="88" spans="1:9">
      <c r="A88" s="49"/>
      <c r="G88" s="36"/>
      <c r="H88" s="21"/>
      <c r="I88" s="21"/>
    </row>
    <row r="89" spans="1:9">
      <c r="A89" s="49"/>
      <c r="G89" s="36"/>
      <c r="H89" s="21"/>
      <c r="I89" s="21"/>
    </row>
    <row r="90" spans="1:9">
      <c r="A90" s="49"/>
      <c r="G90" s="36"/>
      <c r="H90" s="21"/>
      <c r="I90" s="21"/>
    </row>
    <row r="91" spans="1:9">
      <c r="A91" s="49"/>
      <c r="G91" s="36"/>
      <c r="H91" s="21"/>
      <c r="I91" s="21"/>
    </row>
    <row r="92" spans="1:9">
      <c r="A92" s="49"/>
      <c r="G92" s="36"/>
      <c r="H92" s="21"/>
      <c r="I92" s="21"/>
    </row>
    <row r="93" spans="1:9">
      <c r="A93" s="49"/>
      <c r="G93" s="36"/>
      <c r="H93" s="21"/>
      <c r="I93" s="21"/>
    </row>
    <row r="94" spans="1:9">
      <c r="A94" s="49"/>
      <c r="G94" s="36"/>
      <c r="H94" s="21"/>
      <c r="I94" s="21"/>
    </row>
    <row r="95" spans="1:9">
      <c r="A95" s="49"/>
      <c r="G95" s="36"/>
      <c r="H95" s="21"/>
      <c r="I95" s="21"/>
    </row>
    <row r="96" spans="1:9">
      <c r="A96" s="49"/>
      <c r="G96" s="36"/>
      <c r="H96" s="21"/>
      <c r="I96" s="21"/>
    </row>
    <row r="97" spans="1:9">
      <c r="A97" s="49"/>
      <c r="G97" s="36"/>
      <c r="H97" s="21"/>
      <c r="I97" s="21"/>
    </row>
    <row r="98" spans="1:9">
      <c r="A98" s="49"/>
      <c r="G98" s="36"/>
      <c r="H98" s="21"/>
      <c r="I98" s="21"/>
    </row>
    <row r="99" spans="1:9">
      <c r="A99" s="49"/>
      <c r="G99" s="36"/>
      <c r="H99" s="21"/>
      <c r="I99" s="21"/>
    </row>
    <row r="100" spans="1:9">
      <c r="A100" s="49"/>
      <c r="G100" s="36"/>
      <c r="H100" s="21"/>
      <c r="I100" s="21"/>
    </row>
    <row r="101" spans="1:9">
      <c r="A101" s="49"/>
      <c r="G101" s="36"/>
      <c r="H101" s="21"/>
      <c r="I101" s="21"/>
    </row>
    <row r="102" spans="1:9">
      <c r="A102" s="49"/>
      <c r="G102" s="36"/>
      <c r="H102" s="21"/>
      <c r="I102" s="21"/>
    </row>
    <row r="103" spans="1:9">
      <c r="A103" s="49"/>
      <c r="G103" s="36"/>
      <c r="H103" s="21"/>
      <c r="I103" s="21"/>
    </row>
    <row r="104" spans="1:9">
      <c r="A104" s="49"/>
      <c r="G104" s="36"/>
      <c r="H104" s="21"/>
      <c r="I104" s="21"/>
    </row>
    <row r="105" spans="1:9">
      <c r="A105" s="49"/>
      <c r="G105" s="36"/>
      <c r="H105" s="21"/>
      <c r="I105" s="21"/>
    </row>
    <row r="106" spans="1:9">
      <c r="A106" s="49"/>
      <c r="G106" s="36"/>
      <c r="H106" s="21"/>
      <c r="I106" s="21"/>
    </row>
    <row r="107" spans="1:9">
      <c r="A107" s="49"/>
      <c r="G107" s="36"/>
      <c r="H107" s="21"/>
      <c r="I107" s="21"/>
    </row>
    <row r="108" spans="1:9">
      <c r="A108" s="49"/>
      <c r="G108" s="36"/>
      <c r="H108" s="21"/>
      <c r="I108" s="21"/>
    </row>
    <row r="109" spans="1:9">
      <c r="A109" s="49"/>
      <c r="G109" s="36"/>
      <c r="H109" s="21"/>
      <c r="I109" s="21"/>
    </row>
    <row r="110" spans="1:9">
      <c r="A110" s="49"/>
      <c r="G110" s="36"/>
      <c r="H110" s="21"/>
      <c r="I110" s="21"/>
    </row>
    <row r="111" spans="1:9">
      <c r="A111" s="49"/>
      <c r="G111" s="36"/>
      <c r="H111" s="21"/>
      <c r="I111" s="21"/>
    </row>
    <row r="112" spans="1:9">
      <c r="A112" s="49"/>
      <c r="G112" s="36"/>
      <c r="H112" s="21"/>
      <c r="I112" s="21"/>
    </row>
    <row r="113" spans="1:9">
      <c r="A113" s="49"/>
      <c r="G113" s="36"/>
      <c r="H113" s="21"/>
      <c r="I113" s="21"/>
    </row>
    <row r="114" spans="1:9">
      <c r="A114" s="49"/>
      <c r="G114" s="36"/>
      <c r="H114" s="21"/>
      <c r="I114" s="21"/>
    </row>
    <row r="115" spans="1:9">
      <c r="A115" s="49"/>
      <c r="G115" s="36"/>
      <c r="H115" s="21"/>
      <c r="I115" s="21"/>
    </row>
    <row r="116" spans="1:9">
      <c r="A116" s="49"/>
      <c r="G116" s="36"/>
      <c r="H116" s="21"/>
      <c r="I116" s="21"/>
    </row>
    <row r="117" spans="1:9">
      <c r="A117" s="49"/>
      <c r="G117" s="36"/>
      <c r="H117" s="21"/>
      <c r="I117" s="21"/>
    </row>
    <row r="118" spans="1:9">
      <c r="G118" s="36"/>
      <c r="H118" s="21"/>
      <c r="I118" s="21"/>
    </row>
    <row r="119" spans="1:9">
      <c r="G119" s="36"/>
      <c r="H119" s="21"/>
      <c r="I119" s="21"/>
    </row>
    <row r="120" spans="1:9">
      <c r="G120" s="36"/>
      <c r="H120" s="21"/>
      <c r="I120" s="21"/>
    </row>
    <row r="121" spans="1:9">
      <c r="G121" s="27"/>
      <c r="H121" s="21"/>
      <c r="I121" s="21"/>
    </row>
    <row r="122" spans="1:9">
      <c r="G122" s="27"/>
      <c r="H122" s="21"/>
      <c r="I122" s="21"/>
    </row>
    <row r="123" spans="1:9">
      <c r="G123" s="27"/>
      <c r="H123" s="21"/>
      <c r="I123" s="21"/>
    </row>
    <row r="124" spans="1:9">
      <c r="G124" s="27"/>
      <c r="H124" s="21"/>
      <c r="I124" s="21"/>
    </row>
    <row r="125" spans="1:9">
      <c r="G125" s="27"/>
      <c r="H125" s="21"/>
      <c r="I125" s="21"/>
    </row>
    <row r="126" spans="1:9">
      <c r="G126" s="27"/>
      <c r="H126" s="21"/>
      <c r="I126" s="21"/>
    </row>
  </sheetData>
  <mergeCells count="1">
    <mergeCell ref="A1:E1"/>
  </mergeCells>
  <pageMargins left="0.7" right="0.7" top="0.75" bottom="0.75" header="0.3" footer="0.3"/>
  <pageSetup paperSize="9" orientation="portrait" horizontalDpi="200" verticalDpi="200" r:id="rId1"/>
  <ignoredErrors>
    <ignoredError sqref="D6:D7 D8:D11 D17:D18" formulaRange="1"/>
  </ignoredErrors>
</worksheet>
</file>

<file path=xl/worksheets/sheet18.xml><?xml version="1.0" encoding="utf-8"?>
<worksheet xmlns="http://schemas.openxmlformats.org/spreadsheetml/2006/main" xmlns:r="http://schemas.openxmlformats.org/officeDocument/2006/relationships">
  <sheetPr codeName="Hoja4"/>
  <dimension ref="A1:L126"/>
  <sheetViews>
    <sheetView topLeftCell="A19" workbookViewId="0">
      <selection activeCell="G25" sqref="G25"/>
    </sheetView>
  </sheetViews>
  <sheetFormatPr baseColWidth="10" defaultRowHeight="14.4"/>
  <cols>
    <col min="1" max="1" width="40.6640625" style="8" customWidth="1"/>
    <col min="2" max="2" width="25.21875" style="8" bestFit="1" customWidth="1"/>
    <col min="3" max="3" width="12.5546875" style="8" bestFit="1" customWidth="1"/>
    <col min="4" max="4" width="15.5546875" style="8" bestFit="1" customWidth="1"/>
    <col min="5" max="5" width="11.5546875" style="8"/>
    <col min="6" max="6" width="13.33203125" style="8" customWidth="1"/>
    <col min="7" max="7" width="15.33203125" style="8" bestFit="1" customWidth="1"/>
    <col min="8" max="8" width="15.88671875" style="8" customWidth="1"/>
    <col min="9" max="9" width="12" style="8" customWidth="1"/>
    <col min="10" max="16384" width="11.5546875" style="8"/>
  </cols>
  <sheetData>
    <row r="1" spans="1:12" ht="18">
      <c r="A1" s="123" t="s">
        <v>89</v>
      </c>
      <c r="B1" s="123"/>
      <c r="C1" s="123"/>
      <c r="D1" s="123"/>
      <c r="E1" s="123"/>
    </row>
    <row r="2" spans="1:12">
      <c r="A2" s="59" t="s">
        <v>86</v>
      </c>
    </row>
    <row r="4" spans="1:12">
      <c r="A4" s="52" t="s">
        <v>9</v>
      </c>
      <c r="B4" s="54" t="s">
        <v>73</v>
      </c>
      <c r="C4" s="13" t="s">
        <v>10</v>
      </c>
      <c r="D4" s="13" t="s">
        <v>18</v>
      </c>
      <c r="E4" s="13" t="s">
        <v>8</v>
      </c>
      <c r="F4" s="13" t="s">
        <v>1</v>
      </c>
      <c r="G4" s="54" t="s">
        <v>43</v>
      </c>
      <c r="H4" s="21"/>
      <c r="I4" s="21"/>
    </row>
    <row r="5" spans="1:12">
      <c r="A5" s="49" t="s">
        <v>80</v>
      </c>
      <c r="B5" s="81">
        <v>1</v>
      </c>
      <c r="C5" s="88">
        <v>7.8700000000000006E-2</v>
      </c>
      <c r="D5" s="1">
        <f>+SUM($C$5:C5)</f>
        <v>7.8700000000000006E-2</v>
      </c>
      <c r="E5" s="1">
        <f>+Summary!K27</f>
        <v>5</v>
      </c>
      <c r="F5" s="1">
        <f>+C5*E5</f>
        <v>0.39350000000000002</v>
      </c>
      <c r="G5" s="43"/>
      <c r="H5" s="21"/>
      <c r="I5" s="21"/>
      <c r="L5" s="49"/>
    </row>
    <row r="6" spans="1:12">
      <c r="A6" s="49"/>
      <c r="B6" s="81">
        <v>2</v>
      </c>
      <c r="C6" s="88">
        <v>5.0000000000000001E-3</v>
      </c>
      <c r="D6" s="1">
        <f>+SUM($C$5:C6)</f>
        <v>8.3700000000000011E-2</v>
      </c>
      <c r="E6" s="1">
        <f>+Summary!K28</f>
        <v>12</v>
      </c>
      <c r="F6" s="1">
        <f t="shared" ref="F6:F11" si="0">+C6*E6</f>
        <v>0.06</v>
      </c>
      <c r="G6" s="43"/>
      <c r="H6" s="21"/>
      <c r="I6" s="21"/>
      <c r="L6" s="49"/>
    </row>
    <row r="7" spans="1:12">
      <c r="A7" s="49"/>
      <c r="B7" s="81">
        <v>3</v>
      </c>
      <c r="C7" s="88">
        <v>1E-3</v>
      </c>
      <c r="D7" s="1">
        <f>+SUM($C$5:C7)</f>
        <v>8.4700000000000011E-2</v>
      </c>
      <c r="E7" s="1">
        <f>+Summary!K29</f>
        <v>18</v>
      </c>
      <c r="F7" s="1">
        <f t="shared" si="0"/>
        <v>1.8000000000000002E-2</v>
      </c>
      <c r="G7" s="43"/>
      <c r="H7" s="21"/>
      <c r="I7" s="28"/>
      <c r="L7" s="49"/>
    </row>
    <row r="8" spans="1:12">
      <c r="A8" s="49"/>
      <c r="B8" s="81" t="s">
        <v>74</v>
      </c>
      <c r="C8" s="88">
        <v>5.0000000000000001E-4</v>
      </c>
      <c r="D8" s="1">
        <f>+SUM($C$5:C8)</f>
        <v>8.5200000000000012E-2</v>
      </c>
      <c r="E8" s="1">
        <f>+E5+E6</f>
        <v>17</v>
      </c>
      <c r="F8" s="1">
        <f t="shared" si="0"/>
        <v>8.5000000000000006E-3</v>
      </c>
      <c r="G8" s="43"/>
      <c r="H8" s="21"/>
      <c r="I8" s="83"/>
      <c r="L8" s="49"/>
    </row>
    <row r="9" spans="1:12">
      <c r="A9" s="49"/>
      <c r="B9" s="81" t="s">
        <v>75</v>
      </c>
      <c r="C9" s="38">
        <v>0</v>
      </c>
      <c r="D9" s="1">
        <f>+SUM($C$5:C9)</f>
        <v>8.5200000000000012E-2</v>
      </c>
      <c r="E9" s="1">
        <f>+E5+E7</f>
        <v>23</v>
      </c>
      <c r="F9" s="1">
        <f t="shared" si="0"/>
        <v>0</v>
      </c>
      <c r="G9" s="43"/>
      <c r="H9" s="21"/>
      <c r="I9" s="21"/>
      <c r="L9" s="49"/>
    </row>
    <row r="10" spans="1:12">
      <c r="A10" s="49"/>
      <c r="B10" s="81" t="s">
        <v>76</v>
      </c>
      <c r="C10" s="38">
        <v>0</v>
      </c>
      <c r="D10" s="1">
        <f>+SUM($C$5:C10)</f>
        <v>8.5200000000000012E-2</v>
      </c>
      <c r="E10" s="1">
        <f>+E6+E7</f>
        <v>30</v>
      </c>
      <c r="F10" s="1">
        <f t="shared" si="0"/>
        <v>0</v>
      </c>
      <c r="G10" s="43"/>
      <c r="H10" s="21"/>
      <c r="I10" s="21"/>
      <c r="L10" s="49"/>
    </row>
    <row r="11" spans="1:12">
      <c r="A11" s="49"/>
      <c r="B11" s="81" t="s">
        <v>77</v>
      </c>
      <c r="C11" s="38">
        <v>5.0000000000000001E-3</v>
      </c>
      <c r="D11" s="1">
        <f>+SUM($C$5:C11)</f>
        <v>9.0200000000000016E-2</v>
      </c>
      <c r="E11" s="1">
        <f>+E5+E6+E7</f>
        <v>35</v>
      </c>
      <c r="F11" s="1">
        <f t="shared" si="0"/>
        <v>0.17500000000000002</v>
      </c>
      <c r="G11" s="43">
        <f>1/C11/Summary!$C$7</f>
        <v>0.4</v>
      </c>
      <c r="H11" s="49" t="s">
        <v>79</v>
      </c>
      <c r="I11" s="21"/>
    </row>
    <row r="12" spans="1:12">
      <c r="A12" s="49"/>
      <c r="B12" s="56" t="s">
        <v>11</v>
      </c>
      <c r="C12" s="10">
        <f>+SUM(C5:C11)</f>
        <v>9.0200000000000016E-2</v>
      </c>
      <c r="D12" s="10"/>
      <c r="E12" s="10"/>
      <c r="F12" s="14">
        <f>+SUM(F5:F11)</f>
        <v>0.65500000000000003</v>
      </c>
      <c r="G12" s="44"/>
      <c r="H12" s="21"/>
      <c r="I12" s="21"/>
      <c r="J12" s="21"/>
    </row>
    <row r="13" spans="1:12">
      <c r="A13" s="49"/>
      <c r="B13" s="57" t="s">
        <v>78</v>
      </c>
      <c r="G13" s="41"/>
      <c r="H13" s="21"/>
      <c r="I13" s="21"/>
      <c r="J13" s="21"/>
    </row>
    <row r="14" spans="1:12">
      <c r="A14" s="49"/>
      <c r="B14" s="49"/>
      <c r="G14" s="41"/>
      <c r="H14" s="21"/>
      <c r="I14" s="21"/>
      <c r="J14" s="21"/>
    </row>
    <row r="15" spans="1:12">
      <c r="A15" s="52" t="s">
        <v>12</v>
      </c>
      <c r="B15" s="54" t="s">
        <v>73</v>
      </c>
      <c r="C15" s="13" t="s">
        <v>10</v>
      </c>
      <c r="D15" s="13" t="s">
        <v>18</v>
      </c>
      <c r="E15" s="13" t="s">
        <v>8</v>
      </c>
      <c r="F15" s="13" t="s">
        <v>1</v>
      </c>
      <c r="G15" s="54" t="s">
        <v>43</v>
      </c>
      <c r="H15" s="21"/>
      <c r="I15" s="21"/>
      <c r="J15" s="21"/>
    </row>
    <row r="16" spans="1:12">
      <c r="A16" s="49" t="s">
        <v>81</v>
      </c>
      <c r="B16" s="80">
        <v>2</v>
      </c>
      <c r="C16" s="90">
        <v>3.8833333333333303E-2</v>
      </c>
      <c r="D16" s="9">
        <f>+SUM(C16:$C$16)</f>
        <v>3.8833333333333303E-2</v>
      </c>
      <c r="E16" s="9">
        <f>+E6</f>
        <v>12</v>
      </c>
      <c r="F16" s="9">
        <f>+C16*E16</f>
        <v>0.46599999999999964</v>
      </c>
      <c r="G16" s="43"/>
      <c r="H16" s="21"/>
      <c r="I16" s="21"/>
      <c r="J16" s="21"/>
    </row>
    <row r="17" spans="1:10">
      <c r="A17" s="49" t="s">
        <v>82</v>
      </c>
      <c r="B17" s="80">
        <v>3</v>
      </c>
      <c r="C17" s="90">
        <v>5.0000000000000001E-4</v>
      </c>
      <c r="D17" s="9">
        <f>+SUM(C$16:$C17)</f>
        <v>3.9333333333333304E-2</v>
      </c>
      <c r="E17" s="9">
        <f>+E7</f>
        <v>18</v>
      </c>
      <c r="F17" s="9">
        <f t="shared" ref="F17:F18" si="1">+C17*E17</f>
        <v>9.0000000000000011E-3</v>
      </c>
      <c r="G17" s="43"/>
      <c r="H17" s="21"/>
      <c r="I17" s="21"/>
      <c r="J17" s="21"/>
    </row>
    <row r="18" spans="1:10">
      <c r="A18" s="49"/>
      <c r="B18" s="80" t="s">
        <v>76</v>
      </c>
      <c r="C18" s="38">
        <v>6.0000000000000001E-3</v>
      </c>
      <c r="D18" s="9">
        <f>+SUM(C$16:$C18)</f>
        <v>4.5333333333333302E-2</v>
      </c>
      <c r="E18" s="9">
        <f>+E16+E17</f>
        <v>30</v>
      </c>
      <c r="F18" s="9">
        <f t="shared" si="1"/>
        <v>0.18</v>
      </c>
      <c r="G18" s="43">
        <f>1/C18/Summary!$C$7</f>
        <v>0.33333333333333331</v>
      </c>
      <c r="H18" s="49" t="s">
        <v>79</v>
      </c>
      <c r="I18" s="49"/>
      <c r="J18" s="21"/>
    </row>
    <row r="19" spans="1:10">
      <c r="A19" s="49"/>
      <c r="B19" s="56" t="s">
        <v>5</v>
      </c>
      <c r="C19" s="10">
        <f>+SUM(C16:C18)</f>
        <v>4.5333333333333302E-2</v>
      </c>
      <c r="D19" s="10"/>
      <c r="E19" s="10"/>
      <c r="F19" s="12">
        <f>+SUM(F16:F18)</f>
        <v>0.65499999999999958</v>
      </c>
      <c r="G19" s="45"/>
      <c r="H19" s="21"/>
      <c r="I19" s="21"/>
      <c r="J19" s="21"/>
    </row>
    <row r="20" spans="1:10">
      <c r="A20" s="49"/>
      <c r="B20" s="60"/>
      <c r="C20" s="11"/>
      <c r="D20" s="11"/>
      <c r="E20" s="11"/>
      <c r="F20" s="7"/>
      <c r="G20" s="46"/>
      <c r="H20" s="21"/>
      <c r="I20" s="21"/>
      <c r="J20" s="21"/>
    </row>
    <row r="21" spans="1:10">
      <c r="A21" s="49"/>
      <c r="B21" s="60"/>
      <c r="C21" s="11"/>
      <c r="D21" s="11"/>
      <c r="E21" s="11"/>
      <c r="F21" s="7"/>
      <c r="G21" s="46"/>
      <c r="H21" s="21"/>
      <c r="I21" s="21"/>
      <c r="J21" s="21"/>
    </row>
    <row r="22" spans="1:10">
      <c r="A22" s="52" t="s">
        <v>13</v>
      </c>
      <c r="B22" s="54" t="s">
        <v>73</v>
      </c>
      <c r="C22" s="13" t="s">
        <v>10</v>
      </c>
      <c r="D22" s="13" t="s">
        <v>18</v>
      </c>
      <c r="E22" s="13" t="s">
        <v>8</v>
      </c>
      <c r="F22" s="13" t="s">
        <v>1</v>
      </c>
      <c r="G22" s="54" t="s">
        <v>43</v>
      </c>
      <c r="H22" s="21"/>
      <c r="I22" s="21"/>
      <c r="J22" s="21"/>
    </row>
    <row r="23" spans="1:10">
      <c r="A23" s="49" t="s">
        <v>81</v>
      </c>
      <c r="B23" s="80">
        <v>1</v>
      </c>
      <c r="C23" s="90">
        <v>4.9000000000000002E-2</v>
      </c>
      <c r="D23" s="9">
        <f>+SUM(C23:$C$23)</f>
        <v>4.9000000000000002E-2</v>
      </c>
      <c r="E23" s="9">
        <f>+E5</f>
        <v>5</v>
      </c>
      <c r="F23" s="9">
        <f>+C23*E23</f>
        <v>0.245</v>
      </c>
      <c r="G23" s="43"/>
      <c r="H23" s="21"/>
      <c r="I23" s="21"/>
      <c r="J23" s="21"/>
    </row>
    <row r="24" spans="1:10">
      <c r="A24" s="49" t="s">
        <v>83</v>
      </c>
      <c r="B24" s="80">
        <v>3</v>
      </c>
      <c r="C24" s="90">
        <v>0.01</v>
      </c>
      <c r="D24" s="9">
        <f>+SUM(C$23:$C24)</f>
        <v>5.9000000000000004E-2</v>
      </c>
      <c r="E24" s="9">
        <f>+E7</f>
        <v>18</v>
      </c>
      <c r="F24" s="9">
        <f t="shared" ref="F24:F25" si="2">+C24*E24</f>
        <v>0.18</v>
      </c>
      <c r="G24" s="43"/>
      <c r="H24" s="21"/>
      <c r="I24" s="21"/>
      <c r="J24" s="21"/>
    </row>
    <row r="25" spans="1:10">
      <c r="A25" s="49"/>
      <c r="B25" s="80" t="s">
        <v>75</v>
      </c>
      <c r="C25" s="39">
        <v>0.01</v>
      </c>
      <c r="D25" s="9">
        <f>+SUM(C$23:$C25)</f>
        <v>6.9000000000000006E-2</v>
      </c>
      <c r="E25" s="9">
        <f>+E23+E24</f>
        <v>23</v>
      </c>
      <c r="F25" s="9">
        <f t="shared" si="2"/>
        <v>0.23</v>
      </c>
      <c r="G25" s="43">
        <f>1/C25/Summary!$C$7</f>
        <v>0.2</v>
      </c>
      <c r="H25" s="49" t="s">
        <v>79</v>
      </c>
      <c r="I25" s="49"/>
      <c r="J25" s="21"/>
    </row>
    <row r="26" spans="1:10">
      <c r="A26" s="49"/>
      <c r="B26" s="56" t="s">
        <v>5</v>
      </c>
      <c r="C26" s="10">
        <f>+SUM(C23:C25)</f>
        <v>6.9000000000000006E-2</v>
      </c>
      <c r="D26" s="10"/>
      <c r="E26" s="10"/>
      <c r="F26" s="12">
        <f>+SUM(F23:F25)</f>
        <v>0.65500000000000003</v>
      </c>
      <c r="G26" s="45"/>
      <c r="H26" s="21"/>
      <c r="I26" s="21"/>
      <c r="J26" s="21"/>
    </row>
    <row r="27" spans="1:10">
      <c r="A27" s="49"/>
      <c r="B27" s="60"/>
      <c r="C27" s="11"/>
      <c r="D27" s="11"/>
      <c r="E27" s="11"/>
      <c r="F27" s="7"/>
      <c r="G27" s="46"/>
      <c r="H27" s="21"/>
      <c r="I27" s="21"/>
      <c r="J27" s="21"/>
    </row>
    <row r="28" spans="1:10">
      <c r="A28" s="49"/>
      <c r="B28" s="49"/>
      <c r="G28" s="41"/>
      <c r="H28" s="21"/>
      <c r="I28" s="21"/>
      <c r="J28" s="21"/>
    </row>
    <row r="29" spans="1:10">
      <c r="A29" s="52" t="s">
        <v>14</v>
      </c>
      <c r="B29" s="54" t="s">
        <v>73</v>
      </c>
      <c r="C29" s="13" t="s">
        <v>10</v>
      </c>
      <c r="D29" s="13" t="s">
        <v>18</v>
      </c>
      <c r="E29" s="13" t="s">
        <v>8</v>
      </c>
      <c r="F29" s="13" t="s">
        <v>1</v>
      </c>
      <c r="G29" s="54" t="s">
        <v>43</v>
      </c>
      <c r="H29" s="21"/>
      <c r="I29" s="21"/>
      <c r="J29" s="21"/>
    </row>
    <row r="30" spans="1:10">
      <c r="A30" s="49" t="s">
        <v>81</v>
      </c>
      <c r="B30" s="80">
        <v>3</v>
      </c>
      <c r="C30" s="125">
        <v>3.6388888888888887E-2</v>
      </c>
      <c r="D30" s="90">
        <f>+SUM(C30:$C$30)</f>
        <v>3.6388888888888887E-2</v>
      </c>
      <c r="E30" s="90">
        <f>+E7</f>
        <v>18</v>
      </c>
      <c r="F30" s="90">
        <f>+C30*E30</f>
        <v>0.65500000000000003</v>
      </c>
      <c r="G30" s="43">
        <f>1/C30/Summary!$C$7</f>
        <v>5.4961832061068708E-2</v>
      </c>
      <c r="H30" s="49" t="s">
        <v>79</v>
      </c>
      <c r="I30" s="49"/>
      <c r="J30" s="21"/>
    </row>
    <row r="31" spans="1:10">
      <c r="A31" s="49" t="s">
        <v>82</v>
      </c>
      <c r="B31" s="56" t="s">
        <v>5</v>
      </c>
      <c r="C31" s="10">
        <f>+SUM(C30:C30)</f>
        <v>3.6388888888888887E-2</v>
      </c>
      <c r="D31" s="10"/>
      <c r="E31" s="10"/>
      <c r="F31" s="12">
        <f>+SUM(F30:F30)</f>
        <v>0.65500000000000003</v>
      </c>
      <c r="G31" s="45"/>
      <c r="H31" s="21"/>
      <c r="I31" s="49"/>
      <c r="J31" s="21"/>
    </row>
    <row r="32" spans="1:10">
      <c r="A32" s="49" t="s">
        <v>83</v>
      </c>
      <c r="B32" s="49"/>
      <c r="G32" s="41"/>
      <c r="H32" s="21"/>
      <c r="I32" s="49"/>
      <c r="J32" s="21"/>
    </row>
    <row r="33" spans="1:10">
      <c r="A33" s="49"/>
      <c r="B33" s="49"/>
      <c r="G33" s="41"/>
      <c r="H33" s="21"/>
      <c r="I33" s="49"/>
      <c r="J33" s="21"/>
    </row>
    <row r="34" spans="1:10">
      <c r="A34" s="52" t="s">
        <v>15</v>
      </c>
      <c r="B34" s="54" t="s">
        <v>73</v>
      </c>
      <c r="C34" s="13" t="s">
        <v>10</v>
      </c>
      <c r="D34" s="13" t="s">
        <v>18</v>
      </c>
      <c r="E34" s="13" t="s">
        <v>8</v>
      </c>
      <c r="F34" s="13" t="s">
        <v>1</v>
      </c>
      <c r="G34" s="54" t="s">
        <v>43</v>
      </c>
      <c r="H34" s="21"/>
      <c r="I34" s="49"/>
      <c r="J34" s="21"/>
    </row>
    <row r="35" spans="1:10">
      <c r="A35" s="49" t="s">
        <v>81</v>
      </c>
      <c r="B35" s="80">
        <v>1</v>
      </c>
      <c r="C35" s="90">
        <v>0.08</v>
      </c>
      <c r="D35" s="9">
        <f>+SUM(C35:$C$35)</f>
        <v>0.08</v>
      </c>
      <c r="E35" s="9">
        <f>+E5</f>
        <v>5</v>
      </c>
      <c r="F35" s="9">
        <f>+C35*E35</f>
        <v>0.4</v>
      </c>
      <c r="G35" s="43"/>
      <c r="H35" s="21"/>
      <c r="I35" s="49"/>
      <c r="J35" s="21"/>
    </row>
    <row r="36" spans="1:10">
      <c r="A36" s="49" t="s">
        <v>84</v>
      </c>
      <c r="B36" s="80">
        <v>2</v>
      </c>
      <c r="C36" s="90">
        <v>0</v>
      </c>
      <c r="D36" s="9">
        <f>+SUM(C$35:$C36)</f>
        <v>0.08</v>
      </c>
      <c r="E36" s="9">
        <f>+E6</f>
        <v>12</v>
      </c>
      <c r="F36" s="9">
        <f t="shared" ref="F36:F37" si="3">+C36*E36</f>
        <v>0</v>
      </c>
      <c r="G36" s="43"/>
      <c r="H36" s="21"/>
      <c r="I36" s="49"/>
      <c r="J36" s="21"/>
    </row>
    <row r="37" spans="1:10">
      <c r="A37" s="49"/>
      <c r="B37" s="80" t="s">
        <v>74</v>
      </c>
      <c r="C37" s="40">
        <v>1.4999999999999999E-2</v>
      </c>
      <c r="D37" s="9">
        <f>+SUM(C$35:$C37)</f>
        <v>9.5000000000000001E-2</v>
      </c>
      <c r="E37" s="9">
        <f>+E35+E36</f>
        <v>17</v>
      </c>
      <c r="F37" s="9">
        <f t="shared" si="3"/>
        <v>0.255</v>
      </c>
      <c r="G37" s="43">
        <f>1/C37/Summary!$C$7</f>
        <v>0.13333333333333333</v>
      </c>
      <c r="H37" s="49" t="s">
        <v>79</v>
      </c>
      <c r="I37" s="49"/>
      <c r="J37" s="21"/>
    </row>
    <row r="38" spans="1:10">
      <c r="A38" s="58"/>
      <c r="B38" s="56" t="s">
        <v>5</v>
      </c>
      <c r="C38" s="10">
        <f>+SUM(C35:C37)</f>
        <v>9.5000000000000001E-2</v>
      </c>
      <c r="D38" s="10"/>
      <c r="E38" s="10"/>
      <c r="F38" s="12">
        <f>+SUM(F35:F37)</f>
        <v>0.65500000000000003</v>
      </c>
      <c r="G38" s="45"/>
      <c r="H38" s="21"/>
      <c r="I38" s="49"/>
      <c r="J38" s="21"/>
    </row>
    <row r="39" spans="1:10">
      <c r="A39" s="58"/>
      <c r="B39" s="49"/>
      <c r="G39" s="41"/>
      <c r="H39" s="21"/>
      <c r="I39" s="49"/>
      <c r="J39" s="21"/>
    </row>
    <row r="40" spans="1:10">
      <c r="A40" s="49"/>
      <c r="B40" s="49"/>
      <c r="G40" s="41"/>
      <c r="H40" s="21"/>
      <c r="I40" s="49"/>
      <c r="J40" s="21"/>
    </row>
    <row r="41" spans="1:10">
      <c r="A41" s="52" t="s">
        <v>16</v>
      </c>
      <c r="B41" s="54" t="s">
        <v>73</v>
      </c>
      <c r="C41" s="13" t="s">
        <v>10</v>
      </c>
      <c r="D41" s="13" t="s">
        <v>18</v>
      </c>
      <c r="E41" s="13" t="s">
        <v>8</v>
      </c>
      <c r="F41" s="13" t="s">
        <v>1</v>
      </c>
      <c r="G41" s="54" t="s">
        <v>43</v>
      </c>
      <c r="H41" s="21"/>
      <c r="I41" s="49"/>
      <c r="J41" s="21"/>
    </row>
    <row r="42" spans="1:10">
      <c r="A42" s="49" t="s">
        <v>81</v>
      </c>
      <c r="B42" s="80">
        <v>1</v>
      </c>
      <c r="C42" s="90">
        <v>0.13100000000000001</v>
      </c>
      <c r="D42" s="90">
        <f>+SUM(C42:$C$42)</f>
        <v>0.13100000000000001</v>
      </c>
      <c r="E42" s="90">
        <f>+E5</f>
        <v>5</v>
      </c>
      <c r="F42" s="90">
        <f>+E42*C42</f>
        <v>0.65500000000000003</v>
      </c>
      <c r="G42" s="43">
        <f>1/C42/Summary!$C$7</f>
        <v>1.5267175572519083E-2</v>
      </c>
      <c r="H42" s="49" t="s">
        <v>79</v>
      </c>
      <c r="I42" s="49"/>
      <c r="J42" s="21"/>
    </row>
    <row r="43" spans="1:10">
      <c r="A43" s="49" t="s">
        <v>83</v>
      </c>
      <c r="B43" s="56" t="s">
        <v>5</v>
      </c>
      <c r="C43" s="10">
        <f>+SUM(C42:C42)</f>
        <v>0.13100000000000001</v>
      </c>
      <c r="D43" s="10"/>
      <c r="E43" s="10"/>
      <c r="F43" s="12">
        <f>+SUM(F42:F42)</f>
        <v>0.65500000000000003</v>
      </c>
      <c r="G43" s="45"/>
      <c r="H43" s="21"/>
      <c r="I43" s="49"/>
      <c r="J43" s="21"/>
    </row>
    <row r="44" spans="1:10">
      <c r="A44" s="49" t="s">
        <v>84</v>
      </c>
      <c r="B44" s="49"/>
      <c r="G44" s="41"/>
      <c r="H44" s="21"/>
      <c r="I44" s="49"/>
      <c r="J44" s="21"/>
    </row>
    <row r="45" spans="1:10">
      <c r="A45" s="49"/>
      <c r="B45" s="49"/>
      <c r="G45" s="41"/>
      <c r="H45" s="21"/>
      <c r="I45" s="49"/>
      <c r="J45" s="21"/>
    </row>
    <row r="46" spans="1:10">
      <c r="A46" s="52" t="s">
        <v>17</v>
      </c>
      <c r="B46" s="54" t="s">
        <v>73</v>
      </c>
      <c r="C46" s="13" t="s">
        <v>10</v>
      </c>
      <c r="D46" s="13" t="s">
        <v>18</v>
      </c>
      <c r="E46" s="13" t="s">
        <v>8</v>
      </c>
      <c r="F46" s="13" t="s">
        <v>1</v>
      </c>
      <c r="G46" s="54" t="s">
        <v>43</v>
      </c>
      <c r="H46" s="21"/>
      <c r="I46" s="49"/>
      <c r="J46" s="21"/>
    </row>
    <row r="47" spans="1:10">
      <c r="A47" s="49" t="s">
        <v>81</v>
      </c>
      <c r="B47" s="80">
        <v>2</v>
      </c>
      <c r="C47" s="90">
        <v>5.4583333333333338E-2</v>
      </c>
      <c r="D47" s="90">
        <f>+SUM(C$47:$C47)</f>
        <v>5.4583333333333338E-2</v>
      </c>
      <c r="E47" s="90">
        <f>+E6</f>
        <v>12</v>
      </c>
      <c r="F47" s="90">
        <f>+E47*C47</f>
        <v>0.65500000000000003</v>
      </c>
      <c r="G47" s="43">
        <f>1/C47/Summary!$C$7</f>
        <v>3.6641221374045796E-2</v>
      </c>
      <c r="H47" s="49" t="s">
        <v>79</v>
      </c>
      <c r="I47" s="49"/>
      <c r="J47" s="21"/>
    </row>
    <row r="48" spans="1:10">
      <c r="A48" s="49" t="s">
        <v>82</v>
      </c>
      <c r="B48" s="56" t="s">
        <v>5</v>
      </c>
      <c r="C48" s="10">
        <f>+SUM(C47:C47)</f>
        <v>5.4583333333333338E-2</v>
      </c>
      <c r="D48" s="10"/>
      <c r="E48" s="10"/>
      <c r="F48" s="12">
        <f>+SUM(F47:F47)</f>
        <v>0.65500000000000003</v>
      </c>
      <c r="G48" s="45"/>
      <c r="H48" s="21"/>
      <c r="I48" s="49"/>
      <c r="J48" s="21"/>
    </row>
    <row r="49" spans="1:10">
      <c r="A49" s="49" t="s">
        <v>84</v>
      </c>
      <c r="B49" s="49"/>
      <c r="G49" s="42"/>
      <c r="H49" s="21"/>
      <c r="I49" s="49"/>
      <c r="J49" s="21"/>
    </row>
    <row r="50" spans="1:10">
      <c r="A50" s="49"/>
      <c r="B50" s="49"/>
      <c r="G50" s="42"/>
      <c r="H50" s="21"/>
      <c r="I50" s="21"/>
      <c r="J50" s="21"/>
    </row>
    <row r="51" spans="1:10">
      <c r="A51" s="49"/>
      <c r="B51" s="49"/>
      <c r="G51" s="42"/>
      <c r="H51" s="21"/>
      <c r="I51" s="21"/>
      <c r="J51" s="21"/>
    </row>
    <row r="52" spans="1:10">
      <c r="A52" s="49"/>
      <c r="B52" s="49"/>
      <c r="G52" s="42"/>
      <c r="H52" s="21"/>
      <c r="I52" s="21"/>
      <c r="J52" s="21"/>
    </row>
    <row r="53" spans="1:10">
      <c r="A53" s="49"/>
      <c r="B53" s="49"/>
      <c r="G53" s="42"/>
      <c r="H53" s="21"/>
      <c r="I53" s="21"/>
      <c r="J53" s="21"/>
    </row>
    <row r="54" spans="1:10">
      <c r="A54" s="49"/>
      <c r="G54" s="42"/>
      <c r="H54" s="21"/>
      <c r="I54" s="21"/>
    </row>
    <row r="55" spans="1:10">
      <c r="A55" s="49"/>
      <c r="G55" s="42"/>
      <c r="H55" s="21"/>
      <c r="I55" s="21"/>
    </row>
    <row r="56" spans="1:10">
      <c r="A56" s="49"/>
      <c r="G56" s="42"/>
      <c r="H56" s="21"/>
      <c r="I56" s="21"/>
    </row>
    <row r="57" spans="1:10">
      <c r="A57" s="49"/>
      <c r="G57" s="42"/>
      <c r="H57" s="21"/>
      <c r="I57" s="21"/>
    </row>
    <row r="58" spans="1:10">
      <c r="A58" s="49"/>
      <c r="G58" s="42"/>
      <c r="H58" s="21"/>
      <c r="I58" s="21"/>
    </row>
    <row r="59" spans="1:10">
      <c r="A59" s="49"/>
      <c r="G59" s="42"/>
      <c r="H59" s="21"/>
      <c r="I59" s="21"/>
    </row>
    <row r="60" spans="1:10">
      <c r="A60" s="49"/>
      <c r="G60" s="42"/>
      <c r="H60" s="21"/>
      <c r="I60" s="21"/>
    </row>
    <row r="61" spans="1:10">
      <c r="A61" s="49"/>
      <c r="G61" s="42"/>
      <c r="H61" s="21"/>
      <c r="I61" s="21"/>
    </row>
    <row r="62" spans="1:10">
      <c r="A62" s="49"/>
      <c r="G62" s="42"/>
      <c r="H62" s="21"/>
      <c r="I62" s="21"/>
    </row>
    <row r="63" spans="1:10">
      <c r="A63" s="49"/>
      <c r="G63" s="42"/>
      <c r="H63" s="21"/>
      <c r="I63" s="21"/>
    </row>
    <row r="64" spans="1:10">
      <c r="A64" s="49"/>
      <c r="G64" s="42"/>
      <c r="H64" s="21"/>
      <c r="I64" s="21"/>
    </row>
    <row r="65" spans="1:9">
      <c r="A65" s="49"/>
      <c r="G65" s="42"/>
      <c r="H65" s="21"/>
      <c r="I65" s="21"/>
    </row>
    <row r="66" spans="1:9">
      <c r="A66" s="49"/>
      <c r="G66" s="42"/>
      <c r="H66" s="21"/>
      <c r="I66" s="21"/>
    </row>
    <row r="67" spans="1:9">
      <c r="A67" s="49"/>
      <c r="G67" s="42"/>
      <c r="H67" s="21"/>
      <c r="I67" s="21"/>
    </row>
    <row r="68" spans="1:9">
      <c r="A68" s="49"/>
      <c r="G68" s="42"/>
      <c r="H68" s="21"/>
      <c r="I68" s="21"/>
    </row>
    <row r="69" spans="1:9">
      <c r="A69" s="49"/>
      <c r="G69" s="42"/>
      <c r="H69" s="21"/>
      <c r="I69" s="21"/>
    </row>
    <row r="70" spans="1:9">
      <c r="A70" s="49"/>
      <c r="G70" s="42"/>
      <c r="H70" s="21"/>
      <c r="I70" s="21"/>
    </row>
    <row r="71" spans="1:9">
      <c r="A71" s="49"/>
      <c r="G71" s="41"/>
      <c r="H71" s="21"/>
      <c r="I71" s="21"/>
    </row>
    <row r="72" spans="1:9">
      <c r="A72" s="49"/>
      <c r="G72" s="41"/>
      <c r="H72" s="21"/>
      <c r="I72" s="21"/>
    </row>
    <row r="73" spans="1:9">
      <c r="A73" s="49"/>
      <c r="G73" s="41"/>
      <c r="H73" s="21"/>
      <c r="I73" s="21"/>
    </row>
    <row r="74" spans="1:9">
      <c r="A74" s="49"/>
      <c r="G74" s="41"/>
      <c r="H74" s="21"/>
      <c r="I74" s="21"/>
    </row>
    <row r="75" spans="1:9">
      <c r="A75" s="49"/>
      <c r="G75" s="41"/>
      <c r="H75" s="21"/>
      <c r="I75" s="21"/>
    </row>
    <row r="76" spans="1:9">
      <c r="A76" s="49"/>
      <c r="G76" s="41"/>
      <c r="H76" s="21"/>
      <c r="I76" s="21"/>
    </row>
    <row r="77" spans="1:9">
      <c r="A77" s="49"/>
      <c r="G77" s="41"/>
      <c r="H77" s="21"/>
      <c r="I77" s="21"/>
    </row>
    <row r="78" spans="1:9">
      <c r="A78" s="49"/>
      <c r="G78" s="41"/>
      <c r="H78" s="21"/>
      <c r="I78" s="21"/>
    </row>
    <row r="79" spans="1:9">
      <c r="A79" s="49"/>
      <c r="G79" s="41"/>
      <c r="H79" s="21"/>
      <c r="I79" s="21"/>
    </row>
    <row r="80" spans="1:9">
      <c r="A80" s="49"/>
      <c r="G80" s="41"/>
      <c r="H80" s="21"/>
      <c r="I80" s="21"/>
    </row>
    <row r="81" spans="1:9">
      <c r="A81" s="49"/>
      <c r="G81" s="41"/>
      <c r="H81" s="21"/>
      <c r="I81" s="21"/>
    </row>
    <row r="82" spans="1:9">
      <c r="A82" s="49"/>
      <c r="G82" s="41"/>
      <c r="H82" s="21"/>
      <c r="I82" s="21"/>
    </row>
    <row r="83" spans="1:9">
      <c r="A83" s="49"/>
      <c r="G83" s="41"/>
      <c r="H83" s="21"/>
      <c r="I83" s="21"/>
    </row>
    <row r="84" spans="1:9">
      <c r="A84" s="49"/>
      <c r="G84" s="41"/>
      <c r="H84" s="21"/>
      <c r="I84" s="21"/>
    </row>
    <row r="85" spans="1:9">
      <c r="A85" s="49"/>
      <c r="G85" s="41"/>
      <c r="H85" s="21"/>
      <c r="I85" s="21"/>
    </row>
    <row r="86" spans="1:9">
      <c r="A86" s="49"/>
      <c r="G86" s="41"/>
      <c r="H86" s="21"/>
      <c r="I86" s="21"/>
    </row>
    <row r="87" spans="1:9">
      <c r="A87" s="49"/>
      <c r="G87" s="41"/>
      <c r="H87" s="21"/>
      <c r="I87" s="21"/>
    </row>
    <row r="88" spans="1:9">
      <c r="A88" s="49"/>
      <c r="G88" s="41"/>
      <c r="H88" s="21"/>
      <c r="I88" s="21"/>
    </row>
    <row r="89" spans="1:9">
      <c r="A89" s="49"/>
      <c r="G89" s="41"/>
      <c r="H89" s="21"/>
      <c r="I89" s="21"/>
    </row>
    <row r="90" spans="1:9">
      <c r="A90" s="49"/>
      <c r="G90" s="41"/>
      <c r="H90" s="21"/>
      <c r="I90" s="21"/>
    </row>
    <row r="91" spans="1:9">
      <c r="A91" s="49"/>
      <c r="G91" s="41"/>
      <c r="H91" s="21"/>
      <c r="I91" s="21"/>
    </row>
    <row r="92" spans="1:9">
      <c r="A92" s="49"/>
      <c r="G92" s="41"/>
      <c r="H92" s="21"/>
      <c r="I92" s="21"/>
    </row>
    <row r="93" spans="1:9">
      <c r="A93" s="49"/>
      <c r="G93" s="41"/>
      <c r="H93" s="21"/>
      <c r="I93" s="21"/>
    </row>
    <row r="94" spans="1:9">
      <c r="A94" s="49"/>
      <c r="G94" s="41"/>
      <c r="H94" s="21"/>
      <c r="I94" s="21"/>
    </row>
    <row r="95" spans="1:9">
      <c r="A95" s="49"/>
      <c r="G95" s="41"/>
      <c r="H95" s="21"/>
      <c r="I95" s="21"/>
    </row>
    <row r="96" spans="1:9">
      <c r="A96" s="49"/>
      <c r="G96" s="41"/>
      <c r="H96" s="21"/>
      <c r="I96" s="21"/>
    </row>
    <row r="97" spans="1:9">
      <c r="A97" s="49"/>
      <c r="G97" s="41"/>
      <c r="H97" s="21"/>
      <c r="I97" s="21"/>
    </row>
    <row r="98" spans="1:9">
      <c r="A98" s="49"/>
      <c r="G98" s="41"/>
      <c r="H98" s="21"/>
      <c r="I98" s="21"/>
    </row>
    <row r="99" spans="1:9">
      <c r="A99" s="49"/>
      <c r="G99" s="41"/>
      <c r="H99" s="21"/>
      <c r="I99" s="21"/>
    </row>
    <row r="100" spans="1:9">
      <c r="A100" s="49"/>
      <c r="G100" s="41"/>
      <c r="H100" s="21"/>
      <c r="I100" s="21"/>
    </row>
    <row r="101" spans="1:9">
      <c r="A101" s="49"/>
      <c r="G101" s="41"/>
      <c r="H101" s="21"/>
      <c r="I101" s="21"/>
    </row>
    <row r="102" spans="1:9">
      <c r="A102" s="49"/>
      <c r="G102" s="41"/>
      <c r="H102" s="21"/>
      <c r="I102" s="21"/>
    </row>
    <row r="103" spans="1:9">
      <c r="A103" s="49"/>
      <c r="G103" s="41"/>
      <c r="H103" s="21"/>
      <c r="I103" s="21"/>
    </row>
    <row r="104" spans="1:9">
      <c r="A104" s="49"/>
      <c r="G104" s="41"/>
      <c r="H104" s="21"/>
      <c r="I104" s="21"/>
    </row>
    <row r="105" spans="1:9">
      <c r="A105" s="49"/>
      <c r="G105" s="41"/>
      <c r="H105" s="21"/>
      <c r="I105" s="21"/>
    </row>
    <row r="106" spans="1:9">
      <c r="A106" s="49"/>
      <c r="G106" s="41"/>
      <c r="H106" s="21"/>
      <c r="I106" s="21"/>
    </row>
    <row r="107" spans="1:9">
      <c r="A107" s="49"/>
      <c r="G107" s="41"/>
      <c r="H107" s="21"/>
      <c r="I107" s="21"/>
    </row>
    <row r="108" spans="1:9">
      <c r="A108" s="49"/>
      <c r="G108" s="41"/>
      <c r="H108" s="21"/>
      <c r="I108" s="21"/>
    </row>
    <row r="109" spans="1:9">
      <c r="A109" s="49"/>
      <c r="G109" s="41"/>
      <c r="H109" s="21"/>
      <c r="I109" s="21"/>
    </row>
    <row r="110" spans="1:9">
      <c r="A110" s="49"/>
      <c r="G110" s="41"/>
      <c r="H110" s="21"/>
      <c r="I110" s="21"/>
    </row>
    <row r="111" spans="1:9">
      <c r="A111" s="49"/>
      <c r="G111" s="41"/>
      <c r="H111" s="21"/>
      <c r="I111" s="21"/>
    </row>
    <row r="112" spans="1:9">
      <c r="A112" s="49"/>
      <c r="G112" s="41"/>
      <c r="H112" s="21"/>
      <c r="I112" s="21"/>
    </row>
    <row r="113" spans="1:9">
      <c r="A113" s="49"/>
      <c r="G113" s="41"/>
      <c r="H113" s="21"/>
      <c r="I113" s="21"/>
    </row>
    <row r="114" spans="1:9">
      <c r="A114" s="49"/>
      <c r="G114" s="41"/>
      <c r="H114" s="21"/>
      <c r="I114" s="21"/>
    </row>
    <row r="115" spans="1:9">
      <c r="A115" s="49"/>
      <c r="G115" s="41"/>
      <c r="H115" s="21"/>
      <c r="I115" s="21"/>
    </row>
    <row r="116" spans="1:9">
      <c r="A116" s="49"/>
      <c r="G116" s="41"/>
      <c r="H116" s="21"/>
      <c r="I116" s="21"/>
    </row>
    <row r="117" spans="1:9">
      <c r="A117" s="49"/>
      <c r="G117" s="41"/>
      <c r="H117" s="21"/>
      <c r="I117" s="21"/>
    </row>
    <row r="118" spans="1:9">
      <c r="G118" s="41"/>
      <c r="H118" s="21"/>
      <c r="I118" s="21"/>
    </row>
    <row r="119" spans="1:9">
      <c r="G119" s="27"/>
      <c r="H119" s="21"/>
      <c r="I119" s="21"/>
    </row>
    <row r="120" spans="1:9">
      <c r="G120" s="27"/>
      <c r="H120" s="21"/>
      <c r="I120" s="21"/>
    </row>
    <row r="121" spans="1:9">
      <c r="G121" s="27"/>
      <c r="H121" s="21"/>
      <c r="I121" s="21"/>
    </row>
    <row r="122" spans="1:9">
      <c r="G122" s="27"/>
      <c r="H122" s="21"/>
      <c r="I122" s="21"/>
    </row>
    <row r="123" spans="1:9">
      <c r="G123" s="27"/>
      <c r="H123" s="21"/>
      <c r="I123" s="21"/>
    </row>
    <row r="124" spans="1:9">
      <c r="G124" s="27"/>
      <c r="H124" s="21"/>
      <c r="I124" s="21"/>
    </row>
    <row r="125" spans="1:9">
      <c r="G125" s="27"/>
      <c r="H125" s="21"/>
      <c r="I125" s="21"/>
    </row>
    <row r="126" spans="1:9">
      <c r="G126" s="27"/>
      <c r="H126" s="21"/>
      <c r="I126" s="21"/>
    </row>
  </sheetData>
  <mergeCells count="1">
    <mergeCell ref="A1:E1"/>
  </mergeCells>
  <pageMargins left="0.7" right="0.7" top="0.75" bottom="0.75" header="0.3" footer="0.3"/>
  <pageSetup paperSize="9" orientation="portrait" horizontalDpi="200" verticalDpi="200" r:id="rId1"/>
  <ignoredErrors>
    <ignoredError sqref="D6:D11 D17:D18 D24" formulaRange="1"/>
  </ignoredErrors>
</worksheet>
</file>

<file path=xl/worksheets/sheet19.xml><?xml version="1.0" encoding="utf-8"?>
<worksheet xmlns="http://schemas.openxmlformats.org/spreadsheetml/2006/main" xmlns:r="http://schemas.openxmlformats.org/officeDocument/2006/relationships">
  <dimension ref="A1:H97"/>
  <sheetViews>
    <sheetView workbookViewId="0">
      <selection activeCell="E7" sqref="E7"/>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8" ht="18">
      <c r="A1" s="123" t="s">
        <v>66</v>
      </c>
      <c r="B1" s="123"/>
      <c r="C1" s="123"/>
      <c r="D1" s="123"/>
      <c r="E1" s="123"/>
    </row>
    <row r="2" spans="1:8">
      <c r="A2" s="59" t="s">
        <v>86</v>
      </c>
    </row>
    <row r="4" spans="1:8">
      <c r="A4" s="52" t="s">
        <v>9</v>
      </c>
      <c r="B4" s="54" t="s">
        <v>73</v>
      </c>
      <c r="C4" s="54" t="s">
        <v>10</v>
      </c>
      <c r="D4" s="54" t="s">
        <v>18</v>
      </c>
      <c r="E4" s="54" t="s">
        <v>8</v>
      </c>
      <c r="F4" s="54" t="s">
        <v>1</v>
      </c>
      <c r="G4" s="54" t="s">
        <v>43</v>
      </c>
    </row>
    <row r="5" spans="1:8">
      <c r="A5" s="49" t="s">
        <v>80</v>
      </c>
      <c r="B5" s="81">
        <v>1</v>
      </c>
      <c r="C5" s="88">
        <v>7.0000000000000007E-2</v>
      </c>
      <c r="D5" s="50">
        <f>+SUM($C$5:C5)</f>
        <v>7.0000000000000007E-2</v>
      </c>
      <c r="E5" s="50">
        <f>+Summary!B27</f>
        <v>3</v>
      </c>
      <c r="F5" s="50">
        <f>+C5*E5</f>
        <v>0.21000000000000002</v>
      </c>
      <c r="G5" s="43"/>
    </row>
    <row r="6" spans="1:8">
      <c r="B6" s="81">
        <v>2</v>
      </c>
      <c r="C6" s="88">
        <v>6.5000000000000002E-2</v>
      </c>
      <c r="D6" s="50">
        <f>+SUM($C$5:C6)</f>
        <v>0.13500000000000001</v>
      </c>
      <c r="E6" s="50">
        <f>+Summary!B28</f>
        <v>5</v>
      </c>
      <c r="F6" s="50">
        <f t="shared" ref="F6:F7" si="0">+C6*E6</f>
        <v>0.32500000000000001</v>
      </c>
      <c r="G6" s="43"/>
    </row>
    <row r="7" spans="1:8">
      <c r="B7" s="81" t="s">
        <v>74</v>
      </c>
      <c r="C7" s="88">
        <v>1.4999999999999999E-2</v>
      </c>
      <c r="D7" s="50">
        <f>+SUM($C$5:C7)</f>
        <v>0.15000000000000002</v>
      </c>
      <c r="E7" s="50">
        <f>+E5+E6</f>
        <v>8</v>
      </c>
      <c r="F7" s="50">
        <f t="shared" si="0"/>
        <v>0.12</v>
      </c>
      <c r="G7" s="43">
        <f>1/C7/Summary!$C$7</f>
        <v>0.13333333333333333</v>
      </c>
      <c r="H7" s="49" t="s">
        <v>79</v>
      </c>
    </row>
    <row r="8" spans="1:8">
      <c r="B8" s="56" t="s">
        <v>11</v>
      </c>
      <c r="C8" s="56">
        <f>+SUM(C5:C7)</f>
        <v>0.15000000000000002</v>
      </c>
      <c r="D8" s="56"/>
      <c r="E8" s="56"/>
      <c r="F8" s="47">
        <f>+SUM(F5:F7)</f>
        <v>0.65500000000000003</v>
      </c>
      <c r="G8" s="44"/>
    </row>
    <row r="9" spans="1:8">
      <c r="B9" s="57" t="s">
        <v>78</v>
      </c>
      <c r="G9" s="41"/>
    </row>
    <row r="10" spans="1:8">
      <c r="G10" s="41"/>
    </row>
    <row r="11" spans="1:8">
      <c r="G11" s="41"/>
    </row>
    <row r="12" spans="1:8">
      <c r="A12" s="52" t="s">
        <v>16</v>
      </c>
      <c r="B12" s="54" t="s">
        <v>73</v>
      </c>
      <c r="C12" s="54" t="s">
        <v>10</v>
      </c>
      <c r="D12" s="54" t="s">
        <v>18</v>
      </c>
      <c r="E12" s="54" t="s">
        <v>8</v>
      </c>
      <c r="F12" s="54" t="s">
        <v>1</v>
      </c>
      <c r="G12" s="54" t="s">
        <v>43</v>
      </c>
    </row>
    <row r="13" spans="1:8">
      <c r="A13" s="49" t="s">
        <v>81</v>
      </c>
      <c r="B13" s="80">
        <v>1</v>
      </c>
      <c r="C13" s="90">
        <v>0.21833333333333335</v>
      </c>
      <c r="D13" s="90">
        <f>+SUM(C13:$C$13)</f>
        <v>0.21833333333333335</v>
      </c>
      <c r="E13" s="90">
        <f>+E5</f>
        <v>3</v>
      </c>
      <c r="F13" s="90">
        <f>+E13*C13</f>
        <v>0.65500000000000003</v>
      </c>
      <c r="G13" s="43">
        <f>1/C13/Summary!$C$7</f>
        <v>9.160305343511449E-3</v>
      </c>
      <c r="H13" s="49" t="s">
        <v>79</v>
      </c>
    </row>
    <row r="14" spans="1:8">
      <c r="A14" s="49" t="s">
        <v>83</v>
      </c>
      <c r="B14" s="56" t="s">
        <v>5</v>
      </c>
      <c r="C14" s="56">
        <f>+SUM(C13:C13)</f>
        <v>0.21833333333333335</v>
      </c>
      <c r="D14" s="56"/>
      <c r="E14" s="56"/>
      <c r="F14" s="61">
        <f>+SUM(F13:F13)</f>
        <v>0.65500000000000003</v>
      </c>
      <c r="G14" s="45"/>
    </row>
    <row r="15" spans="1:8">
      <c r="G15" s="41"/>
    </row>
    <row r="16" spans="1:8">
      <c r="G16" s="41"/>
    </row>
    <row r="17" spans="1:8">
      <c r="A17" s="52" t="s">
        <v>17</v>
      </c>
      <c r="B17" s="54" t="s">
        <v>73</v>
      </c>
      <c r="C17" s="54" t="s">
        <v>10</v>
      </c>
      <c r="D17" s="54" t="s">
        <v>18</v>
      </c>
      <c r="E17" s="54" t="s">
        <v>8</v>
      </c>
      <c r="F17" s="54" t="s">
        <v>1</v>
      </c>
      <c r="G17" s="54" t="s">
        <v>43</v>
      </c>
    </row>
    <row r="18" spans="1:8">
      <c r="A18" s="49" t="s">
        <v>81</v>
      </c>
      <c r="B18" s="80">
        <v>2</v>
      </c>
      <c r="C18" s="90">
        <v>0.13100000000000001</v>
      </c>
      <c r="D18" s="90">
        <f>+SUM(C$18:$C18)</f>
        <v>0.13100000000000001</v>
      </c>
      <c r="E18" s="90">
        <f>+E6</f>
        <v>5</v>
      </c>
      <c r="F18" s="90">
        <f>+E18*C18</f>
        <v>0.65500000000000003</v>
      </c>
      <c r="G18" s="43">
        <f>1/C18/Summary!$C$7</f>
        <v>1.5267175572519083E-2</v>
      </c>
      <c r="H18" s="49" t="s">
        <v>79</v>
      </c>
    </row>
    <row r="19" spans="1:8">
      <c r="A19" s="49" t="s">
        <v>82</v>
      </c>
      <c r="B19" s="56" t="s">
        <v>5</v>
      </c>
      <c r="C19" s="56">
        <f>+SUM(C18:C18)</f>
        <v>0.13100000000000001</v>
      </c>
      <c r="D19" s="56"/>
      <c r="E19" s="56"/>
      <c r="F19" s="61">
        <f>+SUM(F18:F18)</f>
        <v>0.65500000000000003</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20.xml><?xml version="1.0" encoding="utf-8"?>
<worksheet xmlns="http://schemas.openxmlformats.org/spreadsheetml/2006/main" xmlns:r="http://schemas.openxmlformats.org/officeDocument/2006/relationships">
  <dimension ref="A1:H89"/>
  <sheetViews>
    <sheetView workbookViewId="0">
      <selection activeCell="E5" sqref="E5"/>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3" t="s">
        <v>96</v>
      </c>
      <c r="B1" s="123"/>
      <c r="C1" s="123"/>
      <c r="D1" s="123"/>
      <c r="E1" s="123"/>
    </row>
    <row r="2" spans="1:8">
      <c r="A2" s="59"/>
    </row>
    <row r="4" spans="1:8">
      <c r="A4" s="52" t="s">
        <v>62</v>
      </c>
      <c r="B4" s="54" t="s">
        <v>73</v>
      </c>
      <c r="C4" s="54" t="s">
        <v>10</v>
      </c>
      <c r="D4" s="54" t="s">
        <v>18</v>
      </c>
      <c r="E4" s="54" t="s">
        <v>8</v>
      </c>
      <c r="F4" s="54" t="s">
        <v>1</v>
      </c>
      <c r="G4" s="54" t="s">
        <v>43</v>
      </c>
    </row>
    <row r="5" spans="1:8">
      <c r="B5" s="80">
        <v>1</v>
      </c>
      <c r="C5" s="90">
        <v>0.32750000000000001</v>
      </c>
      <c r="D5" s="90">
        <f>+SUM(C5:$C$5)</f>
        <v>0.32750000000000001</v>
      </c>
      <c r="E5" s="90">
        <f>+Summary!B21</f>
        <v>2</v>
      </c>
      <c r="F5" s="90">
        <f>+E5*C5</f>
        <v>0.65500000000000003</v>
      </c>
      <c r="G5" s="43">
        <f>1/C5/Summary!$C$7</f>
        <v>6.1068702290076335E-3</v>
      </c>
      <c r="H5" s="49" t="s">
        <v>79</v>
      </c>
    </row>
    <row r="6" spans="1:8">
      <c r="B6" s="56" t="s">
        <v>5</v>
      </c>
      <c r="C6" s="56">
        <f>+SUM(C5:C5)</f>
        <v>0.32750000000000001</v>
      </c>
      <c r="D6" s="56"/>
      <c r="E6" s="56"/>
      <c r="F6" s="61">
        <f>+SUM(F5:F5)</f>
        <v>0.65500000000000003</v>
      </c>
      <c r="G6" s="45"/>
    </row>
    <row r="7" spans="1:8">
      <c r="G7" s="41"/>
    </row>
    <row r="8" spans="1:8">
      <c r="G8" s="41"/>
    </row>
    <row r="9" spans="1:8">
      <c r="A9" s="52" t="s">
        <v>63</v>
      </c>
      <c r="B9" s="54" t="s">
        <v>73</v>
      </c>
      <c r="C9" s="54" t="s">
        <v>10</v>
      </c>
      <c r="D9" s="54" t="s">
        <v>18</v>
      </c>
      <c r="E9" s="54" t="s">
        <v>8</v>
      </c>
      <c r="F9" s="54" t="s">
        <v>1</v>
      </c>
      <c r="G9" s="54" t="s">
        <v>43</v>
      </c>
    </row>
    <row r="10" spans="1:8">
      <c r="B10" s="80">
        <v>1</v>
      </c>
      <c r="C10" s="90">
        <v>0.13100000000000001</v>
      </c>
      <c r="D10" s="90">
        <f>1/6</f>
        <v>0.16666666666666666</v>
      </c>
      <c r="E10" s="90">
        <f>+Summary!E21</f>
        <v>5</v>
      </c>
      <c r="F10" s="90">
        <f>+E10*C10</f>
        <v>0.65500000000000003</v>
      </c>
      <c r="G10" s="43">
        <f>1/C10/Summary!$C$7</f>
        <v>1.5267175572519083E-2</v>
      </c>
      <c r="H10" s="49" t="s">
        <v>79</v>
      </c>
    </row>
    <row r="11" spans="1:8">
      <c r="B11" s="56" t="s">
        <v>5</v>
      </c>
      <c r="C11" s="56">
        <f>+SUM(C10:C10)</f>
        <v>0.13100000000000001</v>
      </c>
      <c r="D11" s="56"/>
      <c r="E11" s="56"/>
      <c r="F11" s="61">
        <f>+SUM(F10:F10)</f>
        <v>0.65500000000000003</v>
      </c>
      <c r="G11" s="45"/>
    </row>
    <row r="12" spans="1:8">
      <c r="G12" s="42"/>
    </row>
    <row r="13" spans="1:8">
      <c r="G13" s="42"/>
    </row>
    <row r="14" spans="1:8">
      <c r="A14" s="52" t="s">
        <v>64</v>
      </c>
      <c r="B14" s="54" t="s">
        <v>73</v>
      </c>
      <c r="C14" s="54" t="s">
        <v>10</v>
      </c>
      <c r="D14" s="54" t="s">
        <v>18</v>
      </c>
      <c r="E14" s="54" t="s">
        <v>8</v>
      </c>
      <c r="F14" s="54" t="s">
        <v>1</v>
      </c>
      <c r="G14" s="54" t="s">
        <v>43</v>
      </c>
    </row>
    <row r="15" spans="1:8">
      <c r="B15" s="80">
        <v>1</v>
      </c>
      <c r="C15" s="90">
        <v>8.1875000000000003E-2</v>
      </c>
      <c r="D15" s="90">
        <f>+SUM(C$15:$C15)</f>
        <v>8.1875000000000003E-2</v>
      </c>
      <c r="E15" s="90">
        <f>+Summary!H21</f>
        <v>8</v>
      </c>
      <c r="F15" s="90">
        <f>+E15*C15</f>
        <v>0.65500000000000003</v>
      </c>
      <c r="G15" s="43">
        <f>1/C15/Summary!$C$7</f>
        <v>2.4427480916030534E-2</v>
      </c>
      <c r="H15" s="49" t="s">
        <v>79</v>
      </c>
    </row>
    <row r="16" spans="1:8">
      <c r="B16" s="56" t="s">
        <v>5</v>
      </c>
      <c r="C16" s="56">
        <f>+SUM(C15:C15)</f>
        <v>8.1875000000000003E-2</v>
      </c>
      <c r="D16" s="56"/>
      <c r="E16" s="56"/>
      <c r="F16" s="61">
        <f>+SUM(F15:F15)</f>
        <v>0.65500000000000003</v>
      </c>
      <c r="G16" s="45"/>
    </row>
    <row r="17" spans="7:7">
      <c r="G17" s="42"/>
    </row>
    <row r="18" spans="7:7">
      <c r="G18" s="42"/>
    </row>
    <row r="19" spans="7:7">
      <c r="G19" s="42"/>
    </row>
    <row r="20" spans="7:7">
      <c r="G20" s="42"/>
    </row>
    <row r="21" spans="7:7">
      <c r="G21" s="42"/>
    </row>
    <row r="22" spans="7:7">
      <c r="G22" s="42"/>
    </row>
    <row r="23" spans="7:7">
      <c r="G23" s="42"/>
    </row>
    <row r="24" spans="7:7">
      <c r="G24" s="42"/>
    </row>
    <row r="25" spans="7:7">
      <c r="G25" s="42"/>
    </row>
    <row r="26" spans="7:7">
      <c r="G26" s="42"/>
    </row>
    <row r="27" spans="7:7">
      <c r="G27" s="42"/>
    </row>
    <row r="28" spans="7:7">
      <c r="G28" s="42"/>
    </row>
    <row r="29" spans="7:7">
      <c r="G29" s="42"/>
    </row>
    <row r="30" spans="7:7">
      <c r="G30" s="42"/>
    </row>
    <row r="31" spans="7:7">
      <c r="G31" s="42"/>
    </row>
    <row r="32" spans="7:7">
      <c r="G32" s="42"/>
    </row>
    <row r="33" spans="7:7">
      <c r="G33" s="42"/>
    </row>
    <row r="34" spans="7:7">
      <c r="G34" s="41"/>
    </row>
    <row r="35" spans="7:7">
      <c r="G35" s="41"/>
    </row>
    <row r="36" spans="7:7">
      <c r="G36" s="41"/>
    </row>
    <row r="37" spans="7:7">
      <c r="G37" s="41"/>
    </row>
    <row r="38" spans="7:7">
      <c r="G38" s="41"/>
    </row>
    <row r="39" spans="7:7">
      <c r="G39" s="41"/>
    </row>
    <row r="40" spans="7:7">
      <c r="G40" s="41"/>
    </row>
    <row r="41" spans="7:7">
      <c r="G41" s="41"/>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sheetData>
  <mergeCells count="1">
    <mergeCell ref="A1:E1"/>
  </mergeCells>
  <pageMargins left="0.7" right="0.7" top="0.75" bottom="0.75" header="0.3" footer="0.3"/>
  <pageSetup paperSize="9" orientation="portrait" horizontalDpi="200" verticalDpi="200" r:id="rId1"/>
</worksheet>
</file>

<file path=xl/worksheets/sheet21.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3" t="s">
        <v>97</v>
      </c>
      <c r="B1" s="123"/>
      <c r="C1" s="123"/>
      <c r="D1" s="123"/>
      <c r="E1" s="123"/>
    </row>
    <row r="2" spans="1:9">
      <c r="A2" s="59" t="s">
        <v>86</v>
      </c>
    </row>
    <row r="4" spans="1:9">
      <c r="A4" s="52" t="s">
        <v>9</v>
      </c>
      <c r="B4" s="54" t="s">
        <v>73</v>
      </c>
      <c r="C4" s="54" t="s">
        <v>10</v>
      </c>
      <c r="D4" s="54" t="s">
        <v>18</v>
      </c>
      <c r="E4" s="54" t="s">
        <v>8</v>
      </c>
      <c r="F4" s="54" t="s">
        <v>1</v>
      </c>
      <c r="G4" s="54" t="s">
        <v>43</v>
      </c>
    </row>
    <row r="5" spans="1:9">
      <c r="A5" s="49" t="s">
        <v>80</v>
      </c>
      <c r="B5" s="81">
        <v>1</v>
      </c>
      <c r="C5" s="88">
        <v>6.9000000000000006E-2</v>
      </c>
      <c r="D5" s="50">
        <f>+SUM($C$5:C5)</f>
        <v>6.9000000000000006E-2</v>
      </c>
      <c r="E5" s="50">
        <f>+Summary!B36</f>
        <v>7</v>
      </c>
      <c r="F5" s="50">
        <f>+C5*E5</f>
        <v>0.48300000000000004</v>
      </c>
      <c r="G5" s="43"/>
    </row>
    <row r="6" spans="1:9">
      <c r="B6" s="81">
        <v>2</v>
      </c>
      <c r="C6" s="88">
        <v>1E-3</v>
      </c>
      <c r="D6" s="50">
        <f>+SUM($C$5:C6)</f>
        <v>7.0000000000000007E-2</v>
      </c>
      <c r="E6" s="50">
        <f>+Summary!B37</f>
        <v>15</v>
      </c>
      <c r="F6" s="50">
        <f t="shared" ref="F6:F11" si="0">+C6*E6</f>
        <v>1.4999999999999999E-2</v>
      </c>
      <c r="G6" s="43"/>
    </row>
    <row r="7" spans="1:9">
      <c r="B7" s="81">
        <v>3</v>
      </c>
      <c r="C7" s="38">
        <v>2.5999999999999999E-3</v>
      </c>
      <c r="D7" s="50">
        <f>+SUM($C$5:C7)</f>
        <v>7.2600000000000012E-2</v>
      </c>
      <c r="E7" s="50">
        <f>+Summary!B38</f>
        <v>20</v>
      </c>
      <c r="F7" s="50">
        <f t="shared" si="0"/>
        <v>5.1999999999999998E-2</v>
      </c>
      <c r="G7" s="43"/>
      <c r="I7" s="28"/>
    </row>
    <row r="8" spans="1:9">
      <c r="B8" s="81" t="s">
        <v>74</v>
      </c>
      <c r="C8" s="38">
        <v>0</v>
      </c>
      <c r="D8" s="50">
        <f>+SUM($C$5:C8)</f>
        <v>7.2600000000000012E-2</v>
      </c>
      <c r="E8" s="50">
        <f>+E5+E6</f>
        <v>22</v>
      </c>
      <c r="F8" s="50">
        <f t="shared" si="0"/>
        <v>0</v>
      </c>
      <c r="G8" s="43"/>
      <c r="I8" s="83"/>
    </row>
    <row r="9" spans="1:9">
      <c r="B9" s="81" t="s">
        <v>75</v>
      </c>
      <c r="C9" s="38">
        <v>0</v>
      </c>
      <c r="D9" s="50">
        <f>+SUM($C$5:C9)</f>
        <v>7.2600000000000012E-2</v>
      </c>
      <c r="E9" s="50">
        <f>+E5+E7</f>
        <v>27</v>
      </c>
      <c r="F9" s="50">
        <f t="shared" si="0"/>
        <v>0</v>
      </c>
      <c r="G9" s="43"/>
    </row>
    <row r="10" spans="1:9">
      <c r="B10" s="81" t="s">
        <v>76</v>
      </c>
      <c r="C10" s="38">
        <v>0</v>
      </c>
      <c r="D10" s="50">
        <f>+SUM($C$5:C10)</f>
        <v>7.2600000000000012E-2</v>
      </c>
      <c r="E10" s="50">
        <f>+E6+E7</f>
        <v>35</v>
      </c>
      <c r="F10" s="50">
        <f t="shared" si="0"/>
        <v>0</v>
      </c>
      <c r="G10" s="43"/>
    </row>
    <row r="11" spans="1:9">
      <c r="B11" s="81" t="s">
        <v>77</v>
      </c>
      <c r="C11" s="38">
        <v>2.5000000000000001E-3</v>
      </c>
      <c r="D11" s="50">
        <f>+SUM($C$5:C11)</f>
        <v>7.5100000000000014E-2</v>
      </c>
      <c r="E11" s="50">
        <f>+E5+E6+E7</f>
        <v>42</v>
      </c>
      <c r="F11" s="50">
        <f t="shared" si="0"/>
        <v>0.105</v>
      </c>
      <c r="G11" s="43">
        <f>1/C11/Summary!$C$7</f>
        <v>0.8</v>
      </c>
      <c r="H11" s="49" t="s">
        <v>79</v>
      </c>
      <c r="I11" s="28"/>
    </row>
    <row r="12" spans="1:9">
      <c r="B12" s="56" t="s">
        <v>11</v>
      </c>
      <c r="C12" s="56">
        <f>+SUM(C5:C11)</f>
        <v>7.5100000000000014E-2</v>
      </c>
      <c r="D12" s="56"/>
      <c r="E12" s="56"/>
      <c r="F12" s="47">
        <f>+SUM(F5:F11)</f>
        <v>0.65500000000000003</v>
      </c>
      <c r="G12" s="44"/>
    </row>
    <row r="13" spans="1:9">
      <c r="B13" s="57" t="s">
        <v>78</v>
      </c>
      <c r="D13" s="57"/>
      <c r="G13" s="41"/>
    </row>
    <row r="14" spans="1:9">
      <c r="G14" s="41"/>
    </row>
    <row r="15" spans="1:9">
      <c r="A15" s="52" t="s">
        <v>12</v>
      </c>
      <c r="B15" s="54" t="s">
        <v>73</v>
      </c>
      <c r="C15" s="54" t="s">
        <v>10</v>
      </c>
      <c r="D15" s="54" t="s">
        <v>18</v>
      </c>
      <c r="E15" s="54" t="s">
        <v>8</v>
      </c>
      <c r="F15" s="54" t="s">
        <v>1</v>
      </c>
      <c r="G15" s="54" t="s">
        <v>43</v>
      </c>
    </row>
    <row r="16" spans="1:9">
      <c r="A16" s="49" t="s">
        <v>81</v>
      </c>
      <c r="B16" s="80">
        <v>2</v>
      </c>
      <c r="C16" s="53">
        <v>0.03</v>
      </c>
      <c r="D16" s="53">
        <f>+SUM(C16:$C$16)</f>
        <v>0.03</v>
      </c>
      <c r="E16" s="53">
        <f>+E6</f>
        <v>15</v>
      </c>
      <c r="F16" s="53">
        <f>+C16*E16</f>
        <v>0.44999999999999996</v>
      </c>
      <c r="G16" s="43"/>
    </row>
    <row r="17" spans="1:9">
      <c r="A17" s="49" t="s">
        <v>82</v>
      </c>
      <c r="B17" s="80">
        <v>3</v>
      </c>
      <c r="C17" s="90">
        <v>5.8999999999999999E-3</v>
      </c>
      <c r="D17" s="53">
        <f>+SUM(C$16:$C17)</f>
        <v>3.5900000000000001E-2</v>
      </c>
      <c r="E17" s="53">
        <f>+E7</f>
        <v>20</v>
      </c>
      <c r="F17" s="53">
        <f t="shared" ref="F17:F18" si="1">+C17*E17</f>
        <v>0.11799999999999999</v>
      </c>
      <c r="G17" s="43"/>
      <c r="I17" s="82"/>
    </row>
    <row r="18" spans="1:9">
      <c r="B18" s="80" t="s">
        <v>76</v>
      </c>
      <c r="C18" s="53">
        <v>2.5000000000000001E-3</v>
      </c>
      <c r="D18" s="53">
        <f>+SUM(C$16:$C18)</f>
        <v>3.8400000000000004E-2</v>
      </c>
      <c r="E18" s="53">
        <f>+E16+E17</f>
        <v>35</v>
      </c>
      <c r="F18" s="53">
        <f t="shared" si="1"/>
        <v>8.7500000000000008E-2</v>
      </c>
      <c r="G18" s="43">
        <f>1/C18/Summary!$C$7</f>
        <v>0.8</v>
      </c>
      <c r="H18" s="49" t="s">
        <v>79</v>
      </c>
      <c r="I18" s="28"/>
    </row>
    <row r="19" spans="1:9">
      <c r="B19" s="56" t="s">
        <v>5</v>
      </c>
      <c r="C19" s="56">
        <f>+SUM(C16:C18)</f>
        <v>3.8400000000000004E-2</v>
      </c>
      <c r="D19" s="56"/>
      <c r="E19" s="56"/>
      <c r="F19" s="61">
        <f>+SUM(F16:F18)</f>
        <v>0.65549999999999997</v>
      </c>
      <c r="G19" s="45"/>
    </row>
    <row r="20" spans="1:9">
      <c r="B20" s="60"/>
      <c r="C20" s="60"/>
      <c r="D20" s="60"/>
      <c r="E20" s="60"/>
      <c r="F20" s="55"/>
      <c r="G20" s="46"/>
    </row>
    <row r="21" spans="1:9">
      <c r="B21" s="60"/>
      <c r="C21" s="60"/>
      <c r="D21" s="60"/>
      <c r="E21" s="60"/>
      <c r="F21" s="55"/>
      <c r="G21" s="46"/>
    </row>
    <row r="22" spans="1:9">
      <c r="A22" s="52" t="s">
        <v>13</v>
      </c>
      <c r="B22" s="54" t="s">
        <v>73</v>
      </c>
      <c r="C22" s="54" t="s">
        <v>10</v>
      </c>
      <c r="D22" s="54" t="s">
        <v>18</v>
      </c>
      <c r="E22" s="54" t="s">
        <v>8</v>
      </c>
      <c r="F22" s="54" t="s">
        <v>1</v>
      </c>
      <c r="G22" s="54" t="s">
        <v>43</v>
      </c>
    </row>
    <row r="23" spans="1:9">
      <c r="A23" s="49" t="s">
        <v>81</v>
      </c>
      <c r="B23" s="80">
        <v>1</v>
      </c>
      <c r="C23" s="53">
        <v>4.4999999999999998E-2</v>
      </c>
      <c r="D23" s="53">
        <f>+SUM(C23:$C$23)</f>
        <v>4.4999999999999998E-2</v>
      </c>
      <c r="E23" s="53">
        <f>+E5</f>
        <v>7</v>
      </c>
      <c r="F23" s="53">
        <f>+C23*E23</f>
        <v>0.315</v>
      </c>
      <c r="G23" s="43"/>
    </row>
    <row r="24" spans="1:9">
      <c r="A24" s="49" t="s">
        <v>83</v>
      </c>
      <c r="B24" s="80">
        <v>3</v>
      </c>
      <c r="C24" s="90">
        <v>1.025E-2</v>
      </c>
      <c r="D24" s="53">
        <f>+SUM(C$23:$C24)</f>
        <v>5.525E-2</v>
      </c>
      <c r="E24" s="53">
        <f>+E7</f>
        <v>20</v>
      </c>
      <c r="F24" s="53">
        <f t="shared" ref="F24:F25" si="2">+C24*E24</f>
        <v>0.20500000000000002</v>
      </c>
      <c r="G24" s="43"/>
    </row>
    <row r="25" spans="1:9">
      <c r="B25" s="80" t="s">
        <v>75</v>
      </c>
      <c r="C25" s="53">
        <v>5.0000000000000001E-3</v>
      </c>
      <c r="D25" s="53">
        <f>+SUM(C$23:$C25)</f>
        <v>6.0249999999999998E-2</v>
      </c>
      <c r="E25" s="53">
        <f>+E23+E24</f>
        <v>27</v>
      </c>
      <c r="F25" s="53">
        <f t="shared" si="2"/>
        <v>0.13500000000000001</v>
      </c>
      <c r="G25" s="43">
        <f>1/C25/Summary!$C$7</f>
        <v>0.4</v>
      </c>
      <c r="H25" s="49" t="s">
        <v>79</v>
      </c>
      <c r="I25" s="28"/>
    </row>
    <row r="26" spans="1:9">
      <c r="B26" s="56" t="s">
        <v>5</v>
      </c>
      <c r="C26" s="56">
        <f>+SUM(C23:C25)</f>
        <v>6.0249999999999998E-2</v>
      </c>
      <c r="D26" s="56"/>
      <c r="E26" s="56"/>
      <c r="F26" s="61">
        <f>+SUM(F23:F25)</f>
        <v>0.65500000000000003</v>
      </c>
      <c r="G26" s="45"/>
    </row>
    <row r="27" spans="1:9">
      <c r="B27" s="60"/>
      <c r="C27" s="60"/>
      <c r="D27" s="60"/>
      <c r="E27" s="60"/>
      <c r="F27" s="55"/>
      <c r="G27" s="46"/>
    </row>
    <row r="28" spans="1:9">
      <c r="G28" s="41"/>
    </row>
    <row r="29" spans="1:9">
      <c r="A29" s="52" t="s">
        <v>14</v>
      </c>
      <c r="B29" s="54" t="s">
        <v>73</v>
      </c>
      <c r="C29" s="54" t="s">
        <v>10</v>
      </c>
      <c r="D29" s="54" t="s">
        <v>18</v>
      </c>
      <c r="E29" s="54" t="s">
        <v>8</v>
      </c>
      <c r="F29" s="54" t="s">
        <v>1</v>
      </c>
      <c r="G29" s="54" t="s">
        <v>43</v>
      </c>
    </row>
    <row r="30" spans="1:9">
      <c r="A30" s="49" t="s">
        <v>81</v>
      </c>
      <c r="B30" s="80">
        <v>3</v>
      </c>
      <c r="C30" s="90">
        <v>3.2750000000000001E-2</v>
      </c>
      <c r="D30" s="90">
        <f>+SUM(C30:$C$30)</f>
        <v>3.2750000000000001E-2</v>
      </c>
      <c r="E30" s="90">
        <f>+E7</f>
        <v>20</v>
      </c>
      <c r="F30" s="90">
        <f>+C30*E30</f>
        <v>0.65500000000000003</v>
      </c>
      <c r="G30" s="43">
        <f>1/C30/Summary!$C$7</f>
        <v>6.1068702290076333E-2</v>
      </c>
      <c r="H30" s="49" t="s">
        <v>79</v>
      </c>
      <c r="I30" s="28"/>
    </row>
    <row r="31" spans="1:9">
      <c r="A31" s="49" t="s">
        <v>82</v>
      </c>
      <c r="B31" s="56" t="s">
        <v>5</v>
      </c>
      <c r="C31" s="56">
        <f>+SUM(C30:C30)</f>
        <v>3.2750000000000001E-2</v>
      </c>
      <c r="D31" s="56"/>
      <c r="E31" s="56"/>
      <c r="F31" s="61">
        <f>+SUM(F30:F30)</f>
        <v>0.65500000000000003</v>
      </c>
      <c r="G31" s="45"/>
    </row>
    <row r="32" spans="1:9">
      <c r="A32" s="49" t="s">
        <v>83</v>
      </c>
      <c r="G32" s="41"/>
    </row>
    <row r="33" spans="1:9">
      <c r="G33" s="41"/>
    </row>
    <row r="34" spans="1:9">
      <c r="A34" s="52" t="s">
        <v>15</v>
      </c>
      <c r="B34" s="54" t="s">
        <v>73</v>
      </c>
      <c r="C34" s="54" t="s">
        <v>10</v>
      </c>
      <c r="D34" s="54" t="s">
        <v>18</v>
      </c>
      <c r="E34" s="54" t="s">
        <v>8</v>
      </c>
      <c r="F34" s="54" t="s">
        <v>1</v>
      </c>
      <c r="G34" s="54" t="s">
        <v>43</v>
      </c>
    </row>
    <row r="35" spans="1:9">
      <c r="A35" s="49" t="s">
        <v>81</v>
      </c>
      <c r="B35" s="80">
        <v>1</v>
      </c>
      <c r="C35" s="90">
        <v>3.5000000000000003E-2</v>
      </c>
      <c r="D35" s="53">
        <f>+SUM(C35:$C$35)</f>
        <v>3.5000000000000003E-2</v>
      </c>
      <c r="E35" s="53">
        <f>+E5</f>
        <v>7</v>
      </c>
      <c r="F35" s="53">
        <f>+C35*E35</f>
        <v>0.24500000000000002</v>
      </c>
      <c r="G35" s="43"/>
    </row>
    <row r="36" spans="1:9">
      <c r="A36" s="49" t="s">
        <v>84</v>
      </c>
      <c r="B36" s="80">
        <v>2</v>
      </c>
      <c r="C36" s="90">
        <v>1.26666666666666E-2</v>
      </c>
      <c r="D36" s="53">
        <f>+SUM(C$35:$C36)</f>
        <v>4.7666666666666607E-2</v>
      </c>
      <c r="E36" s="53">
        <f>+E6</f>
        <v>15</v>
      </c>
      <c r="F36" s="53">
        <f t="shared" ref="F36:F37" si="3">+C36*E36</f>
        <v>0.189999999999999</v>
      </c>
      <c r="G36" s="43"/>
    </row>
    <row r="37" spans="1:9">
      <c r="B37" s="80" t="s">
        <v>74</v>
      </c>
      <c r="C37" s="53">
        <v>0.01</v>
      </c>
      <c r="D37" s="53">
        <f>+SUM(C$35:$C37)</f>
        <v>5.7666666666666609E-2</v>
      </c>
      <c r="E37" s="53">
        <f>+E35+E36</f>
        <v>22</v>
      </c>
      <c r="F37" s="53">
        <f t="shared" si="3"/>
        <v>0.22</v>
      </c>
      <c r="G37" s="43">
        <f>1/C37/Summary!$C$7</f>
        <v>0.2</v>
      </c>
      <c r="H37" s="49" t="s">
        <v>79</v>
      </c>
      <c r="I37" s="28"/>
    </row>
    <row r="38" spans="1:9">
      <c r="A38" s="58"/>
      <c r="B38" s="56" t="s">
        <v>5</v>
      </c>
      <c r="C38" s="56">
        <f>+SUM(C35:C37)</f>
        <v>5.7666666666666609E-2</v>
      </c>
      <c r="D38" s="56"/>
      <c r="E38" s="56"/>
      <c r="F38" s="61">
        <f>+SUM(F35:F37)</f>
        <v>0.65499999999999903</v>
      </c>
      <c r="G38" s="45"/>
    </row>
    <row r="39" spans="1:9">
      <c r="A39" s="58"/>
      <c r="G39" s="41"/>
    </row>
    <row r="40" spans="1:9">
      <c r="G40" s="41"/>
    </row>
    <row r="41" spans="1:9">
      <c r="A41" s="52" t="s">
        <v>16</v>
      </c>
      <c r="B41" s="54" t="s">
        <v>73</v>
      </c>
      <c r="C41" s="54" t="s">
        <v>10</v>
      </c>
      <c r="D41" s="54" t="s">
        <v>18</v>
      </c>
      <c r="E41" s="54" t="s">
        <v>8</v>
      </c>
      <c r="F41" s="54" t="s">
        <v>1</v>
      </c>
      <c r="G41" s="54" t="s">
        <v>43</v>
      </c>
    </row>
    <row r="42" spans="1:9">
      <c r="A42" s="49" t="s">
        <v>81</v>
      </c>
      <c r="B42" s="80">
        <v>1</v>
      </c>
      <c r="C42" s="90">
        <v>9.3571428571428569E-2</v>
      </c>
      <c r="D42" s="90">
        <f>+SUM(C42:$C$42)</f>
        <v>9.3571428571428569E-2</v>
      </c>
      <c r="E42" s="90">
        <f>+E5</f>
        <v>7</v>
      </c>
      <c r="F42" s="90">
        <f>+E42*C42</f>
        <v>0.65500000000000003</v>
      </c>
      <c r="G42" s="43">
        <f>1/C42/Summary!$C$7</f>
        <v>2.1374045801526718E-2</v>
      </c>
      <c r="H42" s="49" t="s">
        <v>79</v>
      </c>
      <c r="I42" s="28"/>
    </row>
    <row r="43" spans="1:9">
      <c r="A43" s="49" t="s">
        <v>83</v>
      </c>
      <c r="B43" s="56" t="s">
        <v>5</v>
      </c>
      <c r="C43" s="56">
        <f>+SUM(C42:C42)</f>
        <v>9.3571428571428569E-2</v>
      </c>
      <c r="D43" s="56"/>
      <c r="E43" s="56"/>
      <c r="F43" s="61">
        <f>+SUM(F42:F42)</f>
        <v>0.65500000000000003</v>
      </c>
      <c r="G43" s="45"/>
    </row>
    <row r="44" spans="1:9">
      <c r="A44" s="49" t="s">
        <v>84</v>
      </c>
      <c r="G44" s="41"/>
    </row>
    <row r="45" spans="1:9">
      <c r="G45" s="41"/>
    </row>
    <row r="46" spans="1:9">
      <c r="A46" s="52" t="s">
        <v>17</v>
      </c>
      <c r="B46" s="54" t="s">
        <v>73</v>
      </c>
      <c r="C46" s="54" t="s">
        <v>10</v>
      </c>
      <c r="D46" s="54" t="s">
        <v>18</v>
      </c>
      <c r="E46" s="54" t="s">
        <v>8</v>
      </c>
      <c r="F46" s="54" t="s">
        <v>1</v>
      </c>
      <c r="G46" s="54" t="s">
        <v>43</v>
      </c>
    </row>
    <row r="47" spans="1:9">
      <c r="A47" s="49" t="s">
        <v>81</v>
      </c>
      <c r="B47" s="80">
        <v>2</v>
      </c>
      <c r="C47" s="90">
        <v>4.3666666666666666E-2</v>
      </c>
      <c r="D47" s="90">
        <f>+SUM(C$47:$C47)</f>
        <v>4.3666666666666666E-2</v>
      </c>
      <c r="E47" s="90">
        <f>+E6</f>
        <v>15</v>
      </c>
      <c r="F47" s="90">
        <f>+E47*C47</f>
        <v>0.65500000000000003</v>
      </c>
      <c r="G47" s="43">
        <f>1/C47/Summary!$C$7</f>
        <v>4.5801526717557252E-2</v>
      </c>
      <c r="H47" s="49" t="s">
        <v>79</v>
      </c>
      <c r="I47" s="28"/>
    </row>
    <row r="48" spans="1:9">
      <c r="A48" s="49" t="s">
        <v>82</v>
      </c>
      <c r="B48" s="56" t="s">
        <v>5</v>
      </c>
      <c r="C48" s="56">
        <f>+SUM(C47:C47)</f>
        <v>4.3666666666666666E-2</v>
      </c>
      <c r="D48" s="56"/>
      <c r="E48" s="56"/>
      <c r="F48" s="61">
        <f>+SUM(F47:F47)</f>
        <v>0.65500000000000003</v>
      </c>
      <c r="G48" s="45"/>
    </row>
    <row r="49" spans="1:7">
      <c r="A49" s="49" t="s">
        <v>84</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22.xml><?xml version="1.0" encoding="utf-8"?>
<worksheet xmlns="http://schemas.openxmlformats.org/spreadsheetml/2006/main" xmlns:r="http://schemas.openxmlformats.org/officeDocument/2006/relationships">
  <dimension ref="A1:I97"/>
  <sheetViews>
    <sheetView workbookViewId="0">
      <selection activeCell="G7" sqref="G7"/>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3" t="s">
        <v>110</v>
      </c>
      <c r="B1" s="123"/>
      <c r="C1" s="123"/>
      <c r="D1" s="123"/>
      <c r="E1" s="123"/>
    </row>
    <row r="2" spans="1:9">
      <c r="A2" s="59" t="s">
        <v>108</v>
      </c>
    </row>
    <row r="4" spans="1:9">
      <c r="A4" s="52" t="s">
        <v>9</v>
      </c>
      <c r="B4" s="54" t="s">
        <v>73</v>
      </c>
      <c r="C4" s="54" t="s">
        <v>10</v>
      </c>
      <c r="D4" s="54" t="s">
        <v>18</v>
      </c>
      <c r="E4" s="54" t="s">
        <v>8</v>
      </c>
      <c r="F4" s="54" t="s">
        <v>128</v>
      </c>
      <c r="G4" s="54" t="s">
        <v>43</v>
      </c>
    </row>
    <row r="5" spans="1:9">
      <c r="A5" s="49" t="s">
        <v>80</v>
      </c>
      <c r="B5" s="81">
        <v>1</v>
      </c>
      <c r="C5" s="38">
        <v>0.01</v>
      </c>
      <c r="D5" s="50">
        <f>+SUM($C$5:C5)</f>
        <v>0.01</v>
      </c>
      <c r="E5" s="50">
        <f>+Summary!E27</f>
        <v>5</v>
      </c>
      <c r="F5" s="50">
        <f>+C5*E5</f>
        <v>0.05</v>
      </c>
      <c r="G5" s="43"/>
    </row>
    <row r="6" spans="1:9">
      <c r="B6" s="81">
        <v>2</v>
      </c>
      <c r="C6" s="38">
        <v>7.0000000000000007E-2</v>
      </c>
      <c r="D6" s="50">
        <f>+SUM($C$5:C6)</f>
        <v>0.08</v>
      </c>
      <c r="E6" s="50">
        <f>+Summary!E28</f>
        <v>10</v>
      </c>
      <c r="F6" s="50">
        <f t="shared" ref="F6:F7" si="0">+C6*E6</f>
        <v>0.70000000000000007</v>
      </c>
      <c r="G6" s="43"/>
    </row>
    <row r="7" spans="1:9">
      <c r="B7" s="81" t="s">
        <v>74</v>
      </c>
      <c r="C7" s="38">
        <v>0.03</v>
      </c>
      <c r="D7" s="50">
        <f>+SUM($C$5:C7)</f>
        <v>0.11</v>
      </c>
      <c r="E7" s="50">
        <f>+E5+E6</f>
        <v>15</v>
      </c>
      <c r="F7" s="50">
        <f t="shared" si="0"/>
        <v>0.44999999999999996</v>
      </c>
      <c r="G7" s="43">
        <v>0</v>
      </c>
      <c r="H7" s="49" t="s">
        <v>79</v>
      </c>
      <c r="I7" s="83"/>
    </row>
    <row r="8" spans="1:9">
      <c r="B8" s="56" t="s">
        <v>11</v>
      </c>
      <c r="C8" s="56">
        <f>+SUM(C5:C7)</f>
        <v>0.11</v>
      </c>
      <c r="D8" s="56"/>
      <c r="E8" s="56"/>
      <c r="F8" s="47">
        <f>+SUM(F5:F7)</f>
        <v>1.2000000000000002</v>
      </c>
      <c r="G8" s="44"/>
    </row>
    <row r="9" spans="1:9">
      <c r="B9" s="57" t="s">
        <v>78</v>
      </c>
      <c r="G9" s="41"/>
    </row>
    <row r="10" spans="1:9">
      <c r="G10" s="41"/>
    </row>
    <row r="11" spans="1:9">
      <c r="G11" s="41"/>
    </row>
    <row r="12" spans="1:9">
      <c r="A12" s="52" t="s">
        <v>16</v>
      </c>
      <c r="B12" s="54" t="s">
        <v>73</v>
      </c>
      <c r="C12" s="54" t="s">
        <v>10</v>
      </c>
      <c r="D12" s="54" t="s">
        <v>18</v>
      </c>
      <c r="E12" s="54" t="s">
        <v>8</v>
      </c>
      <c r="F12" s="54" t="s">
        <v>128</v>
      </c>
      <c r="G12" s="54" t="s">
        <v>43</v>
      </c>
    </row>
    <row r="13" spans="1:9">
      <c r="A13" s="49" t="s">
        <v>81</v>
      </c>
      <c r="B13" s="80">
        <v>1</v>
      </c>
      <c r="C13" s="53">
        <v>0.24</v>
      </c>
      <c r="D13" s="53">
        <f>+SUM(C13:$C$13)</f>
        <v>0.24</v>
      </c>
      <c r="E13" s="53">
        <f>+E5</f>
        <v>5</v>
      </c>
      <c r="F13" s="53">
        <f>+E13*C13</f>
        <v>1.2</v>
      </c>
      <c r="G13" s="43">
        <v>0</v>
      </c>
      <c r="H13" s="49" t="s">
        <v>79</v>
      </c>
    </row>
    <row r="14" spans="1:9">
      <c r="A14" s="49" t="s">
        <v>83</v>
      </c>
      <c r="B14" s="56" t="s">
        <v>5</v>
      </c>
      <c r="C14" s="56">
        <f>+SUM(C13:C13)</f>
        <v>0.24</v>
      </c>
      <c r="D14" s="56"/>
      <c r="E14" s="56"/>
      <c r="F14" s="61">
        <f>+SUM(F13:F13)</f>
        <v>1.2</v>
      </c>
      <c r="G14" s="45"/>
    </row>
    <row r="15" spans="1:9">
      <c r="G15" s="41"/>
    </row>
    <row r="16" spans="1:9">
      <c r="G16" s="41"/>
    </row>
    <row r="17" spans="1:8">
      <c r="A17" s="52" t="s">
        <v>17</v>
      </c>
      <c r="B17" s="54" t="s">
        <v>73</v>
      </c>
      <c r="C17" s="54" t="s">
        <v>10</v>
      </c>
      <c r="D17" s="54" t="s">
        <v>18</v>
      </c>
      <c r="E17" s="54" t="s">
        <v>8</v>
      </c>
      <c r="F17" s="54" t="s">
        <v>128</v>
      </c>
      <c r="G17" s="54" t="s">
        <v>43</v>
      </c>
    </row>
    <row r="18" spans="1:8">
      <c r="A18" s="49" t="s">
        <v>81</v>
      </c>
      <c r="B18" s="80">
        <v>2</v>
      </c>
      <c r="C18" s="53">
        <v>0.12</v>
      </c>
      <c r="D18" s="53">
        <f>+SUM(C$18:$C18)</f>
        <v>0.12</v>
      </c>
      <c r="E18" s="53">
        <f>+E6</f>
        <v>10</v>
      </c>
      <c r="F18" s="53">
        <f>+E18*C18</f>
        <v>1.2</v>
      </c>
      <c r="G18" s="43">
        <v>0</v>
      </c>
      <c r="H18" s="49" t="s">
        <v>79</v>
      </c>
    </row>
    <row r="19" spans="1:8">
      <c r="A19" s="49" t="s">
        <v>82</v>
      </c>
      <c r="B19" s="56" t="s">
        <v>5</v>
      </c>
      <c r="C19" s="56">
        <f>+SUM(C18:C18)</f>
        <v>0.12</v>
      </c>
      <c r="D19" s="56"/>
      <c r="E19" s="56"/>
      <c r="F19" s="61">
        <f>+SUM(F18:F18)</f>
        <v>1.2</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23.xml><?xml version="1.0" encoding="utf-8"?>
<worksheet xmlns="http://schemas.openxmlformats.org/spreadsheetml/2006/main" xmlns:r="http://schemas.openxmlformats.org/officeDocument/2006/relationships">
  <sheetPr codeName="Hoja9"/>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3" t="s">
        <v>90</v>
      </c>
      <c r="B1" s="123"/>
      <c r="C1" s="123"/>
      <c r="D1" s="123"/>
      <c r="E1" s="123"/>
    </row>
    <row r="2" spans="1:8">
      <c r="A2" s="59" t="s">
        <v>108</v>
      </c>
    </row>
    <row r="4" spans="1:8">
      <c r="A4" s="52" t="s">
        <v>9</v>
      </c>
      <c r="B4" s="54" t="s">
        <v>73</v>
      </c>
      <c r="C4" s="54" t="s">
        <v>10</v>
      </c>
      <c r="D4" s="54" t="s">
        <v>18</v>
      </c>
      <c r="E4" s="54" t="s">
        <v>8</v>
      </c>
      <c r="F4" s="54" t="s">
        <v>128</v>
      </c>
      <c r="G4" s="54" t="s">
        <v>43</v>
      </c>
    </row>
    <row r="5" spans="1:8">
      <c r="A5" s="49" t="s">
        <v>80</v>
      </c>
      <c r="B5" s="81">
        <v>1</v>
      </c>
      <c r="C5" s="50">
        <v>0.18</v>
      </c>
      <c r="D5" s="50">
        <f>+SUM($C$5:C5)</f>
        <v>0.18</v>
      </c>
      <c r="E5" s="50">
        <f>+Summary!H27</f>
        <v>5</v>
      </c>
      <c r="F5" s="50">
        <f>+C5*E5</f>
        <v>0.89999999999999991</v>
      </c>
      <c r="G5" s="43"/>
    </row>
    <row r="6" spans="1:8">
      <c r="B6" s="81">
        <v>2</v>
      </c>
      <c r="C6" s="50">
        <v>5.0000000000000001E-3</v>
      </c>
      <c r="D6" s="50">
        <f>+SUM($C$5:C6)</f>
        <v>0.185</v>
      </c>
      <c r="E6" s="50">
        <f>+Summary!H28</f>
        <v>10</v>
      </c>
      <c r="F6" s="50">
        <f t="shared" ref="F6:F11" si="0">+C6*E6</f>
        <v>0.05</v>
      </c>
      <c r="G6" s="43"/>
    </row>
    <row r="7" spans="1:8">
      <c r="B7" s="81">
        <v>3</v>
      </c>
      <c r="C7" s="50">
        <v>2E-3</v>
      </c>
      <c r="D7" s="50">
        <f>+SUM($C$5:C7)</f>
        <v>0.187</v>
      </c>
      <c r="E7" s="50">
        <f>+Summary!H29</f>
        <v>15</v>
      </c>
      <c r="F7" s="50">
        <f t="shared" si="0"/>
        <v>0.03</v>
      </c>
      <c r="G7" s="43"/>
    </row>
    <row r="8" spans="1:8">
      <c r="B8" s="81" t="s">
        <v>74</v>
      </c>
      <c r="C8" s="50">
        <v>1E-3</v>
      </c>
      <c r="D8" s="50">
        <f>+SUM($C$5:C8)</f>
        <v>0.188</v>
      </c>
      <c r="E8" s="50">
        <f>+E5+E6</f>
        <v>15</v>
      </c>
      <c r="F8" s="50">
        <f t="shared" si="0"/>
        <v>1.4999999999999999E-2</v>
      </c>
      <c r="G8" s="43"/>
    </row>
    <row r="9" spans="1:8">
      <c r="B9" s="81" t="s">
        <v>75</v>
      </c>
      <c r="C9" s="50">
        <v>1.5E-3</v>
      </c>
      <c r="D9" s="50">
        <f>+SUM($C$5:C9)</f>
        <v>0.1895</v>
      </c>
      <c r="E9" s="50">
        <f>+E5+E7</f>
        <v>20</v>
      </c>
      <c r="F9" s="50">
        <f t="shared" si="0"/>
        <v>0.03</v>
      </c>
      <c r="G9" s="43"/>
    </row>
    <row r="10" spans="1:8">
      <c r="B10" s="81" t="s">
        <v>76</v>
      </c>
      <c r="C10" s="50">
        <v>1E-3</v>
      </c>
      <c r="D10" s="50">
        <f>+SUM($C$5:C10)</f>
        <v>0.1905</v>
      </c>
      <c r="E10" s="50">
        <f>+E6+E7</f>
        <v>25</v>
      </c>
      <c r="F10" s="50">
        <f t="shared" si="0"/>
        <v>2.5000000000000001E-2</v>
      </c>
      <c r="G10" s="43"/>
    </row>
    <row r="11" spans="1:8">
      <c r="B11" s="81" t="s">
        <v>77</v>
      </c>
      <c r="C11" s="50">
        <v>5.0000000000000001E-3</v>
      </c>
      <c r="D11" s="50">
        <f>+SUM($C$5:C11)</f>
        <v>0.19550000000000001</v>
      </c>
      <c r="E11" s="50">
        <f>+E5+E6+E7</f>
        <v>30</v>
      </c>
      <c r="F11" s="50">
        <f t="shared" si="0"/>
        <v>0.15</v>
      </c>
      <c r="G11" s="43">
        <v>0</v>
      </c>
      <c r="H11" s="49" t="s">
        <v>79</v>
      </c>
    </row>
    <row r="12" spans="1:8">
      <c r="B12" s="56" t="s">
        <v>11</v>
      </c>
      <c r="C12" s="56">
        <f>+SUM(C5:C11)</f>
        <v>0.19550000000000001</v>
      </c>
      <c r="D12" s="56"/>
      <c r="E12" s="56"/>
      <c r="F12" s="63">
        <f>+SUM(F5:F11)</f>
        <v>1.1999999999999997</v>
      </c>
      <c r="G12" s="44"/>
    </row>
    <row r="13" spans="1:8">
      <c r="B13" s="57" t="s">
        <v>78</v>
      </c>
      <c r="D13" s="57"/>
      <c r="G13" s="41"/>
    </row>
    <row r="14" spans="1:8">
      <c r="G14" s="41"/>
    </row>
    <row r="15" spans="1:8">
      <c r="A15" s="52" t="s">
        <v>12</v>
      </c>
      <c r="B15" s="54" t="s">
        <v>73</v>
      </c>
      <c r="C15" s="54" t="s">
        <v>10</v>
      </c>
      <c r="D15" s="54" t="s">
        <v>18</v>
      </c>
      <c r="E15" s="54" t="s">
        <v>8</v>
      </c>
      <c r="F15" s="54" t="s">
        <v>128</v>
      </c>
      <c r="G15" s="54" t="s">
        <v>43</v>
      </c>
    </row>
    <row r="16" spans="1:8">
      <c r="A16" s="49" t="s">
        <v>81</v>
      </c>
      <c r="B16" s="80">
        <v>2</v>
      </c>
      <c r="C16" s="53">
        <v>9.7000000000000003E-2</v>
      </c>
      <c r="D16" s="53">
        <f>+SUM(C16:$C$16)</f>
        <v>9.7000000000000003E-2</v>
      </c>
      <c r="E16" s="53">
        <f>+E6</f>
        <v>10</v>
      </c>
      <c r="F16" s="53">
        <f>+C16*E16</f>
        <v>0.97</v>
      </c>
      <c r="G16" s="43"/>
    </row>
    <row r="17" spans="1:10">
      <c r="A17" s="49" t="s">
        <v>82</v>
      </c>
      <c r="B17" s="80">
        <v>3</v>
      </c>
      <c r="C17" s="53">
        <v>2E-3</v>
      </c>
      <c r="D17" s="53">
        <f>+SUM(C$16:$C17)</f>
        <v>9.9000000000000005E-2</v>
      </c>
      <c r="E17" s="53">
        <f>+E7</f>
        <v>15</v>
      </c>
      <c r="F17" s="53">
        <f t="shared" ref="F17:F18" si="1">+C17*E17</f>
        <v>0.03</v>
      </c>
      <c r="G17" s="43"/>
    </row>
    <row r="18" spans="1:10">
      <c r="B18" s="80" t="s">
        <v>76</v>
      </c>
      <c r="C18" s="53">
        <v>8.0000000000000002E-3</v>
      </c>
      <c r="D18" s="53">
        <f>+SUM(C$16:$C18)</f>
        <v>0.10700000000000001</v>
      </c>
      <c r="E18" s="53">
        <f>+E16+E17</f>
        <v>25</v>
      </c>
      <c r="F18" s="53">
        <f t="shared" si="1"/>
        <v>0.2</v>
      </c>
      <c r="G18" s="43">
        <v>0</v>
      </c>
      <c r="H18" s="49" t="s">
        <v>79</v>
      </c>
    </row>
    <row r="19" spans="1:10">
      <c r="B19" s="56" t="s">
        <v>5</v>
      </c>
      <c r="C19" s="56">
        <f>+SUM(C16:C18)</f>
        <v>0.10700000000000001</v>
      </c>
      <c r="D19" s="56"/>
      <c r="E19" s="56"/>
      <c r="F19" s="61">
        <f>+SUM(F16:F18)</f>
        <v>1.2</v>
      </c>
      <c r="G19" s="45"/>
    </row>
    <row r="20" spans="1:10">
      <c r="B20" s="60"/>
      <c r="C20" s="60"/>
      <c r="D20" s="60"/>
      <c r="E20" s="60"/>
      <c r="F20" s="55"/>
      <c r="G20" s="46"/>
    </row>
    <row r="21" spans="1:10">
      <c r="B21" s="60"/>
      <c r="C21" s="60"/>
      <c r="D21" s="60"/>
      <c r="E21" s="60"/>
      <c r="F21" s="55"/>
      <c r="G21" s="46"/>
    </row>
    <row r="22" spans="1:10">
      <c r="A22" s="52" t="s">
        <v>13</v>
      </c>
      <c r="B22" s="54" t="s">
        <v>73</v>
      </c>
      <c r="C22" s="54" t="s">
        <v>10</v>
      </c>
      <c r="D22" s="54" t="s">
        <v>18</v>
      </c>
      <c r="E22" s="54" t="s">
        <v>8</v>
      </c>
      <c r="F22" s="54" t="s">
        <v>128</v>
      </c>
      <c r="G22" s="54" t="s">
        <v>43</v>
      </c>
    </row>
    <row r="23" spans="1:10">
      <c r="A23" s="49" t="s">
        <v>81</v>
      </c>
      <c r="B23" s="80">
        <v>1</v>
      </c>
      <c r="C23" s="53">
        <v>0.14499999999999999</v>
      </c>
      <c r="D23" s="53">
        <f>+SUM(C23:$C$23)</f>
        <v>0.14499999999999999</v>
      </c>
      <c r="E23" s="53">
        <f>+E5</f>
        <v>5</v>
      </c>
      <c r="F23" s="53">
        <f>+C23*E23</f>
        <v>0.72499999999999998</v>
      </c>
      <c r="G23" s="43"/>
    </row>
    <row r="24" spans="1:10">
      <c r="A24" s="49" t="s">
        <v>83</v>
      </c>
      <c r="B24" s="80">
        <v>3</v>
      </c>
      <c r="C24" s="53">
        <v>5.0000000000000001E-3</v>
      </c>
      <c r="D24" s="53">
        <f>+SUM(C$23:$C24)</f>
        <v>0.15</v>
      </c>
      <c r="E24" s="53">
        <f>+E7</f>
        <v>15</v>
      </c>
      <c r="F24" s="53">
        <f t="shared" ref="F24:F25" si="2">+C24*E24</f>
        <v>7.4999999999999997E-2</v>
      </c>
      <c r="G24" s="43"/>
    </row>
    <row r="25" spans="1:10">
      <c r="B25" s="80" t="s">
        <v>75</v>
      </c>
      <c r="C25" s="53">
        <v>0.02</v>
      </c>
      <c r="D25" s="53">
        <f>+SUM(C$23:$C25)</f>
        <v>0.16999999999999998</v>
      </c>
      <c r="E25" s="53">
        <f>+E23+E24</f>
        <v>20</v>
      </c>
      <c r="F25" s="53">
        <f t="shared" si="2"/>
        <v>0.4</v>
      </c>
      <c r="G25" s="43">
        <v>0</v>
      </c>
      <c r="H25" s="49" t="s">
        <v>79</v>
      </c>
      <c r="J25" s="62"/>
    </row>
    <row r="26" spans="1:10">
      <c r="B26" s="56" t="s">
        <v>5</v>
      </c>
      <c r="C26" s="56">
        <f>+SUM(C23:C25)</f>
        <v>0.16999999999999998</v>
      </c>
      <c r="D26" s="56"/>
      <c r="E26" s="56"/>
      <c r="F26" s="61">
        <f>+SUM(F23:F25)</f>
        <v>1.2</v>
      </c>
      <c r="G26" s="45"/>
    </row>
    <row r="27" spans="1:10">
      <c r="B27" s="60"/>
      <c r="C27" s="60"/>
      <c r="D27" s="60"/>
      <c r="E27" s="60"/>
      <c r="F27" s="55"/>
      <c r="G27" s="46"/>
    </row>
    <row r="28" spans="1:10">
      <c r="G28" s="41"/>
    </row>
    <row r="29" spans="1:10">
      <c r="A29" s="52" t="s">
        <v>14</v>
      </c>
      <c r="B29" s="54" t="s">
        <v>73</v>
      </c>
      <c r="C29" s="54" t="s">
        <v>10</v>
      </c>
      <c r="D29" s="54" t="s">
        <v>18</v>
      </c>
      <c r="E29" s="54" t="s">
        <v>8</v>
      </c>
      <c r="F29" s="54" t="s">
        <v>128</v>
      </c>
      <c r="G29" s="54" t="s">
        <v>43</v>
      </c>
    </row>
    <row r="30" spans="1:10">
      <c r="A30" s="49" t="s">
        <v>81</v>
      </c>
      <c r="B30" s="80">
        <v>3</v>
      </c>
      <c r="C30" s="53">
        <v>0.08</v>
      </c>
      <c r="D30" s="53">
        <f>+SUM(C30:$C$30)</f>
        <v>0.08</v>
      </c>
      <c r="E30" s="53">
        <f>+E7</f>
        <v>15</v>
      </c>
      <c r="F30" s="53">
        <f>+C30*E30</f>
        <v>1.2</v>
      </c>
      <c r="G30" s="43">
        <v>0</v>
      </c>
      <c r="H30" s="49" t="s">
        <v>79</v>
      </c>
    </row>
    <row r="31" spans="1:10">
      <c r="A31" s="49" t="s">
        <v>82</v>
      </c>
      <c r="B31" s="56" t="s">
        <v>5</v>
      </c>
      <c r="C31" s="56">
        <f>+SUM(C30:C30)</f>
        <v>0.08</v>
      </c>
      <c r="D31" s="56"/>
      <c r="E31" s="56"/>
      <c r="F31" s="61">
        <f>+SUM(F30:F30)</f>
        <v>1.2</v>
      </c>
      <c r="G31" s="45"/>
    </row>
    <row r="32" spans="1:10">
      <c r="A32" s="49" t="s">
        <v>83</v>
      </c>
      <c r="G32" s="41"/>
    </row>
    <row r="33" spans="1:8">
      <c r="G33" s="41"/>
    </row>
    <row r="34" spans="1:8">
      <c r="A34" s="52" t="s">
        <v>15</v>
      </c>
      <c r="B34" s="54" t="s">
        <v>73</v>
      </c>
      <c r="C34" s="54" t="s">
        <v>10</v>
      </c>
      <c r="D34" s="54" t="s">
        <v>18</v>
      </c>
      <c r="E34" s="54" t="s">
        <v>8</v>
      </c>
      <c r="F34" s="54" t="s">
        <v>128</v>
      </c>
      <c r="G34" s="54" t="s">
        <v>43</v>
      </c>
    </row>
    <row r="35" spans="1:8">
      <c r="A35" s="49" t="s">
        <v>81</v>
      </c>
      <c r="B35" s="80">
        <v>1</v>
      </c>
      <c r="C35" s="53">
        <v>0.186</v>
      </c>
      <c r="D35" s="53">
        <f>+SUM(C35:$C$35)</f>
        <v>0.186</v>
      </c>
      <c r="E35" s="53">
        <f>+E5</f>
        <v>5</v>
      </c>
      <c r="F35" s="53">
        <f>+C35*E35</f>
        <v>0.92999999999999994</v>
      </c>
      <c r="G35" s="43"/>
    </row>
    <row r="36" spans="1:8">
      <c r="A36" s="49" t="s">
        <v>84</v>
      </c>
      <c r="B36" s="80">
        <v>2</v>
      </c>
      <c r="C36" s="53">
        <v>0</v>
      </c>
      <c r="D36" s="53">
        <f>+SUM(C$35:$C36)</f>
        <v>0.186</v>
      </c>
      <c r="E36" s="53">
        <f>+E6</f>
        <v>10</v>
      </c>
      <c r="F36" s="53">
        <f t="shared" ref="F36:F37" si="3">+C36*E36</f>
        <v>0</v>
      </c>
      <c r="G36" s="43"/>
    </row>
    <row r="37" spans="1:8">
      <c r="B37" s="80" t="s">
        <v>74</v>
      </c>
      <c r="C37" s="53">
        <v>1.7999999999999999E-2</v>
      </c>
      <c r="D37" s="53">
        <f>+SUM(C$35:$C37)</f>
        <v>0.20399999999999999</v>
      </c>
      <c r="E37" s="53">
        <f>+E35+E36</f>
        <v>15</v>
      </c>
      <c r="F37" s="53">
        <f t="shared" si="3"/>
        <v>0.26999999999999996</v>
      </c>
      <c r="G37" s="43">
        <v>0</v>
      </c>
      <c r="H37" s="49" t="s">
        <v>79</v>
      </c>
    </row>
    <row r="38" spans="1:8">
      <c r="A38" s="58"/>
      <c r="B38" s="56" t="s">
        <v>5</v>
      </c>
      <c r="C38" s="56">
        <f>+SUM(C35:C37)</f>
        <v>0.20399999999999999</v>
      </c>
      <c r="D38" s="56"/>
      <c r="E38" s="56"/>
      <c r="F38" s="61">
        <f>+SUM(F35:F37)</f>
        <v>1.2</v>
      </c>
      <c r="G38" s="45"/>
    </row>
    <row r="39" spans="1:8">
      <c r="A39" s="58"/>
      <c r="G39" s="41"/>
    </row>
    <row r="40" spans="1:8">
      <c r="G40" s="41"/>
    </row>
    <row r="41" spans="1:8">
      <c r="A41" s="52" t="s">
        <v>16</v>
      </c>
      <c r="B41" s="54" t="s">
        <v>73</v>
      </c>
      <c r="C41" s="54" t="s">
        <v>10</v>
      </c>
      <c r="D41" s="54" t="s">
        <v>18</v>
      </c>
      <c r="E41" s="54" t="s">
        <v>8</v>
      </c>
      <c r="F41" s="54" t="s">
        <v>128</v>
      </c>
      <c r="G41" s="48"/>
    </row>
    <row r="42" spans="1:8">
      <c r="A42" s="49" t="s">
        <v>81</v>
      </c>
      <c r="B42" s="80">
        <v>1</v>
      </c>
      <c r="C42" s="53">
        <v>0.24</v>
      </c>
      <c r="D42" s="53">
        <f>+SUM(C42:$C$42)</f>
        <v>0.24</v>
      </c>
      <c r="E42" s="53">
        <f>+E5</f>
        <v>5</v>
      </c>
      <c r="F42" s="53">
        <f>+E42*C42</f>
        <v>1.2</v>
      </c>
      <c r="G42" s="43">
        <v>0</v>
      </c>
      <c r="H42" s="49" t="s">
        <v>79</v>
      </c>
    </row>
    <row r="43" spans="1:8">
      <c r="A43" s="49" t="s">
        <v>83</v>
      </c>
      <c r="B43" s="56" t="s">
        <v>5</v>
      </c>
      <c r="C43" s="56">
        <f>+SUM(C42:C42)</f>
        <v>0.24</v>
      </c>
      <c r="D43" s="56"/>
      <c r="E43" s="56"/>
      <c r="F43" s="61">
        <f>+SUM(F42:F42)</f>
        <v>1.2</v>
      </c>
      <c r="G43" s="45"/>
    </row>
    <row r="44" spans="1:8">
      <c r="A44" s="49" t="s">
        <v>84</v>
      </c>
      <c r="G44" s="41"/>
    </row>
    <row r="45" spans="1:8">
      <c r="G45" s="41"/>
    </row>
    <row r="46" spans="1:8">
      <c r="A46" s="52" t="s">
        <v>17</v>
      </c>
      <c r="B46" s="54" t="s">
        <v>73</v>
      </c>
      <c r="C46" s="54" t="s">
        <v>10</v>
      </c>
      <c r="D46" s="54" t="s">
        <v>18</v>
      </c>
      <c r="E46" s="54" t="s">
        <v>8</v>
      </c>
      <c r="F46" s="54" t="s">
        <v>128</v>
      </c>
      <c r="G46" s="48"/>
    </row>
    <row r="47" spans="1:8">
      <c r="A47" s="49" t="s">
        <v>81</v>
      </c>
      <c r="B47" s="80">
        <v>2</v>
      </c>
      <c r="C47" s="53">
        <v>0.12</v>
      </c>
      <c r="D47" s="53">
        <f>+SUM(C$47:$C47)</f>
        <v>0.12</v>
      </c>
      <c r="E47" s="53">
        <f>+E6</f>
        <v>10</v>
      </c>
      <c r="F47" s="53">
        <f>+E47*C47</f>
        <v>1.2</v>
      </c>
      <c r="G47" s="43">
        <v>0</v>
      </c>
      <c r="H47" s="49" t="s">
        <v>79</v>
      </c>
    </row>
    <row r="48" spans="1:8">
      <c r="A48" s="49" t="s">
        <v>82</v>
      </c>
      <c r="B48" s="56" t="s">
        <v>5</v>
      </c>
      <c r="C48" s="56">
        <f>+SUM(C47:C47)</f>
        <v>0.12</v>
      </c>
      <c r="D48" s="56"/>
      <c r="E48" s="56"/>
      <c r="F48" s="61">
        <f>+SUM(F47:F47)</f>
        <v>1.2</v>
      </c>
      <c r="G48" s="45"/>
    </row>
    <row r="49" spans="1:7">
      <c r="A49" s="49" t="s">
        <v>84</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24.xml><?xml version="1.0" encoding="utf-8"?>
<worksheet xmlns="http://schemas.openxmlformats.org/spreadsheetml/2006/main" xmlns:r="http://schemas.openxmlformats.org/officeDocument/2006/relationships">
  <sheetPr codeName="Hoja11"/>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3" t="s">
        <v>93</v>
      </c>
      <c r="B1" s="123"/>
      <c r="C1" s="123"/>
      <c r="D1" s="123"/>
      <c r="E1" s="123"/>
    </row>
    <row r="2" spans="1:8">
      <c r="A2" s="59" t="s">
        <v>108</v>
      </c>
    </row>
    <row r="4" spans="1:8">
      <c r="A4" s="52" t="s">
        <v>9</v>
      </c>
      <c r="B4" s="54" t="s">
        <v>73</v>
      </c>
      <c r="C4" s="54" t="s">
        <v>10</v>
      </c>
      <c r="D4" s="54" t="s">
        <v>18</v>
      </c>
      <c r="E4" s="54" t="s">
        <v>8</v>
      </c>
      <c r="F4" s="54" t="s">
        <v>128</v>
      </c>
      <c r="G4" s="54" t="s">
        <v>43</v>
      </c>
    </row>
    <row r="5" spans="1:8">
      <c r="A5" s="49" t="s">
        <v>80</v>
      </c>
      <c r="B5" s="81">
        <v>1</v>
      </c>
      <c r="C5" s="50">
        <v>0.125</v>
      </c>
      <c r="D5" s="50">
        <f>+SUM($C$5:C5)</f>
        <v>0.125</v>
      </c>
      <c r="E5" s="64">
        <f>Summary!K27</f>
        <v>5</v>
      </c>
      <c r="F5" s="50">
        <f>+C5*E5</f>
        <v>0.625</v>
      </c>
      <c r="G5" s="43"/>
    </row>
    <row r="6" spans="1:8">
      <c r="B6" s="81">
        <v>2</v>
      </c>
      <c r="C6" s="50">
        <v>0.01</v>
      </c>
      <c r="D6" s="50">
        <f>+SUM($C$5:C6)</f>
        <v>0.13500000000000001</v>
      </c>
      <c r="E6" s="64">
        <f>Summary!K28</f>
        <v>12</v>
      </c>
      <c r="F6" s="50">
        <f t="shared" ref="F6:F11" si="0">+C6*E6</f>
        <v>0.12</v>
      </c>
      <c r="G6" s="43"/>
    </row>
    <row r="7" spans="1:8">
      <c r="B7" s="81">
        <v>3</v>
      </c>
      <c r="C7" s="50">
        <v>5.0000000000000001E-3</v>
      </c>
      <c r="D7" s="50">
        <f>+SUM($C$5:C7)</f>
        <v>0.14000000000000001</v>
      </c>
      <c r="E7" s="64">
        <f>Summary!K29</f>
        <v>18</v>
      </c>
      <c r="F7" s="50">
        <f t="shared" si="0"/>
        <v>0.09</v>
      </c>
      <c r="G7" s="43"/>
    </row>
    <row r="8" spans="1:8">
      <c r="B8" s="81" t="s">
        <v>74</v>
      </c>
      <c r="C8" s="50">
        <v>0</v>
      </c>
      <c r="D8" s="50">
        <f>+SUM($C$5:C8)</f>
        <v>0.14000000000000001</v>
      </c>
      <c r="E8" s="50">
        <f>+E5+E6</f>
        <v>17</v>
      </c>
      <c r="F8" s="50">
        <f t="shared" si="0"/>
        <v>0</v>
      </c>
      <c r="G8" s="43"/>
    </row>
    <row r="9" spans="1:8">
      <c r="B9" s="81" t="s">
        <v>75</v>
      </c>
      <c r="C9" s="50">
        <v>0</v>
      </c>
      <c r="D9" s="50">
        <f>+SUM($C$5:C9)</f>
        <v>0.14000000000000001</v>
      </c>
      <c r="E9" s="50">
        <f>+E5+E7</f>
        <v>23</v>
      </c>
      <c r="F9" s="50">
        <f t="shared" si="0"/>
        <v>0</v>
      </c>
      <c r="G9" s="43"/>
    </row>
    <row r="10" spans="1:8">
      <c r="B10" s="81" t="s">
        <v>76</v>
      </c>
      <c r="C10" s="50">
        <v>5.0000000000000001E-4</v>
      </c>
      <c r="D10" s="50">
        <f>+SUM($C$5:C10)</f>
        <v>0.14050000000000001</v>
      </c>
      <c r="E10" s="50">
        <f>+E6+E7</f>
        <v>30</v>
      </c>
      <c r="F10" s="50">
        <f t="shared" si="0"/>
        <v>1.4999999999999999E-2</v>
      </c>
      <c r="G10" s="43"/>
    </row>
    <row r="11" spans="1:8">
      <c r="B11" s="81" t="s">
        <v>77</v>
      </c>
      <c r="C11" s="50">
        <v>0.01</v>
      </c>
      <c r="D11" s="50">
        <f>+SUM($C$5:C11)</f>
        <v>0.15050000000000002</v>
      </c>
      <c r="E11" s="50">
        <f>+E5+E6+E7</f>
        <v>35</v>
      </c>
      <c r="F11" s="50">
        <f t="shared" si="0"/>
        <v>0.35000000000000003</v>
      </c>
      <c r="G11" s="43">
        <v>0</v>
      </c>
      <c r="H11" s="49" t="s">
        <v>79</v>
      </c>
    </row>
    <row r="12" spans="1:8">
      <c r="B12" s="56" t="s">
        <v>11</v>
      </c>
      <c r="C12" s="56">
        <f>+SUM(C5:C11)</f>
        <v>0.15050000000000002</v>
      </c>
      <c r="D12" s="56"/>
      <c r="E12" s="56"/>
      <c r="F12" s="63">
        <f>+SUM(F5:F11)</f>
        <v>1.2</v>
      </c>
      <c r="G12" s="44"/>
    </row>
    <row r="13" spans="1:8">
      <c r="B13" s="57" t="s">
        <v>78</v>
      </c>
      <c r="G13" s="41"/>
    </row>
    <row r="14" spans="1:8">
      <c r="G14" s="41"/>
    </row>
    <row r="15" spans="1:8">
      <c r="A15" s="52" t="s">
        <v>12</v>
      </c>
      <c r="B15" s="54" t="s">
        <v>73</v>
      </c>
      <c r="C15" s="54" t="s">
        <v>10</v>
      </c>
      <c r="D15" s="54" t="s">
        <v>18</v>
      </c>
      <c r="E15" s="54" t="s">
        <v>8</v>
      </c>
      <c r="F15" s="54" t="s">
        <v>128</v>
      </c>
      <c r="G15" s="54" t="s">
        <v>43</v>
      </c>
    </row>
    <row r="16" spans="1:8">
      <c r="A16" s="49" t="s">
        <v>81</v>
      </c>
      <c r="B16" s="80">
        <v>2</v>
      </c>
      <c r="C16" s="53">
        <v>6.7500000000000004E-2</v>
      </c>
      <c r="D16" s="53">
        <f>+SUM(C16:$C$16)</f>
        <v>6.7500000000000004E-2</v>
      </c>
      <c r="E16" s="53">
        <f>+E6</f>
        <v>12</v>
      </c>
      <c r="F16" s="53">
        <f>+C16*E16</f>
        <v>0.81</v>
      </c>
      <c r="G16" s="43"/>
    </row>
    <row r="17" spans="1:10">
      <c r="A17" s="49" t="s">
        <v>82</v>
      </c>
      <c r="B17" s="80">
        <v>3</v>
      </c>
      <c r="C17" s="53">
        <v>5.0000000000000001E-3</v>
      </c>
      <c r="D17" s="53">
        <f>+SUM(C$16:$C17)</f>
        <v>7.2500000000000009E-2</v>
      </c>
      <c r="E17" s="53">
        <f>+E7</f>
        <v>18</v>
      </c>
      <c r="F17" s="53">
        <f t="shared" ref="F17:F18" si="1">+C17*E17</f>
        <v>0.09</v>
      </c>
      <c r="G17" s="43"/>
    </row>
    <row r="18" spans="1:10">
      <c r="B18" s="80" t="s">
        <v>76</v>
      </c>
      <c r="C18" s="53">
        <v>0.01</v>
      </c>
      <c r="D18" s="53">
        <f>+SUM(C$16:$C18)</f>
        <v>8.2500000000000004E-2</v>
      </c>
      <c r="E18" s="53">
        <f>+E16+E17</f>
        <v>30</v>
      </c>
      <c r="F18" s="53">
        <f t="shared" si="1"/>
        <v>0.3</v>
      </c>
      <c r="G18" s="43">
        <v>0</v>
      </c>
      <c r="H18" s="49" t="s">
        <v>79</v>
      </c>
    </row>
    <row r="19" spans="1:10">
      <c r="B19" s="56" t="s">
        <v>5</v>
      </c>
      <c r="C19" s="56">
        <f>+SUM(C16:C18)</f>
        <v>8.2500000000000004E-2</v>
      </c>
      <c r="D19" s="56"/>
      <c r="E19" s="56"/>
      <c r="F19" s="61">
        <f>+SUM(F16:F18)</f>
        <v>1.2</v>
      </c>
      <c r="G19" s="45"/>
    </row>
    <row r="20" spans="1:10">
      <c r="B20" s="60"/>
      <c r="C20" s="60"/>
      <c r="D20" s="60"/>
      <c r="E20" s="60"/>
      <c r="F20" s="55"/>
      <c r="G20" s="46"/>
    </row>
    <row r="21" spans="1:10">
      <c r="B21" s="60"/>
      <c r="C21" s="60"/>
      <c r="D21" s="60"/>
      <c r="E21" s="60"/>
      <c r="F21" s="55"/>
      <c r="G21" s="46"/>
    </row>
    <row r="22" spans="1:10">
      <c r="A22" s="52" t="s">
        <v>13</v>
      </c>
      <c r="B22" s="54" t="s">
        <v>73</v>
      </c>
      <c r="C22" s="54" t="s">
        <v>10</v>
      </c>
      <c r="D22" s="54" t="s">
        <v>18</v>
      </c>
      <c r="E22" s="54" t="s">
        <v>8</v>
      </c>
      <c r="F22" s="54" t="s">
        <v>128</v>
      </c>
      <c r="G22" s="54" t="s">
        <v>43</v>
      </c>
    </row>
    <row r="23" spans="1:10">
      <c r="A23" s="49" t="s">
        <v>81</v>
      </c>
      <c r="B23" s="80">
        <v>1</v>
      </c>
      <c r="C23" s="53">
        <v>0.158</v>
      </c>
      <c r="D23" s="53">
        <f>+SUM(C23:$C$23)</f>
        <v>0.158</v>
      </c>
      <c r="E23" s="53">
        <f>+E5</f>
        <v>5</v>
      </c>
      <c r="F23" s="53">
        <f>+C23*E23</f>
        <v>0.79</v>
      </c>
      <c r="G23" s="43"/>
    </row>
    <row r="24" spans="1:10">
      <c r="A24" s="49" t="s">
        <v>83</v>
      </c>
      <c r="B24" s="80">
        <v>3</v>
      </c>
      <c r="C24" s="53">
        <v>0.01</v>
      </c>
      <c r="D24" s="53">
        <f>+SUM(C$23:$C24)</f>
        <v>0.16800000000000001</v>
      </c>
      <c r="E24" s="53">
        <f>+E7</f>
        <v>18</v>
      </c>
      <c r="F24" s="53">
        <f t="shared" ref="F24:F25" si="2">+C24*E24</f>
        <v>0.18</v>
      </c>
      <c r="G24" s="43"/>
    </row>
    <row r="25" spans="1:10">
      <c r="B25" s="80" t="s">
        <v>75</v>
      </c>
      <c r="C25" s="53">
        <v>0.01</v>
      </c>
      <c r="D25" s="53">
        <f>+SUM(C$23:$C25)</f>
        <v>0.17800000000000002</v>
      </c>
      <c r="E25" s="53">
        <f>+E23+E24</f>
        <v>23</v>
      </c>
      <c r="F25" s="53">
        <f t="shared" si="2"/>
        <v>0.23</v>
      </c>
      <c r="G25" s="43">
        <v>0</v>
      </c>
      <c r="H25" s="49" t="s">
        <v>79</v>
      </c>
      <c r="J25" s="62"/>
    </row>
    <row r="26" spans="1:10">
      <c r="B26" s="56" t="s">
        <v>5</v>
      </c>
      <c r="C26" s="56">
        <f>+SUM(C23:C25)</f>
        <v>0.17800000000000002</v>
      </c>
      <c r="D26" s="56"/>
      <c r="E26" s="56"/>
      <c r="F26" s="61">
        <f>+SUM(F23:F25)</f>
        <v>1.2</v>
      </c>
      <c r="G26" s="45"/>
    </row>
    <row r="27" spans="1:10">
      <c r="B27" s="60"/>
      <c r="C27" s="60"/>
      <c r="D27" s="60"/>
      <c r="E27" s="60"/>
      <c r="F27" s="55"/>
      <c r="G27" s="46"/>
    </row>
    <row r="28" spans="1:10">
      <c r="G28" s="41"/>
    </row>
    <row r="29" spans="1:10">
      <c r="A29" s="52" t="s">
        <v>14</v>
      </c>
      <c r="B29" s="54" t="s">
        <v>73</v>
      </c>
      <c r="C29" s="54" t="s">
        <v>10</v>
      </c>
      <c r="D29" s="54" t="s">
        <v>18</v>
      </c>
      <c r="E29" s="54" t="s">
        <v>8</v>
      </c>
      <c r="F29" s="54" t="s">
        <v>128</v>
      </c>
      <c r="G29" s="54" t="s">
        <v>43</v>
      </c>
    </row>
    <row r="30" spans="1:10">
      <c r="A30" s="49" t="s">
        <v>81</v>
      </c>
      <c r="B30" s="80">
        <v>3</v>
      </c>
      <c r="C30" s="53">
        <v>6.6666666666660004E-2</v>
      </c>
      <c r="D30" s="53">
        <f>+SUM(C30:$C$30)</f>
        <v>6.6666666666660004E-2</v>
      </c>
      <c r="E30" s="53">
        <f>+E7</f>
        <v>18</v>
      </c>
      <c r="F30" s="53">
        <f>+C30*E30</f>
        <v>1.1999999999998801</v>
      </c>
      <c r="G30" s="43">
        <v>0</v>
      </c>
      <c r="H30" s="49" t="s">
        <v>79</v>
      </c>
    </row>
    <row r="31" spans="1:10">
      <c r="A31" s="49" t="s">
        <v>82</v>
      </c>
      <c r="B31" s="56" t="s">
        <v>5</v>
      </c>
      <c r="C31" s="56">
        <f>+SUM(C30:C30)</f>
        <v>6.6666666666660004E-2</v>
      </c>
      <c r="D31" s="56"/>
      <c r="E31" s="56"/>
      <c r="F31" s="61">
        <f>+SUM(F30:F30)</f>
        <v>1.1999999999998801</v>
      </c>
      <c r="G31" s="45"/>
    </row>
    <row r="32" spans="1:10">
      <c r="A32" s="49" t="s">
        <v>83</v>
      </c>
      <c r="G32" s="41"/>
    </row>
    <row r="33" spans="1:8">
      <c r="G33" s="41"/>
    </row>
    <row r="34" spans="1:8">
      <c r="A34" s="52" t="s">
        <v>15</v>
      </c>
      <c r="B34" s="54" t="s">
        <v>73</v>
      </c>
      <c r="C34" s="54" t="s">
        <v>10</v>
      </c>
      <c r="D34" s="54" t="s">
        <v>18</v>
      </c>
      <c r="E34" s="54" t="s">
        <v>8</v>
      </c>
      <c r="F34" s="54" t="s">
        <v>128</v>
      </c>
      <c r="G34" s="54" t="s">
        <v>43</v>
      </c>
    </row>
    <row r="35" spans="1:8">
      <c r="A35" s="49" t="s">
        <v>81</v>
      </c>
      <c r="B35" s="80">
        <v>1</v>
      </c>
      <c r="C35" s="53">
        <v>0.14799999999999999</v>
      </c>
      <c r="D35" s="53">
        <f>+SUM(C35:$C$35)</f>
        <v>0.14799999999999999</v>
      </c>
      <c r="E35" s="53">
        <f>+E5</f>
        <v>5</v>
      </c>
      <c r="F35" s="53">
        <f>+C35*E35</f>
        <v>0.74</v>
      </c>
      <c r="G35" s="43"/>
    </row>
    <row r="36" spans="1:8">
      <c r="A36" s="49" t="s">
        <v>84</v>
      </c>
      <c r="B36" s="80">
        <v>2</v>
      </c>
      <c r="C36" s="53">
        <v>0.01</v>
      </c>
      <c r="D36" s="53">
        <f>+SUM(C$35:$C36)</f>
        <v>0.158</v>
      </c>
      <c r="E36" s="53">
        <f>+E6</f>
        <v>12</v>
      </c>
      <c r="F36" s="53">
        <f t="shared" ref="F36:F37" si="3">+C36*E36</f>
        <v>0.12</v>
      </c>
      <c r="G36" s="43"/>
    </row>
    <row r="37" spans="1:8">
      <c r="B37" s="80" t="s">
        <v>74</v>
      </c>
      <c r="C37" s="53">
        <v>0.02</v>
      </c>
      <c r="D37" s="53">
        <f>+SUM(C$35:$C37)</f>
        <v>0.17799999999999999</v>
      </c>
      <c r="E37" s="53">
        <f>+E35+E36</f>
        <v>17</v>
      </c>
      <c r="F37" s="53">
        <f t="shared" si="3"/>
        <v>0.34</v>
      </c>
      <c r="G37" s="43">
        <v>0</v>
      </c>
      <c r="H37" s="49" t="s">
        <v>79</v>
      </c>
    </row>
    <row r="38" spans="1:8">
      <c r="A38" s="58"/>
      <c r="B38" s="56" t="s">
        <v>5</v>
      </c>
      <c r="C38" s="56">
        <f>+SUM(C35:C37)</f>
        <v>0.17799999999999999</v>
      </c>
      <c r="D38" s="56"/>
      <c r="E38" s="56"/>
      <c r="F38" s="61">
        <f>+SUM(F35:F37)</f>
        <v>1.2</v>
      </c>
      <c r="G38" s="45"/>
    </row>
    <row r="39" spans="1:8">
      <c r="A39" s="58"/>
      <c r="G39" s="41"/>
    </row>
    <row r="40" spans="1:8">
      <c r="G40" s="41"/>
    </row>
    <row r="41" spans="1:8">
      <c r="A41" s="52" t="s">
        <v>16</v>
      </c>
      <c r="B41" s="54" t="s">
        <v>73</v>
      </c>
      <c r="C41" s="54" t="s">
        <v>10</v>
      </c>
      <c r="D41" s="54" t="s">
        <v>18</v>
      </c>
      <c r="E41" s="54" t="s">
        <v>8</v>
      </c>
      <c r="F41" s="54" t="s">
        <v>128</v>
      </c>
      <c r="G41" s="48"/>
    </row>
    <row r="42" spans="1:8">
      <c r="A42" s="49" t="s">
        <v>81</v>
      </c>
      <c r="B42" s="80">
        <v>1</v>
      </c>
      <c r="C42" s="53">
        <v>0.24</v>
      </c>
      <c r="D42" s="53">
        <f>+SUM(C42:$C$42)</f>
        <v>0.24</v>
      </c>
      <c r="E42" s="53">
        <f>+E5</f>
        <v>5</v>
      </c>
      <c r="F42" s="53">
        <f>+E42*C42</f>
        <v>1.2</v>
      </c>
      <c r="G42" s="43">
        <v>0</v>
      </c>
      <c r="H42" s="49" t="s">
        <v>79</v>
      </c>
    </row>
    <row r="43" spans="1:8">
      <c r="A43" s="49" t="s">
        <v>83</v>
      </c>
      <c r="B43" s="56" t="s">
        <v>5</v>
      </c>
      <c r="C43" s="56">
        <f>+SUM(C42:C42)</f>
        <v>0.24</v>
      </c>
      <c r="D43" s="56"/>
      <c r="E43" s="56"/>
      <c r="F43" s="61">
        <f>+SUM(F42:F42)</f>
        <v>1.2</v>
      </c>
      <c r="G43" s="45"/>
    </row>
    <row r="44" spans="1:8">
      <c r="A44" s="49" t="s">
        <v>84</v>
      </c>
      <c r="G44" s="41"/>
    </row>
    <row r="45" spans="1:8">
      <c r="G45" s="41"/>
    </row>
    <row r="46" spans="1:8">
      <c r="A46" s="52" t="s">
        <v>17</v>
      </c>
      <c r="B46" s="54" t="s">
        <v>73</v>
      </c>
      <c r="C46" s="54" t="s">
        <v>10</v>
      </c>
      <c r="D46" s="54" t="s">
        <v>18</v>
      </c>
      <c r="E46" s="54" t="s">
        <v>8</v>
      </c>
      <c r="F46" s="54" t="s">
        <v>128</v>
      </c>
      <c r="G46" s="48"/>
    </row>
    <row r="47" spans="1:8">
      <c r="A47" s="49" t="s">
        <v>81</v>
      </c>
      <c r="B47" s="80">
        <v>2</v>
      </c>
      <c r="C47" s="53">
        <v>0.1</v>
      </c>
      <c r="D47" s="53">
        <f>+SUM(C$47:$C47)</f>
        <v>0.1</v>
      </c>
      <c r="E47" s="53">
        <f>+E6</f>
        <v>12</v>
      </c>
      <c r="F47" s="53">
        <f>+E47*C47</f>
        <v>1.2000000000000002</v>
      </c>
      <c r="G47" s="43">
        <v>0</v>
      </c>
      <c r="H47" s="49" t="s">
        <v>79</v>
      </c>
    </row>
    <row r="48" spans="1:8">
      <c r="A48" s="49" t="s">
        <v>82</v>
      </c>
      <c r="B48" s="56" t="s">
        <v>5</v>
      </c>
      <c r="C48" s="56">
        <f>+SUM(C47:C47)</f>
        <v>0.1</v>
      </c>
      <c r="D48" s="56"/>
      <c r="E48" s="56"/>
      <c r="F48" s="61">
        <f>+SUM(F47:F47)</f>
        <v>1.2000000000000002</v>
      </c>
      <c r="G48" s="45"/>
    </row>
    <row r="49" spans="1:7">
      <c r="A49" s="49" t="s">
        <v>84</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25.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3" t="s">
        <v>98</v>
      </c>
      <c r="B1" s="123"/>
      <c r="C1" s="123"/>
      <c r="D1" s="123"/>
      <c r="E1" s="123"/>
    </row>
    <row r="2" spans="1:9">
      <c r="A2" s="59" t="s">
        <v>108</v>
      </c>
    </row>
    <row r="4" spans="1:9">
      <c r="A4" s="52" t="s">
        <v>9</v>
      </c>
      <c r="B4" s="54" t="s">
        <v>73</v>
      </c>
      <c r="C4" s="54" t="s">
        <v>10</v>
      </c>
      <c r="D4" s="54" t="s">
        <v>18</v>
      </c>
      <c r="E4" s="54" t="s">
        <v>8</v>
      </c>
      <c r="F4" s="54" t="s">
        <v>128</v>
      </c>
      <c r="G4" s="54" t="s">
        <v>43</v>
      </c>
    </row>
    <row r="5" spans="1:9">
      <c r="A5" s="49" t="s">
        <v>80</v>
      </c>
      <c r="B5" s="81">
        <v>1</v>
      </c>
      <c r="C5" s="38">
        <v>0.21666666666666601</v>
      </c>
      <c r="D5" s="50">
        <f>+SUM($C$5:C5)</f>
        <v>0.21666666666666601</v>
      </c>
      <c r="E5" s="50">
        <f>+Summary!B27</f>
        <v>3</v>
      </c>
      <c r="F5" s="50">
        <f>+C5*E5</f>
        <v>0.64999999999999802</v>
      </c>
      <c r="G5" s="43"/>
    </row>
    <row r="6" spans="1:9">
      <c r="B6" s="81">
        <v>2</v>
      </c>
      <c r="C6" s="38">
        <v>0.03</v>
      </c>
      <c r="D6" s="50">
        <f>+SUM($C$5:C6)</f>
        <v>0.24666666666666601</v>
      </c>
      <c r="E6" s="50">
        <f>+Summary!B28</f>
        <v>5</v>
      </c>
      <c r="F6" s="50">
        <f t="shared" ref="F6:F7" si="0">+C6*E6</f>
        <v>0.15</v>
      </c>
      <c r="G6" s="43"/>
    </row>
    <row r="7" spans="1:9">
      <c r="B7" s="81" t="s">
        <v>74</v>
      </c>
      <c r="C7" s="38">
        <v>0.05</v>
      </c>
      <c r="D7" s="50">
        <f>+SUM($C$5:C7)</f>
        <v>0.29666666666666602</v>
      </c>
      <c r="E7" s="50">
        <f>+E5+E6</f>
        <v>8</v>
      </c>
      <c r="F7" s="50">
        <f t="shared" si="0"/>
        <v>0.4</v>
      </c>
      <c r="G7" s="43">
        <v>0</v>
      </c>
      <c r="H7" s="49" t="s">
        <v>79</v>
      </c>
      <c r="I7" s="83"/>
    </row>
    <row r="8" spans="1:9">
      <c r="B8" s="56" t="s">
        <v>11</v>
      </c>
      <c r="C8" s="56">
        <f>+SUM(C5:C7)</f>
        <v>0.29666666666666602</v>
      </c>
      <c r="D8" s="56"/>
      <c r="E8" s="56"/>
      <c r="F8" s="47">
        <f>+SUM(F5:F7)</f>
        <v>1.199999999999998</v>
      </c>
      <c r="G8" s="44"/>
    </row>
    <row r="9" spans="1:9">
      <c r="B9" s="57" t="s">
        <v>78</v>
      </c>
      <c r="G9" s="41"/>
    </row>
    <row r="10" spans="1:9">
      <c r="G10" s="41"/>
    </row>
    <row r="11" spans="1:9">
      <c r="G11" s="41"/>
    </row>
    <row r="12" spans="1:9">
      <c r="A12" s="52" t="s">
        <v>16</v>
      </c>
      <c r="B12" s="54" t="s">
        <v>73</v>
      </c>
      <c r="C12" s="54" t="s">
        <v>10</v>
      </c>
      <c r="D12" s="54" t="s">
        <v>18</v>
      </c>
      <c r="E12" s="54" t="s">
        <v>8</v>
      </c>
      <c r="F12" s="54" t="s">
        <v>128</v>
      </c>
      <c r="G12" s="54" t="s">
        <v>43</v>
      </c>
    </row>
    <row r="13" spans="1:9">
      <c r="A13" s="49" t="s">
        <v>81</v>
      </c>
      <c r="B13" s="80">
        <v>1</v>
      </c>
      <c r="C13" s="53">
        <v>0.4</v>
      </c>
      <c r="D13" s="53">
        <f>+SUM(C13:$C$13)</f>
        <v>0.4</v>
      </c>
      <c r="E13" s="53">
        <f>+E5</f>
        <v>3</v>
      </c>
      <c r="F13" s="53">
        <f>+E13*C13</f>
        <v>1.2000000000000002</v>
      </c>
      <c r="G13" s="43">
        <v>0</v>
      </c>
      <c r="H13" s="49" t="s">
        <v>79</v>
      </c>
    </row>
    <row r="14" spans="1:9">
      <c r="A14" s="49" t="s">
        <v>83</v>
      </c>
      <c r="B14" s="56" t="s">
        <v>5</v>
      </c>
      <c r="C14" s="56">
        <f>+SUM(C13:C13)</f>
        <v>0.4</v>
      </c>
      <c r="D14" s="56"/>
      <c r="E14" s="56"/>
      <c r="F14" s="61">
        <f>+SUM(F13:F13)</f>
        <v>1.2000000000000002</v>
      </c>
      <c r="G14" s="45"/>
    </row>
    <row r="15" spans="1:9">
      <c r="G15" s="41"/>
    </row>
    <row r="16" spans="1:9">
      <c r="G16" s="41"/>
    </row>
    <row r="17" spans="1:8">
      <c r="A17" s="52" t="s">
        <v>17</v>
      </c>
      <c r="B17" s="54" t="s">
        <v>73</v>
      </c>
      <c r="C17" s="54" t="s">
        <v>10</v>
      </c>
      <c r="D17" s="54" t="s">
        <v>18</v>
      </c>
      <c r="E17" s="54" t="s">
        <v>8</v>
      </c>
      <c r="F17" s="54" t="s">
        <v>128</v>
      </c>
      <c r="G17" s="54" t="s">
        <v>43</v>
      </c>
    </row>
    <row r="18" spans="1:8">
      <c r="A18" s="49" t="s">
        <v>81</v>
      </c>
      <c r="B18" s="80">
        <v>2</v>
      </c>
      <c r="C18" s="53">
        <v>0.24</v>
      </c>
      <c r="D18" s="53">
        <f>+SUM(C$18:$C18)</f>
        <v>0.24</v>
      </c>
      <c r="E18" s="53">
        <f>+E6</f>
        <v>5</v>
      </c>
      <c r="F18" s="53">
        <f>+E18*C18</f>
        <v>1.2</v>
      </c>
      <c r="G18" s="43">
        <v>0</v>
      </c>
      <c r="H18" s="49" t="s">
        <v>79</v>
      </c>
    </row>
    <row r="19" spans="1:8">
      <c r="A19" s="49" t="s">
        <v>82</v>
      </c>
      <c r="B19" s="56" t="s">
        <v>5</v>
      </c>
      <c r="C19" s="56">
        <f>+SUM(C18:C18)</f>
        <v>0.24</v>
      </c>
      <c r="D19" s="56"/>
      <c r="E19" s="56"/>
      <c r="F19" s="61">
        <f>+SUM(F18:F18)</f>
        <v>1.2</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26.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3" t="s">
        <v>99</v>
      </c>
      <c r="B1" s="123"/>
      <c r="C1" s="123"/>
      <c r="D1" s="123"/>
      <c r="E1" s="123"/>
    </row>
    <row r="2" spans="1:8">
      <c r="A2" s="59" t="s">
        <v>108</v>
      </c>
    </row>
    <row r="4" spans="1:8">
      <c r="A4" s="52" t="s">
        <v>62</v>
      </c>
      <c r="B4" s="54" t="s">
        <v>73</v>
      </c>
      <c r="C4" s="54" t="s">
        <v>10</v>
      </c>
      <c r="D4" s="54" t="s">
        <v>18</v>
      </c>
      <c r="E4" s="54" t="s">
        <v>8</v>
      </c>
      <c r="F4" s="54" t="s">
        <v>128</v>
      </c>
      <c r="G4" s="54" t="s">
        <v>43</v>
      </c>
    </row>
    <row r="5" spans="1:8">
      <c r="B5" s="80">
        <v>1</v>
      </c>
      <c r="C5" s="53">
        <v>0.6</v>
      </c>
      <c r="D5" s="53">
        <f>+SUM(C5:$C$5)</f>
        <v>0.6</v>
      </c>
      <c r="E5" s="53">
        <f>+Summary!B21</f>
        <v>2</v>
      </c>
      <c r="F5" s="53">
        <f>+E5*C5</f>
        <v>1.2</v>
      </c>
      <c r="G5" s="43">
        <v>0</v>
      </c>
      <c r="H5" s="49" t="s">
        <v>79</v>
      </c>
    </row>
    <row r="6" spans="1:8">
      <c r="B6" s="56" t="s">
        <v>5</v>
      </c>
      <c r="C6" s="56">
        <f>+SUM(C5:C5)</f>
        <v>0.6</v>
      </c>
      <c r="D6" s="56"/>
      <c r="E6" s="56"/>
      <c r="F6" s="61">
        <f>+SUM(F5:F5)</f>
        <v>1.2</v>
      </c>
      <c r="G6" s="45"/>
    </row>
    <row r="7" spans="1:8">
      <c r="G7" s="41"/>
    </row>
    <row r="8" spans="1:8">
      <c r="G8" s="41"/>
    </row>
    <row r="9" spans="1:8">
      <c r="A9" s="52" t="s">
        <v>63</v>
      </c>
      <c r="B9" s="54" t="s">
        <v>73</v>
      </c>
      <c r="C9" s="54" t="s">
        <v>10</v>
      </c>
      <c r="D9" s="54" t="s">
        <v>18</v>
      </c>
      <c r="E9" s="54" t="s">
        <v>8</v>
      </c>
      <c r="F9" s="54" t="s">
        <v>128</v>
      </c>
      <c r="G9" s="54" t="s">
        <v>43</v>
      </c>
    </row>
    <row r="10" spans="1:8">
      <c r="B10" s="80">
        <v>1</v>
      </c>
      <c r="C10" s="53">
        <v>0.24</v>
      </c>
      <c r="D10" s="53">
        <f>1/6</f>
        <v>0.16666666666666666</v>
      </c>
      <c r="E10" s="53">
        <f>+Summary!E21</f>
        <v>5</v>
      </c>
      <c r="F10" s="53">
        <f>+E10*C10</f>
        <v>1.2</v>
      </c>
      <c r="G10" s="43">
        <v>0</v>
      </c>
      <c r="H10" s="49" t="s">
        <v>79</v>
      </c>
    </row>
    <row r="11" spans="1:8">
      <c r="B11" s="56" t="s">
        <v>5</v>
      </c>
      <c r="C11" s="56">
        <f>+SUM(C10:C10)</f>
        <v>0.24</v>
      </c>
      <c r="D11" s="56"/>
      <c r="E11" s="56"/>
      <c r="F11" s="61">
        <f>+SUM(F10:F10)</f>
        <v>1.2</v>
      </c>
      <c r="G11" s="45"/>
    </row>
    <row r="12" spans="1:8">
      <c r="G12" s="42"/>
    </row>
    <row r="13" spans="1:8">
      <c r="G13" s="42"/>
    </row>
    <row r="14" spans="1:8">
      <c r="A14" s="52" t="s">
        <v>64</v>
      </c>
      <c r="B14" s="54" t="s">
        <v>73</v>
      </c>
      <c r="C14" s="54" t="s">
        <v>10</v>
      </c>
      <c r="D14" s="54" t="s">
        <v>18</v>
      </c>
      <c r="E14" s="54" t="s">
        <v>8</v>
      </c>
      <c r="F14" s="54" t="s">
        <v>128</v>
      </c>
      <c r="G14" s="54" t="s">
        <v>43</v>
      </c>
    </row>
    <row r="15" spans="1:8">
      <c r="B15" s="80">
        <v>1</v>
      </c>
      <c r="C15" s="53">
        <v>0.15</v>
      </c>
      <c r="D15" s="53">
        <f>+SUM(C$15:$C15)</f>
        <v>0.15</v>
      </c>
      <c r="E15" s="53">
        <f>+Summary!H21</f>
        <v>8</v>
      </c>
      <c r="F15" s="53">
        <f>+E15*C15</f>
        <v>1.2</v>
      </c>
      <c r="G15" s="43">
        <v>0</v>
      </c>
      <c r="H15" s="49" t="s">
        <v>79</v>
      </c>
    </row>
    <row r="16" spans="1:8">
      <c r="B16" s="56" t="s">
        <v>5</v>
      </c>
      <c r="C16" s="56">
        <f>+SUM(C15:C15)</f>
        <v>0.15</v>
      </c>
      <c r="D16" s="56"/>
      <c r="E16" s="56"/>
      <c r="F16" s="61">
        <f>+SUM(F15:F15)</f>
        <v>1.2</v>
      </c>
      <c r="G16" s="45"/>
    </row>
    <row r="17" spans="7:7">
      <c r="G17" s="42"/>
    </row>
    <row r="18" spans="7:7">
      <c r="G18" s="42"/>
    </row>
    <row r="19" spans="7:7">
      <c r="G19" s="42"/>
    </row>
    <row r="20" spans="7:7">
      <c r="G20" s="42"/>
    </row>
    <row r="21" spans="7:7">
      <c r="G21" s="42"/>
    </row>
    <row r="22" spans="7:7">
      <c r="G22" s="42"/>
    </row>
    <row r="23" spans="7:7">
      <c r="G23" s="42"/>
    </row>
    <row r="24" spans="7:7">
      <c r="G24" s="42"/>
    </row>
    <row r="25" spans="7:7">
      <c r="G25" s="42"/>
    </row>
    <row r="26" spans="7:7">
      <c r="G26" s="42"/>
    </row>
    <row r="27" spans="7:7">
      <c r="G27" s="42"/>
    </row>
    <row r="28" spans="7:7">
      <c r="G28" s="42"/>
    </row>
    <row r="29" spans="7:7">
      <c r="G29" s="42"/>
    </row>
    <row r="30" spans="7:7">
      <c r="G30" s="42"/>
    </row>
    <row r="31" spans="7:7">
      <c r="G31" s="42"/>
    </row>
    <row r="32" spans="7:7">
      <c r="G32" s="42"/>
    </row>
    <row r="33" spans="7:7">
      <c r="G33" s="42"/>
    </row>
    <row r="34" spans="7:7">
      <c r="G34" s="41"/>
    </row>
    <row r="35" spans="7:7">
      <c r="G35" s="41"/>
    </row>
    <row r="36" spans="7:7">
      <c r="G36" s="41"/>
    </row>
    <row r="37" spans="7:7">
      <c r="G37" s="41"/>
    </row>
    <row r="38" spans="7:7">
      <c r="G38" s="41"/>
    </row>
    <row r="39" spans="7:7">
      <c r="G39" s="41"/>
    </row>
    <row r="40" spans="7:7">
      <c r="G40" s="41"/>
    </row>
    <row r="41" spans="7:7">
      <c r="G41" s="41"/>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sheetData>
  <mergeCells count="1">
    <mergeCell ref="A1:E1"/>
  </mergeCells>
  <pageMargins left="0.7" right="0.7" top="0.75" bottom="0.75" header="0.3" footer="0.3"/>
  <pageSetup paperSize="9" orientation="portrait" horizontalDpi="200" verticalDpi="200" r:id="rId1"/>
</worksheet>
</file>

<file path=xl/worksheets/sheet27.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3" t="s">
        <v>100</v>
      </c>
      <c r="B1" s="123"/>
      <c r="C1" s="123"/>
      <c r="D1" s="123"/>
      <c r="E1" s="123"/>
    </row>
    <row r="2" spans="1:9">
      <c r="A2" s="59" t="s">
        <v>108</v>
      </c>
    </row>
    <row r="4" spans="1:9">
      <c r="A4" s="52" t="s">
        <v>9</v>
      </c>
      <c r="B4" s="54" t="s">
        <v>73</v>
      </c>
      <c r="C4" s="54" t="s">
        <v>10</v>
      </c>
      <c r="D4" s="54" t="s">
        <v>18</v>
      </c>
      <c r="E4" s="54" t="s">
        <v>8</v>
      </c>
      <c r="F4" s="54" t="s">
        <v>128</v>
      </c>
      <c r="G4" s="54" t="s">
        <v>43</v>
      </c>
    </row>
    <row r="5" spans="1:9">
      <c r="A5" s="49" t="s">
        <v>80</v>
      </c>
      <c r="B5" s="81">
        <v>1</v>
      </c>
      <c r="C5" s="121">
        <v>0.1</v>
      </c>
      <c r="D5" s="50">
        <f>+SUM($C$5:C5)</f>
        <v>0.1</v>
      </c>
      <c r="E5" s="50">
        <f>+Summary!B36</f>
        <v>7</v>
      </c>
      <c r="F5" s="50">
        <f>+C5*E5</f>
        <v>0.70000000000000007</v>
      </c>
      <c r="G5" s="43"/>
    </row>
    <row r="6" spans="1:9">
      <c r="B6" s="81">
        <v>2</v>
      </c>
      <c r="C6" s="121">
        <v>0.01</v>
      </c>
      <c r="D6" s="50">
        <f>+SUM($C$5:C6)</f>
        <v>0.11</v>
      </c>
      <c r="E6" s="50">
        <f>+Summary!B37</f>
        <v>15</v>
      </c>
      <c r="F6" s="50">
        <f t="shared" ref="F6:F11" si="0">+C6*E6</f>
        <v>0.15</v>
      </c>
      <c r="G6" s="43"/>
    </row>
    <row r="7" spans="1:9">
      <c r="B7" s="81">
        <v>3</v>
      </c>
      <c r="C7" s="121">
        <v>1.4E-3</v>
      </c>
      <c r="D7" s="50">
        <f>+SUM($C$5:C7)</f>
        <v>0.1114</v>
      </c>
      <c r="E7" s="50">
        <f>+Summary!B38</f>
        <v>20</v>
      </c>
      <c r="F7" s="50">
        <f t="shared" si="0"/>
        <v>2.8000000000000001E-2</v>
      </c>
      <c r="G7" s="43"/>
      <c r="I7" s="28"/>
    </row>
    <row r="8" spans="1:9">
      <c r="B8" s="81" t="s">
        <v>74</v>
      </c>
      <c r="C8" s="121">
        <v>5.0000000000000001E-3</v>
      </c>
      <c r="D8" s="50">
        <f>+SUM($C$5:C8)</f>
        <v>0.1164</v>
      </c>
      <c r="E8" s="50">
        <f>+E5+E6</f>
        <v>22</v>
      </c>
      <c r="F8" s="50">
        <f t="shared" si="0"/>
        <v>0.11</v>
      </c>
      <c r="G8" s="43"/>
      <c r="I8" s="83"/>
    </row>
    <row r="9" spans="1:9">
      <c r="B9" s="81" t="s">
        <v>75</v>
      </c>
      <c r="C9" s="121">
        <v>5.0000000000000001E-3</v>
      </c>
      <c r="D9" s="50">
        <f>+SUM($C$5:C9)</f>
        <v>0.12140000000000001</v>
      </c>
      <c r="E9" s="50">
        <f>+E5+E7</f>
        <v>27</v>
      </c>
      <c r="F9" s="50">
        <f t="shared" si="0"/>
        <v>0.13500000000000001</v>
      </c>
      <c r="G9" s="43"/>
    </row>
    <row r="10" spans="1:9">
      <c r="B10" s="81" t="s">
        <v>76</v>
      </c>
      <c r="C10" s="121">
        <v>1E-3</v>
      </c>
      <c r="D10" s="50">
        <f>+SUM($C$5:C10)</f>
        <v>0.12240000000000001</v>
      </c>
      <c r="E10" s="50">
        <f>+E6+E7</f>
        <v>35</v>
      </c>
      <c r="F10" s="50">
        <f t="shared" si="0"/>
        <v>3.5000000000000003E-2</v>
      </c>
      <c r="G10" s="43"/>
    </row>
    <row r="11" spans="1:9">
      <c r="B11" s="81" t="s">
        <v>77</v>
      </c>
      <c r="C11" s="121">
        <v>1E-3</v>
      </c>
      <c r="D11" s="50">
        <f>+SUM($C$5:C11)</f>
        <v>0.12340000000000001</v>
      </c>
      <c r="E11" s="50">
        <f>+E5+E6+E7</f>
        <v>42</v>
      </c>
      <c r="F11" s="50">
        <f t="shared" si="0"/>
        <v>4.2000000000000003E-2</v>
      </c>
      <c r="G11" s="43">
        <v>0</v>
      </c>
      <c r="H11" s="49" t="s">
        <v>79</v>
      </c>
    </row>
    <row r="12" spans="1:9">
      <c r="B12" s="56" t="s">
        <v>11</v>
      </c>
      <c r="C12" s="56">
        <f>+SUM(C5:C11)</f>
        <v>0.12340000000000001</v>
      </c>
      <c r="D12" s="56"/>
      <c r="E12" s="56"/>
      <c r="F12" s="47">
        <f>+SUM(F5:F11)</f>
        <v>1.2000000000000002</v>
      </c>
      <c r="G12" s="44"/>
    </row>
    <row r="13" spans="1:9">
      <c r="B13" s="57" t="s">
        <v>78</v>
      </c>
      <c r="G13" s="41"/>
    </row>
    <row r="14" spans="1:9">
      <c r="G14" s="41"/>
    </row>
    <row r="15" spans="1:9">
      <c r="A15" s="52" t="s">
        <v>12</v>
      </c>
      <c r="B15" s="54" t="s">
        <v>73</v>
      </c>
      <c r="C15" s="54" t="s">
        <v>10</v>
      </c>
      <c r="D15" s="54" t="s">
        <v>18</v>
      </c>
      <c r="E15" s="54" t="s">
        <v>8</v>
      </c>
      <c r="F15" s="54" t="s">
        <v>128</v>
      </c>
      <c r="G15" s="54" t="s">
        <v>43</v>
      </c>
    </row>
    <row r="16" spans="1:9">
      <c r="A16" s="49" t="s">
        <v>81</v>
      </c>
      <c r="B16" s="80">
        <v>2</v>
      </c>
      <c r="C16" s="53">
        <v>6.6000000000000003E-2</v>
      </c>
      <c r="D16" s="53">
        <f>+SUM(C16:$C$16)</f>
        <v>6.6000000000000003E-2</v>
      </c>
      <c r="E16" s="53">
        <f>+E6</f>
        <v>15</v>
      </c>
      <c r="F16" s="53">
        <f>+C16*E16</f>
        <v>0.99</v>
      </c>
      <c r="G16" s="43"/>
    </row>
    <row r="17" spans="1:9">
      <c r="A17" s="49" t="s">
        <v>82</v>
      </c>
      <c r="B17" s="80">
        <v>3</v>
      </c>
      <c r="C17" s="53">
        <v>0</v>
      </c>
      <c r="D17" s="53">
        <f>+SUM(C$16:$C17)</f>
        <v>6.6000000000000003E-2</v>
      </c>
      <c r="E17" s="53">
        <f>+E7</f>
        <v>20</v>
      </c>
      <c r="F17" s="53">
        <f t="shared" ref="F17:F18" si="1">+C17*E17</f>
        <v>0</v>
      </c>
      <c r="G17" s="43"/>
      <c r="I17" s="82"/>
    </row>
    <row r="18" spans="1:9">
      <c r="B18" s="80" t="s">
        <v>76</v>
      </c>
      <c r="C18" s="53">
        <v>6.0000000000000001E-3</v>
      </c>
      <c r="D18" s="53">
        <f>+SUM(C$16:$C18)</f>
        <v>7.2000000000000008E-2</v>
      </c>
      <c r="E18" s="53">
        <f>+E16+E17</f>
        <v>35</v>
      </c>
      <c r="F18" s="53">
        <f t="shared" si="1"/>
        <v>0.21</v>
      </c>
      <c r="G18" s="43">
        <v>0</v>
      </c>
      <c r="H18" s="49" t="s">
        <v>79</v>
      </c>
    </row>
    <row r="19" spans="1:9">
      <c r="B19" s="56" t="s">
        <v>5</v>
      </c>
      <c r="C19" s="56">
        <f>+SUM(C16:C18)</f>
        <v>7.2000000000000008E-2</v>
      </c>
      <c r="D19" s="56"/>
      <c r="E19" s="56"/>
      <c r="F19" s="61">
        <f>+SUM(F16:F18)</f>
        <v>1.2</v>
      </c>
      <c r="G19" s="45"/>
    </row>
    <row r="20" spans="1:9">
      <c r="B20" s="60"/>
      <c r="C20" s="60"/>
      <c r="D20" s="60"/>
      <c r="E20" s="60"/>
      <c r="F20" s="55"/>
      <c r="G20" s="46"/>
    </row>
    <row r="21" spans="1:9">
      <c r="B21" s="60"/>
      <c r="C21" s="60"/>
      <c r="D21" s="60"/>
      <c r="E21" s="60"/>
      <c r="F21" s="55"/>
      <c r="G21" s="46"/>
    </row>
    <row r="22" spans="1:9">
      <c r="A22" s="52" t="s">
        <v>13</v>
      </c>
      <c r="B22" s="54" t="s">
        <v>73</v>
      </c>
      <c r="C22" s="54" t="s">
        <v>10</v>
      </c>
      <c r="D22" s="54" t="s">
        <v>18</v>
      </c>
      <c r="E22" s="54" t="s">
        <v>8</v>
      </c>
      <c r="F22" s="54" t="s">
        <v>128</v>
      </c>
      <c r="G22" s="54" t="s">
        <v>43</v>
      </c>
    </row>
    <row r="23" spans="1:9">
      <c r="A23" s="49" t="s">
        <v>81</v>
      </c>
      <c r="B23" s="80">
        <v>1</v>
      </c>
      <c r="C23" s="53">
        <v>0.08</v>
      </c>
      <c r="D23" s="53">
        <f>+SUM(C23:$C$23)</f>
        <v>0.08</v>
      </c>
      <c r="E23" s="53">
        <f>+E5</f>
        <v>7</v>
      </c>
      <c r="F23" s="53">
        <f>+C23*E23</f>
        <v>0.56000000000000005</v>
      </c>
      <c r="G23" s="43"/>
    </row>
    <row r="24" spans="1:9">
      <c r="A24" s="49" t="s">
        <v>83</v>
      </c>
      <c r="B24" s="80">
        <v>3</v>
      </c>
      <c r="C24" s="53">
        <v>5.0000000000000001E-3</v>
      </c>
      <c r="D24" s="53">
        <f>+SUM(C$23:$C24)</f>
        <v>8.5000000000000006E-2</v>
      </c>
      <c r="E24" s="53">
        <f>+E7</f>
        <v>20</v>
      </c>
      <c r="F24" s="53">
        <f t="shared" ref="F24:F25" si="2">+C24*E24</f>
        <v>0.1</v>
      </c>
      <c r="G24" s="43"/>
    </row>
    <row r="25" spans="1:9">
      <c r="B25" s="80" t="s">
        <v>75</v>
      </c>
      <c r="C25" s="53">
        <v>0.02</v>
      </c>
      <c r="D25" s="53">
        <f>+SUM(C$23:$C25)</f>
        <v>0.10500000000000001</v>
      </c>
      <c r="E25" s="53">
        <f>+E23+E24</f>
        <v>27</v>
      </c>
      <c r="F25" s="53">
        <f t="shared" si="2"/>
        <v>0.54</v>
      </c>
      <c r="G25" s="43">
        <v>0</v>
      </c>
      <c r="H25" s="49" t="s">
        <v>79</v>
      </c>
    </row>
    <row r="26" spans="1:9">
      <c r="B26" s="56" t="s">
        <v>5</v>
      </c>
      <c r="C26" s="56">
        <f>+SUM(C23:C25)</f>
        <v>0.10500000000000001</v>
      </c>
      <c r="D26" s="56"/>
      <c r="E26" s="56"/>
      <c r="F26" s="61">
        <f>+SUM(F23:F25)</f>
        <v>1.2000000000000002</v>
      </c>
      <c r="G26" s="45"/>
    </row>
    <row r="27" spans="1:9">
      <c r="B27" s="60"/>
      <c r="C27" s="60"/>
      <c r="D27" s="60"/>
      <c r="E27" s="60"/>
      <c r="F27" s="55"/>
      <c r="G27" s="46"/>
    </row>
    <row r="28" spans="1:9">
      <c r="G28" s="41"/>
    </row>
    <row r="29" spans="1:9">
      <c r="A29" s="52" t="s">
        <v>14</v>
      </c>
      <c r="B29" s="54" t="s">
        <v>73</v>
      </c>
      <c r="C29" s="54" t="s">
        <v>10</v>
      </c>
      <c r="D29" s="54" t="s">
        <v>18</v>
      </c>
      <c r="E29" s="54" t="s">
        <v>8</v>
      </c>
      <c r="F29" s="54" t="s">
        <v>128</v>
      </c>
      <c r="G29" s="54" t="s">
        <v>43</v>
      </c>
    </row>
    <row r="30" spans="1:9">
      <c r="A30" s="49" t="s">
        <v>81</v>
      </c>
      <c r="B30" s="80">
        <v>3</v>
      </c>
      <c r="C30" s="53">
        <v>0.06</v>
      </c>
      <c r="D30" s="53">
        <f>+SUM(C30:$C$30)</f>
        <v>0.06</v>
      </c>
      <c r="E30" s="53">
        <f>+E7</f>
        <v>20</v>
      </c>
      <c r="F30" s="53">
        <f>+C30*E30</f>
        <v>1.2</v>
      </c>
      <c r="G30" s="43">
        <v>0</v>
      </c>
      <c r="H30" s="49" t="s">
        <v>79</v>
      </c>
    </row>
    <row r="31" spans="1:9">
      <c r="A31" s="49" t="s">
        <v>82</v>
      </c>
      <c r="B31" s="56" t="s">
        <v>5</v>
      </c>
      <c r="C31" s="56">
        <f>+SUM(C30:C30)</f>
        <v>0.06</v>
      </c>
      <c r="D31" s="56"/>
      <c r="E31" s="56"/>
      <c r="F31" s="61">
        <f>+SUM(F30:F30)</f>
        <v>1.2</v>
      </c>
      <c r="G31" s="45"/>
    </row>
    <row r="32" spans="1:9">
      <c r="A32" s="49" t="s">
        <v>83</v>
      </c>
      <c r="G32" s="41"/>
    </row>
    <row r="33" spans="1:8">
      <c r="G33" s="41"/>
    </row>
    <row r="34" spans="1:8">
      <c r="A34" s="52" t="s">
        <v>15</v>
      </c>
      <c r="B34" s="54" t="s">
        <v>73</v>
      </c>
      <c r="C34" s="54" t="s">
        <v>10</v>
      </c>
      <c r="D34" s="54" t="s">
        <v>18</v>
      </c>
      <c r="E34" s="54" t="s">
        <v>8</v>
      </c>
      <c r="F34" s="54" t="s">
        <v>128</v>
      </c>
      <c r="G34" s="54" t="s">
        <v>43</v>
      </c>
    </row>
    <row r="35" spans="1:8">
      <c r="A35" s="49" t="s">
        <v>81</v>
      </c>
      <c r="B35" s="80">
        <v>1</v>
      </c>
      <c r="C35" s="53">
        <v>0.105</v>
      </c>
      <c r="D35" s="53">
        <f>+SUM(C35:$C$35)</f>
        <v>0.105</v>
      </c>
      <c r="E35" s="53">
        <f>+E5</f>
        <v>7</v>
      </c>
      <c r="F35" s="53">
        <f>+C35*E35</f>
        <v>0.73499999999999999</v>
      </c>
      <c r="G35" s="43"/>
    </row>
    <row r="36" spans="1:8">
      <c r="A36" s="49" t="s">
        <v>84</v>
      </c>
      <c r="B36" s="80">
        <v>2</v>
      </c>
      <c r="C36" s="53">
        <v>1.6666666666666644E-3</v>
      </c>
      <c r="D36" s="53">
        <f>+SUM(C$35:$C36)</f>
        <v>0.10666666666666666</v>
      </c>
      <c r="E36" s="53">
        <f>+E6</f>
        <v>15</v>
      </c>
      <c r="F36" s="53">
        <f t="shared" ref="F36:F37" si="3">+C36*E36</f>
        <v>2.4999999999999967E-2</v>
      </c>
      <c r="G36" s="43"/>
    </row>
    <row r="37" spans="1:8">
      <c r="B37" s="80" t="s">
        <v>74</v>
      </c>
      <c r="C37" s="53">
        <v>0.02</v>
      </c>
      <c r="D37" s="53">
        <f>+SUM(C$35:$C37)</f>
        <v>0.12666666666666665</v>
      </c>
      <c r="E37" s="53">
        <f>+E35+E36</f>
        <v>22</v>
      </c>
      <c r="F37" s="53">
        <f t="shared" si="3"/>
        <v>0.44</v>
      </c>
      <c r="G37" s="43">
        <v>0</v>
      </c>
      <c r="H37" s="49" t="s">
        <v>79</v>
      </c>
    </row>
    <row r="38" spans="1:8">
      <c r="A38" s="58"/>
      <c r="B38" s="56" t="s">
        <v>5</v>
      </c>
      <c r="C38" s="56">
        <f>+SUM(C35:C37)</f>
        <v>0.12666666666666665</v>
      </c>
      <c r="D38" s="56"/>
      <c r="E38" s="56"/>
      <c r="F38" s="61">
        <f>+SUM(F35:F37)</f>
        <v>1.2</v>
      </c>
      <c r="G38" s="45"/>
    </row>
    <row r="39" spans="1:8">
      <c r="A39" s="58"/>
      <c r="G39" s="41"/>
    </row>
    <row r="40" spans="1:8">
      <c r="G40" s="41"/>
    </row>
    <row r="41" spans="1:8">
      <c r="A41" s="52" t="s">
        <v>16</v>
      </c>
      <c r="B41" s="54" t="s">
        <v>73</v>
      </c>
      <c r="C41" s="54" t="s">
        <v>10</v>
      </c>
      <c r="D41" s="54" t="s">
        <v>18</v>
      </c>
      <c r="E41" s="54" t="s">
        <v>8</v>
      </c>
      <c r="F41" s="54" t="s">
        <v>128</v>
      </c>
      <c r="G41" s="54" t="s">
        <v>43</v>
      </c>
    </row>
    <row r="42" spans="1:8">
      <c r="A42" s="49" t="s">
        <v>81</v>
      </c>
      <c r="B42" s="80">
        <v>1</v>
      </c>
      <c r="C42" s="53">
        <v>0.17142857142857143</v>
      </c>
      <c r="D42" s="53">
        <f>+SUM(C42:$C$42)</f>
        <v>0.17142857142857143</v>
      </c>
      <c r="E42" s="53">
        <f>+E5</f>
        <v>7</v>
      </c>
      <c r="F42" s="53">
        <f>+E42*C42</f>
        <v>1.2</v>
      </c>
      <c r="G42" s="43">
        <v>0</v>
      </c>
      <c r="H42" s="49" t="s">
        <v>79</v>
      </c>
    </row>
    <row r="43" spans="1:8">
      <c r="A43" s="49" t="s">
        <v>83</v>
      </c>
      <c r="B43" s="56" t="s">
        <v>5</v>
      </c>
      <c r="C43" s="56">
        <f>+SUM(C42:C42)</f>
        <v>0.17142857142857143</v>
      </c>
      <c r="D43" s="56"/>
      <c r="E43" s="56"/>
      <c r="F43" s="61">
        <f>+SUM(F42:F42)</f>
        <v>1.2</v>
      </c>
      <c r="G43" s="45"/>
    </row>
    <row r="44" spans="1:8">
      <c r="A44" s="49" t="s">
        <v>84</v>
      </c>
      <c r="G44" s="41"/>
    </row>
    <row r="45" spans="1:8">
      <c r="G45" s="41"/>
    </row>
    <row r="46" spans="1:8">
      <c r="A46" s="52" t="s">
        <v>17</v>
      </c>
      <c r="B46" s="54" t="s">
        <v>73</v>
      </c>
      <c r="C46" s="54" t="s">
        <v>10</v>
      </c>
      <c r="D46" s="54" t="s">
        <v>18</v>
      </c>
      <c r="E46" s="54" t="s">
        <v>8</v>
      </c>
      <c r="F46" s="54" t="s">
        <v>128</v>
      </c>
      <c r="G46" s="54" t="s">
        <v>43</v>
      </c>
    </row>
    <row r="47" spans="1:8">
      <c r="A47" s="49" t="s">
        <v>81</v>
      </c>
      <c r="B47" s="80">
        <v>2</v>
      </c>
      <c r="C47" s="53">
        <v>0.08</v>
      </c>
      <c r="D47" s="53">
        <f>+SUM(C$47:$C47)</f>
        <v>0.08</v>
      </c>
      <c r="E47" s="53">
        <f>+E6</f>
        <v>15</v>
      </c>
      <c r="F47" s="53">
        <f>+E47*C47</f>
        <v>1.2</v>
      </c>
      <c r="G47" s="43">
        <v>0</v>
      </c>
      <c r="H47" s="49" t="s">
        <v>79</v>
      </c>
    </row>
    <row r="48" spans="1:8">
      <c r="A48" s="49" t="s">
        <v>82</v>
      </c>
      <c r="B48" s="56" t="s">
        <v>5</v>
      </c>
      <c r="C48" s="56">
        <f>+SUM(C47:C47)</f>
        <v>0.08</v>
      </c>
      <c r="D48" s="56"/>
      <c r="E48" s="56"/>
      <c r="F48" s="61">
        <f>+SUM(F47:F47)</f>
        <v>1.2</v>
      </c>
      <c r="G48" s="45"/>
    </row>
    <row r="49" spans="1:7">
      <c r="A49" s="49" t="s">
        <v>84</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28.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3" t="s">
        <v>87</v>
      </c>
      <c r="B1" s="123"/>
      <c r="C1" s="123"/>
      <c r="D1" s="123"/>
      <c r="E1" s="123"/>
    </row>
    <row r="2" spans="1:9">
      <c r="A2" s="59" t="s">
        <v>108</v>
      </c>
    </row>
    <row r="4" spans="1:9">
      <c r="A4" s="52" t="s">
        <v>9</v>
      </c>
      <c r="B4" s="54" t="s">
        <v>73</v>
      </c>
      <c r="C4" s="54" t="s">
        <v>10</v>
      </c>
      <c r="D4" s="54" t="s">
        <v>18</v>
      </c>
      <c r="E4" s="54" t="s">
        <v>8</v>
      </c>
      <c r="F4" s="54" t="s">
        <v>128</v>
      </c>
      <c r="G4" s="54" t="s">
        <v>43</v>
      </c>
    </row>
    <row r="5" spans="1:9">
      <c r="A5" s="49" t="s">
        <v>80</v>
      </c>
      <c r="B5" s="81">
        <v>1</v>
      </c>
      <c r="C5" s="38">
        <v>0.16300000000000001</v>
      </c>
      <c r="D5" s="50">
        <f>+SUM($C$5:C5)</f>
        <v>0.16300000000000001</v>
      </c>
      <c r="E5" s="50">
        <f>+Summary!E27</f>
        <v>5</v>
      </c>
      <c r="F5" s="50">
        <f>+C5*E5</f>
        <v>0.81500000000000006</v>
      </c>
      <c r="G5" s="43"/>
    </row>
    <row r="6" spans="1:9">
      <c r="B6" s="81">
        <v>2</v>
      </c>
      <c r="C6" s="38">
        <v>1E-3</v>
      </c>
      <c r="D6" s="50">
        <f>+SUM($C$5:C6)</f>
        <v>0.16400000000000001</v>
      </c>
      <c r="E6" s="50">
        <f>+Summary!E28</f>
        <v>10</v>
      </c>
      <c r="F6" s="50">
        <f t="shared" ref="F6:F7" si="0">+C6*E6</f>
        <v>0.01</v>
      </c>
      <c r="G6" s="43"/>
    </row>
    <row r="7" spans="1:9">
      <c r="B7" s="81" t="s">
        <v>74</v>
      </c>
      <c r="C7" s="38">
        <v>1.4999999999999999E-2</v>
      </c>
      <c r="D7" s="50">
        <f>+SUM($C$5:C7)</f>
        <v>0.17899999999999999</v>
      </c>
      <c r="E7" s="50">
        <f>+E5+E6</f>
        <v>15</v>
      </c>
      <c r="F7" s="50">
        <f t="shared" si="0"/>
        <v>0.22499999999999998</v>
      </c>
      <c r="G7" s="43">
        <v>0</v>
      </c>
      <c r="H7" s="49" t="s">
        <v>79</v>
      </c>
      <c r="I7" s="83"/>
    </row>
    <row r="8" spans="1:9">
      <c r="B8" s="56" t="s">
        <v>11</v>
      </c>
      <c r="C8" s="56">
        <f>+SUM(C5:C7)</f>
        <v>0.17899999999999999</v>
      </c>
      <c r="D8" s="56"/>
      <c r="E8" s="56"/>
      <c r="F8" s="47">
        <f>+SUM(F5:F7)</f>
        <v>1.05</v>
      </c>
      <c r="G8" s="44"/>
    </row>
    <row r="9" spans="1:9">
      <c r="B9" s="57" t="s">
        <v>78</v>
      </c>
      <c r="G9" s="41"/>
    </row>
    <row r="10" spans="1:9">
      <c r="G10" s="41"/>
    </row>
    <row r="11" spans="1:9">
      <c r="G11" s="41"/>
    </row>
    <row r="12" spans="1:9">
      <c r="A12" s="52" t="s">
        <v>16</v>
      </c>
      <c r="B12" s="54" t="s">
        <v>73</v>
      </c>
      <c r="C12" s="54" t="s">
        <v>10</v>
      </c>
      <c r="D12" s="54" t="s">
        <v>18</v>
      </c>
      <c r="E12" s="54" t="s">
        <v>8</v>
      </c>
      <c r="F12" s="54" t="s">
        <v>128</v>
      </c>
      <c r="G12" s="54" t="s">
        <v>43</v>
      </c>
    </row>
    <row r="13" spans="1:9">
      <c r="A13" s="49" t="s">
        <v>81</v>
      </c>
      <c r="B13" s="80">
        <v>1</v>
      </c>
      <c r="C13" s="53">
        <v>0.21</v>
      </c>
      <c r="D13" s="53">
        <f>+SUM(C13:$C$13)</f>
        <v>0.21</v>
      </c>
      <c r="E13" s="53">
        <f>+E5</f>
        <v>5</v>
      </c>
      <c r="F13" s="53">
        <f>+E13*C13</f>
        <v>1.05</v>
      </c>
      <c r="G13" s="43">
        <v>0</v>
      </c>
      <c r="H13" s="49" t="s">
        <v>79</v>
      </c>
    </row>
    <row r="14" spans="1:9">
      <c r="A14" s="49" t="s">
        <v>83</v>
      </c>
      <c r="B14" s="56" t="s">
        <v>5</v>
      </c>
      <c r="C14" s="56">
        <f>+SUM(C13:C13)</f>
        <v>0.21</v>
      </c>
      <c r="D14" s="56"/>
      <c r="E14" s="56"/>
      <c r="F14" s="61">
        <f>+SUM(F13:F13)</f>
        <v>1.05</v>
      </c>
      <c r="G14" s="45"/>
    </row>
    <row r="15" spans="1:9">
      <c r="G15" s="41"/>
    </row>
    <row r="16" spans="1:9">
      <c r="G16" s="41"/>
    </row>
    <row r="17" spans="1:8">
      <c r="A17" s="52" t="s">
        <v>17</v>
      </c>
      <c r="B17" s="54" t="s">
        <v>73</v>
      </c>
      <c r="C17" s="54" t="s">
        <v>10</v>
      </c>
      <c r="D17" s="54" t="s">
        <v>18</v>
      </c>
      <c r="E17" s="54" t="s">
        <v>8</v>
      </c>
      <c r="F17" s="54" t="s">
        <v>128</v>
      </c>
      <c r="G17" s="54" t="s">
        <v>43</v>
      </c>
    </row>
    <row r="18" spans="1:8">
      <c r="A18" s="49" t="s">
        <v>81</v>
      </c>
      <c r="B18" s="80">
        <v>2</v>
      </c>
      <c r="C18" s="53">
        <v>0.105</v>
      </c>
      <c r="D18" s="53">
        <f>+SUM(C$18:$C18)</f>
        <v>0.105</v>
      </c>
      <c r="E18" s="53">
        <f>+E6</f>
        <v>10</v>
      </c>
      <c r="F18" s="53">
        <f>+E18*C18</f>
        <v>1.05</v>
      </c>
      <c r="G18" s="43">
        <v>0</v>
      </c>
      <c r="H18" s="49" t="s">
        <v>79</v>
      </c>
    </row>
    <row r="19" spans="1:8">
      <c r="A19" s="49" t="s">
        <v>82</v>
      </c>
      <c r="B19" s="56" t="s">
        <v>5</v>
      </c>
      <c r="C19" s="56">
        <f>+SUM(C18:C18)</f>
        <v>0.105</v>
      </c>
      <c r="D19" s="56"/>
      <c r="E19" s="56"/>
      <c r="F19" s="61">
        <f>+SUM(F18:F18)</f>
        <v>1.05</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29.xml><?xml version="1.0" encoding="utf-8"?>
<worksheet xmlns="http://schemas.openxmlformats.org/spreadsheetml/2006/main" xmlns:r="http://schemas.openxmlformats.org/officeDocument/2006/relationships">
  <sheetPr codeName="Hoja13"/>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3" t="s">
        <v>91</v>
      </c>
      <c r="B1" s="123"/>
      <c r="C1" s="123"/>
      <c r="D1" s="123"/>
      <c r="E1" s="123"/>
    </row>
    <row r="2" spans="1:8">
      <c r="A2" s="59" t="s">
        <v>108</v>
      </c>
    </row>
    <row r="4" spans="1:8">
      <c r="A4" s="52" t="s">
        <v>9</v>
      </c>
      <c r="B4" s="54" t="s">
        <v>73</v>
      </c>
      <c r="C4" s="54" t="s">
        <v>10</v>
      </c>
      <c r="D4" s="54" t="s">
        <v>18</v>
      </c>
      <c r="E4" s="54" t="s">
        <v>8</v>
      </c>
      <c r="F4" s="54" t="s">
        <v>128</v>
      </c>
      <c r="G4" s="54" t="s">
        <v>43</v>
      </c>
    </row>
    <row r="5" spans="1:8">
      <c r="A5" s="49" t="s">
        <v>80</v>
      </c>
      <c r="B5" s="81">
        <v>1</v>
      </c>
      <c r="C5" s="50">
        <v>0.13</v>
      </c>
      <c r="D5" s="50">
        <f>+SUM($C$5:C5)</f>
        <v>0.13</v>
      </c>
      <c r="E5" s="50">
        <f>+Summary!H27</f>
        <v>5</v>
      </c>
      <c r="F5" s="50">
        <f>+C5*E5</f>
        <v>0.65</v>
      </c>
      <c r="G5" s="43"/>
    </row>
    <row r="6" spans="1:8">
      <c r="B6" s="81">
        <v>2</v>
      </c>
      <c r="C6" s="50">
        <v>2.1999999999999999E-2</v>
      </c>
      <c r="D6" s="50">
        <f>+SUM($C$5:C6)</f>
        <v>0.152</v>
      </c>
      <c r="E6" s="50">
        <f>+Summary!H28</f>
        <v>10</v>
      </c>
      <c r="F6" s="50">
        <f t="shared" ref="F6:F11" si="0">+C6*E6</f>
        <v>0.21999999999999997</v>
      </c>
      <c r="G6" s="43"/>
    </row>
    <row r="7" spans="1:8">
      <c r="B7" s="81">
        <v>3</v>
      </c>
      <c r="C7" s="50">
        <v>2E-3</v>
      </c>
      <c r="D7" s="50">
        <f>+SUM($C$5:C7)</f>
        <v>0.154</v>
      </c>
      <c r="E7" s="50">
        <f>+Summary!H29</f>
        <v>15</v>
      </c>
      <c r="F7" s="50">
        <f t="shared" si="0"/>
        <v>0.03</v>
      </c>
      <c r="G7" s="43"/>
    </row>
    <row r="8" spans="1:8">
      <c r="B8" s="81" t="s">
        <v>74</v>
      </c>
      <c r="C8" s="50">
        <v>0</v>
      </c>
      <c r="D8" s="50">
        <f>+SUM($C$5:C8)</f>
        <v>0.154</v>
      </c>
      <c r="E8" s="50">
        <f>+E5+E6</f>
        <v>15</v>
      </c>
      <c r="F8" s="50">
        <f t="shared" si="0"/>
        <v>0</v>
      </c>
      <c r="G8" s="43"/>
    </row>
    <row r="9" spans="1:8">
      <c r="B9" s="81" t="s">
        <v>75</v>
      </c>
      <c r="C9" s="50">
        <v>0</v>
      </c>
      <c r="D9" s="50">
        <f>+SUM($C$5:C9)</f>
        <v>0.154</v>
      </c>
      <c r="E9" s="50">
        <f>+E5+E7</f>
        <v>20</v>
      </c>
      <c r="F9" s="50">
        <f t="shared" si="0"/>
        <v>0</v>
      </c>
      <c r="G9" s="43"/>
    </row>
    <row r="10" spans="1:8">
      <c r="B10" s="81" t="s">
        <v>76</v>
      </c>
      <c r="C10" s="50">
        <v>0</v>
      </c>
      <c r="D10" s="50">
        <f>+SUM($C$5:C10)</f>
        <v>0.154</v>
      </c>
      <c r="E10" s="50">
        <f>+E6+E7</f>
        <v>25</v>
      </c>
      <c r="F10" s="50">
        <f t="shared" si="0"/>
        <v>0</v>
      </c>
      <c r="G10" s="43"/>
    </row>
    <row r="11" spans="1:8">
      <c r="B11" s="81" t="s">
        <v>77</v>
      </c>
      <c r="C11" s="50">
        <v>5.0000000000000001E-3</v>
      </c>
      <c r="D11" s="50">
        <f>+SUM($C$5:C11)</f>
        <v>0.159</v>
      </c>
      <c r="E11" s="50">
        <f>+E5+E6+E7</f>
        <v>30</v>
      </c>
      <c r="F11" s="50">
        <f t="shared" si="0"/>
        <v>0.15</v>
      </c>
      <c r="G11" s="43">
        <v>0</v>
      </c>
      <c r="H11" s="49" t="s">
        <v>79</v>
      </c>
    </row>
    <row r="12" spans="1:8">
      <c r="B12" s="56" t="s">
        <v>11</v>
      </c>
      <c r="C12" s="56">
        <f>+SUM(C5:C11)</f>
        <v>0.159</v>
      </c>
      <c r="D12" s="56"/>
      <c r="E12" s="56"/>
      <c r="F12" s="63">
        <f>+SUM(F5:F11)</f>
        <v>1.05</v>
      </c>
      <c r="G12" s="44"/>
    </row>
    <row r="13" spans="1:8">
      <c r="B13" s="57" t="s">
        <v>78</v>
      </c>
      <c r="G13" s="41"/>
    </row>
    <row r="14" spans="1:8">
      <c r="G14" s="41"/>
    </row>
    <row r="15" spans="1:8">
      <c r="A15" s="52" t="s">
        <v>12</v>
      </c>
      <c r="B15" s="54" t="s">
        <v>73</v>
      </c>
      <c r="C15" s="54" t="s">
        <v>10</v>
      </c>
      <c r="D15" s="54" t="s">
        <v>18</v>
      </c>
      <c r="E15" s="54" t="s">
        <v>8</v>
      </c>
      <c r="F15" s="54" t="s">
        <v>128</v>
      </c>
      <c r="G15" s="54" t="s">
        <v>43</v>
      </c>
    </row>
    <row r="16" spans="1:8">
      <c r="A16" s="49" t="s">
        <v>81</v>
      </c>
      <c r="B16" s="80">
        <v>2</v>
      </c>
      <c r="C16" s="53">
        <v>9.8500000000000004E-2</v>
      </c>
      <c r="D16" s="53">
        <f>+SUM(C16:$C$16)</f>
        <v>9.8500000000000004E-2</v>
      </c>
      <c r="E16" s="53">
        <f>+E6</f>
        <v>10</v>
      </c>
      <c r="F16" s="53">
        <f>+C16*E16</f>
        <v>0.9850000000000001</v>
      </c>
      <c r="G16" s="43"/>
    </row>
    <row r="17" spans="1:10">
      <c r="A17" s="49" t="s">
        <v>82</v>
      </c>
      <c r="B17" s="80">
        <v>3</v>
      </c>
      <c r="C17" s="53">
        <v>1E-3</v>
      </c>
      <c r="D17" s="53">
        <f>+SUM(C$16:$C17)</f>
        <v>9.9500000000000005E-2</v>
      </c>
      <c r="E17" s="53">
        <f>+E7</f>
        <v>15</v>
      </c>
      <c r="F17" s="53">
        <f t="shared" ref="F17:F18" si="1">+C17*E17</f>
        <v>1.4999999999999999E-2</v>
      </c>
      <c r="G17" s="43"/>
    </row>
    <row r="18" spans="1:10">
      <c r="B18" s="80" t="s">
        <v>76</v>
      </c>
      <c r="C18" s="53">
        <v>2E-3</v>
      </c>
      <c r="D18" s="53">
        <f>+SUM(C$16:$C18)</f>
        <v>0.10150000000000001</v>
      </c>
      <c r="E18" s="53">
        <f>+E16+E17</f>
        <v>25</v>
      </c>
      <c r="F18" s="53">
        <f t="shared" si="1"/>
        <v>0.05</v>
      </c>
      <c r="G18" s="43">
        <v>0</v>
      </c>
      <c r="H18" s="49" t="s">
        <v>79</v>
      </c>
    </row>
    <row r="19" spans="1:10">
      <c r="B19" s="56" t="s">
        <v>5</v>
      </c>
      <c r="C19" s="56">
        <f>+SUM(C16:C18)</f>
        <v>0.10150000000000001</v>
      </c>
      <c r="D19" s="56"/>
      <c r="E19" s="56"/>
      <c r="F19" s="61">
        <f>+SUM(F16:F18)</f>
        <v>1.05</v>
      </c>
      <c r="G19" s="45"/>
    </row>
    <row r="20" spans="1:10">
      <c r="B20" s="60"/>
      <c r="C20" s="60"/>
      <c r="D20" s="60"/>
      <c r="E20" s="60"/>
      <c r="F20" s="55"/>
      <c r="G20" s="46"/>
    </row>
    <row r="21" spans="1:10">
      <c r="B21" s="60"/>
      <c r="C21" s="60"/>
      <c r="D21" s="60"/>
      <c r="E21" s="60"/>
      <c r="F21" s="55"/>
      <c r="G21" s="46"/>
    </row>
    <row r="22" spans="1:10">
      <c r="A22" s="52" t="s">
        <v>13</v>
      </c>
      <c r="B22" s="54" t="s">
        <v>73</v>
      </c>
      <c r="C22" s="54" t="s">
        <v>10</v>
      </c>
      <c r="D22" s="54" t="s">
        <v>18</v>
      </c>
      <c r="E22" s="54" t="s">
        <v>8</v>
      </c>
      <c r="F22" s="54" t="s">
        <v>128</v>
      </c>
      <c r="G22" s="54" t="s">
        <v>43</v>
      </c>
    </row>
    <row r="23" spans="1:10">
      <c r="A23" s="49" t="s">
        <v>81</v>
      </c>
      <c r="B23" s="80">
        <v>1</v>
      </c>
      <c r="C23" s="53">
        <v>0.14000000000000001</v>
      </c>
      <c r="D23" s="53">
        <f>+SUM(C23:$C$23)</f>
        <v>0.14000000000000001</v>
      </c>
      <c r="E23" s="53">
        <f>+E5</f>
        <v>5</v>
      </c>
      <c r="F23" s="53">
        <f>+C23*E23</f>
        <v>0.70000000000000007</v>
      </c>
      <c r="G23" s="43"/>
    </row>
    <row r="24" spans="1:10">
      <c r="A24" s="49" t="s">
        <v>83</v>
      </c>
      <c r="B24" s="80">
        <v>3</v>
      </c>
      <c r="C24" s="53">
        <v>0.01</v>
      </c>
      <c r="D24" s="53">
        <f>+SUM(C$23:$C24)</f>
        <v>0.15000000000000002</v>
      </c>
      <c r="E24" s="53">
        <f>+E7</f>
        <v>15</v>
      </c>
      <c r="F24" s="53">
        <f t="shared" ref="F24:F25" si="2">+C24*E24</f>
        <v>0.15</v>
      </c>
      <c r="G24" s="43"/>
    </row>
    <row r="25" spans="1:10">
      <c r="B25" s="80" t="s">
        <v>75</v>
      </c>
      <c r="C25" s="53">
        <v>0.01</v>
      </c>
      <c r="D25" s="53">
        <f>+SUM(C$23:$C25)</f>
        <v>0.16000000000000003</v>
      </c>
      <c r="E25" s="53">
        <f>+E23+E24</f>
        <v>20</v>
      </c>
      <c r="F25" s="53">
        <f t="shared" si="2"/>
        <v>0.2</v>
      </c>
      <c r="G25" s="43">
        <v>0</v>
      </c>
      <c r="H25" s="49" t="s">
        <v>79</v>
      </c>
      <c r="J25" s="62"/>
    </row>
    <row r="26" spans="1:10">
      <c r="B26" s="56" t="s">
        <v>5</v>
      </c>
      <c r="C26" s="56">
        <f>+SUM(C23:C25)</f>
        <v>0.16000000000000003</v>
      </c>
      <c r="D26" s="56"/>
      <c r="E26" s="56"/>
      <c r="F26" s="61">
        <f>+SUM(F23:F25)</f>
        <v>1.05</v>
      </c>
      <c r="G26" s="45"/>
    </row>
    <row r="27" spans="1:10">
      <c r="B27" s="60"/>
      <c r="C27" s="60"/>
      <c r="D27" s="60"/>
      <c r="E27" s="60"/>
      <c r="F27" s="55"/>
      <c r="G27" s="46"/>
    </row>
    <row r="28" spans="1:10">
      <c r="G28" s="41"/>
    </row>
    <row r="29" spans="1:10">
      <c r="A29" s="52" t="s">
        <v>14</v>
      </c>
      <c r="B29" s="54" t="s">
        <v>73</v>
      </c>
      <c r="C29" s="54" t="s">
        <v>10</v>
      </c>
      <c r="D29" s="54" t="s">
        <v>18</v>
      </c>
      <c r="E29" s="54" t="s">
        <v>8</v>
      </c>
      <c r="F29" s="54" t="s">
        <v>128</v>
      </c>
      <c r="G29" s="54" t="s">
        <v>43</v>
      </c>
    </row>
    <row r="30" spans="1:10">
      <c r="A30" s="49" t="s">
        <v>81</v>
      </c>
      <c r="B30" s="80">
        <v>3</v>
      </c>
      <c r="C30" s="53">
        <v>7.0000000000000007E-2</v>
      </c>
      <c r="D30" s="53">
        <f>+SUM(C30:$C$30)</f>
        <v>7.0000000000000007E-2</v>
      </c>
      <c r="E30" s="53">
        <f>+E7</f>
        <v>15</v>
      </c>
      <c r="F30" s="53">
        <f>+C30*E30</f>
        <v>1.05</v>
      </c>
      <c r="G30" s="43">
        <v>0</v>
      </c>
      <c r="H30" s="49" t="s">
        <v>79</v>
      </c>
    </row>
    <row r="31" spans="1:10">
      <c r="A31" s="49" t="s">
        <v>82</v>
      </c>
      <c r="B31" s="56" t="s">
        <v>5</v>
      </c>
      <c r="C31" s="56">
        <f>+SUM(C30:C30)</f>
        <v>7.0000000000000007E-2</v>
      </c>
      <c r="D31" s="56"/>
      <c r="E31" s="56"/>
      <c r="F31" s="61">
        <f>+SUM(F30:F30)</f>
        <v>1.05</v>
      </c>
      <c r="G31" s="45"/>
    </row>
    <row r="32" spans="1:10">
      <c r="A32" s="49" t="s">
        <v>83</v>
      </c>
      <c r="G32" s="41"/>
    </row>
    <row r="33" spans="1:8">
      <c r="G33" s="41"/>
    </row>
    <row r="34" spans="1:8">
      <c r="A34" s="52" t="s">
        <v>15</v>
      </c>
      <c r="B34" s="54" t="s">
        <v>73</v>
      </c>
      <c r="C34" s="54" t="s">
        <v>10</v>
      </c>
      <c r="D34" s="54" t="s">
        <v>18</v>
      </c>
      <c r="E34" s="54" t="s">
        <v>8</v>
      </c>
      <c r="F34" s="54" t="s">
        <v>128</v>
      </c>
      <c r="G34" s="54" t="s">
        <v>43</v>
      </c>
    </row>
    <row r="35" spans="1:8">
      <c r="A35" s="49" t="s">
        <v>81</v>
      </c>
      <c r="B35" s="80">
        <v>1</v>
      </c>
      <c r="C35" s="53">
        <v>0.16</v>
      </c>
      <c r="D35" s="53">
        <f>+SUM(C35:$C$35)</f>
        <v>0.16</v>
      </c>
      <c r="E35" s="53">
        <f>+E5</f>
        <v>5</v>
      </c>
      <c r="F35" s="53">
        <f>+C35*E35</f>
        <v>0.8</v>
      </c>
      <c r="G35" s="43"/>
    </row>
    <row r="36" spans="1:8">
      <c r="A36" s="49" t="s">
        <v>84</v>
      </c>
      <c r="B36" s="80">
        <v>2</v>
      </c>
      <c r="C36" s="53">
        <v>0.01</v>
      </c>
      <c r="D36" s="53">
        <f>+SUM(C$35:$C36)</f>
        <v>0.17</v>
      </c>
      <c r="E36" s="53">
        <f>+E6</f>
        <v>10</v>
      </c>
      <c r="F36" s="53">
        <f t="shared" ref="F36:F37" si="3">+C36*E36</f>
        <v>0.1</v>
      </c>
      <c r="G36" s="43"/>
    </row>
    <row r="37" spans="1:8">
      <c r="B37" s="80" t="s">
        <v>74</v>
      </c>
      <c r="C37" s="53">
        <v>0.01</v>
      </c>
      <c r="D37" s="53">
        <f>+SUM(C$35:$C37)</f>
        <v>0.18000000000000002</v>
      </c>
      <c r="E37" s="53">
        <f>+E35+E36</f>
        <v>15</v>
      </c>
      <c r="F37" s="53">
        <f t="shared" si="3"/>
        <v>0.15</v>
      </c>
      <c r="G37" s="43">
        <v>0</v>
      </c>
      <c r="H37" s="49" t="s">
        <v>79</v>
      </c>
    </row>
    <row r="38" spans="1:8">
      <c r="A38" s="58"/>
      <c r="B38" s="56" t="s">
        <v>5</v>
      </c>
      <c r="C38" s="56">
        <f>+SUM(C35:C37)</f>
        <v>0.18000000000000002</v>
      </c>
      <c r="D38" s="56"/>
      <c r="E38" s="56"/>
      <c r="F38" s="61">
        <f>+SUM(F35:F37)</f>
        <v>1.05</v>
      </c>
      <c r="G38" s="45"/>
    </row>
    <row r="39" spans="1:8">
      <c r="A39" s="58"/>
      <c r="G39" s="41"/>
    </row>
    <row r="40" spans="1:8">
      <c r="G40" s="41"/>
    </row>
    <row r="41" spans="1:8">
      <c r="A41" s="52" t="s">
        <v>16</v>
      </c>
      <c r="B41" s="54" t="s">
        <v>73</v>
      </c>
      <c r="C41" s="54" t="s">
        <v>10</v>
      </c>
      <c r="D41" s="54" t="s">
        <v>18</v>
      </c>
      <c r="E41" s="54" t="s">
        <v>8</v>
      </c>
      <c r="F41" s="54" t="s">
        <v>128</v>
      </c>
      <c r="G41" s="48"/>
    </row>
    <row r="42" spans="1:8">
      <c r="A42" s="49" t="s">
        <v>81</v>
      </c>
      <c r="B42" s="80">
        <v>1</v>
      </c>
      <c r="C42" s="53">
        <v>0.21</v>
      </c>
      <c r="D42" s="53">
        <f>+SUM(C42:$C$42)</f>
        <v>0.21</v>
      </c>
      <c r="E42" s="53">
        <f>+E5</f>
        <v>5</v>
      </c>
      <c r="F42" s="53">
        <f>+E42*C42</f>
        <v>1.05</v>
      </c>
      <c r="G42" s="43">
        <v>0</v>
      </c>
      <c r="H42" s="49" t="s">
        <v>79</v>
      </c>
    </row>
    <row r="43" spans="1:8">
      <c r="A43" s="49" t="s">
        <v>83</v>
      </c>
      <c r="B43" s="56" t="s">
        <v>5</v>
      </c>
      <c r="C43" s="56">
        <f>+SUM(C42:C42)</f>
        <v>0.21</v>
      </c>
      <c r="D43" s="56"/>
      <c r="E43" s="56"/>
      <c r="F43" s="61">
        <f>+SUM(F42:F42)</f>
        <v>1.05</v>
      </c>
      <c r="G43" s="45"/>
    </row>
    <row r="44" spans="1:8">
      <c r="A44" s="49" t="s">
        <v>84</v>
      </c>
      <c r="G44" s="41"/>
    </row>
    <row r="45" spans="1:8">
      <c r="G45" s="41"/>
    </row>
    <row r="46" spans="1:8">
      <c r="A46" s="52" t="s">
        <v>17</v>
      </c>
      <c r="B46" s="54" t="s">
        <v>73</v>
      </c>
      <c r="C46" s="54" t="s">
        <v>10</v>
      </c>
      <c r="D46" s="54" t="s">
        <v>18</v>
      </c>
      <c r="E46" s="54" t="s">
        <v>8</v>
      </c>
      <c r="F46" s="54" t="s">
        <v>128</v>
      </c>
      <c r="G46" s="48"/>
    </row>
    <row r="47" spans="1:8">
      <c r="A47" s="49" t="s">
        <v>81</v>
      </c>
      <c r="B47" s="80">
        <v>2</v>
      </c>
      <c r="C47" s="53">
        <v>0.105</v>
      </c>
      <c r="D47" s="53">
        <f>+SUM(C$47:$C47)</f>
        <v>0.105</v>
      </c>
      <c r="E47" s="53">
        <f>+E6</f>
        <v>10</v>
      </c>
      <c r="F47" s="53">
        <f>+E47*C47</f>
        <v>1.05</v>
      </c>
      <c r="G47" s="43">
        <v>0</v>
      </c>
      <c r="H47" s="49" t="s">
        <v>79</v>
      </c>
    </row>
    <row r="48" spans="1:8">
      <c r="A48" s="49" t="s">
        <v>82</v>
      </c>
      <c r="B48" s="56" t="s">
        <v>5</v>
      </c>
      <c r="C48" s="56">
        <f>+SUM(C47:C47)</f>
        <v>0.105</v>
      </c>
      <c r="D48" s="56"/>
      <c r="E48" s="56"/>
      <c r="F48" s="61">
        <f>+SUM(F47:F47)</f>
        <v>1.05</v>
      </c>
      <c r="G48" s="45"/>
    </row>
    <row r="49" spans="1:7">
      <c r="A49" s="49" t="s">
        <v>84</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30.xml><?xml version="1.0" encoding="utf-8"?>
<worksheet xmlns="http://schemas.openxmlformats.org/spreadsheetml/2006/main" xmlns:r="http://schemas.openxmlformats.org/officeDocument/2006/relationships">
  <sheetPr codeName="Hoja14"/>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3" t="s">
        <v>94</v>
      </c>
      <c r="B1" s="123"/>
      <c r="C1" s="123"/>
      <c r="D1" s="123"/>
      <c r="E1" s="123"/>
    </row>
    <row r="2" spans="1:8">
      <c r="A2" s="59" t="s">
        <v>108</v>
      </c>
    </row>
    <row r="4" spans="1:8">
      <c r="A4" s="52" t="s">
        <v>9</v>
      </c>
      <c r="B4" s="54" t="s">
        <v>73</v>
      </c>
      <c r="C4" s="54" t="s">
        <v>10</v>
      </c>
      <c r="D4" s="54" t="s">
        <v>18</v>
      </c>
      <c r="E4" s="54" t="s">
        <v>8</v>
      </c>
      <c r="F4" s="54" t="s">
        <v>128</v>
      </c>
      <c r="G4" s="54" t="s">
        <v>43</v>
      </c>
    </row>
    <row r="5" spans="1:8">
      <c r="A5" s="49" t="s">
        <v>80</v>
      </c>
      <c r="B5" s="81">
        <v>1</v>
      </c>
      <c r="C5" s="50">
        <v>7.3999999999999996E-2</v>
      </c>
      <c r="D5" s="50">
        <f>+SUM($C$5:C5)</f>
        <v>7.3999999999999996E-2</v>
      </c>
      <c r="E5" s="64">
        <f>Summary!K27</f>
        <v>5</v>
      </c>
      <c r="F5" s="50">
        <f>+C5*E5</f>
        <v>0.37</v>
      </c>
      <c r="G5" s="43"/>
    </row>
    <row r="6" spans="1:8">
      <c r="B6" s="81">
        <v>2</v>
      </c>
      <c r="C6" s="50">
        <v>0.01</v>
      </c>
      <c r="D6" s="50">
        <f>+SUM($C$5:C6)</f>
        <v>8.3999999999999991E-2</v>
      </c>
      <c r="E6" s="64">
        <f>Summary!K28</f>
        <v>12</v>
      </c>
      <c r="F6" s="50">
        <f t="shared" ref="F6:F11" si="0">+C6*E6</f>
        <v>0.12</v>
      </c>
      <c r="G6" s="43"/>
    </row>
    <row r="7" spans="1:8">
      <c r="B7" s="81">
        <v>3</v>
      </c>
      <c r="C7" s="50">
        <v>0.01</v>
      </c>
      <c r="D7" s="50">
        <f>+SUM($C$5:C7)</f>
        <v>9.3999999999999986E-2</v>
      </c>
      <c r="E7" s="64">
        <f>Summary!K29</f>
        <v>18</v>
      </c>
      <c r="F7" s="50">
        <f t="shared" si="0"/>
        <v>0.18</v>
      </c>
      <c r="G7" s="43"/>
    </row>
    <row r="8" spans="1:8">
      <c r="B8" s="81" t="s">
        <v>74</v>
      </c>
      <c r="C8" s="50">
        <v>0.01</v>
      </c>
      <c r="D8" s="50">
        <f>+SUM($C$5:C8)</f>
        <v>0.10399999999999998</v>
      </c>
      <c r="E8" s="50">
        <f>+E5+E6</f>
        <v>17</v>
      </c>
      <c r="F8" s="50">
        <f t="shared" si="0"/>
        <v>0.17</v>
      </c>
      <c r="G8" s="43"/>
    </row>
    <row r="9" spans="1:8">
      <c r="B9" s="81" t="s">
        <v>75</v>
      </c>
      <c r="C9" s="50">
        <v>0</v>
      </c>
      <c r="D9" s="50">
        <f>+SUM($C$5:C9)</f>
        <v>0.10399999999999998</v>
      </c>
      <c r="E9" s="50">
        <f>+E5+E7</f>
        <v>23</v>
      </c>
      <c r="F9" s="50">
        <f t="shared" si="0"/>
        <v>0</v>
      </c>
      <c r="G9" s="43"/>
    </row>
    <row r="10" spans="1:8">
      <c r="B10" s="81" t="s">
        <v>76</v>
      </c>
      <c r="C10" s="50">
        <v>0</v>
      </c>
      <c r="D10" s="50">
        <f>+SUM($C$5:C10)</f>
        <v>0.10399999999999998</v>
      </c>
      <c r="E10" s="50">
        <f>+E6+E7</f>
        <v>30</v>
      </c>
      <c r="F10" s="50">
        <f t="shared" si="0"/>
        <v>0</v>
      </c>
      <c r="G10" s="43"/>
    </row>
    <row r="11" spans="1:8">
      <c r="B11" s="81" t="s">
        <v>77</v>
      </c>
      <c r="C11" s="50">
        <v>6.0000000000000001E-3</v>
      </c>
      <c r="D11" s="50">
        <f>+SUM($C$5:C11)</f>
        <v>0.10999999999999999</v>
      </c>
      <c r="E11" s="50">
        <f>+E5+E6+E7</f>
        <v>35</v>
      </c>
      <c r="F11" s="50">
        <f t="shared" si="0"/>
        <v>0.21</v>
      </c>
      <c r="G11" s="43">
        <v>0</v>
      </c>
      <c r="H11" s="49" t="s">
        <v>79</v>
      </c>
    </row>
    <row r="12" spans="1:8">
      <c r="B12" s="56" t="s">
        <v>11</v>
      </c>
      <c r="C12" s="56">
        <f>+SUM(C5:C11)</f>
        <v>0.10999999999999999</v>
      </c>
      <c r="D12" s="56"/>
      <c r="E12" s="56"/>
      <c r="F12" s="63">
        <f>+SUM(F5:F11)</f>
        <v>1.05</v>
      </c>
      <c r="G12" s="44"/>
    </row>
    <row r="13" spans="1:8">
      <c r="B13" s="57" t="s">
        <v>78</v>
      </c>
      <c r="G13" s="41"/>
    </row>
    <row r="14" spans="1:8">
      <c r="G14" s="41"/>
    </row>
    <row r="15" spans="1:8">
      <c r="A15" s="52" t="s">
        <v>12</v>
      </c>
      <c r="B15" s="54" t="s">
        <v>73</v>
      </c>
      <c r="C15" s="54" t="s">
        <v>10</v>
      </c>
      <c r="D15" s="54" t="s">
        <v>18</v>
      </c>
      <c r="E15" s="54" t="s">
        <v>8</v>
      </c>
      <c r="F15" s="54" t="s">
        <v>128</v>
      </c>
      <c r="G15" s="54" t="s">
        <v>43</v>
      </c>
    </row>
    <row r="16" spans="1:8">
      <c r="A16" s="49" t="s">
        <v>81</v>
      </c>
      <c r="B16" s="80">
        <v>2</v>
      </c>
      <c r="C16" s="53">
        <v>7.4999999999999997E-2</v>
      </c>
      <c r="D16" s="53">
        <f>+SUM(C16:$C$16)</f>
        <v>7.4999999999999997E-2</v>
      </c>
      <c r="E16" s="53">
        <f>+E6</f>
        <v>12</v>
      </c>
      <c r="F16" s="53">
        <f>+C16*E16</f>
        <v>0.89999999999999991</v>
      </c>
      <c r="G16" s="43"/>
    </row>
    <row r="17" spans="1:10">
      <c r="A17" s="49" t="s">
        <v>82</v>
      </c>
      <c r="B17" s="80">
        <v>3</v>
      </c>
      <c r="C17" s="53">
        <v>0</v>
      </c>
      <c r="D17" s="53">
        <f>+SUM(C$16:$C17)</f>
        <v>7.4999999999999997E-2</v>
      </c>
      <c r="E17" s="53">
        <f>+E7</f>
        <v>18</v>
      </c>
      <c r="F17" s="53">
        <f t="shared" ref="F17:F18" si="1">+C17*E17</f>
        <v>0</v>
      </c>
      <c r="G17" s="43"/>
    </row>
    <row r="18" spans="1:10">
      <c r="B18" s="80" t="s">
        <v>76</v>
      </c>
      <c r="C18" s="53">
        <v>5.0000000000000001E-3</v>
      </c>
      <c r="D18" s="53">
        <f>+SUM(C$16:$C18)</f>
        <v>0.08</v>
      </c>
      <c r="E18" s="53">
        <f>+E16+E17</f>
        <v>30</v>
      </c>
      <c r="F18" s="53">
        <f t="shared" si="1"/>
        <v>0.15</v>
      </c>
      <c r="G18" s="43">
        <v>0</v>
      </c>
      <c r="H18" s="49" t="s">
        <v>79</v>
      </c>
    </row>
    <row r="19" spans="1:10">
      <c r="B19" s="56" t="s">
        <v>5</v>
      </c>
      <c r="C19" s="56">
        <f>+SUM(C16:C18)</f>
        <v>0.08</v>
      </c>
      <c r="D19" s="56"/>
      <c r="E19" s="56"/>
      <c r="F19" s="61">
        <f>+SUM(F16:F18)</f>
        <v>1.0499999999999998</v>
      </c>
      <c r="G19" s="45"/>
    </row>
    <row r="20" spans="1:10">
      <c r="B20" s="60"/>
      <c r="C20" s="60"/>
      <c r="D20" s="60"/>
      <c r="E20" s="60"/>
      <c r="F20" s="55"/>
      <c r="G20" s="46"/>
    </row>
    <row r="21" spans="1:10">
      <c r="B21" s="60"/>
      <c r="C21" s="60"/>
      <c r="D21" s="60"/>
      <c r="E21" s="60"/>
      <c r="F21" s="55"/>
      <c r="G21" s="46"/>
    </row>
    <row r="22" spans="1:10">
      <c r="A22" s="52" t="s">
        <v>13</v>
      </c>
      <c r="B22" s="54" t="s">
        <v>73</v>
      </c>
      <c r="C22" s="54" t="s">
        <v>10</v>
      </c>
      <c r="D22" s="54" t="s">
        <v>18</v>
      </c>
      <c r="E22" s="54" t="s">
        <v>8</v>
      </c>
      <c r="F22" s="54" t="s">
        <v>128</v>
      </c>
      <c r="G22" s="54" t="s">
        <v>43</v>
      </c>
    </row>
    <row r="23" spans="1:10">
      <c r="A23" s="49" t="s">
        <v>81</v>
      </c>
      <c r="B23" s="80">
        <v>1</v>
      </c>
      <c r="C23" s="53">
        <v>8.2000000000000003E-2</v>
      </c>
      <c r="D23" s="53">
        <f>+SUM(C23:$C$23)</f>
        <v>8.2000000000000003E-2</v>
      </c>
      <c r="E23" s="53">
        <f>+E5</f>
        <v>5</v>
      </c>
      <c r="F23" s="53">
        <f>+C23*E23</f>
        <v>0.41000000000000003</v>
      </c>
      <c r="G23" s="43"/>
    </row>
    <row r="24" spans="1:10">
      <c r="A24" s="49" t="s">
        <v>83</v>
      </c>
      <c r="B24" s="80">
        <v>3</v>
      </c>
      <c r="C24" s="53">
        <v>0.01</v>
      </c>
      <c r="D24" s="53">
        <f>+SUM(C$23:$C24)</f>
        <v>9.1999999999999998E-2</v>
      </c>
      <c r="E24" s="53">
        <f>+E7</f>
        <v>18</v>
      </c>
      <c r="F24" s="53">
        <f t="shared" ref="F24:F25" si="2">+C24*E24</f>
        <v>0.18</v>
      </c>
      <c r="G24" s="43"/>
    </row>
    <row r="25" spans="1:10">
      <c r="B25" s="80" t="s">
        <v>75</v>
      </c>
      <c r="C25" s="53">
        <v>0.02</v>
      </c>
      <c r="D25" s="53">
        <f>+SUM(C$23:$C25)</f>
        <v>0.112</v>
      </c>
      <c r="E25" s="53">
        <f>+E23+E24</f>
        <v>23</v>
      </c>
      <c r="F25" s="53">
        <f t="shared" si="2"/>
        <v>0.46</v>
      </c>
      <c r="G25" s="43">
        <v>0</v>
      </c>
      <c r="H25" s="49" t="s">
        <v>79</v>
      </c>
      <c r="J25" s="62"/>
    </row>
    <row r="26" spans="1:10">
      <c r="B26" s="56" t="s">
        <v>5</v>
      </c>
      <c r="C26" s="56">
        <f>+SUM(C23:C25)</f>
        <v>0.112</v>
      </c>
      <c r="D26" s="56"/>
      <c r="E26" s="56"/>
      <c r="F26" s="61">
        <f>+SUM(F23:F25)</f>
        <v>1.05</v>
      </c>
      <c r="G26" s="45"/>
    </row>
    <row r="27" spans="1:10">
      <c r="B27" s="60"/>
      <c r="C27" s="60"/>
      <c r="D27" s="60"/>
      <c r="E27" s="60"/>
      <c r="F27" s="55"/>
      <c r="G27" s="46"/>
    </row>
    <row r="28" spans="1:10">
      <c r="G28" s="41"/>
    </row>
    <row r="29" spans="1:10">
      <c r="A29" s="52" t="s">
        <v>14</v>
      </c>
      <c r="B29" s="54" t="s">
        <v>73</v>
      </c>
      <c r="C29" s="54" t="s">
        <v>10</v>
      </c>
      <c r="D29" s="54" t="s">
        <v>18</v>
      </c>
      <c r="E29" s="54" t="s">
        <v>8</v>
      </c>
      <c r="F29" s="54" t="s">
        <v>128</v>
      </c>
      <c r="G29" s="54" t="s">
        <v>43</v>
      </c>
    </row>
    <row r="30" spans="1:10">
      <c r="A30" s="49" t="s">
        <v>81</v>
      </c>
      <c r="B30" s="80">
        <v>3</v>
      </c>
      <c r="C30" s="53">
        <v>5.8333333333333334E-2</v>
      </c>
      <c r="D30" s="53">
        <f>+SUM(C30:$C$30)</f>
        <v>5.8333333333333334E-2</v>
      </c>
      <c r="E30" s="53">
        <f>+E7</f>
        <v>18</v>
      </c>
      <c r="F30" s="53">
        <f>+C30*E30</f>
        <v>1.05</v>
      </c>
      <c r="G30" s="43">
        <v>0</v>
      </c>
      <c r="H30" s="49" t="s">
        <v>79</v>
      </c>
    </row>
    <row r="31" spans="1:10">
      <c r="A31" s="49" t="s">
        <v>82</v>
      </c>
      <c r="B31" s="56" t="s">
        <v>5</v>
      </c>
      <c r="C31" s="56">
        <f>+SUM(C30:C30)</f>
        <v>5.8333333333333334E-2</v>
      </c>
      <c r="D31" s="56"/>
      <c r="E31" s="56"/>
      <c r="F31" s="61">
        <f>+SUM(F30:F30)</f>
        <v>1.05</v>
      </c>
      <c r="G31" s="45"/>
    </row>
    <row r="32" spans="1:10">
      <c r="A32" s="49" t="s">
        <v>83</v>
      </c>
      <c r="G32" s="41"/>
    </row>
    <row r="33" spans="1:8">
      <c r="G33" s="41"/>
    </row>
    <row r="34" spans="1:8">
      <c r="A34" s="52" t="s">
        <v>15</v>
      </c>
      <c r="B34" s="54" t="s">
        <v>73</v>
      </c>
      <c r="C34" s="54" t="s">
        <v>10</v>
      </c>
      <c r="D34" s="54" t="s">
        <v>18</v>
      </c>
      <c r="E34" s="54" t="s">
        <v>8</v>
      </c>
      <c r="F34" s="54" t="s">
        <v>128</v>
      </c>
      <c r="G34" s="54" t="s">
        <v>43</v>
      </c>
    </row>
    <row r="35" spans="1:8">
      <c r="A35" s="49" t="s">
        <v>81</v>
      </c>
      <c r="B35" s="80">
        <v>1</v>
      </c>
      <c r="C35" s="53">
        <v>0.06</v>
      </c>
      <c r="D35" s="53">
        <f>+SUM(C35:$C$35)</f>
        <v>0.06</v>
      </c>
      <c r="E35" s="53">
        <f>+E5</f>
        <v>5</v>
      </c>
      <c r="F35" s="53">
        <f>+C35*E35</f>
        <v>0.3</v>
      </c>
      <c r="G35" s="43"/>
    </row>
    <row r="36" spans="1:8">
      <c r="A36" s="49" t="s">
        <v>84</v>
      </c>
      <c r="B36" s="80">
        <v>2</v>
      </c>
      <c r="C36" s="53">
        <v>0.02</v>
      </c>
      <c r="D36" s="53">
        <f>+SUM(C$35:$C36)</f>
        <v>0.08</v>
      </c>
      <c r="E36" s="53">
        <f>+E6</f>
        <v>12</v>
      </c>
      <c r="F36" s="53">
        <f t="shared" ref="F36:F37" si="3">+C36*E36</f>
        <v>0.24</v>
      </c>
      <c r="G36" s="43"/>
    </row>
    <row r="37" spans="1:8">
      <c r="B37" s="80" t="s">
        <v>74</v>
      </c>
      <c r="C37" s="53">
        <v>0.03</v>
      </c>
      <c r="D37" s="53">
        <f>+SUM(C$35:$C37)</f>
        <v>0.11</v>
      </c>
      <c r="E37" s="53">
        <f>+E35+E36</f>
        <v>17</v>
      </c>
      <c r="F37" s="53">
        <f t="shared" si="3"/>
        <v>0.51</v>
      </c>
      <c r="G37" s="43">
        <v>0</v>
      </c>
      <c r="H37" s="49" t="s">
        <v>79</v>
      </c>
    </row>
    <row r="38" spans="1:8">
      <c r="A38" s="58"/>
      <c r="B38" s="56" t="s">
        <v>5</v>
      </c>
      <c r="C38" s="56">
        <f>+SUM(C35:C37)</f>
        <v>0.11</v>
      </c>
      <c r="D38" s="56"/>
      <c r="E38" s="56"/>
      <c r="F38" s="61">
        <f>+SUM(F35:F37)</f>
        <v>1.05</v>
      </c>
      <c r="G38" s="45"/>
    </row>
    <row r="39" spans="1:8">
      <c r="A39" s="58"/>
      <c r="G39" s="41"/>
    </row>
    <row r="40" spans="1:8">
      <c r="G40" s="41"/>
    </row>
    <row r="41" spans="1:8">
      <c r="A41" s="52" t="s">
        <v>16</v>
      </c>
      <c r="B41" s="54" t="s">
        <v>73</v>
      </c>
      <c r="C41" s="54" t="s">
        <v>10</v>
      </c>
      <c r="D41" s="54" t="s">
        <v>18</v>
      </c>
      <c r="E41" s="54" t="s">
        <v>8</v>
      </c>
      <c r="F41" s="54" t="s">
        <v>128</v>
      </c>
      <c r="G41" s="48"/>
    </row>
    <row r="42" spans="1:8">
      <c r="A42" s="49" t="s">
        <v>81</v>
      </c>
      <c r="B42" s="80">
        <v>1</v>
      </c>
      <c r="C42" s="53">
        <v>0.21</v>
      </c>
      <c r="D42" s="53">
        <f>+SUM(C42:$C$42)</f>
        <v>0.21</v>
      </c>
      <c r="E42" s="53">
        <f>+E5</f>
        <v>5</v>
      </c>
      <c r="F42" s="53">
        <f>+E42*C42</f>
        <v>1.05</v>
      </c>
      <c r="G42" s="43">
        <v>0</v>
      </c>
      <c r="H42" s="49" t="s">
        <v>79</v>
      </c>
    </row>
    <row r="43" spans="1:8">
      <c r="A43" s="49" t="s">
        <v>83</v>
      </c>
      <c r="B43" s="56" t="s">
        <v>5</v>
      </c>
      <c r="C43" s="56">
        <f>+SUM(C42:C42)</f>
        <v>0.21</v>
      </c>
      <c r="D43" s="56"/>
      <c r="E43" s="56"/>
      <c r="F43" s="61">
        <f>+SUM(F42:F42)</f>
        <v>1.05</v>
      </c>
      <c r="G43" s="45"/>
    </row>
    <row r="44" spans="1:8">
      <c r="A44" s="49" t="s">
        <v>84</v>
      </c>
      <c r="G44" s="41"/>
    </row>
    <row r="45" spans="1:8">
      <c r="G45" s="41"/>
    </row>
    <row r="46" spans="1:8">
      <c r="A46" s="52" t="s">
        <v>17</v>
      </c>
      <c r="B46" s="54" t="s">
        <v>73</v>
      </c>
      <c r="C46" s="54" t="s">
        <v>10</v>
      </c>
      <c r="D46" s="54" t="s">
        <v>18</v>
      </c>
      <c r="E46" s="54" t="s">
        <v>8</v>
      </c>
      <c r="F46" s="54" t="s">
        <v>128</v>
      </c>
      <c r="G46" s="48"/>
    </row>
    <row r="47" spans="1:8">
      <c r="A47" s="49" t="s">
        <v>81</v>
      </c>
      <c r="B47" s="80">
        <v>2</v>
      </c>
      <c r="C47" s="53">
        <v>8.7499999999999994E-2</v>
      </c>
      <c r="D47" s="53">
        <f>+SUM(C$47:$C47)</f>
        <v>8.7499999999999994E-2</v>
      </c>
      <c r="E47" s="53">
        <f>+E6</f>
        <v>12</v>
      </c>
      <c r="F47" s="53">
        <f>+E47*C47</f>
        <v>1.0499999999999998</v>
      </c>
      <c r="G47" s="43">
        <v>0</v>
      </c>
      <c r="H47" s="49" t="s">
        <v>79</v>
      </c>
    </row>
    <row r="48" spans="1:8">
      <c r="A48" s="49" t="s">
        <v>82</v>
      </c>
      <c r="B48" s="56" t="s">
        <v>5</v>
      </c>
      <c r="C48" s="56">
        <f>+SUM(C47:C47)</f>
        <v>8.7499999999999994E-2</v>
      </c>
      <c r="D48" s="56"/>
      <c r="E48" s="56"/>
      <c r="F48" s="61">
        <f>+SUM(F47:F47)</f>
        <v>1.0499999999999998</v>
      </c>
      <c r="G48" s="45"/>
    </row>
    <row r="49" spans="1:7">
      <c r="A49" s="49" t="s">
        <v>84</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31.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3" t="s">
        <v>101</v>
      </c>
      <c r="B1" s="123"/>
      <c r="C1" s="123"/>
      <c r="D1" s="123"/>
      <c r="E1" s="123"/>
    </row>
    <row r="2" spans="1:9">
      <c r="A2" s="59" t="s">
        <v>108</v>
      </c>
    </row>
    <row r="4" spans="1:9">
      <c r="A4" s="52" t="s">
        <v>9</v>
      </c>
      <c r="B4" s="54" t="s">
        <v>73</v>
      </c>
      <c r="C4" s="54" t="s">
        <v>10</v>
      </c>
      <c r="D4" s="54" t="s">
        <v>18</v>
      </c>
      <c r="E4" s="54" t="s">
        <v>8</v>
      </c>
      <c r="F4" s="54" t="s">
        <v>128</v>
      </c>
      <c r="G4" s="54" t="s">
        <v>43</v>
      </c>
    </row>
    <row r="5" spans="1:9">
      <c r="A5" s="49" t="s">
        <v>80</v>
      </c>
      <c r="B5" s="81">
        <v>1</v>
      </c>
      <c r="C5" s="38">
        <v>7.0000000000000007E-2</v>
      </c>
      <c r="D5" s="50">
        <f>+SUM($C$5:C5)</f>
        <v>7.0000000000000007E-2</v>
      </c>
      <c r="E5" s="50">
        <f>+Summary!B27</f>
        <v>3</v>
      </c>
      <c r="F5" s="50">
        <f>+C5*E5</f>
        <v>0.21000000000000002</v>
      </c>
      <c r="G5" s="43"/>
    </row>
    <row r="6" spans="1:9">
      <c r="B6" s="81">
        <v>2</v>
      </c>
      <c r="C6" s="38">
        <v>0.16</v>
      </c>
      <c r="D6" s="50">
        <f>+SUM($C$5:C6)</f>
        <v>0.23</v>
      </c>
      <c r="E6" s="50">
        <f>+Summary!B28</f>
        <v>5</v>
      </c>
      <c r="F6" s="50">
        <f t="shared" ref="F6:F7" si="0">+C6*E6</f>
        <v>0.8</v>
      </c>
      <c r="G6" s="43"/>
    </row>
    <row r="7" spans="1:9">
      <c r="B7" s="81" t="s">
        <v>74</v>
      </c>
      <c r="C7" s="38">
        <v>5.0000000000000001E-3</v>
      </c>
      <c r="D7" s="50">
        <f>+SUM($C$5:C7)</f>
        <v>0.23500000000000001</v>
      </c>
      <c r="E7" s="50">
        <f>+E5+E6</f>
        <v>8</v>
      </c>
      <c r="F7" s="50">
        <f t="shared" si="0"/>
        <v>0.04</v>
      </c>
      <c r="G7" s="43">
        <v>0</v>
      </c>
      <c r="H7" s="49" t="s">
        <v>79</v>
      </c>
      <c r="I7" s="83"/>
    </row>
    <row r="8" spans="1:9">
      <c r="B8" s="56" t="s">
        <v>11</v>
      </c>
      <c r="C8" s="56">
        <f>+SUM(C5:C7)</f>
        <v>0.23500000000000001</v>
      </c>
      <c r="D8" s="56"/>
      <c r="E8" s="56"/>
      <c r="F8" s="47">
        <f>+SUM(F5:F7)</f>
        <v>1.05</v>
      </c>
      <c r="G8" s="44"/>
    </row>
    <row r="9" spans="1:9">
      <c r="B9" s="57" t="s">
        <v>78</v>
      </c>
      <c r="G9" s="41"/>
    </row>
    <row r="10" spans="1:9">
      <c r="G10" s="41"/>
    </row>
    <row r="11" spans="1:9">
      <c r="G11" s="41"/>
    </row>
    <row r="12" spans="1:9">
      <c r="A12" s="52" t="s">
        <v>16</v>
      </c>
      <c r="B12" s="54" t="s">
        <v>73</v>
      </c>
      <c r="C12" s="54" t="s">
        <v>10</v>
      </c>
      <c r="D12" s="54" t="s">
        <v>18</v>
      </c>
      <c r="E12" s="54" t="s">
        <v>8</v>
      </c>
      <c r="F12" s="54" t="s">
        <v>128</v>
      </c>
      <c r="G12" s="54" t="s">
        <v>43</v>
      </c>
    </row>
    <row r="13" spans="1:9">
      <c r="A13" s="49" t="s">
        <v>81</v>
      </c>
      <c r="B13" s="80">
        <v>1</v>
      </c>
      <c r="C13" s="53">
        <v>0.35</v>
      </c>
      <c r="D13" s="53">
        <f>+SUM(C13:$C$13)</f>
        <v>0.35</v>
      </c>
      <c r="E13" s="53">
        <f>+E5</f>
        <v>3</v>
      </c>
      <c r="F13" s="53">
        <f>+E13*C13</f>
        <v>1.0499999999999998</v>
      </c>
      <c r="G13" s="43">
        <v>0</v>
      </c>
      <c r="H13" s="49" t="s">
        <v>79</v>
      </c>
    </row>
    <row r="14" spans="1:9">
      <c r="A14" s="49" t="s">
        <v>83</v>
      </c>
      <c r="B14" s="56" t="s">
        <v>5</v>
      </c>
      <c r="C14" s="56">
        <f>+SUM(C13:C13)</f>
        <v>0.35</v>
      </c>
      <c r="D14" s="56"/>
      <c r="E14" s="56"/>
      <c r="F14" s="61">
        <f>+SUM(F13:F13)</f>
        <v>1.0499999999999998</v>
      </c>
      <c r="G14" s="45"/>
    </row>
    <row r="15" spans="1:9">
      <c r="G15" s="41"/>
    </row>
    <row r="16" spans="1:9">
      <c r="G16" s="41"/>
    </row>
    <row r="17" spans="1:8">
      <c r="A17" s="52" t="s">
        <v>17</v>
      </c>
      <c r="B17" s="54" t="s">
        <v>73</v>
      </c>
      <c r="C17" s="54" t="s">
        <v>10</v>
      </c>
      <c r="D17" s="54" t="s">
        <v>18</v>
      </c>
      <c r="E17" s="54" t="s">
        <v>8</v>
      </c>
      <c r="F17" s="54" t="s">
        <v>128</v>
      </c>
      <c r="G17" s="54" t="s">
        <v>43</v>
      </c>
    </row>
    <row r="18" spans="1:8">
      <c r="A18" s="49" t="s">
        <v>81</v>
      </c>
      <c r="B18" s="80">
        <v>2</v>
      </c>
      <c r="C18" s="53">
        <v>0.21</v>
      </c>
      <c r="D18" s="53">
        <f>+SUM(C$18:$C18)</f>
        <v>0.21</v>
      </c>
      <c r="E18" s="53">
        <f>+E6</f>
        <v>5</v>
      </c>
      <c r="F18" s="53">
        <f>+E18*C18</f>
        <v>1.05</v>
      </c>
      <c r="G18" s="43">
        <v>0</v>
      </c>
      <c r="H18" s="49" t="s">
        <v>79</v>
      </c>
    </row>
    <row r="19" spans="1:8">
      <c r="A19" s="49" t="s">
        <v>82</v>
      </c>
      <c r="B19" s="56" t="s">
        <v>5</v>
      </c>
      <c r="C19" s="56">
        <f>+SUM(C18:C18)</f>
        <v>0.21</v>
      </c>
      <c r="D19" s="56"/>
      <c r="E19" s="56"/>
      <c r="F19" s="61">
        <f>+SUM(F18:F18)</f>
        <v>1.05</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32.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3" t="s">
        <v>102</v>
      </c>
      <c r="B1" s="123"/>
      <c r="C1" s="123"/>
      <c r="D1" s="123"/>
      <c r="E1" s="123"/>
    </row>
    <row r="2" spans="1:8">
      <c r="A2" s="59" t="s">
        <v>108</v>
      </c>
    </row>
    <row r="4" spans="1:8">
      <c r="A4" s="52" t="s">
        <v>62</v>
      </c>
      <c r="B4" s="54" t="s">
        <v>73</v>
      </c>
      <c r="C4" s="54" t="s">
        <v>10</v>
      </c>
      <c r="D4" s="54" t="s">
        <v>18</v>
      </c>
      <c r="E4" s="54" t="s">
        <v>8</v>
      </c>
      <c r="F4" s="54" t="s">
        <v>128</v>
      </c>
      <c r="G4" s="54" t="s">
        <v>43</v>
      </c>
    </row>
    <row r="5" spans="1:8">
      <c r="B5" s="80">
        <v>1</v>
      </c>
      <c r="C5" s="53">
        <v>0.52500000000000002</v>
      </c>
      <c r="D5" s="53">
        <f>+SUM(C5:$C$5)</f>
        <v>0.52500000000000002</v>
      </c>
      <c r="E5" s="53">
        <f>+Summary!B21</f>
        <v>2</v>
      </c>
      <c r="F5" s="53">
        <f>+E5*C5</f>
        <v>1.05</v>
      </c>
      <c r="G5" s="43">
        <v>0</v>
      </c>
      <c r="H5" s="49" t="s">
        <v>79</v>
      </c>
    </row>
    <row r="6" spans="1:8">
      <c r="B6" s="56" t="s">
        <v>5</v>
      </c>
      <c r="C6" s="56">
        <f>+SUM(C5:C5)</f>
        <v>0.52500000000000002</v>
      </c>
      <c r="D6" s="56"/>
      <c r="E6" s="56"/>
      <c r="F6" s="61">
        <f>+SUM(F5:F5)</f>
        <v>1.05</v>
      </c>
      <c r="G6" s="45"/>
    </row>
    <row r="7" spans="1:8">
      <c r="G7" s="41"/>
    </row>
    <row r="8" spans="1:8">
      <c r="G8" s="41"/>
    </row>
    <row r="9" spans="1:8">
      <c r="A9" s="52" t="s">
        <v>63</v>
      </c>
      <c r="B9" s="54" t="s">
        <v>73</v>
      </c>
      <c r="C9" s="54" t="s">
        <v>10</v>
      </c>
      <c r="D9" s="54" t="s">
        <v>18</v>
      </c>
      <c r="E9" s="54" t="s">
        <v>8</v>
      </c>
      <c r="F9" s="54" t="s">
        <v>128</v>
      </c>
      <c r="G9" s="54" t="s">
        <v>43</v>
      </c>
    </row>
    <row r="10" spans="1:8">
      <c r="B10" s="80">
        <v>1</v>
      </c>
      <c r="C10" s="53">
        <v>0.21</v>
      </c>
      <c r="D10" s="53">
        <f>1/6</f>
        <v>0.16666666666666666</v>
      </c>
      <c r="E10" s="53">
        <f>+Summary!E21</f>
        <v>5</v>
      </c>
      <c r="F10" s="53">
        <f>+E10*C10</f>
        <v>1.05</v>
      </c>
      <c r="G10" s="43">
        <v>0</v>
      </c>
      <c r="H10" s="49" t="s">
        <v>79</v>
      </c>
    </row>
    <row r="11" spans="1:8">
      <c r="B11" s="56" t="s">
        <v>5</v>
      </c>
      <c r="C11" s="56">
        <f>+SUM(C10:C10)</f>
        <v>0.21</v>
      </c>
      <c r="D11" s="56"/>
      <c r="E11" s="56"/>
      <c r="F11" s="61">
        <f>+SUM(F10:F10)</f>
        <v>1.05</v>
      </c>
      <c r="G11" s="45"/>
    </row>
    <row r="12" spans="1:8">
      <c r="G12" s="42"/>
    </row>
    <row r="13" spans="1:8">
      <c r="G13" s="42"/>
    </row>
    <row r="14" spans="1:8">
      <c r="A14" s="52" t="s">
        <v>64</v>
      </c>
      <c r="B14" s="54" t="s">
        <v>73</v>
      </c>
      <c r="C14" s="54" t="s">
        <v>10</v>
      </c>
      <c r="D14" s="54" t="s">
        <v>18</v>
      </c>
      <c r="E14" s="54" t="s">
        <v>8</v>
      </c>
      <c r="F14" s="54" t="s">
        <v>128</v>
      </c>
      <c r="G14" s="54" t="s">
        <v>43</v>
      </c>
    </row>
    <row r="15" spans="1:8">
      <c r="B15" s="80">
        <v>1</v>
      </c>
      <c r="C15" s="53">
        <v>0.13125000000000001</v>
      </c>
      <c r="D15" s="53">
        <f>+SUM(C$15:$C15)</f>
        <v>0.13125000000000001</v>
      </c>
      <c r="E15" s="53">
        <f>+Summary!H21</f>
        <v>8</v>
      </c>
      <c r="F15" s="53">
        <f>+E15*C15</f>
        <v>1.05</v>
      </c>
      <c r="G15" s="43">
        <v>0</v>
      </c>
      <c r="H15" s="49" t="s">
        <v>79</v>
      </c>
    </row>
    <row r="16" spans="1:8">
      <c r="B16" s="56" t="s">
        <v>5</v>
      </c>
      <c r="C16" s="56">
        <f>+SUM(C15:C15)</f>
        <v>0.13125000000000001</v>
      </c>
      <c r="D16" s="56"/>
      <c r="E16" s="56"/>
      <c r="F16" s="61">
        <f>+SUM(F15:F15)</f>
        <v>1.05</v>
      </c>
      <c r="G16" s="45"/>
    </row>
    <row r="17" spans="7:7">
      <c r="G17" s="42"/>
    </row>
    <row r="18" spans="7:7">
      <c r="G18" s="42"/>
    </row>
    <row r="19" spans="7:7">
      <c r="G19" s="42"/>
    </row>
    <row r="20" spans="7:7">
      <c r="G20" s="42"/>
    </row>
    <row r="21" spans="7:7">
      <c r="G21" s="42"/>
    </row>
    <row r="22" spans="7:7">
      <c r="G22" s="42"/>
    </row>
    <row r="23" spans="7:7">
      <c r="G23" s="42"/>
    </row>
    <row r="24" spans="7:7">
      <c r="G24" s="42"/>
    </row>
    <row r="25" spans="7:7">
      <c r="G25" s="42"/>
    </row>
    <row r="26" spans="7:7">
      <c r="G26" s="42"/>
    </row>
    <row r="27" spans="7:7">
      <c r="G27" s="42"/>
    </row>
    <row r="28" spans="7:7">
      <c r="G28" s="42"/>
    </row>
    <row r="29" spans="7:7">
      <c r="G29" s="42"/>
    </row>
    <row r="30" spans="7:7">
      <c r="G30" s="42"/>
    </row>
    <row r="31" spans="7:7">
      <c r="G31" s="42"/>
    </row>
    <row r="32" spans="7:7">
      <c r="G32" s="42"/>
    </row>
    <row r="33" spans="7:7">
      <c r="G33" s="42"/>
    </row>
    <row r="34" spans="7:7">
      <c r="G34" s="41"/>
    </row>
    <row r="35" spans="7:7">
      <c r="G35" s="41"/>
    </row>
    <row r="36" spans="7:7">
      <c r="G36" s="41"/>
    </row>
    <row r="37" spans="7:7">
      <c r="G37" s="41"/>
    </row>
    <row r="38" spans="7:7">
      <c r="G38" s="41"/>
    </row>
    <row r="39" spans="7:7">
      <c r="G39" s="41"/>
    </row>
    <row r="40" spans="7:7">
      <c r="G40" s="41"/>
    </row>
    <row r="41" spans="7:7">
      <c r="G41" s="41"/>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sheetData>
  <mergeCells count="1">
    <mergeCell ref="A1:E1"/>
  </mergeCells>
  <pageMargins left="0.7" right="0.7" top="0.75" bottom="0.75" header="0.3" footer="0.3"/>
  <pageSetup paperSize="9" orientation="portrait" horizontalDpi="200" verticalDpi="200" r:id="rId1"/>
</worksheet>
</file>

<file path=xl/worksheets/sheet33.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3" t="s">
        <v>103</v>
      </c>
      <c r="B1" s="123"/>
      <c r="C1" s="123"/>
      <c r="D1" s="123"/>
      <c r="E1" s="123"/>
    </row>
    <row r="2" spans="1:9">
      <c r="A2" s="59" t="s">
        <v>108</v>
      </c>
    </row>
    <row r="4" spans="1:9">
      <c r="A4" s="52" t="s">
        <v>9</v>
      </c>
      <c r="B4" s="54" t="s">
        <v>73</v>
      </c>
      <c r="C4" s="54" t="s">
        <v>10</v>
      </c>
      <c r="D4" s="54" t="s">
        <v>18</v>
      </c>
      <c r="E4" s="54" t="s">
        <v>8</v>
      </c>
      <c r="F4" s="54" t="s">
        <v>128</v>
      </c>
      <c r="G4" s="54" t="s">
        <v>43</v>
      </c>
    </row>
    <row r="5" spans="1:9">
      <c r="A5" s="49" t="s">
        <v>80</v>
      </c>
      <c r="B5" s="81">
        <v>1</v>
      </c>
      <c r="C5" s="120">
        <v>0.09</v>
      </c>
      <c r="D5" s="50">
        <f>+SUM($C$5:C5)</f>
        <v>0.09</v>
      </c>
      <c r="E5" s="50">
        <f>+Summary!B36</f>
        <v>7</v>
      </c>
      <c r="F5" s="50">
        <f>+C5*E5</f>
        <v>0.63</v>
      </c>
      <c r="G5" s="43"/>
    </row>
    <row r="6" spans="1:9">
      <c r="B6" s="81">
        <v>2</v>
      </c>
      <c r="C6" s="120">
        <v>0.01</v>
      </c>
      <c r="D6" s="50">
        <f>+SUM($C$5:C6)</f>
        <v>9.9999999999999992E-2</v>
      </c>
      <c r="E6" s="50">
        <f>+Summary!B37</f>
        <v>15</v>
      </c>
      <c r="F6" s="50">
        <f t="shared" ref="F6:F11" si="0">+C6*E6</f>
        <v>0.15</v>
      </c>
      <c r="G6" s="43"/>
    </row>
    <row r="7" spans="1:9">
      <c r="B7" s="81">
        <v>3</v>
      </c>
      <c r="C7" s="120">
        <v>3.0000000000000001E-3</v>
      </c>
      <c r="D7" s="50">
        <f>+SUM($C$5:C7)</f>
        <v>0.10299999999999999</v>
      </c>
      <c r="E7" s="50">
        <f>+Summary!B38</f>
        <v>20</v>
      </c>
      <c r="F7" s="50">
        <f t="shared" si="0"/>
        <v>0.06</v>
      </c>
      <c r="G7" s="43"/>
      <c r="I7" s="28"/>
    </row>
    <row r="8" spans="1:9">
      <c r="B8" s="81" t="s">
        <v>74</v>
      </c>
      <c r="C8" s="120">
        <v>0</v>
      </c>
      <c r="D8" s="50">
        <f>+SUM($C$5:C8)</f>
        <v>0.10299999999999999</v>
      </c>
      <c r="E8" s="50">
        <f>+E5+E6</f>
        <v>22</v>
      </c>
      <c r="F8" s="50">
        <f t="shared" si="0"/>
        <v>0</v>
      </c>
      <c r="G8" s="43"/>
      <c r="I8" s="83"/>
    </row>
    <row r="9" spans="1:9">
      <c r="B9" s="81" t="s">
        <v>75</v>
      </c>
      <c r="C9" s="120">
        <v>0</v>
      </c>
      <c r="D9" s="50">
        <f>+SUM($C$5:C9)</f>
        <v>0.10299999999999999</v>
      </c>
      <c r="E9" s="50">
        <f>+E5+E7</f>
        <v>27</v>
      </c>
      <c r="F9" s="50">
        <f t="shared" si="0"/>
        <v>0</v>
      </c>
      <c r="G9" s="43"/>
    </row>
    <row r="10" spans="1:9">
      <c r="B10" s="81" t="s">
        <v>76</v>
      </c>
      <c r="C10" s="120">
        <v>0</v>
      </c>
      <c r="D10" s="50">
        <f>+SUM($C$5:C10)</f>
        <v>0.10299999999999999</v>
      </c>
      <c r="E10" s="50">
        <f>+E6+E7</f>
        <v>35</v>
      </c>
      <c r="F10" s="50">
        <f t="shared" si="0"/>
        <v>0</v>
      </c>
      <c r="G10" s="43"/>
    </row>
    <row r="11" spans="1:9">
      <c r="B11" s="81" t="s">
        <v>77</v>
      </c>
      <c r="C11" s="120">
        <v>5.0000000000000001E-3</v>
      </c>
      <c r="D11" s="50">
        <f>+SUM($C$5:C11)</f>
        <v>0.108</v>
      </c>
      <c r="E11" s="50">
        <f>+E5+E6+E7</f>
        <v>42</v>
      </c>
      <c r="F11" s="50">
        <f t="shared" si="0"/>
        <v>0.21</v>
      </c>
      <c r="G11" s="43">
        <v>0</v>
      </c>
      <c r="H11" s="49" t="s">
        <v>79</v>
      </c>
    </row>
    <row r="12" spans="1:9">
      <c r="B12" s="56" t="s">
        <v>11</v>
      </c>
      <c r="C12" s="56">
        <f>+SUM(C5:C11)</f>
        <v>0.108</v>
      </c>
      <c r="D12" s="56"/>
      <c r="E12" s="56"/>
      <c r="F12" s="47">
        <f>+SUM(F5:F11)</f>
        <v>1.05</v>
      </c>
      <c r="G12" s="44"/>
    </row>
    <row r="13" spans="1:9">
      <c r="B13" s="57" t="s">
        <v>78</v>
      </c>
      <c r="D13" s="57"/>
      <c r="G13" s="41"/>
    </row>
    <row r="14" spans="1:9">
      <c r="G14" s="41"/>
    </row>
    <row r="15" spans="1:9">
      <c r="A15" s="52" t="s">
        <v>12</v>
      </c>
      <c r="B15" s="54" t="s">
        <v>73</v>
      </c>
      <c r="C15" s="54" t="s">
        <v>10</v>
      </c>
      <c r="D15" s="54" t="s">
        <v>18</v>
      </c>
      <c r="E15" s="54" t="s">
        <v>8</v>
      </c>
      <c r="F15" s="54" t="s">
        <v>128</v>
      </c>
      <c r="G15" s="54" t="s">
        <v>43</v>
      </c>
    </row>
    <row r="16" spans="1:9">
      <c r="A16" s="49" t="s">
        <v>81</v>
      </c>
      <c r="B16" s="80">
        <v>2</v>
      </c>
      <c r="C16" s="53">
        <v>5.0999999999999997E-2</v>
      </c>
      <c r="D16" s="53">
        <f>+SUM(C16:$C$16)</f>
        <v>5.0999999999999997E-2</v>
      </c>
      <c r="E16" s="53">
        <f>+E6</f>
        <v>15</v>
      </c>
      <c r="F16" s="53">
        <f>+C16*E16</f>
        <v>0.7649999999999999</v>
      </c>
      <c r="G16" s="43"/>
    </row>
    <row r="17" spans="1:9">
      <c r="A17" s="49" t="s">
        <v>82</v>
      </c>
      <c r="B17" s="80">
        <v>3</v>
      </c>
      <c r="C17" s="53">
        <v>5.4999999999999997E-3</v>
      </c>
      <c r="D17" s="53">
        <f>+SUM(C$16:$C17)</f>
        <v>5.6499999999999995E-2</v>
      </c>
      <c r="E17" s="53">
        <f>+E7</f>
        <v>20</v>
      </c>
      <c r="F17" s="53">
        <f t="shared" ref="F17:F18" si="1">+C17*E17</f>
        <v>0.10999999999999999</v>
      </c>
      <c r="G17" s="43"/>
      <c r="I17" s="82"/>
    </row>
    <row r="18" spans="1:9">
      <c r="B18" s="80" t="s">
        <v>76</v>
      </c>
      <c r="C18" s="53">
        <v>5.0000000000000001E-3</v>
      </c>
      <c r="D18" s="53">
        <f>+SUM(C$16:$C18)</f>
        <v>6.1499999999999992E-2</v>
      </c>
      <c r="E18" s="53">
        <f>+E16+E17</f>
        <v>35</v>
      </c>
      <c r="F18" s="53">
        <f t="shared" si="1"/>
        <v>0.17500000000000002</v>
      </c>
      <c r="G18" s="43">
        <v>0</v>
      </c>
      <c r="H18" s="49" t="s">
        <v>79</v>
      </c>
    </row>
    <row r="19" spans="1:9">
      <c r="B19" s="56" t="s">
        <v>5</v>
      </c>
      <c r="C19" s="56">
        <f>+SUM(C16:C18)</f>
        <v>6.1499999999999992E-2</v>
      </c>
      <c r="D19" s="56"/>
      <c r="E19" s="56"/>
      <c r="F19" s="61">
        <f>+SUM(F16:F18)</f>
        <v>1.0499999999999998</v>
      </c>
      <c r="G19" s="45"/>
    </row>
    <row r="20" spans="1:9">
      <c r="B20" s="60"/>
      <c r="C20" s="60"/>
      <c r="D20" s="60"/>
      <c r="E20" s="60"/>
      <c r="F20" s="55"/>
      <c r="G20" s="46"/>
    </row>
    <row r="21" spans="1:9">
      <c r="B21" s="60"/>
      <c r="C21" s="60"/>
      <c r="D21" s="60"/>
      <c r="E21" s="60"/>
      <c r="F21" s="55"/>
      <c r="G21" s="46"/>
    </row>
    <row r="22" spans="1:9">
      <c r="A22" s="52" t="s">
        <v>13</v>
      </c>
      <c r="B22" s="54" t="s">
        <v>73</v>
      </c>
      <c r="C22" s="54" t="s">
        <v>10</v>
      </c>
      <c r="D22" s="54" t="s">
        <v>18</v>
      </c>
      <c r="E22" s="54" t="s">
        <v>8</v>
      </c>
      <c r="F22" s="54" t="s">
        <v>128</v>
      </c>
      <c r="G22" s="54" t="s">
        <v>43</v>
      </c>
    </row>
    <row r="23" spans="1:9">
      <c r="A23" s="49" t="s">
        <v>81</v>
      </c>
      <c r="B23" s="80">
        <v>1</v>
      </c>
      <c r="C23" s="53">
        <v>0.08</v>
      </c>
      <c r="D23" s="53">
        <f>+SUM(C23:$C$23)</f>
        <v>0.08</v>
      </c>
      <c r="E23" s="53">
        <f>+E5</f>
        <v>7</v>
      </c>
      <c r="F23" s="53">
        <f>+C23*E23</f>
        <v>0.56000000000000005</v>
      </c>
      <c r="G23" s="43"/>
    </row>
    <row r="24" spans="1:9">
      <c r="A24" s="49" t="s">
        <v>83</v>
      </c>
      <c r="B24" s="80">
        <v>3</v>
      </c>
      <c r="C24" s="53">
        <v>1.0999999999999999E-2</v>
      </c>
      <c r="D24" s="53">
        <f>+SUM(C$23:$C24)</f>
        <v>9.0999999999999998E-2</v>
      </c>
      <c r="E24" s="53">
        <f>+E7</f>
        <v>20</v>
      </c>
      <c r="F24" s="53">
        <f t="shared" ref="F24:F25" si="2">+C24*E24</f>
        <v>0.21999999999999997</v>
      </c>
      <c r="G24" s="43"/>
    </row>
    <row r="25" spans="1:9">
      <c r="B25" s="80" t="s">
        <v>75</v>
      </c>
      <c r="C25" s="53">
        <v>0.01</v>
      </c>
      <c r="D25" s="53">
        <f>+SUM(C$23:$C25)</f>
        <v>0.10099999999999999</v>
      </c>
      <c r="E25" s="53">
        <f>+E23+E24</f>
        <v>27</v>
      </c>
      <c r="F25" s="53">
        <f t="shared" si="2"/>
        <v>0.27</v>
      </c>
      <c r="G25" s="43">
        <v>0</v>
      </c>
      <c r="H25" s="49" t="s">
        <v>79</v>
      </c>
    </row>
    <row r="26" spans="1:9">
      <c r="B26" s="56" t="s">
        <v>5</v>
      </c>
      <c r="C26" s="56">
        <f>+SUM(C23:C25)</f>
        <v>0.10099999999999999</v>
      </c>
      <c r="D26" s="56"/>
      <c r="E26" s="56"/>
      <c r="F26" s="61">
        <f>+SUM(F23:F25)</f>
        <v>1.05</v>
      </c>
      <c r="G26" s="45"/>
    </row>
    <row r="27" spans="1:9">
      <c r="B27" s="60"/>
      <c r="C27" s="60"/>
      <c r="D27" s="60"/>
      <c r="E27" s="60"/>
      <c r="F27" s="55"/>
      <c r="G27" s="46"/>
    </row>
    <row r="28" spans="1:9">
      <c r="G28" s="41"/>
    </row>
    <row r="29" spans="1:9">
      <c r="A29" s="52" t="s">
        <v>14</v>
      </c>
      <c r="B29" s="54" t="s">
        <v>73</v>
      </c>
      <c r="C29" s="54" t="s">
        <v>10</v>
      </c>
      <c r="D29" s="54" t="s">
        <v>18</v>
      </c>
      <c r="E29" s="54" t="s">
        <v>8</v>
      </c>
      <c r="F29" s="54" t="s">
        <v>128</v>
      </c>
      <c r="G29" s="54" t="s">
        <v>43</v>
      </c>
    </row>
    <row r="30" spans="1:9">
      <c r="A30" s="49" t="s">
        <v>81</v>
      </c>
      <c r="B30" s="80">
        <v>3</v>
      </c>
      <c r="C30" s="53">
        <v>5.2499999999999998E-2</v>
      </c>
      <c r="D30" s="53">
        <f>+SUM(C30:$C$30)</f>
        <v>5.2499999999999998E-2</v>
      </c>
      <c r="E30" s="53">
        <f>+E7</f>
        <v>20</v>
      </c>
      <c r="F30" s="53">
        <f>+C30*E30</f>
        <v>1.05</v>
      </c>
      <c r="G30" s="43">
        <v>0</v>
      </c>
      <c r="H30" s="49" t="s">
        <v>79</v>
      </c>
    </row>
    <row r="31" spans="1:9">
      <c r="A31" s="49" t="s">
        <v>82</v>
      </c>
      <c r="B31" s="56" t="s">
        <v>5</v>
      </c>
      <c r="C31" s="56">
        <f>+SUM(C30:C30)</f>
        <v>5.2499999999999998E-2</v>
      </c>
      <c r="D31" s="56"/>
      <c r="E31" s="56"/>
      <c r="F31" s="61">
        <f>+SUM(F30:F30)</f>
        <v>1.05</v>
      </c>
      <c r="G31" s="45"/>
    </row>
    <row r="32" spans="1:9">
      <c r="A32" s="49" t="s">
        <v>83</v>
      </c>
      <c r="G32" s="41"/>
    </row>
    <row r="33" spans="1:8">
      <c r="G33" s="41"/>
    </row>
    <row r="34" spans="1:8">
      <c r="A34" s="52" t="s">
        <v>15</v>
      </c>
      <c r="B34" s="54" t="s">
        <v>73</v>
      </c>
      <c r="C34" s="54" t="s">
        <v>10</v>
      </c>
      <c r="D34" s="54" t="s">
        <v>18</v>
      </c>
      <c r="E34" s="54" t="s">
        <v>8</v>
      </c>
      <c r="F34" s="54" t="s">
        <v>128</v>
      </c>
      <c r="G34" s="54" t="s">
        <v>43</v>
      </c>
    </row>
    <row r="35" spans="1:8">
      <c r="A35" s="49" t="s">
        <v>81</v>
      </c>
      <c r="B35" s="80">
        <v>1</v>
      </c>
      <c r="C35" s="53">
        <v>0.03</v>
      </c>
      <c r="D35" s="53">
        <f>+SUM(C35:$C$35)</f>
        <v>0.03</v>
      </c>
      <c r="E35" s="53">
        <f>+E5</f>
        <v>7</v>
      </c>
      <c r="F35" s="53">
        <f>+C35*E35</f>
        <v>0.21</v>
      </c>
      <c r="G35" s="43"/>
    </row>
    <row r="36" spans="1:8">
      <c r="A36" s="49" t="s">
        <v>84</v>
      </c>
      <c r="B36" s="80">
        <v>2</v>
      </c>
      <c r="C36" s="53">
        <v>1.2E-2</v>
      </c>
      <c r="D36" s="53">
        <f>+SUM(C$35:$C36)</f>
        <v>4.1999999999999996E-2</v>
      </c>
      <c r="E36" s="53">
        <f>+E6</f>
        <v>15</v>
      </c>
      <c r="F36" s="53">
        <f t="shared" ref="F36:F37" si="3">+C36*E36</f>
        <v>0.18</v>
      </c>
      <c r="G36" s="43"/>
    </row>
    <row r="37" spans="1:8">
      <c r="B37" s="80" t="s">
        <v>74</v>
      </c>
      <c r="C37" s="53">
        <v>0.03</v>
      </c>
      <c r="D37" s="53">
        <f>+SUM(C$35:$C37)</f>
        <v>7.1999999999999995E-2</v>
      </c>
      <c r="E37" s="53">
        <f>+E35+E36</f>
        <v>22</v>
      </c>
      <c r="F37" s="53">
        <f t="shared" si="3"/>
        <v>0.65999999999999992</v>
      </c>
      <c r="G37" s="43">
        <v>0</v>
      </c>
      <c r="H37" s="49" t="s">
        <v>79</v>
      </c>
    </row>
    <row r="38" spans="1:8">
      <c r="A38" s="58"/>
      <c r="B38" s="56" t="s">
        <v>5</v>
      </c>
      <c r="C38" s="56">
        <f>+SUM(C35:C37)</f>
        <v>7.1999999999999995E-2</v>
      </c>
      <c r="D38" s="56"/>
      <c r="E38" s="56"/>
      <c r="F38" s="61">
        <f>+SUM(F35:F37)</f>
        <v>1.0499999999999998</v>
      </c>
      <c r="G38" s="45"/>
    </row>
    <row r="39" spans="1:8">
      <c r="A39" s="58"/>
      <c r="G39" s="41"/>
    </row>
    <row r="40" spans="1:8">
      <c r="G40" s="41"/>
    </row>
    <row r="41" spans="1:8">
      <c r="A41" s="52" t="s">
        <v>16</v>
      </c>
      <c r="B41" s="54" t="s">
        <v>73</v>
      </c>
      <c r="C41" s="54" t="s">
        <v>10</v>
      </c>
      <c r="D41" s="54" t="s">
        <v>18</v>
      </c>
      <c r="E41" s="54" t="s">
        <v>8</v>
      </c>
      <c r="F41" s="54" t="s">
        <v>128</v>
      </c>
      <c r="G41" s="54" t="s">
        <v>43</v>
      </c>
    </row>
    <row r="42" spans="1:8">
      <c r="A42" s="49" t="s">
        <v>81</v>
      </c>
      <c r="B42" s="80">
        <v>1</v>
      </c>
      <c r="C42" s="53">
        <v>0.15</v>
      </c>
      <c r="D42" s="53">
        <f>+SUM(C42:$C$42)</f>
        <v>0.15</v>
      </c>
      <c r="E42" s="53">
        <f>+E5</f>
        <v>7</v>
      </c>
      <c r="F42" s="53">
        <f>+E42*C42</f>
        <v>1.05</v>
      </c>
      <c r="G42" s="43">
        <v>0</v>
      </c>
      <c r="H42" s="49" t="s">
        <v>79</v>
      </c>
    </row>
    <row r="43" spans="1:8">
      <c r="A43" s="49" t="s">
        <v>83</v>
      </c>
      <c r="B43" s="56" t="s">
        <v>5</v>
      </c>
      <c r="C43" s="56">
        <f>+SUM(C42:C42)</f>
        <v>0.15</v>
      </c>
      <c r="D43" s="56"/>
      <c r="E43" s="56"/>
      <c r="F43" s="61">
        <f>+SUM(F42:F42)</f>
        <v>1.05</v>
      </c>
      <c r="G43" s="45"/>
    </row>
    <row r="44" spans="1:8">
      <c r="A44" s="49" t="s">
        <v>84</v>
      </c>
      <c r="G44" s="41"/>
    </row>
    <row r="45" spans="1:8">
      <c r="G45" s="41"/>
    </row>
    <row r="46" spans="1:8">
      <c r="A46" s="52" t="s">
        <v>17</v>
      </c>
      <c r="B46" s="54" t="s">
        <v>73</v>
      </c>
      <c r="C46" s="54" t="s">
        <v>10</v>
      </c>
      <c r="D46" s="54" t="s">
        <v>18</v>
      </c>
      <c r="E46" s="54" t="s">
        <v>8</v>
      </c>
      <c r="F46" s="54" t="s">
        <v>128</v>
      </c>
      <c r="G46" s="54" t="s">
        <v>43</v>
      </c>
    </row>
    <row r="47" spans="1:8">
      <c r="A47" s="49" t="s">
        <v>81</v>
      </c>
      <c r="B47" s="80">
        <v>2</v>
      </c>
      <c r="C47" s="53">
        <v>7.0000000000000007E-2</v>
      </c>
      <c r="D47" s="53">
        <f>+SUM(C$47:$C47)</f>
        <v>7.0000000000000007E-2</v>
      </c>
      <c r="E47" s="53">
        <f>+E6</f>
        <v>15</v>
      </c>
      <c r="F47" s="53">
        <f>+E47*C47</f>
        <v>1.05</v>
      </c>
      <c r="G47" s="43">
        <v>0</v>
      </c>
      <c r="H47" s="49" t="s">
        <v>79</v>
      </c>
    </row>
    <row r="48" spans="1:8">
      <c r="A48" s="49" t="s">
        <v>82</v>
      </c>
      <c r="B48" s="56" t="s">
        <v>5</v>
      </c>
      <c r="C48" s="56">
        <f>+SUM(C47:C47)</f>
        <v>7.0000000000000007E-2</v>
      </c>
      <c r="D48" s="56"/>
      <c r="E48" s="56"/>
      <c r="F48" s="61">
        <f>+SUM(F47:F47)</f>
        <v>1.05</v>
      </c>
      <c r="G48" s="45"/>
    </row>
    <row r="49" spans="1:7">
      <c r="A49" s="49" t="s">
        <v>84</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34.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3" t="s">
        <v>88</v>
      </c>
      <c r="B1" s="123"/>
      <c r="C1" s="123"/>
      <c r="D1" s="123"/>
      <c r="E1" s="123"/>
    </row>
    <row r="2" spans="1:9">
      <c r="A2" s="59" t="s">
        <v>108</v>
      </c>
    </row>
    <row r="4" spans="1:9">
      <c r="A4" s="52" t="s">
        <v>9</v>
      </c>
      <c r="B4" s="54" t="s">
        <v>73</v>
      </c>
      <c r="C4" s="54" t="s">
        <v>10</v>
      </c>
      <c r="D4" s="54" t="s">
        <v>18</v>
      </c>
      <c r="E4" s="54" t="s">
        <v>8</v>
      </c>
      <c r="F4" s="54" t="s">
        <v>128</v>
      </c>
      <c r="G4" s="54" t="s">
        <v>43</v>
      </c>
    </row>
    <row r="5" spans="1:9">
      <c r="A5" s="49" t="s">
        <v>80</v>
      </c>
      <c r="B5" s="81">
        <v>1</v>
      </c>
      <c r="C5" s="38">
        <v>0.13</v>
      </c>
      <c r="D5" s="50">
        <f>+SUM($C$5:C5)</f>
        <v>0.13</v>
      </c>
      <c r="E5" s="50">
        <f>+Summary!E27</f>
        <v>5</v>
      </c>
      <c r="F5" s="50">
        <f>+C5*E5</f>
        <v>0.65</v>
      </c>
      <c r="G5" s="43"/>
    </row>
    <row r="6" spans="1:9">
      <c r="B6" s="81">
        <v>2</v>
      </c>
      <c r="C6" s="38">
        <v>0.01</v>
      </c>
      <c r="D6" s="50">
        <f>+SUM($C$5:C6)</f>
        <v>0.14000000000000001</v>
      </c>
      <c r="E6" s="50">
        <f>+Summary!E28</f>
        <v>10</v>
      </c>
      <c r="F6" s="50">
        <f t="shared" ref="F6:F7" si="0">+C6*E6</f>
        <v>0.1</v>
      </c>
      <c r="G6" s="43"/>
    </row>
    <row r="7" spans="1:9">
      <c r="B7" s="81" t="s">
        <v>74</v>
      </c>
      <c r="C7" s="38">
        <v>0.01</v>
      </c>
      <c r="D7" s="50">
        <f>+SUM($C$5:C7)</f>
        <v>0.15000000000000002</v>
      </c>
      <c r="E7" s="50">
        <f>+E5+E6</f>
        <v>15</v>
      </c>
      <c r="F7" s="50">
        <f t="shared" si="0"/>
        <v>0.15</v>
      </c>
      <c r="G7" s="43">
        <v>0</v>
      </c>
      <c r="H7" s="49" t="s">
        <v>79</v>
      </c>
      <c r="I7" s="83"/>
    </row>
    <row r="8" spans="1:9">
      <c r="B8" s="56" t="s">
        <v>11</v>
      </c>
      <c r="C8" s="56">
        <f>+SUM(C5:C7)</f>
        <v>0.15000000000000002</v>
      </c>
      <c r="D8" s="56"/>
      <c r="E8" s="56"/>
      <c r="F8" s="47">
        <f>+SUM(F5:F7)</f>
        <v>0.9</v>
      </c>
      <c r="G8" s="44"/>
    </row>
    <row r="9" spans="1:9">
      <c r="B9" s="57" t="s">
        <v>78</v>
      </c>
      <c r="G9" s="41"/>
    </row>
    <row r="10" spans="1:9">
      <c r="G10" s="41"/>
    </row>
    <row r="11" spans="1:9">
      <c r="G11" s="41"/>
    </row>
    <row r="12" spans="1:9">
      <c r="A12" s="52" t="s">
        <v>16</v>
      </c>
      <c r="B12" s="54" t="s">
        <v>73</v>
      </c>
      <c r="C12" s="54" t="s">
        <v>10</v>
      </c>
      <c r="D12" s="54" t="s">
        <v>18</v>
      </c>
      <c r="E12" s="54" t="s">
        <v>8</v>
      </c>
      <c r="F12" s="54" t="s">
        <v>128</v>
      </c>
      <c r="G12" s="54" t="s">
        <v>43</v>
      </c>
    </row>
    <row r="13" spans="1:9">
      <c r="A13" s="49" t="s">
        <v>81</v>
      </c>
      <c r="B13" s="80">
        <v>1</v>
      </c>
      <c r="C13" s="53">
        <v>0.18</v>
      </c>
      <c r="D13" s="53">
        <f>+SUM(C13:$C$13)</f>
        <v>0.18</v>
      </c>
      <c r="E13" s="53">
        <f>+E5</f>
        <v>5</v>
      </c>
      <c r="F13" s="53">
        <f>+E13*C13</f>
        <v>0.89999999999999991</v>
      </c>
      <c r="G13" s="43">
        <v>0</v>
      </c>
      <c r="H13" s="49" t="s">
        <v>79</v>
      </c>
    </row>
    <row r="14" spans="1:9">
      <c r="A14" s="49" t="s">
        <v>83</v>
      </c>
      <c r="B14" s="56" t="s">
        <v>5</v>
      </c>
      <c r="C14" s="56">
        <f>+SUM(C13:C13)</f>
        <v>0.18</v>
      </c>
      <c r="D14" s="56"/>
      <c r="E14" s="56"/>
      <c r="F14" s="61">
        <f>+SUM(F13:F13)</f>
        <v>0.89999999999999991</v>
      </c>
      <c r="G14" s="45"/>
    </row>
    <row r="15" spans="1:9">
      <c r="G15" s="41"/>
    </row>
    <row r="16" spans="1:9">
      <c r="G16" s="41"/>
    </row>
    <row r="17" spans="1:8">
      <c r="A17" s="52" t="s">
        <v>17</v>
      </c>
      <c r="B17" s="54" t="s">
        <v>73</v>
      </c>
      <c r="C17" s="54" t="s">
        <v>10</v>
      </c>
      <c r="D17" s="54" t="s">
        <v>18</v>
      </c>
      <c r="E17" s="54" t="s">
        <v>8</v>
      </c>
      <c r="F17" s="54" t="s">
        <v>128</v>
      </c>
      <c r="G17" s="54" t="s">
        <v>43</v>
      </c>
    </row>
    <row r="18" spans="1:8">
      <c r="A18" s="49" t="s">
        <v>81</v>
      </c>
      <c r="B18" s="80">
        <v>2</v>
      </c>
      <c r="C18" s="53">
        <v>0.09</v>
      </c>
      <c r="D18" s="53">
        <f>+SUM(C$18:$C18)</f>
        <v>0.09</v>
      </c>
      <c r="E18" s="53">
        <f>+E6</f>
        <v>10</v>
      </c>
      <c r="F18" s="53">
        <f>+E18*C18</f>
        <v>0.89999999999999991</v>
      </c>
      <c r="G18" s="43">
        <v>0</v>
      </c>
      <c r="H18" s="49" t="s">
        <v>79</v>
      </c>
    </row>
    <row r="19" spans="1:8">
      <c r="A19" s="49" t="s">
        <v>82</v>
      </c>
      <c r="B19" s="56" t="s">
        <v>5</v>
      </c>
      <c r="C19" s="56">
        <f>+SUM(C18:C18)</f>
        <v>0.09</v>
      </c>
      <c r="D19" s="56"/>
      <c r="E19" s="56"/>
      <c r="F19" s="61">
        <f>+SUM(F18:F18)</f>
        <v>0.89999999999999991</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35.xml><?xml version="1.0" encoding="utf-8"?>
<worksheet xmlns="http://schemas.openxmlformats.org/spreadsheetml/2006/main" xmlns:r="http://schemas.openxmlformats.org/officeDocument/2006/relationships">
  <sheetPr codeName="Hoja16"/>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3" t="s">
        <v>92</v>
      </c>
      <c r="B1" s="123"/>
      <c r="C1" s="123"/>
      <c r="D1" s="123"/>
      <c r="E1" s="123"/>
    </row>
    <row r="2" spans="1:8">
      <c r="A2" s="59" t="s">
        <v>108</v>
      </c>
    </row>
    <row r="4" spans="1:8">
      <c r="A4" s="52" t="s">
        <v>9</v>
      </c>
      <c r="B4" s="54" t="s">
        <v>73</v>
      </c>
      <c r="C4" s="54" t="s">
        <v>10</v>
      </c>
      <c r="D4" s="54" t="s">
        <v>18</v>
      </c>
      <c r="E4" s="54" t="s">
        <v>8</v>
      </c>
      <c r="F4" s="54" t="s">
        <v>128</v>
      </c>
      <c r="G4" s="54" t="s">
        <v>43</v>
      </c>
    </row>
    <row r="5" spans="1:8">
      <c r="A5" s="49" t="s">
        <v>80</v>
      </c>
      <c r="B5" s="81">
        <v>1</v>
      </c>
      <c r="C5" s="50">
        <v>0.1</v>
      </c>
      <c r="D5" s="50">
        <f>+SUM($C$5:C5)</f>
        <v>0.1</v>
      </c>
      <c r="E5" s="50">
        <f>+Summary!H27</f>
        <v>5</v>
      </c>
      <c r="F5" s="50">
        <f>+C5*E5</f>
        <v>0.5</v>
      </c>
      <c r="G5" s="43"/>
    </row>
    <row r="6" spans="1:8">
      <c r="B6" s="81">
        <v>2</v>
      </c>
      <c r="C6" s="50">
        <v>2.1999999999999999E-2</v>
      </c>
      <c r="D6" s="50">
        <f>+SUM($C$5:C6)</f>
        <v>0.122</v>
      </c>
      <c r="E6" s="50">
        <f>+Summary!H28</f>
        <v>10</v>
      </c>
      <c r="F6" s="50">
        <f t="shared" ref="F6:F11" si="0">+C6*E6</f>
        <v>0.21999999999999997</v>
      </c>
      <c r="G6" s="43"/>
    </row>
    <row r="7" spans="1:8">
      <c r="B7" s="81">
        <v>3</v>
      </c>
      <c r="C7" s="50">
        <v>0.01</v>
      </c>
      <c r="D7" s="50">
        <f>+SUM($C$5:C7)</f>
        <v>0.13200000000000001</v>
      </c>
      <c r="E7" s="50">
        <f>+Summary!H29</f>
        <v>15</v>
      </c>
      <c r="F7" s="50">
        <f t="shared" si="0"/>
        <v>0.15</v>
      </c>
      <c r="G7" s="43"/>
    </row>
    <row r="8" spans="1:8">
      <c r="B8" s="81" t="s">
        <v>74</v>
      </c>
      <c r="C8" s="50">
        <v>0</v>
      </c>
      <c r="D8" s="50">
        <f>+SUM($C$5:C8)</f>
        <v>0.13200000000000001</v>
      </c>
      <c r="E8" s="50">
        <f>+E5+E6</f>
        <v>15</v>
      </c>
      <c r="F8" s="50">
        <f t="shared" si="0"/>
        <v>0</v>
      </c>
      <c r="G8" s="43"/>
    </row>
    <row r="9" spans="1:8">
      <c r="B9" s="81" t="s">
        <v>75</v>
      </c>
      <c r="C9" s="50">
        <v>0</v>
      </c>
      <c r="D9" s="50">
        <f>+SUM($C$5:C9)</f>
        <v>0.13200000000000001</v>
      </c>
      <c r="E9" s="50">
        <f>+E5+E7</f>
        <v>20</v>
      </c>
      <c r="F9" s="50">
        <f t="shared" si="0"/>
        <v>0</v>
      </c>
      <c r="G9" s="43"/>
    </row>
    <row r="10" spans="1:8">
      <c r="B10" s="81" t="s">
        <v>76</v>
      </c>
      <c r="C10" s="50">
        <v>0</v>
      </c>
      <c r="D10" s="50">
        <f>+SUM($C$5:C10)</f>
        <v>0.13200000000000001</v>
      </c>
      <c r="E10" s="50">
        <f>+E6+E7</f>
        <v>25</v>
      </c>
      <c r="F10" s="50">
        <f t="shared" si="0"/>
        <v>0</v>
      </c>
      <c r="G10" s="43"/>
    </row>
    <row r="11" spans="1:8">
      <c r="B11" s="81" t="s">
        <v>77</v>
      </c>
      <c r="C11" s="50">
        <v>1E-3</v>
      </c>
      <c r="D11" s="50">
        <f>+SUM($C$5:C11)</f>
        <v>0.13300000000000001</v>
      </c>
      <c r="E11" s="50">
        <f>+E5+E6+E7</f>
        <v>30</v>
      </c>
      <c r="F11" s="50">
        <f t="shared" si="0"/>
        <v>0.03</v>
      </c>
      <c r="G11" s="43">
        <v>0</v>
      </c>
      <c r="H11" s="49" t="s">
        <v>79</v>
      </c>
    </row>
    <row r="12" spans="1:8">
      <c r="B12" s="56" t="s">
        <v>11</v>
      </c>
      <c r="C12" s="56">
        <f>+SUM(C5:C11)</f>
        <v>0.13300000000000001</v>
      </c>
      <c r="D12" s="56"/>
      <c r="E12" s="56"/>
      <c r="F12" s="63">
        <f>+SUM(F5:F11)</f>
        <v>0.9</v>
      </c>
      <c r="G12" s="44"/>
    </row>
    <row r="13" spans="1:8">
      <c r="B13" s="57" t="s">
        <v>78</v>
      </c>
      <c r="G13" s="41"/>
    </row>
    <row r="14" spans="1:8">
      <c r="G14" s="41"/>
    </row>
    <row r="15" spans="1:8">
      <c r="A15" s="52" t="s">
        <v>12</v>
      </c>
      <c r="B15" s="54" t="s">
        <v>73</v>
      </c>
      <c r="C15" s="54" t="s">
        <v>10</v>
      </c>
      <c r="D15" s="54" t="s">
        <v>18</v>
      </c>
      <c r="E15" s="54" t="s">
        <v>8</v>
      </c>
      <c r="F15" s="54" t="s">
        <v>128</v>
      </c>
      <c r="G15" s="54" t="s">
        <v>43</v>
      </c>
    </row>
    <row r="16" spans="1:8">
      <c r="A16" s="49" t="s">
        <v>81</v>
      </c>
      <c r="B16" s="80">
        <v>2</v>
      </c>
      <c r="C16" s="53">
        <v>8.7499999999999994E-2</v>
      </c>
      <c r="D16" s="53">
        <f>+SUM(C16:$C$16)</f>
        <v>8.7499999999999994E-2</v>
      </c>
      <c r="E16" s="53">
        <f>+E6</f>
        <v>10</v>
      </c>
      <c r="F16" s="53">
        <f>+C16*E16</f>
        <v>0.875</v>
      </c>
      <c r="G16" s="43"/>
    </row>
    <row r="17" spans="1:10">
      <c r="A17" s="49" t="s">
        <v>82</v>
      </c>
      <c r="B17" s="80">
        <v>3</v>
      </c>
      <c r="C17" s="53">
        <v>0</v>
      </c>
      <c r="D17" s="53">
        <f>+SUM(C$16:$C17)</f>
        <v>8.7499999999999994E-2</v>
      </c>
      <c r="E17" s="53">
        <f>+E7</f>
        <v>15</v>
      </c>
      <c r="F17" s="53">
        <f t="shared" ref="F17:F18" si="1">+C17*E17</f>
        <v>0</v>
      </c>
      <c r="G17" s="43"/>
    </row>
    <row r="18" spans="1:10">
      <c r="B18" s="80" t="s">
        <v>76</v>
      </c>
      <c r="C18" s="53">
        <v>1E-3</v>
      </c>
      <c r="D18" s="53">
        <f>+SUM(C$16:$C18)</f>
        <v>8.8499999999999995E-2</v>
      </c>
      <c r="E18" s="53">
        <f>+E16+E17</f>
        <v>25</v>
      </c>
      <c r="F18" s="53">
        <f t="shared" si="1"/>
        <v>2.5000000000000001E-2</v>
      </c>
      <c r="G18" s="43">
        <v>0</v>
      </c>
      <c r="H18" s="49" t="s">
        <v>79</v>
      </c>
    </row>
    <row r="19" spans="1:10">
      <c r="B19" s="56" t="s">
        <v>5</v>
      </c>
      <c r="C19" s="56">
        <f>+SUM(C16:C18)</f>
        <v>8.8499999999999995E-2</v>
      </c>
      <c r="D19" s="56"/>
      <c r="E19" s="56"/>
      <c r="F19" s="61">
        <f>+SUM(F16:F18)</f>
        <v>0.9</v>
      </c>
      <c r="G19" s="45"/>
    </row>
    <row r="20" spans="1:10">
      <c r="B20" s="60"/>
      <c r="C20" s="60"/>
      <c r="D20" s="60"/>
      <c r="E20" s="60"/>
      <c r="F20" s="55"/>
      <c r="G20" s="46"/>
    </row>
    <row r="21" spans="1:10">
      <c r="B21" s="60"/>
      <c r="C21" s="60"/>
      <c r="D21" s="60"/>
      <c r="E21" s="60"/>
      <c r="F21" s="55"/>
      <c r="G21" s="46"/>
    </row>
    <row r="22" spans="1:10">
      <c r="A22" s="52" t="s">
        <v>13</v>
      </c>
      <c r="B22" s="54" t="s">
        <v>73</v>
      </c>
      <c r="C22" s="54" t="s">
        <v>10</v>
      </c>
      <c r="D22" s="54" t="s">
        <v>18</v>
      </c>
      <c r="E22" s="54" t="s">
        <v>8</v>
      </c>
      <c r="F22" s="54" t="s">
        <v>128</v>
      </c>
      <c r="G22" s="54" t="s">
        <v>43</v>
      </c>
    </row>
    <row r="23" spans="1:10">
      <c r="A23" s="49" t="s">
        <v>81</v>
      </c>
      <c r="B23" s="80">
        <v>1</v>
      </c>
      <c r="C23" s="53">
        <v>0.11</v>
      </c>
      <c r="D23" s="53">
        <f>+SUM(C23:$C$23)</f>
        <v>0.11</v>
      </c>
      <c r="E23" s="53">
        <f>+E5</f>
        <v>5</v>
      </c>
      <c r="F23" s="53">
        <f>+C23*E23</f>
        <v>0.55000000000000004</v>
      </c>
      <c r="G23" s="43"/>
    </row>
    <row r="24" spans="1:10">
      <c r="A24" s="49" t="s">
        <v>83</v>
      </c>
      <c r="B24" s="80">
        <v>3</v>
      </c>
      <c r="C24" s="53">
        <v>0.01</v>
      </c>
      <c r="D24" s="53">
        <f>+SUM(C$23:$C24)</f>
        <v>0.12</v>
      </c>
      <c r="E24" s="53">
        <f>+E7</f>
        <v>15</v>
      </c>
      <c r="F24" s="53">
        <f t="shared" ref="F24:F25" si="2">+C24*E24</f>
        <v>0.15</v>
      </c>
      <c r="G24" s="43"/>
    </row>
    <row r="25" spans="1:10">
      <c r="B25" s="80" t="s">
        <v>75</v>
      </c>
      <c r="C25" s="53">
        <v>0.01</v>
      </c>
      <c r="D25" s="53">
        <f>+SUM(C$23:$C25)</f>
        <v>0.13</v>
      </c>
      <c r="E25" s="53">
        <f>+E23+E24</f>
        <v>20</v>
      </c>
      <c r="F25" s="53">
        <f t="shared" si="2"/>
        <v>0.2</v>
      </c>
      <c r="G25" s="43">
        <v>0</v>
      </c>
      <c r="H25" s="49" t="s">
        <v>79</v>
      </c>
      <c r="J25" s="62"/>
    </row>
    <row r="26" spans="1:10">
      <c r="B26" s="56" t="s">
        <v>5</v>
      </c>
      <c r="C26" s="56">
        <f>+SUM(C23:C25)</f>
        <v>0.13</v>
      </c>
      <c r="D26" s="56"/>
      <c r="E26" s="56"/>
      <c r="F26" s="61">
        <f>+SUM(F23:F25)</f>
        <v>0.90000000000000013</v>
      </c>
      <c r="G26" s="45"/>
    </row>
    <row r="27" spans="1:10">
      <c r="B27" s="60"/>
      <c r="C27" s="60"/>
      <c r="D27" s="60"/>
      <c r="E27" s="60"/>
      <c r="F27" s="55"/>
      <c r="G27" s="46"/>
    </row>
    <row r="28" spans="1:10">
      <c r="G28" s="41"/>
    </row>
    <row r="29" spans="1:10">
      <c r="A29" s="52" t="s">
        <v>14</v>
      </c>
      <c r="B29" s="54" t="s">
        <v>73</v>
      </c>
      <c r="C29" s="54" t="s">
        <v>10</v>
      </c>
      <c r="D29" s="54" t="s">
        <v>18</v>
      </c>
      <c r="E29" s="54" t="s">
        <v>8</v>
      </c>
      <c r="F29" s="54" t="s">
        <v>128</v>
      </c>
      <c r="G29" s="54" t="s">
        <v>43</v>
      </c>
    </row>
    <row r="30" spans="1:10">
      <c r="A30" s="49" t="s">
        <v>81</v>
      </c>
      <c r="B30" s="80">
        <v>3</v>
      </c>
      <c r="C30" s="53">
        <v>0.06</v>
      </c>
      <c r="D30" s="53">
        <f>+SUM(C30:$C$30)</f>
        <v>0.06</v>
      </c>
      <c r="E30" s="53">
        <f>+E7</f>
        <v>15</v>
      </c>
      <c r="F30" s="53">
        <f>+C30*E30</f>
        <v>0.89999999999999991</v>
      </c>
      <c r="G30" s="43">
        <v>0</v>
      </c>
      <c r="H30" s="49" t="s">
        <v>79</v>
      </c>
    </row>
    <row r="31" spans="1:10">
      <c r="A31" s="49" t="s">
        <v>82</v>
      </c>
      <c r="B31" s="56" t="s">
        <v>5</v>
      </c>
      <c r="C31" s="56">
        <f>+SUM(C30:C30)</f>
        <v>0.06</v>
      </c>
      <c r="D31" s="56"/>
      <c r="E31" s="56"/>
      <c r="F31" s="61">
        <f>+SUM(F30:F30)</f>
        <v>0.89999999999999991</v>
      </c>
      <c r="G31" s="45"/>
    </row>
    <row r="32" spans="1:10">
      <c r="A32" s="49" t="s">
        <v>83</v>
      </c>
      <c r="G32" s="41"/>
    </row>
    <row r="33" spans="1:8">
      <c r="G33" s="41"/>
    </row>
    <row r="34" spans="1:8">
      <c r="A34" s="52" t="s">
        <v>15</v>
      </c>
      <c r="B34" s="54" t="s">
        <v>73</v>
      </c>
      <c r="C34" s="54" t="s">
        <v>10</v>
      </c>
      <c r="D34" s="54" t="s">
        <v>18</v>
      </c>
      <c r="E34" s="54" t="s">
        <v>8</v>
      </c>
      <c r="F34" s="54" t="s">
        <v>128</v>
      </c>
      <c r="G34" s="54" t="s">
        <v>43</v>
      </c>
    </row>
    <row r="35" spans="1:8">
      <c r="A35" s="49" t="s">
        <v>81</v>
      </c>
      <c r="B35" s="80">
        <v>1</v>
      </c>
      <c r="C35" s="53">
        <v>0.1</v>
      </c>
      <c r="D35" s="53">
        <f>+SUM(C35:$C$35)</f>
        <v>0.1</v>
      </c>
      <c r="E35" s="53">
        <f>+E5</f>
        <v>5</v>
      </c>
      <c r="F35" s="53">
        <f>+C35*E35</f>
        <v>0.5</v>
      </c>
      <c r="G35" s="43"/>
    </row>
    <row r="36" spans="1:8">
      <c r="A36" s="49" t="s">
        <v>84</v>
      </c>
      <c r="B36" s="80">
        <v>2</v>
      </c>
      <c r="C36" s="53">
        <v>0.01</v>
      </c>
      <c r="D36" s="53">
        <f>+SUM(C$35:$C36)</f>
        <v>0.11</v>
      </c>
      <c r="E36" s="53">
        <f>+E6</f>
        <v>10</v>
      </c>
      <c r="F36" s="53">
        <f t="shared" ref="F36:F37" si="3">+C36*E36</f>
        <v>0.1</v>
      </c>
      <c r="G36" s="43"/>
    </row>
    <row r="37" spans="1:8">
      <c r="B37" s="80" t="s">
        <v>74</v>
      </c>
      <c r="C37" s="53">
        <v>0.02</v>
      </c>
      <c r="D37" s="53">
        <f>+SUM(C$35:$C37)</f>
        <v>0.13</v>
      </c>
      <c r="E37" s="53">
        <f>+E35+E36</f>
        <v>15</v>
      </c>
      <c r="F37" s="53">
        <f t="shared" si="3"/>
        <v>0.3</v>
      </c>
      <c r="G37" s="43">
        <v>0</v>
      </c>
      <c r="H37" s="49" t="s">
        <v>79</v>
      </c>
    </row>
    <row r="38" spans="1:8">
      <c r="A38" s="58"/>
      <c r="B38" s="56" t="s">
        <v>5</v>
      </c>
      <c r="C38" s="56">
        <f>+SUM(C35:C37)</f>
        <v>0.13</v>
      </c>
      <c r="D38" s="56"/>
      <c r="E38" s="56"/>
      <c r="F38" s="61">
        <f>+SUM(F35:F37)</f>
        <v>0.89999999999999991</v>
      </c>
      <c r="G38" s="45"/>
    </row>
    <row r="39" spans="1:8">
      <c r="A39" s="58"/>
      <c r="G39" s="41"/>
    </row>
    <row r="40" spans="1:8">
      <c r="G40" s="41"/>
    </row>
    <row r="41" spans="1:8">
      <c r="A41" s="52" t="s">
        <v>16</v>
      </c>
      <c r="B41" s="54" t="s">
        <v>73</v>
      </c>
      <c r="C41" s="54" t="s">
        <v>10</v>
      </c>
      <c r="D41" s="54" t="s">
        <v>18</v>
      </c>
      <c r="E41" s="54" t="s">
        <v>8</v>
      </c>
      <c r="F41" s="54" t="s">
        <v>128</v>
      </c>
      <c r="G41" s="48"/>
    </row>
    <row r="42" spans="1:8">
      <c r="A42" s="49" t="s">
        <v>81</v>
      </c>
      <c r="B42" s="80">
        <v>1</v>
      </c>
      <c r="C42" s="53">
        <v>0.18</v>
      </c>
      <c r="D42" s="53">
        <f>+SUM(C42:$C$42)</f>
        <v>0.18</v>
      </c>
      <c r="E42" s="53">
        <f>+E5</f>
        <v>5</v>
      </c>
      <c r="F42" s="53">
        <f>+E42*C42</f>
        <v>0.89999999999999991</v>
      </c>
      <c r="G42" s="43">
        <v>0</v>
      </c>
      <c r="H42" s="49" t="s">
        <v>79</v>
      </c>
    </row>
    <row r="43" spans="1:8">
      <c r="A43" s="49" t="s">
        <v>83</v>
      </c>
      <c r="B43" s="56" t="s">
        <v>5</v>
      </c>
      <c r="C43" s="56">
        <f>+SUM(C42:C42)</f>
        <v>0.18</v>
      </c>
      <c r="D43" s="56"/>
      <c r="E43" s="56"/>
      <c r="F43" s="61">
        <f>+SUM(F42:F42)</f>
        <v>0.89999999999999991</v>
      </c>
      <c r="G43" s="45"/>
    </row>
    <row r="44" spans="1:8">
      <c r="A44" s="49" t="s">
        <v>84</v>
      </c>
      <c r="G44" s="41"/>
    </row>
    <row r="45" spans="1:8">
      <c r="G45" s="41"/>
    </row>
    <row r="46" spans="1:8">
      <c r="A46" s="52" t="s">
        <v>17</v>
      </c>
      <c r="B46" s="54" t="s">
        <v>73</v>
      </c>
      <c r="C46" s="54" t="s">
        <v>10</v>
      </c>
      <c r="D46" s="54" t="s">
        <v>18</v>
      </c>
      <c r="E46" s="54" t="s">
        <v>8</v>
      </c>
      <c r="F46" s="54" t="s">
        <v>128</v>
      </c>
      <c r="G46" s="48"/>
    </row>
    <row r="47" spans="1:8">
      <c r="A47" s="49" t="s">
        <v>81</v>
      </c>
      <c r="B47" s="80">
        <v>2</v>
      </c>
      <c r="C47" s="53">
        <v>0.09</v>
      </c>
      <c r="D47" s="53">
        <f>+SUM(C$47:$C47)</f>
        <v>0.09</v>
      </c>
      <c r="E47" s="53">
        <f>+E6</f>
        <v>10</v>
      </c>
      <c r="F47" s="53">
        <f>+E47*C47</f>
        <v>0.89999999999999991</v>
      </c>
      <c r="G47" s="43">
        <v>0</v>
      </c>
      <c r="H47" s="49" t="s">
        <v>79</v>
      </c>
    </row>
    <row r="48" spans="1:8">
      <c r="A48" s="49" t="s">
        <v>82</v>
      </c>
      <c r="B48" s="56" t="s">
        <v>5</v>
      </c>
      <c r="C48" s="56">
        <f>+SUM(C47:C47)</f>
        <v>0.09</v>
      </c>
      <c r="D48" s="56"/>
      <c r="E48" s="56"/>
      <c r="F48" s="61">
        <f>+SUM(F47:F47)</f>
        <v>0.89999999999999991</v>
      </c>
      <c r="G48" s="45"/>
    </row>
    <row r="49" spans="1:7">
      <c r="A49" s="49" t="s">
        <v>84</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36.xml><?xml version="1.0" encoding="utf-8"?>
<worksheet xmlns="http://schemas.openxmlformats.org/spreadsheetml/2006/main" xmlns:r="http://schemas.openxmlformats.org/officeDocument/2006/relationships">
  <sheetPr codeName="Hoja17"/>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3" t="s">
        <v>95</v>
      </c>
      <c r="B1" s="123"/>
      <c r="C1" s="123"/>
      <c r="D1" s="123"/>
      <c r="E1" s="123"/>
    </row>
    <row r="2" spans="1:8">
      <c r="A2" s="59" t="s">
        <v>108</v>
      </c>
    </row>
    <row r="4" spans="1:8">
      <c r="A4" s="52" t="s">
        <v>9</v>
      </c>
      <c r="B4" s="54" t="s">
        <v>73</v>
      </c>
      <c r="C4" s="54" t="s">
        <v>10</v>
      </c>
      <c r="D4" s="54" t="s">
        <v>18</v>
      </c>
      <c r="E4" s="54" t="s">
        <v>8</v>
      </c>
      <c r="F4" s="54" t="s">
        <v>128</v>
      </c>
      <c r="G4" s="54" t="s">
        <v>43</v>
      </c>
    </row>
    <row r="5" spans="1:8">
      <c r="A5" s="49" t="s">
        <v>80</v>
      </c>
      <c r="B5" s="81">
        <v>1</v>
      </c>
      <c r="C5" s="50">
        <v>0.11</v>
      </c>
      <c r="D5" s="50">
        <f>+SUM($C$5:C5)</f>
        <v>0.11</v>
      </c>
      <c r="E5" s="64">
        <f>Summary!K27</f>
        <v>5</v>
      </c>
      <c r="F5" s="50">
        <f>+C5*E5</f>
        <v>0.55000000000000004</v>
      </c>
      <c r="G5" s="43"/>
    </row>
    <row r="6" spans="1:8">
      <c r="B6" s="81">
        <v>2</v>
      </c>
      <c r="C6" s="50">
        <v>0.01</v>
      </c>
      <c r="D6" s="50">
        <f>+SUM($C$5:C6)</f>
        <v>0.12</v>
      </c>
      <c r="E6" s="64">
        <f>Summary!K28</f>
        <v>12</v>
      </c>
      <c r="F6" s="50">
        <f t="shared" ref="F6:F11" si="0">+C6*E6</f>
        <v>0.12</v>
      </c>
      <c r="G6" s="43"/>
    </row>
    <row r="7" spans="1:8">
      <c r="B7" s="81">
        <v>3</v>
      </c>
      <c r="C7" s="50">
        <v>5.0000000000000001E-3</v>
      </c>
      <c r="D7" s="50">
        <f>+SUM($C$5:C7)</f>
        <v>0.125</v>
      </c>
      <c r="E7" s="64">
        <f>Summary!K29</f>
        <v>18</v>
      </c>
      <c r="F7" s="50">
        <f t="shared" si="0"/>
        <v>0.09</v>
      </c>
      <c r="G7" s="43"/>
    </row>
    <row r="8" spans="1:8">
      <c r="B8" s="81" t="s">
        <v>74</v>
      </c>
      <c r="C8" s="50">
        <v>0</v>
      </c>
      <c r="D8" s="50">
        <f>+SUM($C$5:C8)</f>
        <v>0.125</v>
      </c>
      <c r="E8" s="50">
        <f>+E5+E6</f>
        <v>17</v>
      </c>
      <c r="F8" s="50">
        <f t="shared" si="0"/>
        <v>0</v>
      </c>
      <c r="G8" s="43"/>
    </row>
    <row r="9" spans="1:8">
      <c r="B9" s="81" t="s">
        <v>75</v>
      </c>
      <c r="C9" s="50">
        <v>0</v>
      </c>
      <c r="D9" s="50">
        <f>+SUM($C$5:C9)</f>
        <v>0.125</v>
      </c>
      <c r="E9" s="50">
        <f>+E5+E7</f>
        <v>23</v>
      </c>
      <c r="F9" s="50">
        <f t="shared" si="0"/>
        <v>0</v>
      </c>
      <c r="G9" s="43"/>
    </row>
    <row r="10" spans="1:8">
      <c r="B10" s="81" t="s">
        <v>76</v>
      </c>
      <c r="C10" s="50">
        <v>0</v>
      </c>
      <c r="D10" s="50">
        <f>+SUM($C$5:C10)</f>
        <v>0.125</v>
      </c>
      <c r="E10" s="50">
        <f>+E6+E7</f>
        <v>30</v>
      </c>
      <c r="F10" s="50">
        <f t="shared" si="0"/>
        <v>0</v>
      </c>
      <c r="G10" s="43"/>
    </row>
    <row r="11" spans="1:8">
      <c r="B11" s="81" t="s">
        <v>77</v>
      </c>
      <c r="C11" s="50">
        <v>4.0000000000000001E-3</v>
      </c>
      <c r="D11" s="50">
        <f>+SUM($C$5:C11)</f>
        <v>0.129</v>
      </c>
      <c r="E11" s="50">
        <f>+E5+E6+E7</f>
        <v>35</v>
      </c>
      <c r="F11" s="50">
        <f t="shared" si="0"/>
        <v>0.14000000000000001</v>
      </c>
      <c r="G11" s="43">
        <v>0</v>
      </c>
      <c r="H11" s="49" t="s">
        <v>79</v>
      </c>
    </row>
    <row r="12" spans="1:8">
      <c r="B12" s="56" t="s">
        <v>11</v>
      </c>
      <c r="C12" s="56">
        <f>+SUM(C5:C11)</f>
        <v>0.129</v>
      </c>
      <c r="D12" s="56"/>
      <c r="E12" s="56"/>
      <c r="F12" s="63">
        <f>+SUM(F5:F11)</f>
        <v>0.9</v>
      </c>
      <c r="G12" s="44"/>
    </row>
    <row r="13" spans="1:8">
      <c r="B13" s="57" t="s">
        <v>78</v>
      </c>
      <c r="G13" s="41"/>
    </row>
    <row r="14" spans="1:8">
      <c r="G14" s="41"/>
    </row>
    <row r="15" spans="1:8">
      <c r="A15" s="52" t="s">
        <v>12</v>
      </c>
      <c r="B15" s="54" t="s">
        <v>73</v>
      </c>
      <c r="C15" s="54" t="s">
        <v>10</v>
      </c>
      <c r="D15" s="54" t="s">
        <v>18</v>
      </c>
      <c r="E15" s="54" t="s">
        <v>8</v>
      </c>
      <c r="F15" s="54" t="s">
        <v>128</v>
      </c>
      <c r="G15" s="54" t="s">
        <v>43</v>
      </c>
    </row>
    <row r="16" spans="1:8">
      <c r="A16" s="49" t="s">
        <v>81</v>
      </c>
      <c r="B16" s="80">
        <v>2</v>
      </c>
      <c r="C16" s="53">
        <v>0.04</v>
      </c>
      <c r="D16" s="53">
        <f>+SUM(C16:$C$16)</f>
        <v>0.04</v>
      </c>
      <c r="E16" s="53">
        <f>+E6</f>
        <v>12</v>
      </c>
      <c r="F16" s="53">
        <f>+C16*E16</f>
        <v>0.48</v>
      </c>
      <c r="G16" s="43"/>
    </row>
    <row r="17" spans="1:10">
      <c r="A17" s="49" t="s">
        <v>82</v>
      </c>
      <c r="B17" s="80">
        <v>3</v>
      </c>
      <c r="C17" s="53">
        <v>1.4999999999999999E-2</v>
      </c>
      <c r="D17" s="53">
        <f>+SUM(C$16:$C17)</f>
        <v>5.5E-2</v>
      </c>
      <c r="E17" s="53">
        <f>+E7</f>
        <v>18</v>
      </c>
      <c r="F17" s="53">
        <f t="shared" ref="F17:F18" si="1">+C17*E17</f>
        <v>0.27</v>
      </c>
      <c r="G17" s="43"/>
    </row>
    <row r="18" spans="1:10">
      <c r="B18" s="80" t="s">
        <v>76</v>
      </c>
      <c r="C18" s="53">
        <v>5.0000000000000001E-3</v>
      </c>
      <c r="D18" s="53">
        <f>+SUM(C$16:$C18)</f>
        <v>0.06</v>
      </c>
      <c r="E18" s="53">
        <f>+E16+E17</f>
        <v>30</v>
      </c>
      <c r="F18" s="53">
        <f t="shared" si="1"/>
        <v>0.15</v>
      </c>
      <c r="G18" s="43">
        <v>0</v>
      </c>
      <c r="H18" s="49" t="s">
        <v>79</v>
      </c>
    </row>
    <row r="19" spans="1:10">
      <c r="B19" s="56" t="s">
        <v>5</v>
      </c>
      <c r="C19" s="56">
        <f>+SUM(C16:C18)</f>
        <v>0.06</v>
      </c>
      <c r="D19" s="56"/>
      <c r="E19" s="56"/>
      <c r="F19" s="61">
        <f>+SUM(F16:F18)</f>
        <v>0.9</v>
      </c>
      <c r="G19" s="45"/>
    </row>
    <row r="20" spans="1:10">
      <c r="B20" s="60"/>
      <c r="C20" s="60"/>
      <c r="D20" s="60"/>
      <c r="E20" s="60"/>
      <c r="F20" s="55"/>
      <c r="G20" s="46"/>
    </row>
    <row r="21" spans="1:10">
      <c r="B21" s="60"/>
      <c r="C21" s="60"/>
      <c r="D21" s="60"/>
      <c r="E21" s="60"/>
      <c r="F21" s="55"/>
      <c r="G21" s="46"/>
    </row>
    <row r="22" spans="1:10">
      <c r="A22" s="52" t="s">
        <v>13</v>
      </c>
      <c r="B22" s="54" t="s">
        <v>73</v>
      </c>
      <c r="C22" s="54" t="s">
        <v>10</v>
      </c>
      <c r="D22" s="54" t="s">
        <v>18</v>
      </c>
      <c r="E22" s="54" t="s">
        <v>8</v>
      </c>
      <c r="F22" s="54" t="s">
        <v>128</v>
      </c>
      <c r="G22" s="54" t="s">
        <v>43</v>
      </c>
    </row>
    <row r="23" spans="1:10">
      <c r="A23" s="49" t="s">
        <v>81</v>
      </c>
      <c r="B23" s="80">
        <v>1</v>
      </c>
      <c r="C23" s="53">
        <v>9.8000000000000004E-2</v>
      </c>
      <c r="D23" s="53">
        <f>+SUM(C23:$C$23)</f>
        <v>9.8000000000000004E-2</v>
      </c>
      <c r="E23" s="53">
        <f>+E5</f>
        <v>5</v>
      </c>
      <c r="F23" s="53">
        <f>+C23*E23</f>
        <v>0.49</v>
      </c>
      <c r="G23" s="43"/>
    </row>
    <row r="24" spans="1:10">
      <c r="A24" s="49" t="s">
        <v>83</v>
      </c>
      <c r="B24" s="80">
        <v>3</v>
      </c>
      <c r="C24" s="53">
        <v>0.01</v>
      </c>
      <c r="D24" s="53">
        <f>+SUM(C$23:$C24)</f>
        <v>0.108</v>
      </c>
      <c r="E24" s="53">
        <f>+E7</f>
        <v>18</v>
      </c>
      <c r="F24" s="53">
        <f t="shared" ref="F24:F25" si="2">+C24*E24</f>
        <v>0.18</v>
      </c>
      <c r="G24" s="43"/>
    </row>
    <row r="25" spans="1:10">
      <c r="B25" s="80" t="s">
        <v>75</v>
      </c>
      <c r="C25" s="53">
        <v>0.01</v>
      </c>
      <c r="D25" s="53">
        <f>+SUM(C$23:$C25)</f>
        <v>0.11799999999999999</v>
      </c>
      <c r="E25" s="53">
        <f>+E23+E24</f>
        <v>23</v>
      </c>
      <c r="F25" s="53">
        <f t="shared" si="2"/>
        <v>0.23</v>
      </c>
      <c r="G25" s="43">
        <v>0</v>
      </c>
      <c r="H25" s="49" t="s">
        <v>79</v>
      </c>
      <c r="J25" s="62"/>
    </row>
    <row r="26" spans="1:10">
      <c r="B26" s="56" t="s">
        <v>5</v>
      </c>
      <c r="C26" s="56">
        <f>+SUM(C23:C25)</f>
        <v>0.11799999999999999</v>
      </c>
      <c r="D26" s="56"/>
      <c r="E26" s="56"/>
      <c r="F26" s="61">
        <f>+SUM(F23:F25)</f>
        <v>0.89999999999999991</v>
      </c>
      <c r="G26" s="45"/>
    </row>
    <row r="27" spans="1:10">
      <c r="B27" s="60"/>
      <c r="C27" s="60"/>
      <c r="D27" s="60"/>
      <c r="E27" s="60"/>
      <c r="F27" s="55"/>
      <c r="G27" s="46"/>
    </row>
    <row r="28" spans="1:10">
      <c r="G28" s="41"/>
    </row>
    <row r="29" spans="1:10">
      <c r="A29" s="52" t="s">
        <v>14</v>
      </c>
      <c r="B29" s="54" t="s">
        <v>73</v>
      </c>
      <c r="C29" s="54" t="s">
        <v>10</v>
      </c>
      <c r="D29" s="54" t="s">
        <v>18</v>
      </c>
      <c r="E29" s="54" t="s">
        <v>8</v>
      </c>
      <c r="F29" s="54" t="s">
        <v>128</v>
      </c>
      <c r="G29" s="54" t="s">
        <v>43</v>
      </c>
    </row>
    <row r="30" spans="1:10">
      <c r="A30" s="49" t="s">
        <v>81</v>
      </c>
      <c r="B30" s="80">
        <v>3</v>
      </c>
      <c r="C30" s="53">
        <v>0.05</v>
      </c>
      <c r="D30" s="53">
        <f>+SUM(C30:$C$30)</f>
        <v>0.05</v>
      </c>
      <c r="E30" s="53">
        <f>+E7</f>
        <v>18</v>
      </c>
      <c r="F30" s="53">
        <f>+C30*E30</f>
        <v>0.9</v>
      </c>
      <c r="G30" s="43">
        <v>0</v>
      </c>
      <c r="H30" s="49" t="s">
        <v>79</v>
      </c>
    </row>
    <row r="31" spans="1:10">
      <c r="A31" s="49" t="s">
        <v>82</v>
      </c>
      <c r="B31" s="56" t="s">
        <v>5</v>
      </c>
      <c r="C31" s="56">
        <f>+SUM(C30:C30)</f>
        <v>0.05</v>
      </c>
      <c r="D31" s="56"/>
      <c r="E31" s="56"/>
      <c r="F31" s="61">
        <f>+SUM(F30:F30)</f>
        <v>0.9</v>
      </c>
      <c r="G31" s="45"/>
    </row>
    <row r="32" spans="1:10">
      <c r="A32" s="49" t="s">
        <v>83</v>
      </c>
      <c r="G32" s="41"/>
    </row>
    <row r="33" spans="1:8">
      <c r="G33" s="41"/>
    </row>
    <row r="34" spans="1:8">
      <c r="A34" s="52" t="s">
        <v>15</v>
      </c>
      <c r="B34" s="54" t="s">
        <v>73</v>
      </c>
      <c r="C34" s="54" t="s">
        <v>10</v>
      </c>
      <c r="D34" s="54" t="s">
        <v>18</v>
      </c>
      <c r="E34" s="54" t="s">
        <v>8</v>
      </c>
      <c r="F34" s="54" t="s">
        <v>1</v>
      </c>
      <c r="G34" s="54" t="s">
        <v>43</v>
      </c>
    </row>
    <row r="35" spans="1:8">
      <c r="A35" s="49" t="s">
        <v>81</v>
      </c>
      <c r="B35" s="80">
        <v>1</v>
      </c>
      <c r="C35" s="53">
        <v>0.122</v>
      </c>
      <c r="D35" s="53">
        <f>+SUM(C35:$C$35)</f>
        <v>0.122</v>
      </c>
      <c r="E35" s="53">
        <f>+E5</f>
        <v>5</v>
      </c>
      <c r="F35" s="53">
        <f>+C35*E35</f>
        <v>0.61</v>
      </c>
      <c r="G35" s="43"/>
    </row>
    <row r="36" spans="1:8">
      <c r="A36" s="49" t="s">
        <v>84</v>
      </c>
      <c r="B36" s="80">
        <v>2</v>
      </c>
      <c r="C36" s="53">
        <v>0.01</v>
      </c>
      <c r="D36" s="53">
        <f>+SUM(C$35:$C36)</f>
        <v>0.13200000000000001</v>
      </c>
      <c r="E36" s="53">
        <f>+E6</f>
        <v>12</v>
      </c>
      <c r="F36" s="53">
        <f t="shared" ref="F36:F37" si="3">+C36*E36</f>
        <v>0.12</v>
      </c>
      <c r="G36" s="43"/>
    </row>
    <row r="37" spans="1:8">
      <c r="B37" s="80" t="s">
        <v>74</v>
      </c>
      <c r="C37" s="53">
        <v>0.01</v>
      </c>
      <c r="D37" s="53">
        <f>+SUM(C$35:$C37)</f>
        <v>0.14200000000000002</v>
      </c>
      <c r="E37" s="53">
        <f>+E35+E36</f>
        <v>17</v>
      </c>
      <c r="F37" s="53">
        <f t="shared" si="3"/>
        <v>0.17</v>
      </c>
      <c r="G37" s="43">
        <v>0</v>
      </c>
      <c r="H37" s="49" t="s">
        <v>79</v>
      </c>
    </row>
    <row r="38" spans="1:8">
      <c r="A38" s="58"/>
      <c r="B38" s="56" t="s">
        <v>5</v>
      </c>
      <c r="C38" s="56">
        <f>+SUM(C35:C37)</f>
        <v>0.14200000000000002</v>
      </c>
      <c r="D38" s="56"/>
      <c r="E38" s="56"/>
      <c r="F38" s="61">
        <f>+SUM(F35:F37)</f>
        <v>0.9</v>
      </c>
      <c r="G38" s="45"/>
    </row>
    <row r="39" spans="1:8">
      <c r="A39" s="58"/>
      <c r="G39" s="41"/>
    </row>
    <row r="40" spans="1:8">
      <c r="G40" s="41"/>
    </row>
    <row r="41" spans="1:8">
      <c r="A41" s="52" t="s">
        <v>16</v>
      </c>
      <c r="B41" s="54" t="s">
        <v>73</v>
      </c>
      <c r="C41" s="54" t="s">
        <v>10</v>
      </c>
      <c r="D41" s="54" t="s">
        <v>18</v>
      </c>
      <c r="E41" s="54" t="s">
        <v>8</v>
      </c>
      <c r="F41" s="54" t="s">
        <v>1</v>
      </c>
      <c r="G41" s="48"/>
    </row>
    <row r="42" spans="1:8">
      <c r="A42" s="49" t="s">
        <v>81</v>
      </c>
      <c r="B42" s="80">
        <v>1</v>
      </c>
      <c r="C42" s="53">
        <v>0.18</v>
      </c>
      <c r="D42" s="53">
        <f>+SUM(C42:$C$42)</f>
        <v>0.18</v>
      </c>
      <c r="E42" s="53">
        <f>+E5</f>
        <v>5</v>
      </c>
      <c r="F42" s="53">
        <f>+E42*C42</f>
        <v>0.89999999999999991</v>
      </c>
      <c r="G42" s="43">
        <v>0</v>
      </c>
      <c r="H42" s="49" t="s">
        <v>79</v>
      </c>
    </row>
    <row r="43" spans="1:8">
      <c r="A43" s="49" t="s">
        <v>83</v>
      </c>
      <c r="B43" s="56" t="s">
        <v>5</v>
      </c>
      <c r="C43" s="56">
        <f>+SUM(C42:C42)</f>
        <v>0.18</v>
      </c>
      <c r="D43" s="56"/>
      <c r="E43" s="56"/>
      <c r="F43" s="61">
        <f>+SUM(F42:F42)</f>
        <v>0.89999999999999991</v>
      </c>
      <c r="G43" s="45"/>
    </row>
    <row r="44" spans="1:8">
      <c r="A44" s="49" t="s">
        <v>84</v>
      </c>
      <c r="G44" s="41"/>
    </row>
    <row r="45" spans="1:8">
      <c r="G45" s="41"/>
    </row>
    <row r="46" spans="1:8">
      <c r="A46" s="52" t="s">
        <v>17</v>
      </c>
      <c r="B46" s="54" t="s">
        <v>73</v>
      </c>
      <c r="C46" s="54" t="s">
        <v>10</v>
      </c>
      <c r="D46" s="54" t="s">
        <v>18</v>
      </c>
      <c r="E46" s="54" t="s">
        <v>8</v>
      </c>
      <c r="F46" s="54" t="s">
        <v>1</v>
      </c>
      <c r="G46" s="48"/>
    </row>
    <row r="47" spans="1:8">
      <c r="A47" s="49" t="s">
        <v>81</v>
      </c>
      <c r="B47" s="80">
        <v>2</v>
      </c>
      <c r="C47" s="53">
        <v>7.4999999999999997E-2</v>
      </c>
      <c r="D47" s="53">
        <f>+SUM(C$47:$C47)</f>
        <v>7.4999999999999997E-2</v>
      </c>
      <c r="E47" s="53">
        <f>+E6</f>
        <v>12</v>
      </c>
      <c r="F47" s="53">
        <f>+E47*C47</f>
        <v>0.89999999999999991</v>
      </c>
      <c r="G47" s="43">
        <v>0</v>
      </c>
      <c r="H47" s="49" t="s">
        <v>79</v>
      </c>
    </row>
    <row r="48" spans="1:8">
      <c r="A48" s="49" t="s">
        <v>82</v>
      </c>
      <c r="B48" s="56" t="s">
        <v>5</v>
      </c>
      <c r="C48" s="56">
        <f>+SUM(C47:C47)</f>
        <v>7.4999999999999997E-2</v>
      </c>
      <c r="D48" s="56"/>
      <c r="E48" s="56"/>
      <c r="F48" s="61">
        <f>+SUM(F47:F47)</f>
        <v>0.89999999999999991</v>
      </c>
      <c r="G48" s="45"/>
    </row>
    <row r="49" spans="1:7">
      <c r="A49" s="49" t="s">
        <v>84</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37.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3" t="s">
        <v>104</v>
      </c>
      <c r="B1" s="123"/>
      <c r="C1" s="123"/>
      <c r="D1" s="123"/>
      <c r="E1" s="123"/>
    </row>
    <row r="2" spans="1:9">
      <c r="A2" s="59" t="s">
        <v>108</v>
      </c>
    </row>
    <row r="4" spans="1:9">
      <c r="A4" s="52" t="s">
        <v>9</v>
      </c>
      <c r="B4" s="54" t="s">
        <v>73</v>
      </c>
      <c r="C4" s="54" t="s">
        <v>10</v>
      </c>
      <c r="D4" s="54" t="s">
        <v>18</v>
      </c>
      <c r="E4" s="54" t="s">
        <v>8</v>
      </c>
      <c r="F4" s="54" t="s">
        <v>128</v>
      </c>
      <c r="G4" s="54" t="s">
        <v>43</v>
      </c>
    </row>
    <row r="5" spans="1:9">
      <c r="A5" s="49" t="s">
        <v>80</v>
      </c>
      <c r="B5" s="81">
        <v>1</v>
      </c>
      <c r="C5" s="38">
        <v>0.16</v>
      </c>
      <c r="D5" s="50">
        <f>+SUM($C$5:C5)</f>
        <v>0.16</v>
      </c>
      <c r="E5" s="50">
        <f>+Summary!B27</f>
        <v>3</v>
      </c>
      <c r="F5" s="50">
        <f>+C5*E5</f>
        <v>0.48</v>
      </c>
      <c r="G5" s="43"/>
    </row>
    <row r="6" spans="1:9">
      <c r="B6" s="81">
        <v>2</v>
      </c>
      <c r="C6" s="38">
        <v>0.02</v>
      </c>
      <c r="D6" s="50">
        <f>+SUM($C$5:C6)</f>
        <v>0.18</v>
      </c>
      <c r="E6" s="50">
        <f>+Summary!B28</f>
        <v>5</v>
      </c>
      <c r="F6" s="50">
        <f t="shared" ref="F6:F7" si="0">+C6*E6</f>
        <v>0.1</v>
      </c>
      <c r="G6" s="43"/>
    </row>
    <row r="7" spans="1:9">
      <c r="B7" s="81" t="s">
        <v>74</v>
      </c>
      <c r="C7" s="38">
        <v>0.04</v>
      </c>
      <c r="D7" s="50">
        <f>+SUM($C$5:C7)</f>
        <v>0.22</v>
      </c>
      <c r="E7" s="50">
        <f>+E5+E6</f>
        <v>8</v>
      </c>
      <c r="F7" s="50">
        <f t="shared" si="0"/>
        <v>0.32</v>
      </c>
      <c r="G7" s="43">
        <v>0</v>
      </c>
      <c r="H7" s="49" t="s">
        <v>79</v>
      </c>
      <c r="I7" s="83"/>
    </row>
    <row r="8" spans="1:9">
      <c r="B8" s="56" t="s">
        <v>11</v>
      </c>
      <c r="C8" s="56">
        <f>+SUM(C5:C7)</f>
        <v>0.22</v>
      </c>
      <c r="D8" s="56"/>
      <c r="E8" s="56"/>
      <c r="F8" s="47">
        <f>+SUM(F5:F7)</f>
        <v>0.89999999999999991</v>
      </c>
      <c r="G8" s="44"/>
    </row>
    <row r="9" spans="1:9">
      <c r="B9" s="57" t="s">
        <v>78</v>
      </c>
      <c r="G9" s="41"/>
    </row>
    <row r="10" spans="1:9">
      <c r="G10" s="41"/>
    </row>
    <row r="11" spans="1:9">
      <c r="G11" s="41"/>
    </row>
    <row r="12" spans="1:9">
      <c r="A12" s="52" t="s">
        <v>16</v>
      </c>
      <c r="B12" s="54" t="s">
        <v>73</v>
      </c>
      <c r="C12" s="54" t="s">
        <v>10</v>
      </c>
      <c r="D12" s="54" t="s">
        <v>18</v>
      </c>
      <c r="E12" s="54" t="s">
        <v>8</v>
      </c>
      <c r="F12" s="54" t="s">
        <v>128</v>
      </c>
      <c r="G12" s="54" t="s">
        <v>43</v>
      </c>
    </row>
    <row r="13" spans="1:9">
      <c r="A13" s="49" t="s">
        <v>81</v>
      </c>
      <c r="B13" s="80">
        <v>1</v>
      </c>
      <c r="C13" s="53">
        <v>0.3</v>
      </c>
      <c r="D13" s="53">
        <f>+SUM(C13:$C$13)</f>
        <v>0.3</v>
      </c>
      <c r="E13" s="53">
        <f>+E5</f>
        <v>3</v>
      </c>
      <c r="F13" s="53">
        <f>+E13*C13</f>
        <v>0.89999999999999991</v>
      </c>
      <c r="G13" s="43">
        <v>0</v>
      </c>
      <c r="H13" s="49" t="s">
        <v>79</v>
      </c>
    </row>
    <row r="14" spans="1:9">
      <c r="A14" s="49" t="s">
        <v>83</v>
      </c>
      <c r="B14" s="56" t="s">
        <v>5</v>
      </c>
      <c r="C14" s="56">
        <f>+SUM(C13:C13)</f>
        <v>0.3</v>
      </c>
      <c r="D14" s="56"/>
      <c r="E14" s="56"/>
      <c r="F14" s="61">
        <f>+SUM(F13:F13)</f>
        <v>0.89999999999999991</v>
      </c>
      <c r="G14" s="45"/>
    </row>
    <row r="15" spans="1:9">
      <c r="G15" s="41"/>
    </row>
    <row r="16" spans="1:9">
      <c r="G16" s="41"/>
    </row>
    <row r="17" spans="1:8">
      <c r="A17" s="52" t="s">
        <v>17</v>
      </c>
      <c r="B17" s="54" t="s">
        <v>73</v>
      </c>
      <c r="C17" s="54" t="s">
        <v>10</v>
      </c>
      <c r="D17" s="54" t="s">
        <v>18</v>
      </c>
      <c r="E17" s="54" t="s">
        <v>8</v>
      </c>
      <c r="F17" s="54" t="s">
        <v>128</v>
      </c>
      <c r="G17" s="54" t="s">
        <v>43</v>
      </c>
    </row>
    <row r="18" spans="1:8">
      <c r="A18" s="49" t="s">
        <v>81</v>
      </c>
      <c r="B18" s="80">
        <v>2</v>
      </c>
      <c r="C18" s="53">
        <v>0.18</v>
      </c>
      <c r="D18" s="53">
        <f>+SUM(C$18:$C18)</f>
        <v>0.18</v>
      </c>
      <c r="E18" s="53">
        <f>+E6</f>
        <v>5</v>
      </c>
      <c r="F18" s="53">
        <f>+E18*C18</f>
        <v>0.89999999999999991</v>
      </c>
      <c r="G18" s="43">
        <v>0</v>
      </c>
      <c r="H18" s="49" t="s">
        <v>79</v>
      </c>
    </row>
    <row r="19" spans="1:8">
      <c r="A19" s="49" t="s">
        <v>82</v>
      </c>
      <c r="B19" s="56" t="s">
        <v>5</v>
      </c>
      <c r="C19" s="56">
        <f>+SUM(C18:C18)</f>
        <v>0.18</v>
      </c>
      <c r="D19" s="56"/>
      <c r="E19" s="56"/>
      <c r="F19" s="61">
        <f>+SUM(F18:F18)</f>
        <v>0.89999999999999991</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38.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3" t="s">
        <v>102</v>
      </c>
      <c r="B1" s="123"/>
      <c r="C1" s="123"/>
      <c r="D1" s="123"/>
      <c r="E1" s="123"/>
    </row>
    <row r="2" spans="1:8">
      <c r="A2" s="59"/>
    </row>
    <row r="4" spans="1:8">
      <c r="A4" s="52" t="s">
        <v>62</v>
      </c>
      <c r="B4" s="54" t="s">
        <v>73</v>
      </c>
      <c r="C4" s="54" t="s">
        <v>10</v>
      </c>
      <c r="D4" s="54" t="s">
        <v>18</v>
      </c>
      <c r="E4" s="54" t="s">
        <v>8</v>
      </c>
      <c r="F4" s="54" t="s">
        <v>128</v>
      </c>
      <c r="G4" s="54" t="s">
        <v>43</v>
      </c>
    </row>
    <row r="5" spans="1:8">
      <c r="B5" s="80">
        <v>1</v>
      </c>
      <c r="C5" s="53">
        <v>0.45</v>
      </c>
      <c r="D5" s="53">
        <f>+SUM(C5:$C$5)</f>
        <v>0.45</v>
      </c>
      <c r="E5" s="53">
        <f>+Summary!B21</f>
        <v>2</v>
      </c>
      <c r="F5" s="53">
        <f>+E5*C5</f>
        <v>0.9</v>
      </c>
      <c r="G5" s="43">
        <v>0</v>
      </c>
      <c r="H5" s="49" t="s">
        <v>79</v>
      </c>
    </row>
    <row r="6" spans="1:8">
      <c r="B6" s="56" t="s">
        <v>5</v>
      </c>
      <c r="C6" s="56">
        <f>+SUM(C5:C5)</f>
        <v>0.45</v>
      </c>
      <c r="D6" s="56"/>
      <c r="E6" s="56"/>
      <c r="F6" s="61">
        <f>+SUM(F5:F5)</f>
        <v>0.9</v>
      </c>
      <c r="G6" s="45"/>
    </row>
    <row r="7" spans="1:8">
      <c r="G7" s="41"/>
    </row>
    <row r="8" spans="1:8">
      <c r="G8" s="41"/>
    </row>
    <row r="9" spans="1:8">
      <c r="A9" s="52" t="s">
        <v>63</v>
      </c>
      <c r="B9" s="54" t="s">
        <v>73</v>
      </c>
      <c r="C9" s="54" t="s">
        <v>10</v>
      </c>
      <c r="D9" s="54" t="s">
        <v>18</v>
      </c>
      <c r="E9" s="54" t="s">
        <v>8</v>
      </c>
      <c r="F9" s="54" t="s">
        <v>128</v>
      </c>
      <c r="G9" s="54" t="s">
        <v>43</v>
      </c>
    </row>
    <row r="10" spans="1:8">
      <c r="B10" s="80">
        <v>1</v>
      </c>
      <c r="C10" s="53">
        <v>0.18</v>
      </c>
      <c r="D10" s="53">
        <f>1/6</f>
        <v>0.16666666666666666</v>
      </c>
      <c r="E10" s="53">
        <f>+Summary!E21</f>
        <v>5</v>
      </c>
      <c r="F10" s="53">
        <f>+E10*C10</f>
        <v>0.89999999999999991</v>
      </c>
      <c r="G10" s="43">
        <v>0</v>
      </c>
      <c r="H10" s="49" t="s">
        <v>79</v>
      </c>
    </row>
    <row r="11" spans="1:8">
      <c r="B11" s="56" t="s">
        <v>5</v>
      </c>
      <c r="C11" s="56">
        <f>+SUM(C10:C10)</f>
        <v>0.18</v>
      </c>
      <c r="D11" s="56"/>
      <c r="E11" s="56"/>
      <c r="F11" s="61">
        <f>+SUM(F10:F10)</f>
        <v>0.89999999999999991</v>
      </c>
      <c r="G11" s="45"/>
    </row>
    <row r="12" spans="1:8">
      <c r="G12" s="42"/>
    </row>
    <row r="13" spans="1:8">
      <c r="G13" s="42"/>
    </row>
    <row r="14" spans="1:8">
      <c r="A14" s="52" t="s">
        <v>64</v>
      </c>
      <c r="B14" s="54" t="s">
        <v>73</v>
      </c>
      <c r="C14" s="54" t="s">
        <v>10</v>
      </c>
      <c r="D14" s="54" t="s">
        <v>18</v>
      </c>
      <c r="E14" s="54" t="s">
        <v>8</v>
      </c>
      <c r="F14" s="54" t="s">
        <v>128</v>
      </c>
      <c r="G14" s="54" t="s">
        <v>43</v>
      </c>
    </row>
    <row r="15" spans="1:8">
      <c r="B15" s="80">
        <v>1</v>
      </c>
      <c r="C15" s="53">
        <v>0.1125</v>
      </c>
      <c r="D15" s="53">
        <f>+SUM(C$15:$C15)</f>
        <v>0.1125</v>
      </c>
      <c r="E15" s="53">
        <f>+Summary!H21</f>
        <v>8</v>
      </c>
      <c r="F15" s="53">
        <f>+E15*C15</f>
        <v>0.9</v>
      </c>
      <c r="G15" s="43">
        <v>0</v>
      </c>
      <c r="H15" s="49" t="s">
        <v>79</v>
      </c>
    </row>
    <row r="16" spans="1:8">
      <c r="B16" s="56" t="s">
        <v>5</v>
      </c>
      <c r="C16" s="56">
        <f>+SUM(C15:C15)</f>
        <v>0.1125</v>
      </c>
      <c r="D16" s="56"/>
      <c r="E16" s="56"/>
      <c r="F16" s="61">
        <f>+SUM(F15:F15)</f>
        <v>0.9</v>
      </c>
      <c r="G16" s="45"/>
    </row>
    <row r="17" spans="7:7">
      <c r="G17" s="42"/>
    </row>
    <row r="18" spans="7:7">
      <c r="G18" s="42"/>
    </row>
    <row r="19" spans="7:7">
      <c r="G19" s="42"/>
    </row>
    <row r="20" spans="7:7">
      <c r="G20" s="42"/>
    </row>
    <row r="21" spans="7:7">
      <c r="G21" s="42"/>
    </row>
    <row r="22" spans="7:7">
      <c r="G22" s="42"/>
    </row>
    <row r="23" spans="7:7">
      <c r="G23" s="42"/>
    </row>
    <row r="24" spans="7:7">
      <c r="G24" s="42"/>
    </row>
    <row r="25" spans="7:7">
      <c r="G25" s="42"/>
    </row>
    <row r="26" spans="7:7">
      <c r="G26" s="42"/>
    </row>
    <row r="27" spans="7:7">
      <c r="G27" s="42"/>
    </row>
    <row r="28" spans="7:7">
      <c r="G28" s="42"/>
    </row>
    <row r="29" spans="7:7">
      <c r="G29" s="42"/>
    </row>
    <row r="30" spans="7:7">
      <c r="G30" s="42"/>
    </row>
    <row r="31" spans="7:7">
      <c r="G31" s="42"/>
    </row>
    <row r="32" spans="7:7">
      <c r="G32" s="42"/>
    </row>
    <row r="33" spans="7:7">
      <c r="G33" s="42"/>
    </row>
    <row r="34" spans="7:7">
      <c r="G34" s="41"/>
    </row>
    <row r="35" spans="7:7">
      <c r="G35" s="41"/>
    </row>
    <row r="36" spans="7:7">
      <c r="G36" s="41"/>
    </row>
    <row r="37" spans="7:7">
      <c r="G37" s="41"/>
    </row>
    <row r="38" spans="7:7">
      <c r="G38" s="41"/>
    </row>
    <row r="39" spans="7:7">
      <c r="G39" s="41"/>
    </row>
    <row r="40" spans="7:7">
      <c r="G40" s="41"/>
    </row>
    <row r="41" spans="7:7">
      <c r="G41" s="41"/>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sheetData>
  <mergeCells count="1">
    <mergeCell ref="A1:E1"/>
  </mergeCells>
  <pageMargins left="0.7" right="0.7" top="0.75" bottom="0.75" header="0.3" footer="0.3"/>
  <pageSetup paperSize="9" orientation="portrait" horizontalDpi="200" verticalDpi="200" r:id="rId1"/>
</worksheet>
</file>

<file path=xl/worksheets/sheet39.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3" t="s">
        <v>105</v>
      </c>
      <c r="B1" s="123"/>
      <c r="C1" s="123"/>
      <c r="D1" s="123"/>
      <c r="E1" s="123"/>
    </row>
    <row r="2" spans="1:9">
      <c r="A2" s="59" t="s">
        <v>108</v>
      </c>
    </row>
    <row r="4" spans="1:9">
      <c r="A4" s="52" t="s">
        <v>9</v>
      </c>
      <c r="B4" s="54" t="s">
        <v>73</v>
      </c>
      <c r="C4" s="54" t="s">
        <v>10</v>
      </c>
      <c r="D4" s="54" t="s">
        <v>18</v>
      </c>
      <c r="E4" s="54" t="s">
        <v>8</v>
      </c>
      <c r="F4" s="54" t="s">
        <v>128</v>
      </c>
      <c r="G4" s="54" t="s">
        <v>43</v>
      </c>
    </row>
    <row r="5" spans="1:9">
      <c r="A5" s="49" t="s">
        <v>80</v>
      </c>
      <c r="B5" s="81">
        <v>1</v>
      </c>
      <c r="C5" s="32">
        <v>0.08</v>
      </c>
      <c r="D5" s="50">
        <f>+SUM($C$5:C5)</f>
        <v>0.08</v>
      </c>
      <c r="E5" s="50">
        <f>+Summary!B36</f>
        <v>7</v>
      </c>
      <c r="F5" s="50">
        <f>+C5*E5</f>
        <v>0.56000000000000005</v>
      </c>
      <c r="G5" s="43"/>
    </row>
    <row r="6" spans="1:9">
      <c r="B6" s="81">
        <v>2</v>
      </c>
      <c r="C6" s="32">
        <v>2E-3</v>
      </c>
      <c r="D6" s="50">
        <f>+SUM($C$5:C6)</f>
        <v>8.2000000000000003E-2</v>
      </c>
      <c r="E6" s="50">
        <f>+Summary!B37</f>
        <v>15</v>
      </c>
      <c r="F6" s="50">
        <f t="shared" ref="F6:F11" si="0">+C6*E6</f>
        <v>0.03</v>
      </c>
      <c r="G6" s="43"/>
    </row>
    <row r="7" spans="1:9">
      <c r="B7" s="81">
        <v>3</v>
      </c>
      <c r="C7" s="32">
        <v>5.0000000000000001E-3</v>
      </c>
      <c r="D7" s="50">
        <f>+SUM($C$5:C7)</f>
        <v>8.7000000000000008E-2</v>
      </c>
      <c r="E7" s="50">
        <f>+Summary!B38</f>
        <v>20</v>
      </c>
      <c r="F7" s="50">
        <f t="shared" si="0"/>
        <v>0.1</v>
      </c>
      <c r="G7" s="43"/>
      <c r="I7" s="28"/>
    </row>
    <row r="8" spans="1:9">
      <c r="B8" s="81" t="s">
        <v>74</v>
      </c>
      <c r="C8" s="32">
        <v>0</v>
      </c>
      <c r="D8" s="50">
        <f>+SUM($C$5:C8)</f>
        <v>8.7000000000000008E-2</v>
      </c>
      <c r="E8" s="50">
        <f>+E5+E6</f>
        <v>22</v>
      </c>
      <c r="F8" s="50">
        <f t="shared" si="0"/>
        <v>0</v>
      </c>
      <c r="G8" s="43"/>
      <c r="I8" s="83"/>
    </row>
    <row r="9" spans="1:9">
      <c r="B9" s="81" t="s">
        <v>75</v>
      </c>
      <c r="C9" s="32">
        <v>0</v>
      </c>
      <c r="D9" s="50">
        <f>+SUM($C$5:C9)</f>
        <v>8.7000000000000008E-2</v>
      </c>
      <c r="E9" s="50">
        <f>+E5+E7</f>
        <v>27</v>
      </c>
      <c r="F9" s="50">
        <f t="shared" si="0"/>
        <v>0</v>
      </c>
      <c r="G9" s="43"/>
    </row>
    <row r="10" spans="1:9">
      <c r="B10" s="81" t="s">
        <v>76</v>
      </c>
      <c r="C10" s="32">
        <v>0</v>
      </c>
      <c r="D10" s="50">
        <f>+SUM($C$5:C10)</f>
        <v>8.7000000000000008E-2</v>
      </c>
      <c r="E10" s="50">
        <f>+E6+E7</f>
        <v>35</v>
      </c>
      <c r="F10" s="50">
        <f t="shared" si="0"/>
        <v>0</v>
      </c>
      <c r="G10" s="43"/>
    </row>
    <row r="11" spans="1:9">
      <c r="B11" s="81" t="s">
        <v>77</v>
      </c>
      <c r="C11" s="32">
        <v>5.0000000000000001E-3</v>
      </c>
      <c r="D11" s="50">
        <f>+SUM($C$5:C11)</f>
        <v>9.2000000000000012E-2</v>
      </c>
      <c r="E11" s="50">
        <f>+E5+E6+E7</f>
        <v>42</v>
      </c>
      <c r="F11" s="50">
        <f t="shared" si="0"/>
        <v>0.21</v>
      </c>
      <c r="G11" s="43">
        <v>0</v>
      </c>
      <c r="H11" s="49" t="s">
        <v>79</v>
      </c>
    </row>
    <row r="12" spans="1:9">
      <c r="B12" s="56" t="s">
        <v>11</v>
      </c>
      <c r="C12" s="56">
        <f>+SUM(C5:C11)</f>
        <v>9.2000000000000012E-2</v>
      </c>
      <c r="D12" s="56"/>
      <c r="E12" s="56"/>
      <c r="F12" s="47">
        <f>+SUM(F5:F11)</f>
        <v>0.9</v>
      </c>
      <c r="G12" s="44"/>
    </row>
    <row r="13" spans="1:9">
      <c r="B13" s="57" t="s">
        <v>78</v>
      </c>
      <c r="G13" s="41"/>
    </row>
    <row r="14" spans="1:9">
      <c r="G14" s="41"/>
    </row>
    <row r="15" spans="1:9">
      <c r="A15" s="52" t="s">
        <v>12</v>
      </c>
      <c r="B15" s="54" t="s">
        <v>73</v>
      </c>
      <c r="C15" s="54" t="s">
        <v>10</v>
      </c>
      <c r="D15" s="54" t="s">
        <v>18</v>
      </c>
      <c r="E15" s="54" t="s">
        <v>8</v>
      </c>
      <c r="F15" s="54" t="s">
        <v>128</v>
      </c>
      <c r="G15" s="54" t="s">
        <v>43</v>
      </c>
    </row>
    <row r="16" spans="1:9">
      <c r="A16" s="49" t="s">
        <v>81</v>
      </c>
      <c r="B16" s="80">
        <v>2</v>
      </c>
      <c r="C16" s="53">
        <v>3.6666666666666597E-2</v>
      </c>
      <c r="D16" s="53">
        <f>+SUM(C16:$C$16)</f>
        <v>3.6666666666666597E-2</v>
      </c>
      <c r="E16" s="53">
        <f>+E6</f>
        <v>15</v>
      </c>
      <c r="F16" s="53">
        <f>+C16*E16</f>
        <v>0.54999999999999893</v>
      </c>
      <c r="G16" s="43"/>
    </row>
    <row r="17" spans="1:9">
      <c r="A17" s="49" t="s">
        <v>82</v>
      </c>
      <c r="B17" s="80">
        <v>3</v>
      </c>
      <c r="C17" s="53">
        <v>0</v>
      </c>
      <c r="D17" s="53">
        <f>+SUM(C$16:$C17)</f>
        <v>3.6666666666666597E-2</v>
      </c>
      <c r="E17" s="53">
        <f>+E7</f>
        <v>20</v>
      </c>
      <c r="F17" s="53">
        <f t="shared" ref="F17:F18" si="1">+C17*E17</f>
        <v>0</v>
      </c>
      <c r="G17" s="43"/>
      <c r="I17" s="82"/>
    </row>
    <row r="18" spans="1:9">
      <c r="B18" s="80" t="s">
        <v>76</v>
      </c>
      <c r="C18" s="53">
        <v>0.01</v>
      </c>
      <c r="D18" s="53">
        <f>+SUM(C$16:$C18)</f>
        <v>4.6666666666666599E-2</v>
      </c>
      <c r="E18" s="53">
        <f>+E16+E17</f>
        <v>35</v>
      </c>
      <c r="F18" s="53">
        <f t="shared" si="1"/>
        <v>0.35000000000000003</v>
      </c>
      <c r="G18" s="43">
        <v>0</v>
      </c>
      <c r="H18" s="49" t="s">
        <v>79</v>
      </c>
    </row>
    <row r="19" spans="1:9">
      <c r="B19" s="56" t="s">
        <v>5</v>
      </c>
      <c r="C19" s="56">
        <f>+SUM(C16:C18)</f>
        <v>4.6666666666666599E-2</v>
      </c>
      <c r="D19" s="56"/>
      <c r="E19" s="56"/>
      <c r="F19" s="61">
        <f>+SUM(F16:F18)</f>
        <v>0.89999999999999902</v>
      </c>
      <c r="G19" s="45"/>
    </row>
    <row r="20" spans="1:9">
      <c r="B20" s="60"/>
      <c r="C20" s="60"/>
      <c r="D20" s="60"/>
      <c r="E20" s="60"/>
      <c r="F20" s="55"/>
      <c r="G20" s="46"/>
    </row>
    <row r="21" spans="1:9">
      <c r="B21" s="60"/>
      <c r="C21" s="60"/>
      <c r="D21" s="60"/>
      <c r="E21" s="60"/>
      <c r="F21" s="55"/>
      <c r="G21" s="46"/>
    </row>
    <row r="22" spans="1:9">
      <c r="A22" s="52" t="s">
        <v>13</v>
      </c>
      <c r="B22" s="54" t="s">
        <v>73</v>
      </c>
      <c r="C22" s="54" t="s">
        <v>10</v>
      </c>
      <c r="D22" s="54" t="s">
        <v>18</v>
      </c>
      <c r="E22" s="54" t="s">
        <v>8</v>
      </c>
      <c r="F22" s="54" t="s">
        <v>128</v>
      </c>
      <c r="G22" s="54" t="s">
        <v>43</v>
      </c>
    </row>
    <row r="23" spans="1:9">
      <c r="A23" s="49" t="s">
        <v>81</v>
      </c>
      <c r="B23" s="80">
        <v>1</v>
      </c>
      <c r="C23" s="53">
        <v>0.1</v>
      </c>
      <c r="D23" s="53">
        <f>+SUM(C23:$C$23)</f>
        <v>0.1</v>
      </c>
      <c r="E23" s="53">
        <f>+E5</f>
        <v>7</v>
      </c>
      <c r="F23" s="53">
        <f>+C23*E23</f>
        <v>0.70000000000000007</v>
      </c>
      <c r="G23" s="43"/>
    </row>
    <row r="24" spans="1:9">
      <c r="A24" s="49" t="s">
        <v>83</v>
      </c>
      <c r="B24" s="80">
        <v>3</v>
      </c>
      <c r="C24" s="53">
        <v>8.6499999999999997E-3</v>
      </c>
      <c r="D24" s="53">
        <f>+SUM(C$23:$C24)</f>
        <v>0.10865000000000001</v>
      </c>
      <c r="E24" s="53">
        <f>+E7</f>
        <v>20</v>
      </c>
      <c r="F24" s="53">
        <f t="shared" ref="F24:F25" si="2">+C24*E24</f>
        <v>0.17299999999999999</v>
      </c>
      <c r="G24" s="43"/>
    </row>
    <row r="25" spans="1:9">
      <c r="B25" s="80" t="s">
        <v>75</v>
      </c>
      <c r="C25" s="53">
        <v>1E-3</v>
      </c>
      <c r="D25" s="53">
        <f>+SUM(C$23:$C25)</f>
        <v>0.10965000000000001</v>
      </c>
      <c r="E25" s="53">
        <f>+E23+E24</f>
        <v>27</v>
      </c>
      <c r="F25" s="53">
        <f t="shared" si="2"/>
        <v>2.7E-2</v>
      </c>
      <c r="G25" s="43">
        <v>0</v>
      </c>
      <c r="H25" s="49" t="s">
        <v>79</v>
      </c>
    </row>
    <row r="26" spans="1:9">
      <c r="B26" s="56" t="s">
        <v>5</v>
      </c>
      <c r="C26" s="56">
        <f>+SUM(C23:C25)</f>
        <v>0.10965000000000001</v>
      </c>
      <c r="D26" s="56"/>
      <c r="E26" s="56"/>
      <c r="F26" s="61">
        <f>+SUM(F23:F25)</f>
        <v>0.9</v>
      </c>
      <c r="G26" s="45"/>
    </row>
    <row r="27" spans="1:9">
      <c r="B27" s="60"/>
      <c r="C27" s="60"/>
      <c r="D27" s="60"/>
      <c r="E27" s="60"/>
      <c r="F27" s="55"/>
      <c r="G27" s="46"/>
    </row>
    <row r="28" spans="1:9">
      <c r="G28" s="41"/>
    </row>
    <row r="29" spans="1:9">
      <c r="A29" s="52" t="s">
        <v>14</v>
      </c>
      <c r="B29" s="54" t="s">
        <v>73</v>
      </c>
      <c r="C29" s="54" t="s">
        <v>10</v>
      </c>
      <c r="D29" s="54" t="s">
        <v>18</v>
      </c>
      <c r="E29" s="54" t="s">
        <v>8</v>
      </c>
      <c r="F29" s="54" t="s">
        <v>128</v>
      </c>
      <c r="G29" s="54" t="s">
        <v>43</v>
      </c>
    </row>
    <row r="30" spans="1:9">
      <c r="A30" s="49" t="s">
        <v>81</v>
      </c>
      <c r="B30" s="80">
        <v>3</v>
      </c>
      <c r="C30" s="53">
        <v>4.4999999999999998E-2</v>
      </c>
      <c r="D30" s="53">
        <f>+SUM(C30:$C$30)</f>
        <v>4.4999999999999998E-2</v>
      </c>
      <c r="E30" s="53">
        <f>+E7</f>
        <v>20</v>
      </c>
      <c r="F30" s="53">
        <f>+C30*E30</f>
        <v>0.89999999999999991</v>
      </c>
      <c r="G30" s="43">
        <v>0</v>
      </c>
      <c r="H30" s="49" t="s">
        <v>79</v>
      </c>
    </row>
    <row r="31" spans="1:9">
      <c r="A31" s="49" t="s">
        <v>82</v>
      </c>
      <c r="B31" s="56" t="s">
        <v>5</v>
      </c>
      <c r="C31" s="56">
        <f>+SUM(C30:C30)</f>
        <v>4.4999999999999998E-2</v>
      </c>
      <c r="D31" s="56"/>
      <c r="E31" s="56"/>
      <c r="F31" s="61">
        <f>+SUM(F30:F30)</f>
        <v>0.89999999999999991</v>
      </c>
      <c r="G31" s="45"/>
    </row>
    <row r="32" spans="1:9">
      <c r="A32" s="49" t="s">
        <v>83</v>
      </c>
      <c r="G32" s="41"/>
    </row>
    <row r="33" spans="1:8">
      <c r="G33" s="41"/>
    </row>
    <row r="34" spans="1:8">
      <c r="A34" s="52" t="s">
        <v>15</v>
      </c>
      <c r="B34" s="54" t="s">
        <v>73</v>
      </c>
      <c r="C34" s="54" t="s">
        <v>10</v>
      </c>
      <c r="D34" s="54" t="s">
        <v>18</v>
      </c>
      <c r="E34" s="54" t="s">
        <v>8</v>
      </c>
      <c r="F34" s="54" t="s">
        <v>128</v>
      </c>
      <c r="G34" s="54" t="s">
        <v>43</v>
      </c>
    </row>
    <row r="35" spans="1:8">
      <c r="A35" s="49" t="s">
        <v>81</v>
      </c>
      <c r="B35" s="80">
        <v>1</v>
      </c>
      <c r="C35" s="53">
        <v>0.1</v>
      </c>
      <c r="D35" s="53">
        <f>+SUM(C35:$C$35)</f>
        <v>0.1</v>
      </c>
      <c r="E35" s="53">
        <f>+E5</f>
        <v>7</v>
      </c>
      <c r="F35" s="53">
        <f>+C35*E35</f>
        <v>0.70000000000000007</v>
      </c>
      <c r="G35" s="43"/>
    </row>
    <row r="36" spans="1:8">
      <c r="A36" s="49" t="s">
        <v>84</v>
      </c>
      <c r="B36" s="80">
        <v>2</v>
      </c>
      <c r="C36" s="53">
        <v>6.0000000000000001E-3</v>
      </c>
      <c r="D36" s="53">
        <f>+SUM(C$35:$C36)</f>
        <v>0.10600000000000001</v>
      </c>
      <c r="E36" s="53">
        <f>+E6</f>
        <v>15</v>
      </c>
      <c r="F36" s="53">
        <f t="shared" ref="F36:F37" si="3">+C36*E36</f>
        <v>0.09</v>
      </c>
      <c r="G36" s="43"/>
    </row>
    <row r="37" spans="1:8">
      <c r="B37" s="80" t="s">
        <v>74</v>
      </c>
      <c r="C37" s="53">
        <v>5.0000000000000001E-3</v>
      </c>
      <c r="D37" s="53">
        <f>+SUM(C$35:$C37)</f>
        <v>0.11100000000000002</v>
      </c>
      <c r="E37" s="53">
        <f>+E35+E36</f>
        <v>22</v>
      </c>
      <c r="F37" s="53">
        <f t="shared" si="3"/>
        <v>0.11</v>
      </c>
      <c r="G37" s="43">
        <v>0</v>
      </c>
      <c r="H37" s="49" t="s">
        <v>79</v>
      </c>
    </row>
    <row r="38" spans="1:8">
      <c r="A38" s="58"/>
      <c r="B38" s="56" t="s">
        <v>5</v>
      </c>
      <c r="C38" s="56">
        <f>+SUM(C35:C37)</f>
        <v>0.11100000000000002</v>
      </c>
      <c r="D38" s="56"/>
      <c r="E38" s="56"/>
      <c r="F38" s="61">
        <f>+SUM(F35:F37)</f>
        <v>0.9</v>
      </c>
      <c r="G38" s="45"/>
    </row>
    <row r="39" spans="1:8">
      <c r="A39" s="58"/>
      <c r="G39" s="41"/>
    </row>
    <row r="40" spans="1:8">
      <c r="G40" s="41"/>
    </row>
    <row r="41" spans="1:8">
      <c r="A41" s="52" t="s">
        <v>16</v>
      </c>
      <c r="B41" s="54" t="s">
        <v>73</v>
      </c>
      <c r="C41" s="54" t="s">
        <v>10</v>
      </c>
      <c r="D41" s="54" t="s">
        <v>18</v>
      </c>
      <c r="E41" s="54" t="s">
        <v>8</v>
      </c>
      <c r="F41" s="54" t="s">
        <v>128</v>
      </c>
      <c r="G41" s="54" t="s">
        <v>43</v>
      </c>
    </row>
    <row r="42" spans="1:8">
      <c r="A42" s="49" t="s">
        <v>81</v>
      </c>
      <c r="B42" s="80">
        <v>1</v>
      </c>
      <c r="C42" s="53">
        <v>0.12857142857142859</v>
      </c>
      <c r="D42" s="53">
        <f>+SUM(C42:$C$42)</f>
        <v>0.12857142857142859</v>
      </c>
      <c r="E42" s="53">
        <f>+E5</f>
        <v>7</v>
      </c>
      <c r="F42" s="53">
        <f>+E42*C42</f>
        <v>0.90000000000000013</v>
      </c>
      <c r="G42" s="43">
        <v>0</v>
      </c>
      <c r="H42" s="49" t="s">
        <v>79</v>
      </c>
    </row>
    <row r="43" spans="1:8">
      <c r="A43" s="49" t="s">
        <v>83</v>
      </c>
      <c r="B43" s="56" t="s">
        <v>5</v>
      </c>
      <c r="C43" s="56">
        <f>+SUM(C42:C42)</f>
        <v>0.12857142857142859</v>
      </c>
      <c r="D43" s="56"/>
      <c r="E43" s="56"/>
      <c r="F43" s="61">
        <f>+SUM(F42:F42)</f>
        <v>0.90000000000000013</v>
      </c>
      <c r="G43" s="45"/>
    </row>
    <row r="44" spans="1:8">
      <c r="A44" s="49" t="s">
        <v>84</v>
      </c>
      <c r="G44" s="41"/>
    </row>
    <row r="45" spans="1:8">
      <c r="G45" s="41"/>
    </row>
    <row r="46" spans="1:8">
      <c r="A46" s="52" t="s">
        <v>17</v>
      </c>
      <c r="B46" s="54" t="s">
        <v>73</v>
      </c>
      <c r="C46" s="54" t="s">
        <v>10</v>
      </c>
      <c r="D46" s="54" t="s">
        <v>18</v>
      </c>
      <c r="E46" s="54" t="s">
        <v>8</v>
      </c>
      <c r="F46" s="54" t="s">
        <v>128</v>
      </c>
      <c r="G46" s="54" t="s">
        <v>43</v>
      </c>
    </row>
    <row r="47" spans="1:8">
      <c r="A47" s="49" t="s">
        <v>81</v>
      </c>
      <c r="B47" s="80">
        <v>2</v>
      </c>
      <c r="C47" s="53">
        <v>0.06</v>
      </c>
      <c r="D47" s="53">
        <f>+SUM(C$47:$C47)</f>
        <v>0.06</v>
      </c>
      <c r="E47" s="53">
        <f>+E6</f>
        <v>15</v>
      </c>
      <c r="F47" s="53">
        <f>+E47*C47</f>
        <v>0.89999999999999991</v>
      </c>
      <c r="G47" s="43">
        <v>0</v>
      </c>
      <c r="H47" s="49" t="s">
        <v>79</v>
      </c>
    </row>
    <row r="48" spans="1:8">
      <c r="A48" s="49" t="s">
        <v>82</v>
      </c>
      <c r="B48" s="56" t="s">
        <v>5</v>
      </c>
      <c r="C48" s="56">
        <f>+SUM(C47:C47)</f>
        <v>0.06</v>
      </c>
      <c r="D48" s="56"/>
      <c r="E48" s="56"/>
      <c r="F48" s="61">
        <f>+SUM(F47:F47)</f>
        <v>0.89999999999999991</v>
      </c>
      <c r="G48" s="45"/>
    </row>
    <row r="49" spans="1:7">
      <c r="A49" s="49" t="s">
        <v>84</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40.xml><?xml version="1.0" encoding="utf-8"?>
<worksheet xmlns="http://schemas.openxmlformats.org/spreadsheetml/2006/main" xmlns:r="http://schemas.openxmlformats.org/officeDocument/2006/relationships">
  <dimension ref="A1:J126"/>
  <sheetViews>
    <sheetView workbookViewId="0">
      <selection activeCell="C42" sqref="C42"/>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3" t="s">
        <v>90</v>
      </c>
      <c r="B1" s="123"/>
      <c r="C1" s="123"/>
      <c r="D1" s="123"/>
      <c r="E1" s="123"/>
    </row>
    <row r="2" spans="1:8">
      <c r="A2" s="59" t="s">
        <v>108</v>
      </c>
    </row>
    <row r="4" spans="1:8">
      <c r="A4" s="52" t="s">
        <v>9</v>
      </c>
      <c r="B4" s="54" t="s">
        <v>73</v>
      </c>
      <c r="C4" s="54" t="s">
        <v>10</v>
      </c>
      <c r="D4" s="54" t="s">
        <v>18</v>
      </c>
      <c r="E4" s="54" t="s">
        <v>8</v>
      </c>
      <c r="F4" s="54" t="s">
        <v>128</v>
      </c>
      <c r="G4" s="54" t="s">
        <v>43</v>
      </c>
    </row>
    <row r="5" spans="1:8">
      <c r="A5" s="49" t="s">
        <v>80</v>
      </c>
      <c r="B5" s="81">
        <v>1</v>
      </c>
      <c r="C5" s="50">
        <v>0</v>
      </c>
      <c r="D5" s="50">
        <f>+SUM($C$5:C5)</f>
        <v>0</v>
      </c>
      <c r="E5" s="50">
        <f>+Summary!H27</f>
        <v>5</v>
      </c>
      <c r="F5" s="50">
        <f>+C5*E5</f>
        <v>0</v>
      </c>
      <c r="G5" s="43"/>
    </row>
    <row r="6" spans="1:8">
      <c r="B6" s="81">
        <v>2</v>
      </c>
      <c r="C6" s="50">
        <v>0.05</v>
      </c>
      <c r="D6" s="50">
        <f>+SUM($C$5:C6)</f>
        <v>0.05</v>
      </c>
      <c r="E6" s="50">
        <f>+Summary!H28</f>
        <v>10</v>
      </c>
      <c r="F6" s="50">
        <f t="shared" ref="F6:F11" si="0">+C6*E6</f>
        <v>0.5</v>
      </c>
      <c r="G6" s="43"/>
    </row>
    <row r="7" spans="1:8">
      <c r="B7" s="81">
        <v>3</v>
      </c>
      <c r="C7" s="50">
        <v>0.2</v>
      </c>
      <c r="D7" s="50">
        <f>+SUM($C$5:C7)</f>
        <v>0.25</v>
      </c>
      <c r="E7" s="50">
        <f>+Summary!H29</f>
        <v>15</v>
      </c>
      <c r="F7" s="50">
        <f t="shared" si="0"/>
        <v>3</v>
      </c>
      <c r="G7" s="43"/>
    </row>
    <row r="8" spans="1:8">
      <c r="B8" s="81" t="s">
        <v>74</v>
      </c>
      <c r="C8" s="50">
        <v>0.2</v>
      </c>
      <c r="D8" s="50">
        <f>+SUM($C$5:C8)</f>
        <v>0.45</v>
      </c>
      <c r="E8" s="50">
        <f>+E5+E6</f>
        <v>15</v>
      </c>
      <c r="F8" s="50">
        <f t="shared" si="0"/>
        <v>3</v>
      </c>
      <c r="G8" s="43"/>
    </row>
    <row r="9" spans="1:8">
      <c r="B9" s="81" t="s">
        <v>75</v>
      </c>
      <c r="C9" s="50">
        <v>0.15</v>
      </c>
      <c r="D9" s="50">
        <f>+SUM($C$5:C9)</f>
        <v>0.6</v>
      </c>
      <c r="E9" s="50">
        <f>+E5+E7</f>
        <v>20</v>
      </c>
      <c r="F9" s="50">
        <f t="shared" si="0"/>
        <v>3</v>
      </c>
      <c r="G9" s="43"/>
    </row>
    <row r="10" spans="1:8">
      <c r="B10" s="81" t="s">
        <v>76</v>
      </c>
      <c r="C10" s="50">
        <v>0.1</v>
      </c>
      <c r="D10" s="50">
        <f>+SUM($C$5:C10)</f>
        <v>0.7</v>
      </c>
      <c r="E10" s="50">
        <f>+E6+E7</f>
        <v>25</v>
      </c>
      <c r="F10" s="50">
        <f t="shared" si="0"/>
        <v>2.5</v>
      </c>
      <c r="G10" s="43"/>
    </row>
    <row r="11" spans="1:8">
      <c r="B11" s="81" t="s">
        <v>77</v>
      </c>
      <c r="C11" s="50">
        <v>0.1</v>
      </c>
      <c r="D11" s="50">
        <f>+SUM($C$5:C11)</f>
        <v>0.79999999999999993</v>
      </c>
      <c r="E11" s="50">
        <f>+E5+E6+E7</f>
        <v>30</v>
      </c>
      <c r="F11" s="50">
        <f t="shared" si="0"/>
        <v>3</v>
      </c>
      <c r="G11" s="43">
        <v>0</v>
      </c>
      <c r="H11" s="49" t="s">
        <v>79</v>
      </c>
    </row>
    <row r="12" spans="1:8">
      <c r="B12" s="56" t="s">
        <v>11</v>
      </c>
      <c r="C12" s="56">
        <f>+SUM(C5:C11)</f>
        <v>0.79999999999999993</v>
      </c>
      <c r="D12" s="56"/>
      <c r="E12" s="56"/>
      <c r="F12" s="63">
        <f>+SUM(F5:F11)</f>
        <v>15</v>
      </c>
      <c r="G12" s="44"/>
    </row>
    <row r="13" spans="1:8">
      <c r="B13" s="57" t="s">
        <v>78</v>
      </c>
      <c r="G13" s="41"/>
    </row>
    <row r="14" spans="1:8">
      <c r="G14" s="41"/>
    </row>
    <row r="15" spans="1:8">
      <c r="A15" s="52" t="s">
        <v>12</v>
      </c>
      <c r="B15" s="54" t="s">
        <v>73</v>
      </c>
      <c r="C15" s="54" t="s">
        <v>10</v>
      </c>
      <c r="D15" s="54" t="s">
        <v>18</v>
      </c>
      <c r="E15" s="54" t="s">
        <v>8</v>
      </c>
      <c r="F15" s="54" t="s">
        <v>128</v>
      </c>
      <c r="G15" s="54" t="s">
        <v>43</v>
      </c>
    </row>
    <row r="16" spans="1:8">
      <c r="A16" s="49" t="s">
        <v>81</v>
      </c>
      <c r="B16" s="80">
        <v>2</v>
      </c>
      <c r="C16" s="53">
        <v>0.25</v>
      </c>
      <c r="D16" s="53">
        <f>+SUM(C16:$C$16)</f>
        <v>0.25</v>
      </c>
      <c r="E16" s="53">
        <f>+E6</f>
        <v>10</v>
      </c>
      <c r="F16" s="53">
        <f>+C16*E16</f>
        <v>2.5</v>
      </c>
      <c r="G16" s="43"/>
    </row>
    <row r="17" spans="1:10">
      <c r="A17" s="49" t="s">
        <v>82</v>
      </c>
      <c r="B17" s="80">
        <v>3</v>
      </c>
      <c r="C17" s="53">
        <v>0.6</v>
      </c>
      <c r="D17" s="53">
        <f>+SUM(C$16:$C17)</f>
        <v>0.85</v>
      </c>
      <c r="E17" s="53">
        <f>+E7</f>
        <v>15</v>
      </c>
      <c r="F17" s="53">
        <f>+C17*E17</f>
        <v>9</v>
      </c>
      <c r="G17" s="43"/>
    </row>
    <row r="18" spans="1:10">
      <c r="B18" s="80" t="s">
        <v>76</v>
      </c>
      <c r="C18" s="53">
        <v>0.14000000000000001</v>
      </c>
      <c r="D18" s="53">
        <f>+SUM(C$16:$C18)</f>
        <v>0.99</v>
      </c>
      <c r="E18" s="53">
        <f>+E16+E17</f>
        <v>25</v>
      </c>
      <c r="F18" s="53">
        <f>+C18*E18</f>
        <v>3.5000000000000004</v>
      </c>
      <c r="G18" s="43">
        <v>0</v>
      </c>
      <c r="H18" s="49" t="s">
        <v>79</v>
      </c>
    </row>
    <row r="19" spans="1:10">
      <c r="B19" s="56" t="s">
        <v>5</v>
      </c>
      <c r="C19" s="56">
        <f>+SUM(C16:C18)</f>
        <v>0.99</v>
      </c>
      <c r="D19" s="56"/>
      <c r="E19" s="56"/>
      <c r="F19" s="61">
        <f>+SUM(F16:F18)</f>
        <v>15</v>
      </c>
      <c r="G19" s="45"/>
    </row>
    <row r="20" spans="1:10">
      <c r="B20" s="60"/>
      <c r="C20" s="60"/>
      <c r="D20" s="60"/>
      <c r="E20" s="60"/>
      <c r="F20" s="55"/>
      <c r="G20" s="46"/>
    </row>
    <row r="21" spans="1:10">
      <c r="B21" s="60"/>
      <c r="C21" s="60"/>
      <c r="D21" s="60"/>
      <c r="E21" s="60"/>
      <c r="F21" s="55"/>
      <c r="G21" s="46"/>
    </row>
    <row r="22" spans="1:10">
      <c r="A22" s="52" t="s">
        <v>13</v>
      </c>
      <c r="B22" s="54" t="s">
        <v>73</v>
      </c>
      <c r="C22" s="54" t="s">
        <v>10</v>
      </c>
      <c r="D22" s="54" t="s">
        <v>18</v>
      </c>
      <c r="E22" s="54" t="s">
        <v>8</v>
      </c>
      <c r="F22" s="54" t="s">
        <v>128</v>
      </c>
      <c r="G22" s="54" t="s">
        <v>43</v>
      </c>
    </row>
    <row r="23" spans="1:10">
      <c r="A23" s="49" t="s">
        <v>81</v>
      </c>
      <c r="B23" s="80">
        <v>1</v>
      </c>
      <c r="C23" s="53">
        <v>7.0000000000000007E-2</v>
      </c>
      <c r="D23" s="53">
        <f>+SUM(C23:$C$23)</f>
        <v>7.0000000000000007E-2</v>
      </c>
      <c r="E23" s="53">
        <f>+E5</f>
        <v>5</v>
      </c>
      <c r="F23" s="53">
        <f>+C23*E23</f>
        <v>0.35000000000000003</v>
      </c>
      <c r="G23" s="43"/>
    </row>
    <row r="24" spans="1:10">
      <c r="A24" s="49" t="s">
        <v>83</v>
      </c>
      <c r="B24" s="80">
        <v>3</v>
      </c>
      <c r="C24" s="53">
        <v>0.75</v>
      </c>
      <c r="D24" s="53">
        <f>+SUM(C$23:$C24)</f>
        <v>0.82000000000000006</v>
      </c>
      <c r="E24" s="53">
        <f>+E7</f>
        <v>15</v>
      </c>
      <c r="F24" s="53">
        <f t="shared" ref="F24:F25" si="1">+C24*E24</f>
        <v>11.25</v>
      </c>
      <c r="G24" s="43"/>
    </row>
    <row r="25" spans="1:10">
      <c r="B25" s="80" t="s">
        <v>75</v>
      </c>
      <c r="C25" s="53">
        <v>0.17</v>
      </c>
      <c r="D25" s="53">
        <f>+SUM(C$23:$C25)</f>
        <v>0.9900000000000001</v>
      </c>
      <c r="E25" s="53">
        <f>+E23+E24</f>
        <v>20</v>
      </c>
      <c r="F25" s="53">
        <f t="shared" si="1"/>
        <v>3.4000000000000004</v>
      </c>
      <c r="G25" s="43">
        <v>0</v>
      </c>
      <c r="H25" s="49" t="s">
        <v>79</v>
      </c>
      <c r="J25" s="62"/>
    </row>
    <row r="26" spans="1:10">
      <c r="B26" s="56" t="s">
        <v>5</v>
      </c>
      <c r="C26" s="56">
        <f>+SUM(C23:C25)</f>
        <v>0.9900000000000001</v>
      </c>
      <c r="D26" s="56"/>
      <c r="E26" s="56"/>
      <c r="F26" s="61">
        <f>+SUM(F23:F25)</f>
        <v>15</v>
      </c>
      <c r="G26" s="45"/>
    </row>
    <row r="27" spans="1:10">
      <c r="B27" s="60"/>
      <c r="C27" s="60"/>
      <c r="D27" s="60"/>
      <c r="E27" s="60"/>
      <c r="F27" s="55"/>
      <c r="G27" s="46"/>
    </row>
    <row r="28" spans="1:10">
      <c r="G28" s="41"/>
    </row>
    <row r="29" spans="1:10">
      <c r="A29" s="52" t="s">
        <v>14</v>
      </c>
      <c r="B29" s="54" t="s">
        <v>73</v>
      </c>
      <c r="C29" s="54" t="s">
        <v>10</v>
      </c>
      <c r="D29" s="54" t="s">
        <v>18</v>
      </c>
      <c r="E29" s="54" t="s">
        <v>8</v>
      </c>
      <c r="F29" s="54" t="s">
        <v>128</v>
      </c>
      <c r="G29" s="54" t="s">
        <v>43</v>
      </c>
    </row>
    <row r="30" spans="1:10">
      <c r="A30" s="49" t="s">
        <v>81</v>
      </c>
      <c r="B30" s="80">
        <v>3</v>
      </c>
      <c r="C30" s="53">
        <v>1</v>
      </c>
      <c r="D30" s="53">
        <f>+SUM(C30:$C$30)</f>
        <v>1</v>
      </c>
      <c r="E30" s="53">
        <f>+E7</f>
        <v>15</v>
      </c>
      <c r="F30" s="53">
        <f>+C30*E30</f>
        <v>15</v>
      </c>
      <c r="G30" s="43">
        <v>0</v>
      </c>
      <c r="H30" s="49" t="s">
        <v>79</v>
      </c>
    </row>
    <row r="31" spans="1:10">
      <c r="A31" s="49" t="s">
        <v>82</v>
      </c>
      <c r="B31" s="56" t="s">
        <v>5</v>
      </c>
      <c r="C31" s="56">
        <f>+SUM(C30:C30)</f>
        <v>1</v>
      </c>
      <c r="D31" s="56"/>
      <c r="E31" s="56"/>
      <c r="F31" s="61">
        <f>+SUM(F30:F30)</f>
        <v>15</v>
      </c>
      <c r="G31" s="45"/>
    </row>
    <row r="32" spans="1:10">
      <c r="A32" s="49" t="s">
        <v>83</v>
      </c>
      <c r="G32" s="41"/>
    </row>
    <row r="33" spans="1:8">
      <c r="G33" s="41"/>
    </row>
    <row r="34" spans="1:8">
      <c r="A34" s="52" t="s">
        <v>15</v>
      </c>
      <c r="B34" s="54" t="s">
        <v>73</v>
      </c>
      <c r="C34" s="54" t="s">
        <v>10</v>
      </c>
      <c r="D34" s="54" t="s">
        <v>18</v>
      </c>
      <c r="E34" s="54" t="s">
        <v>8</v>
      </c>
      <c r="F34" s="54" t="s">
        <v>128</v>
      </c>
      <c r="G34" s="54" t="s">
        <v>43</v>
      </c>
    </row>
    <row r="35" spans="1:8">
      <c r="A35" s="49" t="s">
        <v>81</v>
      </c>
      <c r="B35" s="80">
        <v>1</v>
      </c>
      <c r="C35" s="53">
        <v>0</v>
      </c>
      <c r="D35" s="53">
        <f>+SUM(C35:$C$35)</f>
        <v>0</v>
      </c>
      <c r="E35" s="53">
        <f>+E5</f>
        <v>5</v>
      </c>
      <c r="F35" s="53">
        <f>+C35*E35</f>
        <v>0</v>
      </c>
      <c r="G35" s="43"/>
    </row>
    <row r="36" spans="1:8">
      <c r="A36" s="49" t="s">
        <v>84</v>
      </c>
      <c r="B36" s="80">
        <v>2</v>
      </c>
      <c r="C36" s="53">
        <v>0</v>
      </c>
      <c r="D36" s="53">
        <f>+SUM(C$35:$C36)</f>
        <v>0</v>
      </c>
      <c r="E36" s="53">
        <f>+E6</f>
        <v>10</v>
      </c>
      <c r="F36" s="53">
        <f t="shared" ref="F36:F37" si="2">+C36*E36</f>
        <v>0</v>
      </c>
      <c r="G36" s="43"/>
    </row>
    <row r="37" spans="1:8">
      <c r="B37" s="80" t="s">
        <v>74</v>
      </c>
      <c r="C37" s="53">
        <v>1</v>
      </c>
      <c r="D37" s="53">
        <f>+SUM(C$35:$C37)</f>
        <v>1</v>
      </c>
      <c r="E37" s="53">
        <f>+E35+E36</f>
        <v>15</v>
      </c>
      <c r="F37" s="53">
        <f t="shared" si="2"/>
        <v>15</v>
      </c>
      <c r="G37" s="43">
        <v>0</v>
      </c>
      <c r="H37" s="49" t="s">
        <v>79</v>
      </c>
    </row>
    <row r="38" spans="1:8">
      <c r="A38" s="58"/>
      <c r="B38" s="56" t="s">
        <v>5</v>
      </c>
      <c r="C38" s="56">
        <f>+SUM(C35:C37)</f>
        <v>1</v>
      </c>
      <c r="D38" s="56"/>
      <c r="E38" s="56"/>
      <c r="F38" s="61">
        <f>+SUM(F35:F37)</f>
        <v>15</v>
      </c>
      <c r="G38" s="45"/>
    </row>
    <row r="39" spans="1:8">
      <c r="A39" s="58"/>
      <c r="G39" s="41"/>
    </row>
    <row r="40" spans="1:8">
      <c r="G40" s="41"/>
    </row>
    <row r="41" spans="1:8">
      <c r="A41" s="52" t="s">
        <v>16</v>
      </c>
      <c r="B41" s="54" t="s">
        <v>73</v>
      </c>
      <c r="C41" s="54" t="s">
        <v>10</v>
      </c>
      <c r="D41" s="54" t="s">
        <v>18</v>
      </c>
      <c r="E41" s="54" t="s">
        <v>8</v>
      </c>
      <c r="F41" s="54" t="s">
        <v>128</v>
      </c>
      <c r="G41" s="48"/>
    </row>
    <row r="42" spans="1:8">
      <c r="A42" s="49" t="s">
        <v>81</v>
      </c>
      <c r="B42" s="80">
        <v>1</v>
      </c>
      <c r="C42" s="53">
        <v>1</v>
      </c>
      <c r="D42" s="53">
        <f>+SUM(C42:$C$42)</f>
        <v>1</v>
      </c>
      <c r="E42" s="53">
        <f>+E5</f>
        <v>5</v>
      </c>
      <c r="F42" s="53">
        <f>+E42*C42</f>
        <v>5</v>
      </c>
      <c r="G42" s="43">
        <v>0</v>
      </c>
      <c r="H42" s="49" t="s">
        <v>79</v>
      </c>
    </row>
    <row r="43" spans="1:8">
      <c r="A43" s="49" t="s">
        <v>83</v>
      </c>
      <c r="B43" s="56" t="s">
        <v>5</v>
      </c>
      <c r="C43" s="56">
        <f>+SUM(C42:C42)</f>
        <v>1</v>
      </c>
      <c r="D43" s="56"/>
      <c r="E43" s="56"/>
      <c r="F43" s="61">
        <f>+SUM(F42:F42)</f>
        <v>5</v>
      </c>
      <c r="G43" s="45"/>
      <c r="H43" s="122" t="s">
        <v>149</v>
      </c>
    </row>
    <row r="44" spans="1:8">
      <c r="A44" s="49" t="s">
        <v>84</v>
      </c>
      <c r="G44" s="41"/>
    </row>
    <row r="45" spans="1:8">
      <c r="G45" s="41"/>
    </row>
    <row r="46" spans="1:8">
      <c r="A46" s="52" t="s">
        <v>17</v>
      </c>
      <c r="B46" s="54" t="s">
        <v>73</v>
      </c>
      <c r="C46" s="54" t="s">
        <v>10</v>
      </c>
      <c r="D46" s="54" t="s">
        <v>18</v>
      </c>
      <c r="E46" s="54" t="s">
        <v>8</v>
      </c>
      <c r="F46" s="54" t="s">
        <v>128</v>
      </c>
      <c r="G46" s="48"/>
    </row>
    <row r="47" spans="1:8">
      <c r="A47" s="49" t="s">
        <v>81</v>
      </c>
      <c r="B47" s="80">
        <v>2</v>
      </c>
      <c r="C47" s="53">
        <v>1</v>
      </c>
      <c r="D47" s="53">
        <f>+SUM(C$47:$C47)</f>
        <v>1</v>
      </c>
      <c r="E47" s="53">
        <f>+E6</f>
        <v>10</v>
      </c>
      <c r="F47" s="53">
        <f>+E47*C47</f>
        <v>10</v>
      </c>
      <c r="G47" s="43">
        <v>0</v>
      </c>
      <c r="H47" s="49" t="s">
        <v>79</v>
      </c>
    </row>
    <row r="48" spans="1:8">
      <c r="A48" s="49" t="s">
        <v>82</v>
      </c>
      <c r="B48" s="56" t="s">
        <v>5</v>
      </c>
      <c r="C48" s="56">
        <f>+SUM(C47:C47)</f>
        <v>1</v>
      </c>
      <c r="D48" s="56"/>
      <c r="E48" s="56"/>
      <c r="F48" s="61">
        <f>+SUM(F47:F47)</f>
        <v>10</v>
      </c>
      <c r="G48" s="45"/>
      <c r="H48" s="122" t="s">
        <v>149</v>
      </c>
    </row>
    <row r="49" spans="1:7">
      <c r="A49" s="49" t="s">
        <v>84</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41.xml><?xml version="1.0" encoding="utf-8"?>
<worksheet xmlns="http://schemas.openxmlformats.org/spreadsheetml/2006/main" xmlns:r="http://schemas.openxmlformats.org/officeDocument/2006/relationships">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3" t="s">
        <v>93</v>
      </c>
      <c r="B1" s="123"/>
      <c r="C1" s="123"/>
      <c r="D1" s="123"/>
      <c r="E1" s="123"/>
    </row>
    <row r="2" spans="1:8">
      <c r="A2" s="59" t="s">
        <v>108</v>
      </c>
    </row>
    <row r="4" spans="1:8">
      <c r="A4" s="52" t="s">
        <v>9</v>
      </c>
      <c r="B4" s="54" t="s">
        <v>73</v>
      </c>
      <c r="C4" s="54" t="s">
        <v>10</v>
      </c>
      <c r="D4" s="54" t="s">
        <v>18</v>
      </c>
      <c r="E4" s="54" t="s">
        <v>8</v>
      </c>
      <c r="F4" s="54" t="s">
        <v>128</v>
      </c>
      <c r="G4" s="54" t="s">
        <v>43</v>
      </c>
    </row>
    <row r="5" spans="1:8">
      <c r="A5" s="49" t="s">
        <v>80</v>
      </c>
      <c r="B5" s="81">
        <v>1</v>
      </c>
      <c r="C5" s="50">
        <v>1.9E-2</v>
      </c>
      <c r="D5" s="50">
        <f>+SUM($C$5:C5)</f>
        <v>1.9E-2</v>
      </c>
      <c r="E5" s="64">
        <f>Summary!K27</f>
        <v>5</v>
      </c>
      <c r="F5" s="50">
        <f>+C5*E5</f>
        <v>9.5000000000000001E-2</v>
      </c>
      <c r="G5" s="43"/>
    </row>
    <row r="6" spans="1:8">
      <c r="B6" s="81">
        <v>2</v>
      </c>
      <c r="C6" s="50">
        <v>0.57499999999999996</v>
      </c>
      <c r="D6" s="50">
        <f>+SUM($C$5:C6)</f>
        <v>0.59399999999999997</v>
      </c>
      <c r="E6" s="64">
        <f>Summary!K28</f>
        <v>12</v>
      </c>
      <c r="F6" s="50">
        <f t="shared" ref="F6:F11" si="0">+C6*E6</f>
        <v>6.8999999999999995</v>
      </c>
      <c r="G6" s="43"/>
    </row>
    <row r="7" spans="1:8">
      <c r="B7" s="81">
        <v>3</v>
      </c>
      <c r="C7" s="50">
        <v>0.30499999999999999</v>
      </c>
      <c r="D7" s="50">
        <f>+SUM($C$5:C7)</f>
        <v>0.89900000000000002</v>
      </c>
      <c r="E7" s="64">
        <f>Summary!K29</f>
        <v>18</v>
      </c>
      <c r="F7" s="50">
        <f t="shared" si="0"/>
        <v>5.49</v>
      </c>
      <c r="G7" s="43"/>
    </row>
    <row r="8" spans="1:8">
      <c r="B8" s="81" t="s">
        <v>74</v>
      </c>
      <c r="C8" s="50">
        <v>0.05</v>
      </c>
      <c r="D8" s="50">
        <f>+SUM($C$5:C8)</f>
        <v>0.94900000000000007</v>
      </c>
      <c r="E8" s="50">
        <f>+E5+E6</f>
        <v>17</v>
      </c>
      <c r="F8" s="50">
        <f t="shared" si="0"/>
        <v>0.85000000000000009</v>
      </c>
      <c r="G8" s="43"/>
    </row>
    <row r="9" spans="1:8">
      <c r="B9" s="81" t="s">
        <v>75</v>
      </c>
      <c r="C9" s="50">
        <v>0.02</v>
      </c>
      <c r="D9" s="50">
        <f>+SUM($C$5:C9)</f>
        <v>0.96900000000000008</v>
      </c>
      <c r="E9" s="50">
        <f>+E5+E7</f>
        <v>23</v>
      </c>
      <c r="F9" s="50">
        <f t="shared" si="0"/>
        <v>0.46</v>
      </c>
      <c r="G9" s="43"/>
    </row>
    <row r="10" spans="1:8">
      <c r="B10" s="81" t="s">
        <v>76</v>
      </c>
      <c r="C10" s="50">
        <v>0.03</v>
      </c>
      <c r="D10" s="50">
        <f>+SUM($C$5:C10)</f>
        <v>0.99900000000000011</v>
      </c>
      <c r="E10" s="50">
        <f>+E6+E7</f>
        <v>30</v>
      </c>
      <c r="F10" s="50">
        <f t="shared" si="0"/>
        <v>0.89999999999999991</v>
      </c>
      <c r="G10" s="43"/>
    </row>
    <row r="11" spans="1:8">
      <c r="B11" s="81" t="s">
        <v>77</v>
      </c>
      <c r="C11" s="50">
        <v>1E-3</v>
      </c>
      <c r="D11" s="50">
        <f>+SUM($C$5:C11)</f>
        <v>1</v>
      </c>
      <c r="E11" s="50">
        <f>+E5+E6+E7</f>
        <v>35</v>
      </c>
      <c r="F11" s="50">
        <f t="shared" si="0"/>
        <v>3.5000000000000003E-2</v>
      </c>
      <c r="G11" s="43">
        <v>0</v>
      </c>
      <c r="H11" s="49" t="s">
        <v>79</v>
      </c>
    </row>
    <row r="12" spans="1:8">
      <c r="B12" s="56" t="s">
        <v>11</v>
      </c>
      <c r="C12" s="56">
        <f>+SUM(C5:C11)</f>
        <v>1</v>
      </c>
      <c r="D12" s="56"/>
      <c r="E12" s="56"/>
      <c r="F12" s="63">
        <f>+SUM(F5:F11)</f>
        <v>14.73</v>
      </c>
      <c r="G12" s="44"/>
    </row>
    <row r="13" spans="1:8">
      <c r="B13" s="57" t="s">
        <v>78</v>
      </c>
      <c r="G13" s="41"/>
    </row>
    <row r="14" spans="1:8">
      <c r="G14" s="41"/>
    </row>
    <row r="15" spans="1:8">
      <c r="A15" s="52" t="s">
        <v>12</v>
      </c>
      <c r="B15" s="54" t="s">
        <v>73</v>
      </c>
      <c r="C15" s="54" t="s">
        <v>10</v>
      </c>
      <c r="D15" s="54" t="s">
        <v>18</v>
      </c>
      <c r="E15" s="54" t="s">
        <v>8</v>
      </c>
      <c r="F15" s="54" t="s">
        <v>128</v>
      </c>
      <c r="G15" s="54" t="s">
        <v>43</v>
      </c>
    </row>
    <row r="16" spans="1:8">
      <c r="A16" s="49" t="s">
        <v>81</v>
      </c>
      <c r="B16" s="80">
        <v>2</v>
      </c>
      <c r="C16" s="53">
        <v>0.6</v>
      </c>
      <c r="D16" s="53">
        <f>+SUM(C16:$C$16)</f>
        <v>0.6</v>
      </c>
      <c r="E16" s="53">
        <f>+E6</f>
        <v>12</v>
      </c>
      <c r="F16" s="53">
        <f>+C16*E16</f>
        <v>7.1999999999999993</v>
      </c>
      <c r="G16" s="43"/>
    </row>
    <row r="17" spans="1:10">
      <c r="A17" s="49" t="s">
        <v>82</v>
      </c>
      <c r="B17" s="80">
        <v>3</v>
      </c>
      <c r="C17" s="53">
        <v>0.35</v>
      </c>
      <c r="D17" s="53">
        <f>+SUM(C$16:$C17)</f>
        <v>0.95</v>
      </c>
      <c r="E17" s="53">
        <f>+E7</f>
        <v>18</v>
      </c>
      <c r="F17" s="53">
        <f t="shared" ref="F17:F18" si="1">+C17*E17</f>
        <v>6.3</v>
      </c>
      <c r="G17" s="43"/>
    </row>
    <row r="18" spans="1:10">
      <c r="B18" s="80" t="s">
        <v>76</v>
      </c>
      <c r="C18" s="53">
        <v>0.05</v>
      </c>
      <c r="D18" s="53">
        <f>+SUM(C$16:$C18)</f>
        <v>1</v>
      </c>
      <c r="E18" s="53">
        <f>+E16+E17</f>
        <v>30</v>
      </c>
      <c r="F18" s="53">
        <f t="shared" si="1"/>
        <v>1.5</v>
      </c>
      <c r="G18" s="43">
        <v>0</v>
      </c>
      <c r="H18" s="49" t="s">
        <v>79</v>
      </c>
    </row>
    <row r="19" spans="1:10">
      <c r="B19" s="56" t="s">
        <v>5</v>
      </c>
      <c r="C19" s="56">
        <f>+SUM(C16:C18)</f>
        <v>1</v>
      </c>
      <c r="D19" s="56"/>
      <c r="E19" s="56"/>
      <c r="F19" s="61">
        <f>+SUM(F16:F18)</f>
        <v>15</v>
      </c>
      <c r="G19" s="45"/>
    </row>
    <row r="20" spans="1:10">
      <c r="B20" s="60"/>
      <c r="C20" s="60"/>
      <c r="D20" s="60"/>
      <c r="E20" s="60"/>
      <c r="F20" s="55"/>
      <c r="G20" s="46"/>
    </row>
    <row r="21" spans="1:10">
      <c r="B21" s="60"/>
      <c r="C21" s="60"/>
      <c r="D21" s="60"/>
      <c r="E21" s="60"/>
      <c r="F21" s="55"/>
      <c r="G21" s="46"/>
    </row>
    <row r="22" spans="1:10">
      <c r="A22" s="52" t="s">
        <v>13</v>
      </c>
      <c r="B22" s="54" t="s">
        <v>73</v>
      </c>
      <c r="C22" s="54" t="s">
        <v>10</v>
      </c>
      <c r="D22" s="54" t="s">
        <v>18</v>
      </c>
      <c r="E22" s="54" t="s">
        <v>8</v>
      </c>
      <c r="F22" s="54" t="s">
        <v>128</v>
      </c>
      <c r="G22" s="54" t="s">
        <v>43</v>
      </c>
    </row>
    <row r="23" spans="1:10">
      <c r="A23" s="49" t="s">
        <v>81</v>
      </c>
      <c r="B23" s="80">
        <v>1</v>
      </c>
      <c r="C23" s="53">
        <v>0.26840000000000003</v>
      </c>
      <c r="D23" s="53">
        <f>+SUM(C23:$C$23)</f>
        <v>0.26840000000000003</v>
      </c>
      <c r="E23" s="53">
        <f>+E5</f>
        <v>5</v>
      </c>
      <c r="F23" s="53">
        <f>+C23*E23</f>
        <v>1.3420000000000001</v>
      </c>
      <c r="G23" s="43"/>
    </row>
    <row r="24" spans="1:10">
      <c r="A24" s="49" t="s">
        <v>83</v>
      </c>
      <c r="B24" s="80">
        <v>3</v>
      </c>
      <c r="C24" s="53">
        <v>0.63100000000000001</v>
      </c>
      <c r="D24" s="53">
        <f>+SUM(C$23:$C24)</f>
        <v>0.89939999999999998</v>
      </c>
      <c r="E24" s="53">
        <f>+E7</f>
        <v>18</v>
      </c>
      <c r="F24" s="53">
        <f t="shared" ref="F24:F25" si="2">+C24*E24</f>
        <v>11.358000000000001</v>
      </c>
      <c r="G24" s="43"/>
    </row>
    <row r="25" spans="1:10">
      <c r="B25" s="80" t="s">
        <v>75</v>
      </c>
      <c r="C25" s="53">
        <v>0.1</v>
      </c>
      <c r="D25" s="53">
        <f>+SUM(C$23:$C25)</f>
        <v>0.99939999999999996</v>
      </c>
      <c r="E25" s="53">
        <f>+E23+E24</f>
        <v>23</v>
      </c>
      <c r="F25" s="53">
        <f t="shared" si="2"/>
        <v>2.3000000000000003</v>
      </c>
      <c r="G25" s="43">
        <v>0</v>
      </c>
      <c r="H25" s="49" t="s">
        <v>79</v>
      </c>
      <c r="J25" s="62"/>
    </row>
    <row r="26" spans="1:10">
      <c r="B26" s="56" t="s">
        <v>5</v>
      </c>
      <c r="C26" s="56">
        <f>+SUM(C23:C25)</f>
        <v>0.99939999999999996</v>
      </c>
      <c r="D26" s="56"/>
      <c r="E26" s="56"/>
      <c r="F26" s="61">
        <f>+SUM(F23:F25)</f>
        <v>15.000000000000002</v>
      </c>
      <c r="G26" s="45"/>
    </row>
    <row r="27" spans="1:10">
      <c r="B27" s="60"/>
      <c r="C27" s="60"/>
      <c r="D27" s="60"/>
      <c r="E27" s="60"/>
      <c r="F27" s="55"/>
      <c r="G27" s="46"/>
    </row>
    <row r="28" spans="1:10">
      <c r="G28" s="41"/>
    </row>
    <row r="29" spans="1:10">
      <c r="A29" s="52" t="s">
        <v>14</v>
      </c>
      <c r="B29" s="54" t="s">
        <v>73</v>
      </c>
      <c r="C29" s="54" t="s">
        <v>10</v>
      </c>
      <c r="D29" s="54" t="s">
        <v>18</v>
      </c>
      <c r="E29" s="54" t="s">
        <v>8</v>
      </c>
      <c r="F29" s="54" t="s">
        <v>128</v>
      </c>
      <c r="G29" s="54" t="s">
        <v>43</v>
      </c>
    </row>
    <row r="30" spans="1:10">
      <c r="A30" s="49" t="s">
        <v>81</v>
      </c>
      <c r="B30" s="80">
        <v>3</v>
      </c>
      <c r="C30" s="53">
        <f>15/18</f>
        <v>0.83333333333333337</v>
      </c>
      <c r="D30" s="53">
        <f>+SUM(C30:$C$30)</f>
        <v>0.83333333333333337</v>
      </c>
      <c r="E30" s="53">
        <f>+E7</f>
        <v>18</v>
      </c>
      <c r="F30" s="53">
        <f>+C30*E30</f>
        <v>15</v>
      </c>
      <c r="G30" s="43">
        <v>0</v>
      </c>
      <c r="H30" s="49" t="s">
        <v>79</v>
      </c>
    </row>
    <row r="31" spans="1:10">
      <c r="A31" s="49" t="s">
        <v>82</v>
      </c>
      <c r="B31" s="56" t="s">
        <v>5</v>
      </c>
      <c r="C31" s="56">
        <f>+SUM(C30:C30)</f>
        <v>0.83333333333333337</v>
      </c>
      <c r="D31" s="56"/>
      <c r="E31" s="56"/>
      <c r="F31" s="61">
        <f>+SUM(F30:F30)</f>
        <v>15</v>
      </c>
      <c r="G31" s="45"/>
    </row>
    <row r="32" spans="1:10">
      <c r="A32" s="49" t="s">
        <v>83</v>
      </c>
      <c r="G32" s="41"/>
    </row>
    <row r="33" spans="1:8">
      <c r="G33" s="41"/>
    </row>
    <row r="34" spans="1:8">
      <c r="A34" s="52" t="s">
        <v>15</v>
      </c>
      <c r="B34" s="54" t="s">
        <v>73</v>
      </c>
      <c r="C34" s="54" t="s">
        <v>10</v>
      </c>
      <c r="D34" s="54" t="s">
        <v>18</v>
      </c>
      <c r="E34" s="54" t="s">
        <v>8</v>
      </c>
      <c r="F34" s="54" t="s">
        <v>128</v>
      </c>
      <c r="G34" s="54" t="s">
        <v>43</v>
      </c>
    </row>
    <row r="35" spans="1:8">
      <c r="A35" s="49" t="s">
        <v>81</v>
      </c>
      <c r="B35" s="80">
        <v>1</v>
      </c>
      <c r="C35" s="53">
        <v>0</v>
      </c>
      <c r="D35" s="53">
        <f>+SUM(C35:$C$35)</f>
        <v>0</v>
      </c>
      <c r="E35" s="53">
        <f>+E5</f>
        <v>5</v>
      </c>
      <c r="F35" s="53">
        <f>+C35*E35</f>
        <v>0</v>
      </c>
      <c r="G35" s="43"/>
    </row>
    <row r="36" spans="1:8">
      <c r="A36" s="49" t="s">
        <v>84</v>
      </c>
      <c r="B36" s="80">
        <v>2</v>
      </c>
      <c r="C36" s="53">
        <v>0.4</v>
      </c>
      <c r="D36" s="53">
        <f>+SUM(C$35:$C36)</f>
        <v>0.4</v>
      </c>
      <c r="E36" s="53">
        <f>+E6</f>
        <v>12</v>
      </c>
      <c r="F36" s="53">
        <f t="shared" ref="F36:F37" si="3">+C36*E36</f>
        <v>4.8000000000000007</v>
      </c>
      <c r="G36" s="43"/>
    </row>
    <row r="37" spans="1:8">
      <c r="B37" s="80" t="s">
        <v>74</v>
      </c>
      <c r="C37" s="53">
        <v>0.6</v>
      </c>
      <c r="D37" s="53">
        <f>+SUM(C$35:$C37)</f>
        <v>1</v>
      </c>
      <c r="E37" s="53">
        <f>+E35+E36</f>
        <v>17</v>
      </c>
      <c r="F37" s="53">
        <f t="shared" si="3"/>
        <v>10.199999999999999</v>
      </c>
      <c r="G37" s="43">
        <v>0</v>
      </c>
      <c r="H37" s="49" t="s">
        <v>79</v>
      </c>
    </row>
    <row r="38" spans="1:8">
      <c r="A38" s="58"/>
      <c r="B38" s="56" t="s">
        <v>5</v>
      </c>
      <c r="C38" s="56">
        <f>+SUM(C35:C37)</f>
        <v>1</v>
      </c>
      <c r="D38" s="56"/>
      <c r="E38" s="56"/>
      <c r="F38" s="61">
        <f>+SUM(F35:F37)</f>
        <v>15</v>
      </c>
      <c r="G38" s="45"/>
    </row>
    <row r="39" spans="1:8">
      <c r="A39" s="58"/>
      <c r="G39" s="41"/>
    </row>
    <row r="40" spans="1:8">
      <c r="G40" s="41"/>
    </row>
    <row r="41" spans="1:8">
      <c r="A41" s="52" t="s">
        <v>16</v>
      </c>
      <c r="B41" s="54" t="s">
        <v>73</v>
      </c>
      <c r="C41" s="54" t="s">
        <v>10</v>
      </c>
      <c r="D41" s="54" t="s">
        <v>18</v>
      </c>
      <c r="E41" s="54" t="s">
        <v>8</v>
      </c>
      <c r="F41" s="54" t="s">
        <v>128</v>
      </c>
      <c r="G41" s="48"/>
    </row>
    <row r="42" spans="1:8">
      <c r="A42" s="49" t="s">
        <v>81</v>
      </c>
      <c r="B42" s="80">
        <v>1</v>
      </c>
      <c r="C42" s="53">
        <v>1</v>
      </c>
      <c r="D42" s="53">
        <f>+SUM(C42:$C$42)</f>
        <v>1</v>
      </c>
      <c r="E42" s="53">
        <f>+E5</f>
        <v>5</v>
      </c>
      <c r="F42" s="53">
        <f>+E42*C42</f>
        <v>5</v>
      </c>
      <c r="G42" s="43">
        <v>0</v>
      </c>
      <c r="H42" s="49" t="s">
        <v>79</v>
      </c>
    </row>
    <row r="43" spans="1:8">
      <c r="A43" s="49" t="s">
        <v>83</v>
      </c>
      <c r="B43" s="56" t="s">
        <v>5</v>
      </c>
      <c r="C43" s="56">
        <f>+SUM(C42:C42)</f>
        <v>1</v>
      </c>
      <c r="D43" s="56"/>
      <c r="E43" s="56"/>
      <c r="F43" s="61">
        <f>+SUM(F42:F42)</f>
        <v>5</v>
      </c>
      <c r="G43" s="45"/>
      <c r="H43" s="122" t="s">
        <v>149</v>
      </c>
    </row>
    <row r="44" spans="1:8">
      <c r="A44" s="49" t="s">
        <v>84</v>
      </c>
      <c r="G44" s="41"/>
    </row>
    <row r="45" spans="1:8">
      <c r="G45" s="41"/>
    </row>
    <row r="46" spans="1:8">
      <c r="A46" s="52" t="s">
        <v>17</v>
      </c>
      <c r="B46" s="54" t="s">
        <v>73</v>
      </c>
      <c r="C46" s="54" t="s">
        <v>10</v>
      </c>
      <c r="D46" s="54" t="s">
        <v>18</v>
      </c>
      <c r="E46" s="54" t="s">
        <v>8</v>
      </c>
      <c r="F46" s="54" t="s">
        <v>128</v>
      </c>
      <c r="G46" s="48"/>
    </row>
    <row r="47" spans="1:8">
      <c r="A47" s="49" t="s">
        <v>81</v>
      </c>
      <c r="B47" s="80">
        <v>2</v>
      </c>
      <c r="C47" s="53">
        <v>1</v>
      </c>
      <c r="D47" s="53">
        <f>+SUM(C$47:$C47)</f>
        <v>1</v>
      </c>
      <c r="E47" s="53">
        <f>+E6</f>
        <v>12</v>
      </c>
      <c r="F47" s="53">
        <f>+E47*C47</f>
        <v>12</v>
      </c>
      <c r="G47" s="43">
        <v>0</v>
      </c>
      <c r="H47" s="49" t="s">
        <v>79</v>
      </c>
    </row>
    <row r="48" spans="1:8">
      <c r="A48" s="49" t="s">
        <v>82</v>
      </c>
      <c r="B48" s="56" t="s">
        <v>5</v>
      </c>
      <c r="C48" s="56">
        <f>+SUM(C47:C47)</f>
        <v>1</v>
      </c>
      <c r="D48" s="56"/>
      <c r="E48" s="56"/>
      <c r="F48" s="61">
        <f>+SUM(F47:F47)</f>
        <v>12</v>
      </c>
      <c r="G48" s="45"/>
      <c r="H48" s="122" t="s">
        <v>149</v>
      </c>
    </row>
    <row r="49" spans="1:7">
      <c r="A49" s="49" t="s">
        <v>84</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42.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3" t="s">
        <v>100</v>
      </c>
      <c r="B1" s="123"/>
      <c r="C1" s="123"/>
      <c r="D1" s="123"/>
      <c r="E1" s="123"/>
    </row>
    <row r="2" spans="1:9">
      <c r="A2" s="59" t="s">
        <v>108</v>
      </c>
    </row>
    <row r="4" spans="1:9">
      <c r="A4" s="52" t="s">
        <v>9</v>
      </c>
      <c r="B4" s="54" t="s">
        <v>73</v>
      </c>
      <c r="C4" s="54" t="s">
        <v>10</v>
      </c>
      <c r="D4" s="54" t="s">
        <v>18</v>
      </c>
      <c r="E4" s="54" t="s">
        <v>8</v>
      </c>
      <c r="F4" s="54" t="s">
        <v>128</v>
      </c>
      <c r="G4" s="54" t="s">
        <v>43</v>
      </c>
    </row>
    <row r="5" spans="1:9">
      <c r="A5" s="49" t="s">
        <v>80</v>
      </c>
      <c r="B5" s="81">
        <v>1</v>
      </c>
      <c r="C5" s="50">
        <v>0.46</v>
      </c>
      <c r="D5" s="50">
        <f>+SUM($C$5:C5)</f>
        <v>0.46</v>
      </c>
      <c r="E5" s="50">
        <f>+Summary!B36</f>
        <v>7</v>
      </c>
      <c r="F5" s="50">
        <f>+C5*E5</f>
        <v>3.22</v>
      </c>
      <c r="G5" s="43"/>
    </row>
    <row r="6" spans="1:9">
      <c r="B6" s="81">
        <v>2</v>
      </c>
      <c r="C6" s="50">
        <v>0.02</v>
      </c>
      <c r="D6" s="50">
        <f>+SUM($C$5:C6)</f>
        <v>0.48000000000000004</v>
      </c>
      <c r="E6" s="50">
        <f>+Summary!B37</f>
        <v>15</v>
      </c>
      <c r="F6" s="50">
        <f t="shared" ref="F6:F11" si="0">+C6*E6</f>
        <v>0.3</v>
      </c>
      <c r="G6" s="43"/>
    </row>
    <row r="7" spans="1:9">
      <c r="B7" s="81">
        <v>3</v>
      </c>
      <c r="C7" s="50">
        <v>0.39750000000000002</v>
      </c>
      <c r="D7" s="50">
        <f>+SUM($C$5:C7)</f>
        <v>0.87750000000000006</v>
      </c>
      <c r="E7" s="50">
        <f>+Summary!B38</f>
        <v>20</v>
      </c>
      <c r="F7" s="50">
        <f t="shared" si="0"/>
        <v>7.95</v>
      </c>
      <c r="G7" s="43"/>
      <c r="I7" s="28"/>
    </row>
    <row r="8" spans="1:9">
      <c r="B8" s="81" t="s">
        <v>74</v>
      </c>
      <c r="C8" s="50">
        <v>0.02</v>
      </c>
      <c r="D8" s="50">
        <f>+SUM($C$5:C8)</f>
        <v>0.89750000000000008</v>
      </c>
      <c r="E8" s="50">
        <f>+E5+E6</f>
        <v>22</v>
      </c>
      <c r="F8" s="50">
        <f t="shared" si="0"/>
        <v>0.44</v>
      </c>
      <c r="G8" s="43"/>
      <c r="I8" s="83"/>
    </row>
    <row r="9" spans="1:9">
      <c r="B9" s="81" t="s">
        <v>75</v>
      </c>
      <c r="C9" s="50">
        <v>0.06</v>
      </c>
      <c r="D9" s="50">
        <f>+SUM($C$5:C9)</f>
        <v>0.95750000000000002</v>
      </c>
      <c r="E9" s="50">
        <f>+E5+E7</f>
        <v>27</v>
      </c>
      <c r="F9" s="50">
        <f t="shared" si="0"/>
        <v>1.6199999999999999</v>
      </c>
      <c r="G9" s="43"/>
    </row>
    <row r="10" spans="1:9">
      <c r="B10" s="81" t="s">
        <v>76</v>
      </c>
      <c r="C10" s="50">
        <v>0.03</v>
      </c>
      <c r="D10" s="50">
        <f>+SUM($C$5:C10)</f>
        <v>0.98750000000000004</v>
      </c>
      <c r="E10" s="50">
        <f>+E6+E7</f>
        <v>35</v>
      </c>
      <c r="F10" s="50">
        <f t="shared" si="0"/>
        <v>1.05</v>
      </c>
      <c r="G10" s="43"/>
    </row>
    <row r="11" spans="1:9">
      <c r="B11" s="81" t="s">
        <v>77</v>
      </c>
      <c r="C11" s="50">
        <v>0.01</v>
      </c>
      <c r="D11" s="50">
        <f>+SUM($C$5:C11)</f>
        <v>0.99750000000000005</v>
      </c>
      <c r="E11" s="50">
        <f>+E5+E6+E7</f>
        <v>42</v>
      </c>
      <c r="F11" s="50">
        <f t="shared" si="0"/>
        <v>0.42</v>
      </c>
      <c r="G11" s="43">
        <v>0</v>
      </c>
      <c r="H11" s="49" t="s">
        <v>79</v>
      </c>
    </row>
    <row r="12" spans="1:9">
      <c r="B12" s="56" t="s">
        <v>11</v>
      </c>
      <c r="C12" s="56">
        <f>+SUM(C5:C11)</f>
        <v>0.99750000000000005</v>
      </c>
      <c r="D12" s="56"/>
      <c r="E12" s="56"/>
      <c r="F12" s="47">
        <f>+SUM(F5:F11)</f>
        <v>15</v>
      </c>
      <c r="G12" s="44"/>
    </row>
    <row r="13" spans="1:9">
      <c r="B13" s="57" t="s">
        <v>78</v>
      </c>
      <c r="G13" s="41"/>
    </row>
    <row r="14" spans="1:9">
      <c r="G14" s="41"/>
    </row>
    <row r="15" spans="1:9">
      <c r="A15" s="52" t="s">
        <v>12</v>
      </c>
      <c r="B15" s="54" t="s">
        <v>73</v>
      </c>
      <c r="C15" s="54" t="s">
        <v>10</v>
      </c>
      <c r="D15" s="54" t="s">
        <v>18</v>
      </c>
      <c r="E15" s="54" t="s">
        <v>8</v>
      </c>
      <c r="F15" s="54" t="s">
        <v>128</v>
      </c>
      <c r="G15" s="54" t="s">
        <v>43</v>
      </c>
    </row>
    <row r="16" spans="1:9">
      <c r="A16" s="49" t="s">
        <v>81</v>
      </c>
      <c r="B16" s="80">
        <v>2</v>
      </c>
      <c r="C16" s="53">
        <v>0.98</v>
      </c>
      <c r="D16" s="53">
        <f>+SUM(C16:$C$16)</f>
        <v>0.98</v>
      </c>
      <c r="E16" s="53">
        <f>+E6</f>
        <v>15</v>
      </c>
      <c r="F16" s="53">
        <f>+C16*E16</f>
        <v>14.7</v>
      </c>
      <c r="G16" s="43"/>
    </row>
    <row r="17" spans="1:9">
      <c r="A17" s="49" t="s">
        <v>82</v>
      </c>
      <c r="B17" s="80">
        <v>3</v>
      </c>
      <c r="C17" s="53">
        <v>1.325E-2</v>
      </c>
      <c r="D17" s="53">
        <f>+SUM(C$16:$C17)</f>
        <v>0.99324999999999997</v>
      </c>
      <c r="E17" s="53">
        <f>+E7</f>
        <v>20</v>
      </c>
      <c r="F17" s="53">
        <f t="shared" ref="F17:F18" si="1">+C17*E17</f>
        <v>0.26500000000000001</v>
      </c>
      <c r="G17" s="43"/>
      <c r="I17" s="82"/>
    </row>
    <row r="18" spans="1:9">
      <c r="B18" s="80" t="s">
        <v>76</v>
      </c>
      <c r="C18" s="53">
        <v>1E-3</v>
      </c>
      <c r="D18" s="53">
        <f>+SUM(C$16:$C18)</f>
        <v>0.99424999999999997</v>
      </c>
      <c r="E18" s="53">
        <f>+E16+E17</f>
        <v>35</v>
      </c>
      <c r="F18" s="53">
        <f t="shared" si="1"/>
        <v>3.5000000000000003E-2</v>
      </c>
      <c r="G18" s="43">
        <v>0</v>
      </c>
      <c r="H18" s="49" t="s">
        <v>79</v>
      </c>
    </row>
    <row r="19" spans="1:9">
      <c r="B19" s="56" t="s">
        <v>5</v>
      </c>
      <c r="C19" s="56">
        <f>+SUM(C16:C18)</f>
        <v>0.99424999999999997</v>
      </c>
      <c r="D19" s="56"/>
      <c r="E19" s="56"/>
      <c r="F19" s="61">
        <f>+SUM(F16:F18)</f>
        <v>15</v>
      </c>
      <c r="G19" s="45"/>
    </row>
    <row r="20" spans="1:9">
      <c r="B20" s="60"/>
      <c r="C20" s="60"/>
      <c r="D20" s="60"/>
      <c r="E20" s="60"/>
      <c r="F20" s="55"/>
      <c r="G20" s="46"/>
    </row>
    <row r="21" spans="1:9">
      <c r="B21" s="60"/>
      <c r="C21" s="60"/>
      <c r="D21" s="60"/>
      <c r="E21" s="60"/>
      <c r="F21" s="55"/>
      <c r="G21" s="46"/>
    </row>
    <row r="22" spans="1:9">
      <c r="A22" s="52" t="s">
        <v>13</v>
      </c>
      <c r="B22" s="54" t="s">
        <v>73</v>
      </c>
      <c r="C22" s="54" t="s">
        <v>10</v>
      </c>
      <c r="D22" s="54" t="s">
        <v>18</v>
      </c>
      <c r="E22" s="54" t="s">
        <v>8</v>
      </c>
      <c r="F22" s="54" t="s">
        <v>128</v>
      </c>
      <c r="G22" s="54" t="s">
        <v>43</v>
      </c>
    </row>
    <row r="23" spans="1:9">
      <c r="A23" s="49" t="s">
        <v>81</v>
      </c>
      <c r="B23" s="80">
        <v>1</v>
      </c>
      <c r="C23" s="53">
        <v>0.35</v>
      </c>
      <c r="D23" s="53">
        <f>+SUM(C23:$C$23)</f>
        <v>0.35</v>
      </c>
      <c r="E23" s="53">
        <f>+E5</f>
        <v>7</v>
      </c>
      <c r="F23" s="53">
        <f>+C23*E23</f>
        <v>2.4499999999999997</v>
      </c>
      <c r="G23" s="43"/>
    </row>
    <row r="24" spans="1:9">
      <c r="A24" s="49" t="s">
        <v>83</v>
      </c>
      <c r="B24" s="80">
        <v>3</v>
      </c>
      <c r="C24" s="53">
        <v>0.56000000000000005</v>
      </c>
      <c r="D24" s="53">
        <f>+SUM(C$23:$C24)</f>
        <v>0.91</v>
      </c>
      <c r="E24" s="53">
        <f>+E7</f>
        <v>20</v>
      </c>
      <c r="F24" s="53">
        <f t="shared" ref="F24:F25" si="2">+C24*E24</f>
        <v>11.200000000000001</v>
      </c>
      <c r="G24" s="43"/>
    </row>
    <row r="25" spans="1:9">
      <c r="B25" s="80" t="s">
        <v>75</v>
      </c>
      <c r="C25" s="53">
        <v>0.05</v>
      </c>
      <c r="D25" s="53">
        <f>+SUM(C$23:$C25)</f>
        <v>0.96000000000000008</v>
      </c>
      <c r="E25" s="53">
        <f>+E23+E24</f>
        <v>27</v>
      </c>
      <c r="F25" s="53">
        <f t="shared" si="2"/>
        <v>1.35</v>
      </c>
      <c r="G25" s="43">
        <v>0</v>
      </c>
      <c r="H25" s="49" t="s">
        <v>79</v>
      </c>
    </row>
    <row r="26" spans="1:9">
      <c r="B26" s="56" t="s">
        <v>5</v>
      </c>
      <c r="C26" s="56">
        <f>+SUM(C23:C25)</f>
        <v>0.96000000000000008</v>
      </c>
      <c r="D26" s="56"/>
      <c r="E26" s="56"/>
      <c r="F26" s="61">
        <f>+SUM(F23:F25)</f>
        <v>15</v>
      </c>
      <c r="G26" s="45"/>
    </row>
    <row r="27" spans="1:9">
      <c r="B27" s="60"/>
      <c r="C27" s="60"/>
      <c r="D27" s="60"/>
      <c r="E27" s="60"/>
      <c r="F27" s="55"/>
      <c r="G27" s="46"/>
    </row>
    <row r="28" spans="1:9">
      <c r="G28" s="41"/>
    </row>
    <row r="29" spans="1:9">
      <c r="A29" s="52" t="s">
        <v>14</v>
      </c>
      <c r="B29" s="54" t="s">
        <v>73</v>
      </c>
      <c r="C29" s="54" t="s">
        <v>10</v>
      </c>
      <c r="D29" s="54" t="s">
        <v>18</v>
      </c>
      <c r="E29" s="54" t="s">
        <v>8</v>
      </c>
      <c r="F29" s="54" t="s">
        <v>128</v>
      </c>
      <c r="G29" s="54" t="s">
        <v>43</v>
      </c>
    </row>
    <row r="30" spans="1:9">
      <c r="A30" s="49" t="s">
        <v>81</v>
      </c>
      <c r="B30" s="80">
        <v>3</v>
      </c>
      <c r="C30" s="53">
        <v>0.75</v>
      </c>
      <c r="D30" s="53">
        <f>+SUM(C30:$C$30)</f>
        <v>0.75</v>
      </c>
      <c r="E30" s="53">
        <f>+E7</f>
        <v>20</v>
      </c>
      <c r="F30" s="53">
        <f>+C30*E30</f>
        <v>15</v>
      </c>
      <c r="G30" s="43">
        <v>0</v>
      </c>
      <c r="H30" s="49" t="s">
        <v>79</v>
      </c>
    </row>
    <row r="31" spans="1:9">
      <c r="A31" s="49" t="s">
        <v>82</v>
      </c>
      <c r="B31" s="56" t="s">
        <v>5</v>
      </c>
      <c r="C31" s="56">
        <f>+SUM(C30:C30)</f>
        <v>0.75</v>
      </c>
      <c r="D31" s="56"/>
      <c r="E31" s="56"/>
      <c r="F31" s="61">
        <f>+SUM(F30:F30)</f>
        <v>15</v>
      </c>
      <c r="G31" s="45"/>
    </row>
    <row r="32" spans="1:9">
      <c r="A32" s="49" t="s">
        <v>83</v>
      </c>
      <c r="G32" s="41"/>
    </row>
    <row r="33" spans="1:8">
      <c r="G33" s="41"/>
    </row>
    <row r="34" spans="1:8">
      <c r="A34" s="52" t="s">
        <v>15</v>
      </c>
      <c r="B34" s="54" t="s">
        <v>73</v>
      </c>
      <c r="C34" s="54" t="s">
        <v>10</v>
      </c>
      <c r="D34" s="54" t="s">
        <v>18</v>
      </c>
      <c r="E34" s="54" t="s">
        <v>8</v>
      </c>
      <c r="F34" s="54" t="s">
        <v>128</v>
      </c>
      <c r="G34" s="54" t="s">
        <v>43</v>
      </c>
    </row>
    <row r="35" spans="1:8">
      <c r="A35" s="49" t="s">
        <v>81</v>
      </c>
      <c r="B35" s="80">
        <v>1</v>
      </c>
      <c r="C35" s="53">
        <v>0.35</v>
      </c>
      <c r="D35" s="53">
        <f>+SUM(C35:$C$35)</f>
        <v>0.35</v>
      </c>
      <c r="E35" s="53">
        <f>+E5</f>
        <v>7</v>
      </c>
      <c r="F35" s="53">
        <f>+C35*E35</f>
        <v>2.4499999999999997</v>
      </c>
      <c r="G35" s="43"/>
    </row>
    <row r="36" spans="1:8">
      <c r="A36" s="49" t="s">
        <v>84</v>
      </c>
      <c r="B36" s="80">
        <v>2</v>
      </c>
      <c r="C36" s="53">
        <v>0.25</v>
      </c>
      <c r="D36" s="53">
        <f>+SUM(C$35:$C36)</f>
        <v>0.6</v>
      </c>
      <c r="E36" s="53">
        <f>+E6</f>
        <v>15</v>
      </c>
      <c r="F36" s="53">
        <f t="shared" ref="F36:F37" si="3">+C36*E36</f>
        <v>3.75</v>
      </c>
      <c r="G36" s="43"/>
    </row>
    <row r="37" spans="1:8">
      <c r="B37" s="80" t="s">
        <v>74</v>
      </c>
      <c r="C37" s="53">
        <v>0.4</v>
      </c>
      <c r="D37" s="53">
        <f>+SUM(C$35:$C37)</f>
        <v>1</v>
      </c>
      <c r="E37" s="53">
        <f>+E35+E36</f>
        <v>22</v>
      </c>
      <c r="F37" s="53">
        <f t="shared" si="3"/>
        <v>8.8000000000000007</v>
      </c>
      <c r="G37" s="43">
        <v>0</v>
      </c>
      <c r="H37" s="49" t="s">
        <v>79</v>
      </c>
    </row>
    <row r="38" spans="1:8">
      <c r="A38" s="58"/>
      <c r="B38" s="56" t="s">
        <v>5</v>
      </c>
      <c r="C38" s="56">
        <f>+SUM(C35:C37)</f>
        <v>1</v>
      </c>
      <c r="D38" s="56"/>
      <c r="E38" s="56"/>
      <c r="F38" s="61">
        <f>+SUM(F35:F37)</f>
        <v>15</v>
      </c>
      <c r="G38" s="45"/>
    </row>
    <row r="39" spans="1:8">
      <c r="A39" s="58"/>
      <c r="G39" s="41"/>
    </row>
    <row r="40" spans="1:8">
      <c r="G40" s="41"/>
    </row>
    <row r="41" spans="1:8">
      <c r="A41" s="52" t="s">
        <v>16</v>
      </c>
      <c r="B41" s="54" t="s">
        <v>73</v>
      </c>
      <c r="C41" s="54" t="s">
        <v>10</v>
      </c>
      <c r="D41" s="54" t="s">
        <v>18</v>
      </c>
      <c r="E41" s="54" t="s">
        <v>8</v>
      </c>
      <c r="F41" s="54" t="s">
        <v>128</v>
      </c>
      <c r="G41" s="54" t="s">
        <v>43</v>
      </c>
    </row>
    <row r="42" spans="1:8">
      <c r="A42" s="49" t="s">
        <v>81</v>
      </c>
      <c r="B42" s="80">
        <v>1</v>
      </c>
      <c r="C42" s="53">
        <v>1</v>
      </c>
      <c r="D42" s="53">
        <f>+SUM(C42:$C$42)</f>
        <v>1</v>
      </c>
      <c r="E42" s="53">
        <f>+E5</f>
        <v>7</v>
      </c>
      <c r="F42" s="53">
        <f>+E42*C42</f>
        <v>7</v>
      </c>
      <c r="G42" s="43">
        <v>0</v>
      </c>
      <c r="H42" s="49" t="s">
        <v>79</v>
      </c>
    </row>
    <row r="43" spans="1:8">
      <c r="A43" s="49" t="s">
        <v>83</v>
      </c>
      <c r="B43" s="56" t="s">
        <v>5</v>
      </c>
      <c r="C43" s="56">
        <f>+SUM(C42:C42)</f>
        <v>1</v>
      </c>
      <c r="D43" s="56"/>
      <c r="E43" s="56"/>
      <c r="F43" s="61">
        <f>+SUM(F42:F42)</f>
        <v>7</v>
      </c>
      <c r="G43" s="45"/>
      <c r="H43" s="122" t="s">
        <v>149</v>
      </c>
    </row>
    <row r="44" spans="1:8">
      <c r="A44" s="49" t="s">
        <v>84</v>
      </c>
      <c r="G44" s="41"/>
    </row>
    <row r="45" spans="1:8">
      <c r="G45" s="41"/>
    </row>
    <row r="46" spans="1:8">
      <c r="A46" s="52" t="s">
        <v>17</v>
      </c>
      <c r="B46" s="54" t="s">
        <v>73</v>
      </c>
      <c r="C46" s="54" t="s">
        <v>10</v>
      </c>
      <c r="D46" s="54" t="s">
        <v>18</v>
      </c>
      <c r="E46" s="54" t="s">
        <v>8</v>
      </c>
      <c r="F46" s="54" t="s">
        <v>128</v>
      </c>
      <c r="G46" s="54" t="s">
        <v>43</v>
      </c>
    </row>
    <row r="47" spans="1:8">
      <c r="A47" s="49" t="s">
        <v>81</v>
      </c>
      <c r="B47" s="80">
        <v>2</v>
      </c>
      <c r="C47" s="53">
        <v>1</v>
      </c>
      <c r="D47" s="53">
        <f>+SUM(C$47:$C47)</f>
        <v>1</v>
      </c>
      <c r="E47" s="53">
        <f>+E6</f>
        <v>15</v>
      </c>
      <c r="F47" s="53">
        <f>+E47*C47</f>
        <v>15</v>
      </c>
      <c r="G47" s="43">
        <v>0</v>
      </c>
      <c r="H47" s="49" t="s">
        <v>79</v>
      </c>
    </row>
    <row r="48" spans="1:8">
      <c r="A48" s="49" t="s">
        <v>82</v>
      </c>
      <c r="B48" s="56" t="s">
        <v>5</v>
      </c>
      <c r="C48" s="56">
        <f>+SUM(C47:C47)</f>
        <v>1</v>
      </c>
      <c r="D48" s="56"/>
      <c r="E48" s="56"/>
      <c r="F48" s="61">
        <f>+SUM(F47:F47)</f>
        <v>15</v>
      </c>
      <c r="G48" s="45"/>
    </row>
    <row r="49" spans="1:7">
      <c r="A49" s="49" t="s">
        <v>84</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42</vt:i4>
      </vt:variant>
    </vt:vector>
  </HeadingPairs>
  <TitlesOfParts>
    <vt:vector size="42" baseType="lpstr">
      <vt:lpstr>Base game (HV scarab)</vt:lpstr>
      <vt:lpstr>Special weapon 1 (HV scarab)</vt:lpstr>
      <vt:lpstr>Special weapon 2 (HV scarab)</vt:lpstr>
      <vt:lpstr>Special weapon 3 (HV scarab)</vt:lpstr>
      <vt:lpstr>Plasma Gun (HV scarab)</vt:lpstr>
      <vt:lpstr>Summary</vt:lpstr>
      <vt:lpstr>Boss round (1,2,or 3 players)</vt:lpstr>
      <vt:lpstr>Boss round (4 or more players)</vt:lpstr>
      <vt:lpstr>Special weapon</vt:lpstr>
      <vt:lpstr>Prices Special weapon</vt:lpstr>
      <vt:lpstr>Base game (HV enemy)</vt:lpstr>
      <vt:lpstr>Special weapon 1 (HV enemy)</vt:lpstr>
      <vt:lpstr>Special weapon 2 (HV enemy)</vt:lpstr>
      <vt:lpstr>Special weapon 3 (HV enemy)</vt:lpstr>
      <vt:lpstr>Plasma Gun (HV enemy)</vt:lpstr>
      <vt:lpstr>Base game (Mummy A)</vt:lpstr>
      <vt:lpstr>Base game (Mummy B)</vt:lpstr>
      <vt:lpstr>Base game (Mummy C)</vt:lpstr>
      <vt:lpstr>Base game (Standard Mummy)</vt:lpstr>
      <vt:lpstr>Base game (Scarabs)</vt:lpstr>
      <vt:lpstr>Base game (Pharaoh A &amp; B)</vt:lpstr>
      <vt:lpstr>Special weapon 1 (Mummy A)</vt:lpstr>
      <vt:lpstr>Special weapon 1 (Mummy B)</vt:lpstr>
      <vt:lpstr>Special weapon 1 (Mummy C)</vt:lpstr>
      <vt:lpstr>Special weapon 1 (Std Mummy)</vt:lpstr>
      <vt:lpstr>Special weapon 1 (Scarabs)</vt:lpstr>
      <vt:lpstr>Special weapon 1 (Pharaoh A&amp;B)</vt:lpstr>
      <vt:lpstr>Special weapon 2 (Mummy A)</vt:lpstr>
      <vt:lpstr>Special weapon 2 (Mummy B)</vt:lpstr>
      <vt:lpstr>Special weapon 2 (Mummy C)</vt:lpstr>
      <vt:lpstr>Special weapon 2 (Std Mummy)</vt:lpstr>
      <vt:lpstr>Special weapon 2 (Scarabs)</vt:lpstr>
      <vt:lpstr>Special weapon 2 (Pharaoh A&amp;B)</vt:lpstr>
      <vt:lpstr>Special weapon 3 (Mummy A)</vt:lpstr>
      <vt:lpstr>Special weapon 3 (Mummy B)</vt:lpstr>
      <vt:lpstr>Special weapon 3 (Mummy C)</vt:lpstr>
      <vt:lpstr>Special weapon 3 (Std Mummy)</vt:lpstr>
      <vt:lpstr>Special weapon 3 (Scarabs)</vt:lpstr>
      <vt:lpstr>Special weapon 3 (Pharaoh A&amp;B)</vt:lpstr>
      <vt:lpstr>Plasma Gun (Mummy B)</vt:lpstr>
      <vt:lpstr>Plasma Gun (Mummy C)</vt:lpstr>
      <vt:lpstr>Plasma Gun (Pharaoh 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2006-09-12T12:46:56Z</dcterms:created>
  <dcterms:modified xsi:type="dcterms:W3CDTF">2018-09-01T14:37:59Z</dcterms:modified>
</cp:coreProperties>
</file>