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codeName="ThisWorkbook" defaultThemeVersion="124226"/>
  <bookViews>
    <workbookView xWindow="360" yWindow="300" windowWidth="14880" windowHeight="7812" activeTab="1"/>
  </bookViews>
  <sheets>
    <sheet name="Summary" sheetId="2" r:id="rId1"/>
    <sheet name="Special weapon" sheetId="22" r:id="rId2"/>
    <sheet name="Base game (Mummy A)" sheetId="39" r:id="rId3"/>
    <sheet name="Base game (Mummy B)" sheetId="4" r:id="rId4"/>
    <sheet name="Base game (Mummy C)" sheetId="5" r:id="rId5"/>
    <sheet name="Base game (Standard Mummy)" sheetId="24" r:id="rId6"/>
    <sheet name="Base game (Scarabs)" sheetId="23" r:id="rId7"/>
    <sheet name="Base game (Pharaoh A &amp; B)" sheetId="25" r:id="rId8"/>
    <sheet name="Special weapon 1 (Mummy A)" sheetId="40" r:id="rId9"/>
    <sheet name="Special weapon 1 (Mummy B)" sheetId="14" r:id="rId10"/>
    <sheet name="Special weapon 1 (Mummy C)" sheetId="15" r:id="rId11"/>
    <sheet name="Special weapon 1 (Std Mummy)" sheetId="27" r:id="rId12"/>
    <sheet name="Special weapon 1 (Scarabs)" sheetId="28" r:id="rId13"/>
    <sheet name="Special weapon 1 (Pharaoh A&amp;B)" sheetId="29" r:id="rId14"/>
    <sheet name="Special weapon 2 (Mummy A)" sheetId="41" r:id="rId15"/>
    <sheet name="Special weapon 2 (Mummy B)" sheetId="17" r:id="rId16"/>
    <sheet name="Special weapon 2 (Mummy C)" sheetId="18" r:id="rId17"/>
    <sheet name="Special weapon 2 (Std Mummy)" sheetId="31" r:id="rId18"/>
    <sheet name="Special weapon 2 (Scarabs)" sheetId="32" r:id="rId19"/>
    <sheet name="Special weapon 2 (Pharaoh A&amp;B)" sheetId="33" r:id="rId20"/>
    <sheet name="Special weapon 3 (Mummy A)" sheetId="42" r:id="rId21"/>
    <sheet name="Special weapon 3 (Mummy B)" sheetId="20" r:id="rId22"/>
    <sheet name="Special weapon 3 (Mummy C)" sheetId="21" r:id="rId23"/>
    <sheet name="Special weapon 3 (Std Mummy)" sheetId="34" r:id="rId24"/>
    <sheet name="Special weapon 3 (Scarabs)" sheetId="35" r:id="rId25"/>
    <sheet name="Special weapon 3 (Pharaoh A&amp;B)" sheetId="36" r:id="rId26"/>
    <sheet name="Boss round" sheetId="6" r:id="rId27"/>
    <sheet name="Boss (Hoard)" sheetId="7" r:id="rId28"/>
    <sheet name="Hord (Mummy A)" sheetId="43" r:id="rId29"/>
    <sheet name="Hoard (Mummy B)" sheetId="11" r:id="rId30"/>
    <sheet name="Hoard (Mummy C)" sheetId="12" r:id="rId31"/>
    <sheet name="Hord (Standard Mummy)" sheetId="37" r:id="rId32"/>
    <sheet name="Hoard (Scarabs)" sheetId="38" r:id="rId33"/>
  </sheets>
  <calcPr calcId="124519"/>
</workbook>
</file>

<file path=xl/calcChain.xml><?xml version="1.0" encoding="utf-8"?>
<calcChain xmlns="http://schemas.openxmlformats.org/spreadsheetml/2006/main">
  <c r="E6" i="43"/>
  <c r="E5"/>
  <c r="E6" i="42" l="1"/>
  <c r="F6" s="1"/>
  <c r="E5"/>
  <c r="E6" i="41"/>
  <c r="E5"/>
  <c r="E6" i="40"/>
  <c r="E5"/>
  <c r="E5" i="39"/>
  <c r="E13" s="1"/>
  <c r="F13" s="1"/>
  <c r="F14" s="1"/>
  <c r="E6"/>
  <c r="C19" i="43"/>
  <c r="D18"/>
  <c r="C14"/>
  <c r="D13"/>
  <c r="E18"/>
  <c r="F18" s="1"/>
  <c r="F19" s="1"/>
  <c r="D6"/>
  <c r="C19" i="42"/>
  <c r="D18"/>
  <c r="C14"/>
  <c r="D13"/>
  <c r="D5"/>
  <c r="C19" i="41"/>
  <c r="D18"/>
  <c r="C14"/>
  <c r="D13"/>
  <c r="E18"/>
  <c r="F18" s="1"/>
  <c r="F19" s="1"/>
  <c r="F5"/>
  <c r="D5"/>
  <c r="C19" i="40"/>
  <c r="D18"/>
  <c r="C14"/>
  <c r="D13"/>
  <c r="E18"/>
  <c r="F18" s="1"/>
  <c r="F19" s="1"/>
  <c r="D5"/>
  <c r="D6" i="39"/>
  <c r="D7"/>
  <c r="C18"/>
  <c r="C19" s="1"/>
  <c r="C14"/>
  <c r="D13"/>
  <c r="C8"/>
  <c r="F6"/>
  <c r="D5"/>
  <c r="C16" i="38"/>
  <c r="E15"/>
  <c r="F15" s="1"/>
  <c r="F16" s="1"/>
  <c r="D15"/>
  <c r="C11"/>
  <c r="E10"/>
  <c r="F10" s="1"/>
  <c r="F11" s="1"/>
  <c r="D10"/>
  <c r="C6"/>
  <c r="E5"/>
  <c r="F5" s="1"/>
  <c r="F6" s="1"/>
  <c r="D5"/>
  <c r="C19" i="37"/>
  <c r="C14"/>
  <c r="D13"/>
  <c r="C8"/>
  <c r="D7"/>
  <c r="E6"/>
  <c r="E18" s="1"/>
  <c r="F18" s="1"/>
  <c r="F19" s="1"/>
  <c r="D6"/>
  <c r="E5"/>
  <c r="F5" s="1"/>
  <c r="D5"/>
  <c r="D30" i="36"/>
  <c r="C48"/>
  <c r="D47"/>
  <c r="C43"/>
  <c r="D42"/>
  <c r="C38"/>
  <c r="D37"/>
  <c r="D36"/>
  <c r="D35"/>
  <c r="C26"/>
  <c r="D25"/>
  <c r="D24"/>
  <c r="D23"/>
  <c r="C19"/>
  <c r="D18"/>
  <c r="D17"/>
  <c r="D16"/>
  <c r="C12"/>
  <c r="D11"/>
  <c r="D10"/>
  <c r="D9"/>
  <c r="D8"/>
  <c r="E7"/>
  <c r="E17" s="1"/>
  <c r="F17" s="1"/>
  <c r="D7"/>
  <c r="E6"/>
  <c r="E16" s="1"/>
  <c r="D6"/>
  <c r="E5"/>
  <c r="E35" s="1"/>
  <c r="D5"/>
  <c r="C16" i="35"/>
  <c r="E15"/>
  <c r="F15" s="1"/>
  <c r="F16" s="1"/>
  <c r="D15"/>
  <c r="C11"/>
  <c r="E10"/>
  <c r="F10" s="1"/>
  <c r="F11" s="1"/>
  <c r="D10"/>
  <c r="C6"/>
  <c r="E5"/>
  <c r="F5" s="1"/>
  <c r="F6" s="1"/>
  <c r="D5"/>
  <c r="C19" i="34"/>
  <c r="E18"/>
  <c r="F18" s="1"/>
  <c r="F19" s="1"/>
  <c r="D18"/>
  <c r="C14"/>
  <c r="D13"/>
  <c r="C8"/>
  <c r="D7"/>
  <c r="E6"/>
  <c r="F6" s="1"/>
  <c r="D6"/>
  <c r="E5"/>
  <c r="F5" s="1"/>
  <c r="D5"/>
  <c r="C48" i="33"/>
  <c r="D47"/>
  <c r="C43"/>
  <c r="D42"/>
  <c r="C38"/>
  <c r="D37"/>
  <c r="D36"/>
  <c r="D35"/>
  <c r="C31"/>
  <c r="D30"/>
  <c r="C26"/>
  <c r="D25"/>
  <c r="D24"/>
  <c r="D23"/>
  <c r="C19"/>
  <c r="D18"/>
  <c r="D17"/>
  <c r="D16"/>
  <c r="C12"/>
  <c r="D11"/>
  <c r="D10"/>
  <c r="D9"/>
  <c r="D8"/>
  <c r="E7"/>
  <c r="F7" s="1"/>
  <c r="D7"/>
  <c r="E6"/>
  <c r="E16" s="1"/>
  <c r="D6"/>
  <c r="E5"/>
  <c r="D5"/>
  <c r="C16" i="32"/>
  <c r="E15"/>
  <c r="F15" s="1"/>
  <c r="F16" s="1"/>
  <c r="D15"/>
  <c r="C11"/>
  <c r="E10"/>
  <c r="F10" s="1"/>
  <c r="F11" s="1"/>
  <c r="D10"/>
  <c r="C6"/>
  <c r="E5"/>
  <c r="F5" s="1"/>
  <c r="F6" s="1"/>
  <c r="D5"/>
  <c r="C19" i="31"/>
  <c r="D18"/>
  <c r="C14"/>
  <c r="D13"/>
  <c r="C8"/>
  <c r="D7"/>
  <c r="E6"/>
  <c r="F6" s="1"/>
  <c r="D6"/>
  <c r="E5"/>
  <c r="F5" s="1"/>
  <c r="D5"/>
  <c r="C48" i="29"/>
  <c r="D47"/>
  <c r="C43"/>
  <c r="D42"/>
  <c r="C38"/>
  <c r="D37"/>
  <c r="D36"/>
  <c r="D35"/>
  <c r="C31"/>
  <c r="D30"/>
  <c r="C26"/>
  <c r="D25"/>
  <c r="D24"/>
  <c r="D23"/>
  <c r="C19"/>
  <c r="D18"/>
  <c r="D17"/>
  <c r="D16"/>
  <c r="C12"/>
  <c r="D11"/>
  <c r="D10"/>
  <c r="D9"/>
  <c r="D8"/>
  <c r="E7"/>
  <c r="E17" s="1"/>
  <c r="F17" s="1"/>
  <c r="D7"/>
  <c r="E6"/>
  <c r="E47" s="1"/>
  <c r="F47" s="1"/>
  <c r="F48" s="1"/>
  <c r="D6"/>
  <c r="E5"/>
  <c r="E35" s="1"/>
  <c r="D5"/>
  <c r="C16" i="28"/>
  <c r="E15"/>
  <c r="F15" s="1"/>
  <c r="F16" s="1"/>
  <c r="D15"/>
  <c r="C11"/>
  <c r="E10"/>
  <c r="F10" s="1"/>
  <c r="F11" s="1"/>
  <c r="D10"/>
  <c r="C6"/>
  <c r="E5"/>
  <c r="F5" s="1"/>
  <c r="F6" s="1"/>
  <c r="D5"/>
  <c r="C19" i="27"/>
  <c r="C14"/>
  <c r="D13"/>
  <c r="C8"/>
  <c r="D7"/>
  <c r="E6"/>
  <c r="F6" s="1"/>
  <c r="D6"/>
  <c r="E5"/>
  <c r="E13" s="1"/>
  <c r="F13" s="1"/>
  <c r="F14" s="1"/>
  <c r="D5"/>
  <c r="D25" i="25"/>
  <c r="D24"/>
  <c r="E7"/>
  <c r="E30" s="1"/>
  <c r="F30" s="1"/>
  <c r="F31" s="1"/>
  <c r="E6"/>
  <c r="E36" s="1"/>
  <c r="F36" s="1"/>
  <c r="E5"/>
  <c r="E42" s="1"/>
  <c r="F42" s="1"/>
  <c r="F43" s="1"/>
  <c r="C48"/>
  <c r="D47"/>
  <c r="C43"/>
  <c r="D42"/>
  <c r="C38"/>
  <c r="D37"/>
  <c r="D36"/>
  <c r="D35"/>
  <c r="C31"/>
  <c r="D30"/>
  <c r="C26"/>
  <c r="D23"/>
  <c r="C19"/>
  <c r="D18"/>
  <c r="D17"/>
  <c r="D16"/>
  <c r="C12"/>
  <c r="D11"/>
  <c r="D10"/>
  <c r="D9"/>
  <c r="D8"/>
  <c r="D7"/>
  <c r="D6"/>
  <c r="D5"/>
  <c r="F6" i="40" l="1"/>
  <c r="F6" i="41"/>
  <c r="E18" i="31"/>
  <c r="F18" s="1"/>
  <c r="F19" s="1"/>
  <c r="E18" i="42"/>
  <c r="F18" s="1"/>
  <c r="F19" s="1"/>
  <c r="F5" i="39"/>
  <c r="F8" s="1"/>
  <c r="E7"/>
  <c r="F7" s="1"/>
  <c r="D7" i="43"/>
  <c r="F5"/>
  <c r="C8"/>
  <c r="D5"/>
  <c r="E13"/>
  <c r="F13" s="1"/>
  <c r="F14" s="1"/>
  <c r="E7"/>
  <c r="F7" s="1"/>
  <c r="F6"/>
  <c r="D7" i="42"/>
  <c r="D6"/>
  <c r="C8"/>
  <c r="F5"/>
  <c r="E13"/>
  <c r="F13" s="1"/>
  <c r="F14" s="1"/>
  <c r="E7"/>
  <c r="F7" s="1"/>
  <c r="D7" i="41"/>
  <c r="C8"/>
  <c r="D6"/>
  <c r="E13"/>
  <c r="F13" s="1"/>
  <c r="F14" s="1"/>
  <c r="E7"/>
  <c r="F7" s="1"/>
  <c r="F8" s="1"/>
  <c r="D7" i="40"/>
  <c r="D6"/>
  <c r="C8"/>
  <c r="F5"/>
  <c r="E13"/>
  <c r="F13" s="1"/>
  <c r="F14" s="1"/>
  <c r="E7"/>
  <c r="F7" s="1"/>
  <c r="E18" i="39"/>
  <c r="F18" s="1"/>
  <c r="F19" s="1"/>
  <c r="D18"/>
  <c r="F5" i="27"/>
  <c r="E7"/>
  <c r="F7" s="1"/>
  <c r="E13" i="37"/>
  <c r="F13" s="1"/>
  <c r="F14" s="1"/>
  <c r="E18" i="27"/>
  <c r="F18" s="1"/>
  <c r="F19" s="1"/>
  <c r="F6" i="33"/>
  <c r="F6" i="36"/>
  <c r="E11" i="33"/>
  <c r="F11" s="1"/>
  <c r="E47"/>
  <c r="F47" s="1"/>
  <c r="F48" s="1"/>
  <c r="E47" i="36"/>
  <c r="F47" s="1"/>
  <c r="F48" s="1"/>
  <c r="F6" i="37"/>
  <c r="D18"/>
  <c r="E7"/>
  <c r="F7" s="1"/>
  <c r="C31" i="36"/>
  <c r="F16"/>
  <c r="E18"/>
  <c r="F18" s="1"/>
  <c r="F35"/>
  <c r="F5"/>
  <c r="E8"/>
  <c r="F8" s="1"/>
  <c r="E24"/>
  <c r="F24" s="1"/>
  <c r="E30"/>
  <c r="F30" s="1"/>
  <c r="F31" s="1"/>
  <c r="E36"/>
  <c r="F36" s="1"/>
  <c r="E42"/>
  <c r="F42" s="1"/>
  <c r="F43" s="1"/>
  <c r="E9"/>
  <c r="F9" s="1"/>
  <c r="F7"/>
  <c r="E10"/>
  <c r="F10" s="1"/>
  <c r="E11"/>
  <c r="F11" s="1"/>
  <c r="E23"/>
  <c r="E13" i="34"/>
  <c r="F13" s="1"/>
  <c r="F14" s="1"/>
  <c r="E7"/>
  <c r="F7" s="1"/>
  <c r="F8" s="1"/>
  <c r="F16" i="33"/>
  <c r="E17"/>
  <c r="F17" s="1"/>
  <c r="E23"/>
  <c r="E35"/>
  <c r="F5"/>
  <c r="E8"/>
  <c r="F8" s="1"/>
  <c r="E24"/>
  <c r="F24" s="1"/>
  <c r="E30"/>
  <c r="F30" s="1"/>
  <c r="F31" s="1"/>
  <c r="E36"/>
  <c r="F36" s="1"/>
  <c r="E42"/>
  <c r="F42" s="1"/>
  <c r="F43" s="1"/>
  <c r="E9"/>
  <c r="F9" s="1"/>
  <c r="E10"/>
  <c r="F10" s="1"/>
  <c r="E13" i="31"/>
  <c r="F13" s="1"/>
  <c r="F14" s="1"/>
  <c r="E7"/>
  <c r="F7" s="1"/>
  <c r="F8" s="1"/>
  <c r="F35" i="29"/>
  <c r="F5"/>
  <c r="E8"/>
  <c r="F8" s="1"/>
  <c r="E24"/>
  <c r="F24" s="1"/>
  <c r="E30"/>
  <c r="F30" s="1"/>
  <c r="F31" s="1"/>
  <c r="E36"/>
  <c r="F36" s="1"/>
  <c r="E42"/>
  <c r="F42" s="1"/>
  <c r="F43" s="1"/>
  <c r="F6"/>
  <c r="E9"/>
  <c r="F9" s="1"/>
  <c r="F7"/>
  <c r="E10"/>
  <c r="F10" s="1"/>
  <c r="E16"/>
  <c r="E11"/>
  <c r="F11" s="1"/>
  <c r="E23"/>
  <c r="F8" i="27"/>
  <c r="D18"/>
  <c r="F7" i="25"/>
  <c r="F6"/>
  <c r="E9"/>
  <c r="F9" s="1"/>
  <c r="E10"/>
  <c r="F10" s="1"/>
  <c r="E16"/>
  <c r="E11"/>
  <c r="F11" s="1"/>
  <c r="E17"/>
  <c r="F17" s="1"/>
  <c r="E23"/>
  <c r="E35"/>
  <c r="E47"/>
  <c r="F47" s="1"/>
  <c r="F48" s="1"/>
  <c r="F5"/>
  <c r="E8"/>
  <c r="F8" s="1"/>
  <c r="E24"/>
  <c r="F24" s="1"/>
  <c r="C18" i="24"/>
  <c r="E6"/>
  <c r="E18" s="1"/>
  <c r="E5"/>
  <c r="C19"/>
  <c r="D18"/>
  <c r="C14"/>
  <c r="D13"/>
  <c r="C8"/>
  <c r="D7"/>
  <c r="D6"/>
  <c r="D5"/>
  <c r="D15" i="23"/>
  <c r="D10"/>
  <c r="E15"/>
  <c r="F15" s="1"/>
  <c r="F16" s="1"/>
  <c r="E10"/>
  <c r="F10" s="1"/>
  <c r="E5"/>
  <c r="F5" s="1"/>
  <c r="F6" s="1"/>
  <c r="C16"/>
  <c r="C11"/>
  <c r="C6"/>
  <c r="D5"/>
  <c r="D21" i="22"/>
  <c r="E39" i="2"/>
  <c r="B39"/>
  <c r="B29"/>
  <c r="K30"/>
  <c r="H30"/>
  <c r="E29"/>
  <c r="F8" i="40" l="1"/>
  <c r="E7" i="24"/>
  <c r="F8" i="43"/>
  <c r="F8" i="42"/>
  <c r="E18" i="33"/>
  <c r="F18" s="1"/>
  <c r="F19" s="1"/>
  <c r="E37" i="36"/>
  <c r="F37" s="1"/>
  <c r="F38" s="1"/>
  <c r="F8" i="37"/>
  <c r="F19" i="36"/>
  <c r="F23"/>
  <c r="E25"/>
  <c r="F25" s="1"/>
  <c r="F12"/>
  <c r="F23" i="33"/>
  <c r="E25"/>
  <c r="F25" s="1"/>
  <c r="F35"/>
  <c r="E37"/>
  <c r="F37" s="1"/>
  <c r="F12"/>
  <c r="F23" i="29"/>
  <c r="E25"/>
  <c r="F25" s="1"/>
  <c r="F16"/>
  <c r="E18"/>
  <c r="F18" s="1"/>
  <c r="F12"/>
  <c r="E37"/>
  <c r="F37" s="1"/>
  <c r="F38" s="1"/>
  <c r="E18" i="25"/>
  <c r="F18" s="1"/>
  <c r="F16"/>
  <c r="F12"/>
  <c r="F35"/>
  <c r="E37"/>
  <c r="F37" s="1"/>
  <c r="F23"/>
  <c r="E25"/>
  <c r="F25" s="1"/>
  <c r="F18" i="24"/>
  <c r="F19" s="1"/>
  <c r="F7"/>
  <c r="E13"/>
  <c r="F13" s="1"/>
  <c r="F14" s="1"/>
  <c r="F5"/>
  <c r="F6"/>
  <c r="F11" i="23"/>
  <c r="D20" i="22"/>
  <c r="D19"/>
  <c r="D18"/>
  <c r="D10"/>
  <c r="D9"/>
  <c r="D8"/>
  <c r="D7"/>
  <c r="E7" i="21"/>
  <c r="E30" s="1"/>
  <c r="F30" s="1"/>
  <c r="F31" s="1"/>
  <c r="E6"/>
  <c r="E16" s="1"/>
  <c r="E5"/>
  <c r="F5" s="1"/>
  <c r="C48"/>
  <c r="D47"/>
  <c r="C43"/>
  <c r="D42"/>
  <c r="C38"/>
  <c r="D37"/>
  <c r="D36"/>
  <c r="D35"/>
  <c r="C31"/>
  <c r="D30"/>
  <c r="C26"/>
  <c r="D25"/>
  <c r="D24"/>
  <c r="D23"/>
  <c r="C19"/>
  <c r="D18"/>
  <c r="D17"/>
  <c r="D16"/>
  <c r="C12"/>
  <c r="D11"/>
  <c r="D10"/>
  <c r="D9"/>
  <c r="D8"/>
  <c r="D7"/>
  <c r="D6"/>
  <c r="D5"/>
  <c r="E7" i="20"/>
  <c r="F7" s="1"/>
  <c r="E6"/>
  <c r="F6" s="1"/>
  <c r="E5"/>
  <c r="F5" s="1"/>
  <c r="C48"/>
  <c r="D47"/>
  <c r="C43"/>
  <c r="D42"/>
  <c r="C38"/>
  <c r="D37"/>
  <c r="D36"/>
  <c r="D35"/>
  <c r="C31"/>
  <c r="D30"/>
  <c r="C26"/>
  <c r="D25"/>
  <c r="D24"/>
  <c r="D23"/>
  <c r="C19"/>
  <c r="D18"/>
  <c r="D17"/>
  <c r="D16"/>
  <c r="C12"/>
  <c r="D11"/>
  <c r="D10"/>
  <c r="D9"/>
  <c r="D8"/>
  <c r="D7"/>
  <c r="D6"/>
  <c r="D5"/>
  <c r="E7" i="18"/>
  <c r="E30" s="1"/>
  <c r="F30" s="1"/>
  <c r="F31" s="1"/>
  <c r="E6"/>
  <c r="E16" s="1"/>
  <c r="E5"/>
  <c r="F5" s="1"/>
  <c r="C48"/>
  <c r="D47"/>
  <c r="C43"/>
  <c r="D42"/>
  <c r="C38"/>
  <c r="D37"/>
  <c r="D36"/>
  <c r="D35"/>
  <c r="C31"/>
  <c r="D30"/>
  <c r="C26"/>
  <c r="D25"/>
  <c r="D24"/>
  <c r="D23"/>
  <c r="C19"/>
  <c r="D18"/>
  <c r="D17"/>
  <c r="D16"/>
  <c r="C12"/>
  <c r="D11"/>
  <c r="D10"/>
  <c r="D9"/>
  <c r="D8"/>
  <c r="D7"/>
  <c r="D6"/>
  <c r="D5"/>
  <c r="E7" i="17"/>
  <c r="E30" s="1"/>
  <c r="F30" s="1"/>
  <c r="F31" s="1"/>
  <c r="E6"/>
  <c r="E16" s="1"/>
  <c r="E5"/>
  <c r="F5" s="1"/>
  <c r="C48"/>
  <c r="D47"/>
  <c r="C43"/>
  <c r="D42"/>
  <c r="C38"/>
  <c r="D37"/>
  <c r="D36"/>
  <c r="D35"/>
  <c r="C31"/>
  <c r="D30"/>
  <c r="C26"/>
  <c r="D25"/>
  <c r="D24"/>
  <c r="D23"/>
  <c r="C19"/>
  <c r="D18"/>
  <c r="D17"/>
  <c r="D16"/>
  <c r="C12"/>
  <c r="D11"/>
  <c r="D10"/>
  <c r="D9"/>
  <c r="D8"/>
  <c r="D7"/>
  <c r="D6"/>
  <c r="D5"/>
  <c r="E7" i="15"/>
  <c r="E30" s="1"/>
  <c r="F30" s="1"/>
  <c r="F31" s="1"/>
  <c r="E6"/>
  <c r="E16" s="1"/>
  <c r="E5"/>
  <c r="F5" s="1"/>
  <c r="C48"/>
  <c r="D47"/>
  <c r="C43"/>
  <c r="D42"/>
  <c r="C38"/>
  <c r="D37"/>
  <c r="D36"/>
  <c r="D35"/>
  <c r="C31"/>
  <c r="D30"/>
  <c r="C26"/>
  <c r="D25"/>
  <c r="D24"/>
  <c r="D23"/>
  <c r="C19"/>
  <c r="D18"/>
  <c r="D17"/>
  <c r="D16"/>
  <c r="C12"/>
  <c r="D11"/>
  <c r="D10"/>
  <c r="D9"/>
  <c r="D8"/>
  <c r="D7"/>
  <c r="D6"/>
  <c r="D5"/>
  <c r="E7" i="14"/>
  <c r="E30" s="1"/>
  <c r="F30" s="1"/>
  <c r="F31" s="1"/>
  <c r="E6"/>
  <c r="E16" s="1"/>
  <c r="E5"/>
  <c r="E42" s="1"/>
  <c r="F42" s="1"/>
  <c r="F43" s="1"/>
  <c r="C48"/>
  <c r="D47"/>
  <c r="C43"/>
  <c r="D42"/>
  <c r="C38"/>
  <c r="D37"/>
  <c r="D36"/>
  <c r="D35"/>
  <c r="C31"/>
  <c r="D30"/>
  <c r="C26"/>
  <c r="D25"/>
  <c r="D24"/>
  <c r="D23"/>
  <c r="C19"/>
  <c r="D18"/>
  <c r="D17"/>
  <c r="D16"/>
  <c r="C12"/>
  <c r="D11"/>
  <c r="D10"/>
  <c r="D9"/>
  <c r="D8"/>
  <c r="D7"/>
  <c r="D6"/>
  <c r="D5"/>
  <c r="E7" i="12"/>
  <c r="F7" s="1"/>
  <c r="E6"/>
  <c r="E16" s="1"/>
  <c r="E5"/>
  <c r="E35" s="1"/>
  <c r="C48"/>
  <c r="D47"/>
  <c r="C43"/>
  <c r="D42"/>
  <c r="C38"/>
  <c r="D37"/>
  <c r="D36"/>
  <c r="D35"/>
  <c r="C31"/>
  <c r="D30"/>
  <c r="C26"/>
  <c r="D25"/>
  <c r="D24"/>
  <c r="D23"/>
  <c r="C19"/>
  <c r="D18"/>
  <c r="D17"/>
  <c r="D16"/>
  <c r="C12"/>
  <c r="D11"/>
  <c r="D10"/>
  <c r="D9"/>
  <c r="D8"/>
  <c r="D7"/>
  <c r="D6"/>
  <c r="D5"/>
  <c r="E7" i="11"/>
  <c r="E17" s="1"/>
  <c r="F17" s="1"/>
  <c r="E6"/>
  <c r="E16" s="1"/>
  <c r="E5"/>
  <c r="E35" s="1"/>
  <c r="C48"/>
  <c r="D47"/>
  <c r="C43"/>
  <c r="D42"/>
  <c r="C38"/>
  <c r="D37"/>
  <c r="D36"/>
  <c r="D35"/>
  <c r="C31"/>
  <c r="D30"/>
  <c r="C26"/>
  <c r="D25"/>
  <c r="D24"/>
  <c r="D23"/>
  <c r="C19"/>
  <c r="D18"/>
  <c r="D17"/>
  <c r="D16"/>
  <c r="C12"/>
  <c r="D11"/>
  <c r="D10"/>
  <c r="D9"/>
  <c r="D8"/>
  <c r="D7"/>
  <c r="D6"/>
  <c r="D5"/>
  <c r="D8" i="2"/>
  <c r="D9"/>
  <c r="D7"/>
  <c r="E61" i="6"/>
  <c r="E62"/>
  <c r="F62" s="1"/>
  <c r="E63"/>
  <c r="E64"/>
  <c r="F64" s="1"/>
  <c r="E60"/>
  <c r="F61"/>
  <c r="F63"/>
  <c r="F60"/>
  <c r="E56"/>
  <c r="F52"/>
  <c r="F53"/>
  <c r="F54"/>
  <c r="F55"/>
  <c r="F51"/>
  <c r="D61"/>
  <c r="D62"/>
  <c r="D63"/>
  <c r="D64"/>
  <c r="D60"/>
  <c r="E52"/>
  <c r="E53"/>
  <c r="E54"/>
  <c r="E55"/>
  <c r="E51"/>
  <c r="D52"/>
  <c r="D53"/>
  <c r="D54"/>
  <c r="D55"/>
  <c r="D51"/>
  <c r="D30"/>
  <c r="D31"/>
  <c r="D32"/>
  <c r="D33"/>
  <c r="D29"/>
  <c r="C65"/>
  <c r="F56"/>
  <c r="C56"/>
  <c r="C34"/>
  <c r="C40"/>
  <c r="D14"/>
  <c r="D12"/>
  <c r="D13"/>
  <c r="D11"/>
  <c r="E7" i="5"/>
  <c r="E30" s="1"/>
  <c r="F30" s="1"/>
  <c r="F31" s="1"/>
  <c r="E6"/>
  <c r="E36" s="1"/>
  <c r="F36" s="1"/>
  <c r="E5"/>
  <c r="E42" s="1"/>
  <c r="F42" s="1"/>
  <c r="F43" s="1"/>
  <c r="D47"/>
  <c r="D42"/>
  <c r="D37"/>
  <c r="D36"/>
  <c r="D35"/>
  <c r="D30"/>
  <c r="D25"/>
  <c r="D24"/>
  <c r="D23"/>
  <c r="D18"/>
  <c r="D17"/>
  <c r="D16"/>
  <c r="D11"/>
  <c r="D10"/>
  <c r="D9"/>
  <c r="D8"/>
  <c r="D7"/>
  <c r="D6"/>
  <c r="D5"/>
  <c r="D8" i="4"/>
  <c r="E7"/>
  <c r="E30" s="1"/>
  <c r="F30" s="1"/>
  <c r="F31" s="1"/>
  <c r="E6"/>
  <c r="E36" s="1"/>
  <c r="F36" s="1"/>
  <c r="E5"/>
  <c r="D18"/>
  <c r="D6"/>
  <c r="D47"/>
  <c r="D42"/>
  <c r="D37"/>
  <c r="D36"/>
  <c r="D35"/>
  <c r="D30"/>
  <c r="D25"/>
  <c r="D24"/>
  <c r="D23"/>
  <c r="D17"/>
  <c r="D16"/>
  <c r="D7"/>
  <c r="D5"/>
  <c r="E9" i="2"/>
  <c r="E7"/>
  <c r="B21" i="6" s="1"/>
  <c r="E8" i="2"/>
  <c r="F26" i="36" l="1"/>
  <c r="F26" i="33"/>
  <c r="F38"/>
  <c r="F26" i="29"/>
  <c r="F19"/>
  <c r="F19" i="25"/>
  <c r="F38"/>
  <c r="F26"/>
  <c r="F8" i="24"/>
  <c r="F7" i="14"/>
  <c r="F6" i="11"/>
  <c r="F7" i="18"/>
  <c r="E42" i="17"/>
  <c r="F42" s="1"/>
  <c r="F43" s="1"/>
  <c r="F6" i="12"/>
  <c r="F6" i="14"/>
  <c r="F7" i="17"/>
  <c r="F6"/>
  <c r="F6" i="15"/>
  <c r="E42" i="18"/>
  <c r="F42" s="1"/>
  <c r="F43" s="1"/>
  <c r="F6" i="21"/>
  <c r="E42" i="15"/>
  <c r="F42" s="1"/>
  <c r="F43" s="1"/>
  <c r="F6" i="18"/>
  <c r="F5" i="14"/>
  <c r="F7" i="15"/>
  <c r="E42" i="21"/>
  <c r="F42" s="1"/>
  <c r="F43" s="1"/>
  <c r="D34" i="6"/>
  <c r="F7" i="21"/>
  <c r="D12" i="22"/>
  <c r="D23"/>
  <c r="F16" i="21"/>
  <c r="E8"/>
  <c r="F8" s="1"/>
  <c r="E9"/>
  <c r="F9" s="1"/>
  <c r="E10"/>
  <c r="F10" s="1"/>
  <c r="E11"/>
  <c r="F11" s="1"/>
  <c r="E23"/>
  <c r="E24"/>
  <c r="F24" s="1"/>
  <c r="E35"/>
  <c r="E36"/>
  <c r="F36" s="1"/>
  <c r="E47"/>
  <c r="F47" s="1"/>
  <c r="F48" s="1"/>
  <c r="E17"/>
  <c r="F17" s="1"/>
  <c r="E8" i="20"/>
  <c r="F8" s="1"/>
  <c r="E9"/>
  <c r="F9" s="1"/>
  <c r="E10"/>
  <c r="F10" s="1"/>
  <c r="E11"/>
  <c r="F11" s="1"/>
  <c r="E23"/>
  <c r="E24"/>
  <c r="F24" s="1"/>
  <c r="E35"/>
  <c r="E36"/>
  <c r="F36" s="1"/>
  <c r="E47"/>
  <c r="F47" s="1"/>
  <c r="F48" s="1"/>
  <c r="E16"/>
  <c r="E17"/>
  <c r="F17" s="1"/>
  <c r="E30"/>
  <c r="F30" s="1"/>
  <c r="F31" s="1"/>
  <c r="E42"/>
  <c r="F42" s="1"/>
  <c r="F43" s="1"/>
  <c r="F16" i="18"/>
  <c r="E8"/>
  <c r="F8" s="1"/>
  <c r="E9"/>
  <c r="F9" s="1"/>
  <c r="E10"/>
  <c r="F10" s="1"/>
  <c r="E11"/>
  <c r="F11" s="1"/>
  <c r="E23"/>
  <c r="E24"/>
  <c r="F24" s="1"/>
  <c r="E35"/>
  <c r="E36"/>
  <c r="F36" s="1"/>
  <c r="E47"/>
  <c r="F47" s="1"/>
  <c r="F48" s="1"/>
  <c r="E17"/>
  <c r="F17" s="1"/>
  <c r="F16" i="17"/>
  <c r="E8"/>
  <c r="F8" s="1"/>
  <c r="E9"/>
  <c r="F9" s="1"/>
  <c r="E10"/>
  <c r="F10" s="1"/>
  <c r="E11"/>
  <c r="F11" s="1"/>
  <c r="E23"/>
  <c r="E24"/>
  <c r="F24" s="1"/>
  <c r="E35"/>
  <c r="E36"/>
  <c r="F36" s="1"/>
  <c r="E47"/>
  <c r="F47" s="1"/>
  <c r="F48" s="1"/>
  <c r="E17"/>
  <c r="F17" s="1"/>
  <c r="F16" i="15"/>
  <c r="E8"/>
  <c r="F8" s="1"/>
  <c r="E9"/>
  <c r="F9" s="1"/>
  <c r="E10"/>
  <c r="F10" s="1"/>
  <c r="E11"/>
  <c r="F11" s="1"/>
  <c r="E23"/>
  <c r="E24"/>
  <c r="F24" s="1"/>
  <c r="E35"/>
  <c r="E36"/>
  <c r="F36" s="1"/>
  <c r="E47"/>
  <c r="F47" s="1"/>
  <c r="F48" s="1"/>
  <c r="E17"/>
  <c r="F17" s="1"/>
  <c r="F16" i="14"/>
  <c r="E8"/>
  <c r="F8" s="1"/>
  <c r="E9"/>
  <c r="F9" s="1"/>
  <c r="E10"/>
  <c r="F10" s="1"/>
  <c r="E11"/>
  <c r="F11" s="1"/>
  <c r="E23"/>
  <c r="E24"/>
  <c r="F24" s="1"/>
  <c r="E35"/>
  <c r="E36"/>
  <c r="F36" s="1"/>
  <c r="E47"/>
  <c r="F47" s="1"/>
  <c r="F48" s="1"/>
  <c r="E17"/>
  <c r="F17" s="1"/>
  <c r="E47" i="12"/>
  <c r="F47" s="1"/>
  <c r="F48" s="1"/>
  <c r="F16"/>
  <c r="F35"/>
  <c r="E17"/>
  <c r="F17" s="1"/>
  <c r="F5"/>
  <c r="E8"/>
  <c r="F8" s="1"/>
  <c r="E24"/>
  <c r="F24" s="1"/>
  <c r="E30"/>
  <c r="F30" s="1"/>
  <c r="F31" s="1"/>
  <c r="E36"/>
  <c r="F36" s="1"/>
  <c r="E42"/>
  <c r="F42" s="1"/>
  <c r="F43" s="1"/>
  <c r="E9"/>
  <c r="F9" s="1"/>
  <c r="E10"/>
  <c r="F10" s="1"/>
  <c r="E11"/>
  <c r="F11" s="1"/>
  <c r="E23"/>
  <c r="E47" i="11"/>
  <c r="F47" s="1"/>
  <c r="F48" s="1"/>
  <c r="F16"/>
  <c r="E18"/>
  <c r="F18" s="1"/>
  <c r="F35"/>
  <c r="F5"/>
  <c r="E8"/>
  <c r="F8" s="1"/>
  <c r="E24"/>
  <c r="F24" s="1"/>
  <c r="E30"/>
  <c r="F30" s="1"/>
  <c r="F31" s="1"/>
  <c r="E36"/>
  <c r="F36" s="1"/>
  <c r="E42"/>
  <c r="F42" s="1"/>
  <c r="F43" s="1"/>
  <c r="E9"/>
  <c r="F9" s="1"/>
  <c r="F7"/>
  <c r="E10"/>
  <c r="F10" s="1"/>
  <c r="E11"/>
  <c r="F11" s="1"/>
  <c r="E23"/>
  <c r="E47" i="5"/>
  <c r="F47" s="1"/>
  <c r="F48" s="1"/>
  <c r="C48" i="4"/>
  <c r="C26" i="5"/>
  <c r="C12"/>
  <c r="E11" i="4"/>
  <c r="F11" s="1"/>
  <c r="C38" i="5"/>
  <c r="E65" i="6"/>
  <c r="F65"/>
  <c r="F7" i="5"/>
  <c r="E24"/>
  <c r="F24" s="1"/>
  <c r="E17"/>
  <c r="F17" s="1"/>
  <c r="E35"/>
  <c r="F35" s="1"/>
  <c r="E8"/>
  <c r="F8" s="1"/>
  <c r="F5"/>
  <c r="F6"/>
  <c r="E9"/>
  <c r="F9" s="1"/>
  <c r="C48"/>
  <c r="E10"/>
  <c r="F10" s="1"/>
  <c r="E16"/>
  <c r="C19"/>
  <c r="C31"/>
  <c r="C43"/>
  <c r="E11"/>
  <c r="F11" s="1"/>
  <c r="E23"/>
  <c r="D9" i="4"/>
  <c r="C12"/>
  <c r="D11"/>
  <c r="D10"/>
  <c r="F6"/>
  <c r="F7"/>
  <c r="E9"/>
  <c r="F9" s="1"/>
  <c r="E10"/>
  <c r="F10" s="1"/>
  <c r="E16"/>
  <c r="C19"/>
  <c r="C31"/>
  <c r="C43"/>
  <c r="E17"/>
  <c r="F17" s="1"/>
  <c r="E23"/>
  <c r="C26"/>
  <c r="E35"/>
  <c r="C38"/>
  <c r="E47"/>
  <c r="F47" s="1"/>
  <c r="F48" s="1"/>
  <c r="F5"/>
  <c r="E8"/>
  <c r="F8" s="1"/>
  <c r="E24"/>
  <c r="F24" s="1"/>
  <c r="E42"/>
  <c r="F42" s="1"/>
  <c r="F43" s="1"/>
  <c r="E37" i="11" l="1"/>
  <c r="F37" s="1"/>
  <c r="F38" s="1"/>
  <c r="F12" i="15"/>
  <c r="F12" i="17"/>
  <c r="F12" i="21"/>
  <c r="F23"/>
  <c r="E25"/>
  <c r="F25" s="1"/>
  <c r="E18"/>
  <c r="F18" s="1"/>
  <c r="F19" s="1"/>
  <c r="F35"/>
  <c r="E37"/>
  <c r="F37" s="1"/>
  <c r="F12" i="20"/>
  <c r="F23"/>
  <c r="E25"/>
  <c r="F25" s="1"/>
  <c r="E18"/>
  <c r="F18" s="1"/>
  <c r="F16"/>
  <c r="F35"/>
  <c r="E37"/>
  <c r="F37" s="1"/>
  <c r="F12" i="18"/>
  <c r="F35"/>
  <c r="E37"/>
  <c r="F37" s="1"/>
  <c r="E18"/>
  <c r="F18" s="1"/>
  <c r="F19" s="1"/>
  <c r="F23"/>
  <c r="E25"/>
  <c r="F25" s="1"/>
  <c r="F23" i="17"/>
  <c r="E25"/>
  <c r="F25" s="1"/>
  <c r="E18"/>
  <c r="F18" s="1"/>
  <c r="F19" s="1"/>
  <c r="F35"/>
  <c r="E37"/>
  <c r="F37" s="1"/>
  <c r="F35" i="15"/>
  <c r="E37"/>
  <c r="F37" s="1"/>
  <c r="E18"/>
  <c r="F18" s="1"/>
  <c r="F19" s="1"/>
  <c r="F23"/>
  <c r="E25"/>
  <c r="F25" s="1"/>
  <c r="F12" i="14"/>
  <c r="E18"/>
  <c r="F18" s="1"/>
  <c r="F19" s="1"/>
  <c r="F35"/>
  <c r="E37"/>
  <c r="F37" s="1"/>
  <c r="F23"/>
  <c r="E25"/>
  <c r="F25" s="1"/>
  <c r="E18" i="12"/>
  <c r="F18" s="1"/>
  <c r="F19" s="1"/>
  <c r="E37"/>
  <c r="F37" s="1"/>
  <c r="F38" s="1"/>
  <c r="F23"/>
  <c r="E25"/>
  <c r="F25" s="1"/>
  <c r="F12"/>
  <c r="F12" i="11"/>
  <c r="F19"/>
  <c r="F23"/>
  <c r="E25"/>
  <c r="F25" s="1"/>
  <c r="E37" i="5"/>
  <c r="F37" s="1"/>
  <c r="F38" s="1"/>
  <c r="F12"/>
  <c r="E18"/>
  <c r="F18" s="1"/>
  <c r="F16"/>
  <c r="F23"/>
  <c r="E25"/>
  <c r="F25" s="1"/>
  <c r="E37" i="4"/>
  <c r="F37" s="1"/>
  <c r="F35"/>
  <c r="F23"/>
  <c r="E25"/>
  <c r="F25" s="1"/>
  <c r="E18"/>
  <c r="F18" s="1"/>
  <c r="F16"/>
  <c r="F12"/>
  <c r="F38" i="20" l="1"/>
  <c r="F26"/>
  <c r="F38" i="15"/>
  <c r="F38" i="17"/>
  <c r="F26" i="12"/>
  <c r="F26" i="15"/>
  <c r="F26" i="21"/>
  <c r="F38"/>
  <c r="F19" i="20"/>
  <c r="F26" i="18"/>
  <c r="F38"/>
  <c r="F26" i="17"/>
  <c r="F38" i="14"/>
  <c r="F26"/>
  <c r="F26" i="11"/>
  <c r="F19" i="5"/>
  <c r="F26"/>
  <c r="F19" i="4"/>
  <c r="F38"/>
  <c r="F26"/>
</calcChain>
</file>

<file path=xl/sharedStrings.xml><?xml version="1.0" encoding="utf-8"?>
<sst xmlns="http://schemas.openxmlformats.org/spreadsheetml/2006/main" count="1919" uniqueCount="145">
  <si>
    <t>Feature</t>
  </si>
  <si>
    <t>RTP</t>
  </si>
  <si>
    <t>Freq</t>
  </si>
  <si>
    <t>Avg pay</t>
  </si>
  <si>
    <t>Boss round</t>
  </si>
  <si>
    <t>Leaderboard</t>
  </si>
  <si>
    <t>Total</t>
  </si>
  <si>
    <t>Base game</t>
  </si>
  <si>
    <t>Special weapon (*)</t>
  </si>
  <si>
    <t>Award</t>
  </si>
  <si>
    <t>Table 1</t>
  </si>
  <si>
    <t>Probability</t>
  </si>
  <si>
    <t>Total (*)</t>
  </si>
  <si>
    <r>
      <t xml:space="preserve">(*) Total probability is </t>
    </r>
    <r>
      <rPr>
        <b/>
        <sz val="11"/>
        <color theme="1"/>
        <rFont val="Calibri"/>
        <family val="2"/>
        <scheme val="minor"/>
      </rPr>
      <t>hit rate</t>
    </r>
  </si>
  <si>
    <t>Table 2</t>
  </si>
  <si>
    <t>Table 3</t>
  </si>
  <si>
    <t>Table 4</t>
  </si>
  <si>
    <t>Table 5</t>
  </si>
  <si>
    <t>Table 6</t>
  </si>
  <si>
    <t>Table 7</t>
  </si>
  <si>
    <t>Cumulative prob.</t>
  </si>
  <si>
    <t>Extra prize</t>
  </si>
  <si>
    <t xml:space="preserve">As each shot to boss is a bet, the RTP for this bet should be the same as base game (95%) to avoid player's strategies. </t>
  </si>
  <si>
    <t>Environmental Boss round</t>
  </si>
  <si>
    <t>Boss energy:</t>
  </si>
  <si>
    <t>So, each shot can grant an extra prize (Table 1) and cause a damage. The RTP of these shots will be 95% plus the RTP from Boss prize.</t>
  </si>
  <si>
    <t>Extra prizes can be inmediately granted to players or they can be accumulate and granted at the end of the round added to the part of the Boss prize.</t>
  </si>
  <si>
    <t>Boss damage</t>
  </si>
  <si>
    <t>Players who have bet the most are likely to win the most. So, probabilities are proportional to player's total bet in the base game previous to Boss round.</t>
  </si>
  <si>
    <t>Each energy unit represents 1 credit. If player A has caused a damage of 15 energy units then player wins a prize of 15 credits plus the extra prizes.</t>
  </si>
  <si>
    <t>For each player the probabilities in the table below must be multiplied by player's total bet in base game previous to Boss round and divided by total bet in base game previous to Boss round.</t>
  </si>
  <si>
    <t>Damage</t>
  </si>
  <si>
    <t>When Boss energy is less than 5 some damage levels are not possible, in that case each player can only cause a damage of 1 unit with this probability:</t>
  </si>
  <si>
    <t>Probability Base line</t>
  </si>
  <si>
    <t>Example:</t>
  </si>
  <si>
    <t>Player 1 has bet 25 credits in base game.</t>
  </si>
  <si>
    <t>Player 2 has bet 50 credits in base game.</t>
  </si>
  <si>
    <t>Total bet: 25+50 = 75</t>
  </si>
  <si>
    <t>Player 1</t>
  </si>
  <si>
    <t>Player 2</t>
  </si>
  <si>
    <t>Probability factor correction (PFC): player's bet divided by total bet</t>
  </si>
  <si>
    <t>PFC= 25/75</t>
  </si>
  <si>
    <t>PFC</t>
  </si>
  <si>
    <t>Player's probabilities</t>
  </si>
  <si>
    <t>PFC= 50/75</t>
  </si>
  <si>
    <t>With this numbers the RTP for player 1 is 95% due "extra prizes" plus 20.66% due Boss damage.</t>
  </si>
  <si>
    <t>RTP for player 2 is 95% due "extra prizes" plus 41.33% due Boss damage.</t>
  </si>
  <si>
    <t>RTP for player 2 is greater than RTP for player 1 because player 2 has bet more in base game.</t>
  </si>
  <si>
    <t>&lt;- this RTP is distributed between players</t>
  </si>
  <si>
    <t>For each shot, draw an extra prize (Table 1) and boss damage (Table 2 and 3 corrected by player's bet). They are independent events.</t>
  </si>
  <si>
    <t>If Boss energy is at least 5 units the probabilities of damages are:</t>
  </si>
  <si>
    <t>The total Boss prize must return to players. The part of this prize won by bots will be added to Leaderboard prizes.</t>
  </si>
  <si>
    <t>Prob. Boss round</t>
  </si>
  <si>
    <t>Special weapons:</t>
  </si>
  <si>
    <t>Shots</t>
  </si>
  <si>
    <t>Avg pay by shot</t>
  </si>
  <si>
    <t>Total avg pay</t>
  </si>
  <si>
    <t>Weights</t>
  </si>
  <si>
    <t>Special weapon 1</t>
  </si>
  <si>
    <t>Special weapon 2</t>
  </si>
  <si>
    <t>Special weapon 3</t>
  </si>
  <si>
    <t>Guarantee knockout (*)</t>
  </si>
  <si>
    <t>(*) avg pay using best strategy</t>
  </si>
  <si>
    <t>Special weapons can be use anytime in base game only.</t>
  </si>
  <si>
    <t>Prize: 50x to be distributed between players according to damage done to boss</t>
  </si>
  <si>
    <t>Prize: 30x credits to be distributed between players according to contribution to completion + 50x to be distributed between players according to damage done to boss.</t>
  </si>
  <si>
    <t>(*) To use in MAIN only. Shots using special weapons are not paid. Each special weapon has a limited number of shots and could be used any time in base game.</t>
  </si>
  <si>
    <t>For each shot in base game with a regular weapon draw if player gets a special weapon or not.</t>
  </si>
  <si>
    <t>Avg win</t>
  </si>
  <si>
    <t>Probability of getting a special weapon = 1/60</t>
  </si>
  <si>
    <t>For instance, if player gets a special weapon betting 100 credits, at the moment he decides to use it the prizes must be multiplied by 100. It doesn’t matter if after getting the special weapon he changed the stake.</t>
  </si>
  <si>
    <t>But players are also competing by the Boss prize (50x) which will be distributed according to damage done by each player (or bot).</t>
  </si>
  <si>
    <t>Special Boss</t>
  </si>
  <si>
    <t>Hoard</t>
  </si>
  <si>
    <t>Notes: the number of enemies of each type in each location is irrelevant from the mathematical point of view.</t>
  </si>
  <si>
    <t>If locations act as "levels", it may be interesting to have weak enemies in the first location and add other species in the following locations.</t>
  </si>
  <si>
    <t>If player gets a special weapon then draw which one he gets using the weights in the table below.</t>
  </si>
  <si>
    <t>Scarab black</t>
  </si>
  <si>
    <t>Scarab gold</t>
  </si>
  <si>
    <t>Scarab gem covered</t>
  </si>
  <si>
    <t>Prize</t>
  </si>
  <si>
    <t>Standard Mummy</t>
  </si>
  <si>
    <t>Powerful Pharaoh Mummy A</t>
  </si>
  <si>
    <t>Powerful Pharaoh Mummy B</t>
  </si>
  <si>
    <t>Medium Mummy A</t>
  </si>
  <si>
    <t>Medium Mummy B</t>
  </si>
  <si>
    <t>Medium Mummy C</t>
  </si>
  <si>
    <t>Pays</t>
  </si>
  <si>
    <t>Prize #</t>
  </si>
  <si>
    <t>1 and 2</t>
  </si>
  <si>
    <t>1 and 3</t>
  </si>
  <si>
    <t>2 and 3</t>
  </si>
  <si>
    <t>1, 2 and 3 (*)</t>
  </si>
  <si>
    <t>(*) Total probability is hit rate</t>
  </si>
  <si>
    <t>(*) Enemy killed</t>
  </si>
  <si>
    <t>(Initial state)</t>
  </si>
  <si>
    <t>Awards granted:</t>
  </si>
  <si>
    <t>Prize #1</t>
  </si>
  <si>
    <t>Prize #2</t>
  </si>
  <si>
    <t>Prize #3</t>
  </si>
  <si>
    <t>Medium Mummy B (golden wrist bands and necklace)</t>
  </si>
  <si>
    <t>For each shot with a regular weapon, draw the damage caused using the table according to prizes already granted by enemy that is being shot.</t>
  </si>
  <si>
    <t>SPECIAL WEAPON 2 - Medium Mummy A (golden wrist bands)</t>
  </si>
  <si>
    <t>SPECIAL WEAPON 3 - Medium Mummy A (golden wrist bands)</t>
  </si>
  <si>
    <t>HOARD - Medium Mummy A (golden wrist bands)</t>
  </si>
  <si>
    <t>Medium Mummy C (golden boots and wrist bands)</t>
  </si>
  <si>
    <t>SPECIAL WEAPON 1 - Medium Mummy B (golden wrist bands and necklace)</t>
  </si>
  <si>
    <t>SPECIAL WEAPON 2 -Medium Mummy B (golden wrist bands and necklace)</t>
  </si>
  <si>
    <t>SPECIAL WEAPON 3 - Medium Mummy B (golden wrist bands and necklace)</t>
  </si>
  <si>
    <t>HOARD - Medium Mummy B (golden wrist bands and necklace)</t>
  </si>
  <si>
    <t>SPECIAL WEAPON 1 - Medium Mummy C (golden boots and wrist bands)</t>
  </si>
  <si>
    <t>SPECIAL WEAPON 2 - Medium Mummy C (golden boots and wrist bands)</t>
  </si>
  <si>
    <t>SPECIAL WEAPON 3 - Medium Mummy C (golden boots and wrist bands)</t>
  </si>
  <si>
    <t>HOARD - Medium Mummy C (golden boots and wrist bands)</t>
  </si>
  <si>
    <t>Scarabs</t>
  </si>
  <si>
    <t>Powerful Pharaoh Mummy A &amp; B</t>
  </si>
  <si>
    <t>SPECIAL WEAPON 1 - Standard Mummy</t>
  </si>
  <si>
    <t>SPECIAL WEAPON 1 - Scarabs</t>
  </si>
  <si>
    <t>SPECIAL WEAPON 1 - Powerful Pharaoh Mummy A &amp; B</t>
  </si>
  <si>
    <t>SPECIAL WEAPON 2 - Standard Mummy</t>
  </si>
  <si>
    <t>SPECIAL WEAPON 2 - Scarabs</t>
  </si>
  <si>
    <t>SPECIAL WEAPON 2 - Powerful Pharaoh Mummy A &amp; B</t>
  </si>
  <si>
    <t>SPECIAL WEAPON 3 - Standard Mummy</t>
  </si>
  <si>
    <t>SPECIAL WEAPON 3 - Powerful Pharaoh Mummy A &amp; B</t>
  </si>
  <si>
    <t>NOTE: when Boss round ends draw if the Hoard is triggered. Probaility of triggering Hoard = 1/4.</t>
  </si>
  <si>
    <t>HOARD - Standard Mummy</t>
  </si>
  <si>
    <t>HOARD - Scarabs</t>
  </si>
  <si>
    <t xml:space="preserve">(*) if there is not any Powerful Pharaoh Mummy in location we can discard this one to make it simpler. </t>
  </si>
  <si>
    <t>Otherwise, the best strategy would be to keep this weapon and use it in another location to kill a Powerful Pharaoh Mummy.</t>
  </si>
  <si>
    <t>Skill: best strategy is to use it with a Powerful Pharaoh Mummy with no damage</t>
  </si>
  <si>
    <t>Each special weapon has its own probabilities of damage for each kind of enemy. Prizes must be multiplied by the stake that triggered the feature.</t>
  </si>
  <si>
    <t>When a player gets a GUARANTEE KNOCKOUT he/she can use it only in base game and optimal strategy is to kill a Powerful Pharaoh Mummy with no damage. The prize is x15 (see table below)</t>
  </si>
  <si>
    <t>If player uses the special weapon in other case (imperfect play) then he/she will get a prize lower than x15. The difference is added to leaderboard prize.</t>
  </si>
  <si>
    <t>There are different kind of enemies. Each enemy has its own prizes. Stronger enemies grant bigger prizes but are more difficult to kill.</t>
  </si>
  <si>
    <t>For each shot with a special weapon, draw the damage caused using the table according to prizes already granted by enemy that is being shot.</t>
  </si>
  <si>
    <t>Medium Mummy A (golden wrist bands)</t>
  </si>
  <si>
    <t>SPECIAL WEAPON 1 - Medium Mummy A (golden wrist bands)</t>
  </si>
  <si>
    <t>Special weapons description</t>
  </si>
  <si>
    <t>Special weapon 1: holy arrows (3 arrows)</t>
  </si>
  <si>
    <t xml:space="preserve">Special weapon 2: 1 bomb hitting 5 times.  </t>
  </si>
  <si>
    <t xml:space="preserve">When the bomb is thrown hit the nearest enemy (i.e. draw the damage according to tables for special weapon 2), if that enemy is not defeated then hit him one more time, else hit the following nearest enemy. Repeat 3 more times (total: 5 "shots"). </t>
  </si>
  <si>
    <t>Algorithmically is a sequential process but graphically it is shown as everything ocurring at the same moment.</t>
  </si>
  <si>
    <t>Special weapon 3: every time a player gets special weapon 3 choose at random between a Chain gun or Ricochet.</t>
  </si>
  <si>
    <t>Chain Gun:  10 shots but each shot can be shown as a burst of several bullets. For example, each shot can be replaced by one burst of 10 bullets and this corresponds to only one draw using the probabilities of the tables.</t>
  </si>
  <si>
    <t xml:space="preserve">Ricochet: 5 shots but each shot bounces hitting a second enemy. The second enemy is chosen at random and it is not necessary the same kind of enemy that the player aimed. </t>
  </si>
</sst>
</file>

<file path=xl/styles.xml><?xml version="1.0" encoding="utf-8"?>
<styleSheet xmlns="http://schemas.openxmlformats.org/spreadsheetml/2006/main">
  <numFmts count="9">
    <numFmt numFmtId="164" formatCode="0.0000000"/>
    <numFmt numFmtId="165" formatCode="0.000000"/>
    <numFmt numFmtId="166" formatCode="0.0%"/>
    <numFmt numFmtId="167" formatCode="0.0000"/>
    <numFmt numFmtId="168" formatCode="0.000000000"/>
    <numFmt numFmtId="169" formatCode="0.000"/>
    <numFmt numFmtId="170" formatCode="\x0"/>
    <numFmt numFmtId="171" formatCode="\x0.00"/>
    <numFmt numFmtId="172" formatCode="0.00000"/>
  </numFmts>
  <fonts count="8">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1"/>
      <color rgb="FFFF0000"/>
      <name val="Calibri"/>
      <family val="2"/>
      <scheme val="minor"/>
    </font>
    <font>
      <b/>
      <sz val="14"/>
      <color theme="0"/>
      <name val="Calibri"/>
      <family val="2"/>
      <scheme val="minor"/>
    </font>
    <font>
      <b/>
      <sz val="14"/>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rgb="FF0070C0"/>
        <bgColor indexed="64"/>
      </patternFill>
    </fill>
    <fill>
      <patternFill patternType="solid">
        <fgColor theme="8"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120">
    <xf numFmtId="0" fontId="0" fillId="0" borderId="0" xfId="0"/>
    <xf numFmtId="0" fontId="0" fillId="0" borderId="1" xfId="0" applyFill="1" applyBorder="1"/>
    <xf numFmtId="0" fontId="0" fillId="0" borderId="0" xfId="0" applyFill="1" applyBorder="1"/>
    <xf numFmtId="0" fontId="0" fillId="0" borderId="0" xfId="0"/>
    <xf numFmtId="0" fontId="3" fillId="0" borderId="0" xfId="0" applyFont="1"/>
    <xf numFmtId="0" fontId="0" fillId="0" borderId="1" xfId="0" applyBorder="1"/>
    <xf numFmtId="0" fontId="2" fillId="2" borderId="1" xfId="0" applyFont="1" applyFill="1" applyBorder="1"/>
    <xf numFmtId="166" fontId="0" fillId="0" borderId="1" xfId="1" applyNumberFormat="1" applyFont="1" applyBorder="1"/>
    <xf numFmtId="165" fontId="3" fillId="0" borderId="0" xfId="0" applyNumberFormat="1" applyFont="1" applyBorder="1"/>
    <xf numFmtId="0" fontId="0" fillId="0" borderId="0" xfId="0"/>
    <xf numFmtId="0" fontId="0" fillId="0" borderId="1" xfId="0" applyBorder="1"/>
    <xf numFmtId="0" fontId="3" fillId="0" borderId="1" xfId="0" applyFont="1" applyBorder="1"/>
    <xf numFmtId="0" fontId="3" fillId="0" borderId="0" xfId="0" applyFont="1" applyBorder="1"/>
    <xf numFmtId="165" fontId="3" fillId="0" borderId="1" xfId="0" applyNumberFormat="1" applyFont="1" applyBorder="1"/>
    <xf numFmtId="0" fontId="2" fillId="2" borderId="1" xfId="0" applyFont="1" applyFill="1" applyBorder="1"/>
    <xf numFmtId="164" fontId="3" fillId="0" borderId="1" xfId="0" applyNumberFormat="1" applyFont="1" applyBorder="1"/>
    <xf numFmtId="0" fontId="0" fillId="0" borderId="2" xfId="0" applyFill="1" applyBorder="1"/>
    <xf numFmtId="167" fontId="0" fillId="0" borderId="0" xfId="0" applyNumberFormat="1"/>
    <xf numFmtId="0" fontId="0" fillId="0" borderId="0" xfId="0"/>
    <xf numFmtId="0" fontId="3" fillId="0" borderId="0" xfId="0" applyFont="1"/>
    <xf numFmtId="0" fontId="0" fillId="0" borderId="1" xfId="0" applyBorder="1"/>
    <xf numFmtId="0" fontId="3" fillId="0" borderId="1" xfId="0" applyFont="1" applyBorder="1"/>
    <xf numFmtId="0" fontId="2" fillId="2" borderId="1" xfId="0" applyFont="1" applyFill="1" applyBorder="1"/>
    <xf numFmtId="164" fontId="3" fillId="0" borderId="1" xfId="0" applyNumberFormat="1" applyFont="1" applyBorder="1"/>
    <xf numFmtId="0" fontId="0" fillId="0" borderId="2" xfId="0" applyFill="1" applyBorder="1"/>
    <xf numFmtId="0" fontId="3" fillId="0" borderId="3" xfId="0" applyFont="1" applyBorder="1"/>
    <xf numFmtId="0" fontId="3" fillId="0" borderId="4" xfId="0" applyFont="1" applyBorder="1" applyAlignment="1">
      <alignment horizontal="center"/>
    </xf>
    <xf numFmtId="0" fontId="3" fillId="0" borderId="0" xfId="0" applyFont="1" applyBorder="1" applyAlignment="1">
      <alignment horizontal="center"/>
    </xf>
    <xf numFmtId="0" fontId="2" fillId="2" borderId="1" xfId="0" applyFont="1" applyFill="1" applyBorder="1" applyAlignment="1">
      <alignment horizontal="center"/>
    </xf>
    <xf numFmtId="0" fontId="0" fillId="0" borderId="0" xfId="0"/>
    <xf numFmtId="0" fontId="3" fillId="0" borderId="0" xfId="0" applyFont="1"/>
    <xf numFmtId="0" fontId="0" fillId="0" borderId="1" xfId="0" applyBorder="1"/>
    <xf numFmtId="0" fontId="3" fillId="0" borderId="1" xfId="0" applyFont="1" applyBorder="1"/>
    <xf numFmtId="0" fontId="3" fillId="0" borderId="0" xfId="0" applyFont="1" applyBorder="1"/>
    <xf numFmtId="0" fontId="2" fillId="2" borderId="1" xfId="0" applyFont="1" applyFill="1" applyBorder="1"/>
    <xf numFmtId="0" fontId="0" fillId="0" borderId="0" xfId="0" applyAlignment="1">
      <alignment horizontal="center"/>
    </xf>
    <xf numFmtId="164" fontId="0" fillId="0" borderId="0" xfId="0" applyNumberFormat="1"/>
    <xf numFmtId="2" fontId="0" fillId="0" borderId="0" xfId="0" applyNumberFormat="1"/>
    <xf numFmtId="10" fontId="2" fillId="2" borderId="1" xfId="1" applyNumberFormat="1" applyFont="1" applyFill="1" applyBorder="1"/>
    <xf numFmtId="0" fontId="0" fillId="0" borderId="1" xfId="0" applyFill="1" applyBorder="1"/>
    <xf numFmtId="169" fontId="0" fillId="0" borderId="1" xfId="1" applyNumberFormat="1" applyFont="1" applyFill="1" applyBorder="1"/>
    <xf numFmtId="0" fontId="0" fillId="0" borderId="1" xfId="0" applyBorder="1"/>
    <xf numFmtId="0" fontId="0" fillId="0" borderId="1" xfId="0" applyBorder="1"/>
    <xf numFmtId="0" fontId="0" fillId="0" borderId="1" xfId="0" applyBorder="1"/>
    <xf numFmtId="0" fontId="2" fillId="2" borderId="1" xfId="0" applyFont="1" applyFill="1" applyBorder="1"/>
    <xf numFmtId="0" fontId="2" fillId="2" borderId="1" xfId="0" applyFont="1" applyFill="1" applyBorder="1" applyAlignment="1">
      <alignment horizontal="center"/>
    </xf>
    <xf numFmtId="0" fontId="0" fillId="0" borderId="0" xfId="0" applyAlignment="1">
      <alignment horizontal="center"/>
    </xf>
    <xf numFmtId="0" fontId="0" fillId="0" borderId="0" xfId="0" applyBorder="1" applyAlignment="1">
      <alignment horizontal="center"/>
    </xf>
    <xf numFmtId="0" fontId="0" fillId="0" borderId="1" xfId="0" applyBorder="1" applyAlignment="1">
      <alignment horizontal="center"/>
    </xf>
    <xf numFmtId="164" fontId="3" fillId="0" borderId="1" xfId="0" applyNumberFormat="1" applyFont="1" applyBorder="1" applyAlignment="1">
      <alignment horizontal="center"/>
    </xf>
    <xf numFmtId="165" fontId="3" fillId="0" borderId="1" xfId="0" applyNumberFormat="1" applyFont="1" applyBorder="1" applyAlignment="1">
      <alignment horizontal="center"/>
    </xf>
    <xf numFmtId="165" fontId="3" fillId="0" borderId="0" xfId="0" applyNumberFormat="1" applyFont="1" applyBorder="1" applyAlignment="1">
      <alignment horizontal="center"/>
    </xf>
    <xf numFmtId="164" fontId="0" fillId="0" borderId="1" xfId="1" applyNumberFormat="1" applyFont="1" applyFill="1" applyBorder="1"/>
    <xf numFmtId="0" fontId="0" fillId="0" borderId="1" xfId="0" applyBorder="1"/>
    <xf numFmtId="0" fontId="0" fillId="0" borderId="1" xfId="0" applyBorder="1"/>
    <xf numFmtId="0" fontId="0" fillId="0" borderId="1" xfId="0" applyBorder="1"/>
    <xf numFmtId="0" fontId="0" fillId="0" borderId="1" xfId="0" applyBorder="1"/>
    <xf numFmtId="0" fontId="0" fillId="0" borderId="1" xfId="0" applyBorder="1"/>
    <xf numFmtId="0" fontId="0" fillId="0" borderId="1" xfId="0" applyBorder="1"/>
    <xf numFmtId="0" fontId="2" fillId="2" borderId="1" xfId="0" applyFont="1" applyFill="1" applyBorder="1"/>
    <xf numFmtId="0" fontId="0" fillId="0" borderId="0" xfId="0" applyAlignment="1">
      <alignment horizontal="center"/>
    </xf>
    <xf numFmtId="0" fontId="0" fillId="0" borderId="0" xfId="0" applyBorder="1" applyAlignment="1">
      <alignment horizontal="center"/>
    </xf>
    <xf numFmtId="0" fontId="0" fillId="0" borderId="1" xfId="0" applyBorder="1" applyAlignment="1">
      <alignment horizontal="center"/>
    </xf>
    <xf numFmtId="164" fontId="3" fillId="0" borderId="1" xfId="0" applyNumberFormat="1" applyFont="1" applyBorder="1" applyAlignment="1">
      <alignment horizontal="center"/>
    </xf>
    <xf numFmtId="165" fontId="3" fillId="0" borderId="1" xfId="0" applyNumberFormat="1" applyFont="1" applyBorder="1" applyAlignment="1">
      <alignment horizontal="center"/>
    </xf>
    <xf numFmtId="165" fontId="3" fillId="0" borderId="0" xfId="0" applyNumberFormat="1" applyFont="1" applyBorder="1" applyAlignment="1">
      <alignment horizontal="center"/>
    </xf>
    <xf numFmtId="0" fontId="0" fillId="0" borderId="0" xfId="0"/>
    <xf numFmtId="0" fontId="0" fillId="0" borderId="0" xfId="0" applyFill="1" applyBorder="1"/>
    <xf numFmtId="0" fontId="3" fillId="0" borderId="0" xfId="0" applyFont="1"/>
    <xf numFmtId="0" fontId="0" fillId="0" borderId="1" xfId="0" applyBorder="1"/>
    <xf numFmtId="0" fontId="2" fillId="2" borderId="1" xfId="0" applyFont="1" applyFill="1" applyBorder="1"/>
    <xf numFmtId="0" fontId="3" fillId="0" borderId="1" xfId="0" applyFont="1" applyBorder="1"/>
    <xf numFmtId="164" fontId="3" fillId="0" borderId="1" xfId="0" applyNumberFormat="1" applyFont="1" applyBorder="1"/>
    <xf numFmtId="0" fontId="0" fillId="0" borderId="2" xfId="0" applyFill="1" applyBorder="1"/>
    <xf numFmtId="0" fontId="3" fillId="0" borderId="0" xfId="0" applyFont="1" applyBorder="1"/>
    <xf numFmtId="0" fontId="3" fillId="0" borderId="3" xfId="0" applyFont="1" applyBorder="1"/>
    <xf numFmtId="0" fontId="3" fillId="0" borderId="4" xfId="0" applyFont="1" applyBorder="1" applyAlignment="1">
      <alignment horizontal="center"/>
    </xf>
    <xf numFmtId="0" fontId="3" fillId="0" borderId="0" xfId="0" applyFont="1" applyBorder="1" applyAlignment="1">
      <alignment horizontal="center"/>
    </xf>
    <xf numFmtId="0" fontId="2" fillId="2" borderId="1" xfId="0" applyFont="1" applyFill="1" applyBorder="1" applyAlignment="1">
      <alignment horizontal="center"/>
    </xf>
    <xf numFmtId="0" fontId="0" fillId="0" borderId="0" xfId="0"/>
    <xf numFmtId="0" fontId="0" fillId="0" borderId="1" xfId="0" applyFill="1" applyBorder="1"/>
    <xf numFmtId="0" fontId="0" fillId="0" borderId="0" xfId="0" applyFill="1" applyBorder="1"/>
    <xf numFmtId="0" fontId="3" fillId="0" borderId="0" xfId="0" applyFont="1"/>
    <xf numFmtId="0" fontId="0" fillId="0" borderId="1" xfId="0" applyBorder="1"/>
    <xf numFmtId="0" fontId="2" fillId="2" borderId="1" xfId="0" applyFont="1" applyFill="1" applyBorder="1"/>
    <xf numFmtId="165" fontId="3" fillId="0" borderId="0" xfId="0" applyNumberFormat="1" applyFont="1" applyBorder="1"/>
    <xf numFmtId="0" fontId="3" fillId="0" borderId="1" xfId="0" applyFont="1" applyBorder="1"/>
    <xf numFmtId="0" fontId="0" fillId="0" borderId="2" xfId="0" applyFill="1" applyBorder="1"/>
    <xf numFmtId="16" fontId="0" fillId="0" borderId="0" xfId="0" applyNumberFormat="1"/>
    <xf numFmtId="0" fontId="4" fillId="0" borderId="0" xfId="0" applyFont="1"/>
    <xf numFmtId="0" fontId="3" fillId="0" borderId="0" xfId="0" applyFont="1" applyBorder="1"/>
    <xf numFmtId="165" fontId="3" fillId="0" borderId="1" xfId="0" applyNumberFormat="1" applyFont="1" applyBorder="1"/>
    <xf numFmtId="2" fontId="0" fillId="0" borderId="0" xfId="0" applyNumberFormat="1"/>
    <xf numFmtId="168" fontId="3" fillId="0" borderId="1" xfId="0" applyNumberFormat="1" applyFont="1" applyBorder="1"/>
    <xf numFmtId="1" fontId="0" fillId="0" borderId="1" xfId="0" applyNumberFormat="1" applyFill="1" applyBorder="1"/>
    <xf numFmtId="0" fontId="3" fillId="0" borderId="5" xfId="0" applyFont="1" applyBorder="1"/>
    <xf numFmtId="0" fontId="3" fillId="0" borderId="6" xfId="0" applyFont="1" applyBorder="1"/>
    <xf numFmtId="0" fontId="3" fillId="0" borderId="7" xfId="0" applyFont="1" applyBorder="1"/>
    <xf numFmtId="0" fontId="0" fillId="0" borderId="8" xfId="0" applyBorder="1"/>
    <xf numFmtId="0" fontId="0" fillId="0" borderId="0"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3" xfId="0" applyBorder="1"/>
    <xf numFmtId="2" fontId="0" fillId="0" borderId="4" xfId="0" applyNumberFormat="1" applyBorder="1"/>
    <xf numFmtId="0" fontId="3" fillId="0" borderId="1" xfId="0" applyFont="1" applyFill="1" applyBorder="1"/>
    <xf numFmtId="170" fontId="0" fillId="0" borderId="1" xfId="0" applyNumberFormat="1" applyBorder="1"/>
    <xf numFmtId="171" fontId="0" fillId="0" borderId="1" xfId="0" applyNumberFormat="1" applyBorder="1"/>
    <xf numFmtId="171" fontId="3" fillId="0" borderId="1" xfId="0" applyNumberFormat="1" applyFont="1" applyBorder="1"/>
    <xf numFmtId="0" fontId="0" fillId="0" borderId="1" xfId="0" applyBorder="1" applyAlignment="1">
      <alignment horizontal="right"/>
    </xf>
    <xf numFmtId="0" fontId="0" fillId="0" borderId="1" xfId="0" applyFill="1" applyBorder="1" applyAlignment="1">
      <alignment horizontal="right"/>
    </xf>
    <xf numFmtId="168" fontId="0" fillId="0" borderId="0" xfId="0" applyNumberFormat="1"/>
    <xf numFmtId="172" fontId="0" fillId="0" borderId="0" xfId="0" applyNumberFormat="1"/>
    <xf numFmtId="2" fontId="0" fillId="0" borderId="1" xfId="1" applyNumberFormat="1" applyFont="1" applyFill="1" applyBorder="1"/>
    <xf numFmtId="164" fontId="0" fillId="0" borderId="1" xfId="0" applyNumberFormat="1" applyFill="1" applyBorder="1"/>
    <xf numFmtId="0" fontId="5" fillId="3" borderId="0" xfId="0" applyFont="1" applyFill="1" applyAlignment="1">
      <alignment horizontal="center"/>
    </xf>
    <xf numFmtId="0" fontId="6" fillId="4" borderId="0" xfId="0" applyFont="1" applyFill="1" applyAlignment="1">
      <alignment horizontal="center"/>
    </xf>
    <xf numFmtId="0" fontId="7" fillId="0" borderId="0" xfId="0" applyFont="1"/>
    <xf numFmtId="0" fontId="0" fillId="0" borderId="0" xfId="0" applyNumberFormat="1"/>
  </cellXfs>
  <cellStyles count="2">
    <cellStyle name="Normal" xfId="0" builtinId="0"/>
    <cellStyle name="Porcentual" xfId="1"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sheetPr codeName="Hoja1">
    <tabColor rgb="FFFF0000"/>
  </sheetPr>
  <dimension ref="A1:K39"/>
  <sheetViews>
    <sheetView workbookViewId="0">
      <selection activeCell="A3" sqref="A3"/>
    </sheetView>
  </sheetViews>
  <sheetFormatPr baseColWidth="10" defaultRowHeight="14.4"/>
  <cols>
    <col min="1" max="1" width="18" customWidth="1"/>
    <col min="4" max="4" width="11.5546875" style="29"/>
    <col min="5" max="5" width="14.88671875" customWidth="1"/>
    <col min="7" max="7" width="13.5546875" customWidth="1"/>
    <col min="8" max="8" width="15" customWidth="1"/>
  </cols>
  <sheetData>
    <row r="1" spans="1:8" s="79" customFormat="1">
      <c r="A1" s="79" t="s">
        <v>74</v>
      </c>
    </row>
    <row r="2" spans="1:8" s="79" customFormat="1">
      <c r="A2" s="79" t="s">
        <v>75</v>
      </c>
    </row>
    <row r="3" spans="1:8" s="79" customFormat="1"/>
    <row r="4" spans="1:8" s="79" customFormat="1"/>
    <row r="5" spans="1:8">
      <c r="A5" s="6" t="s">
        <v>0</v>
      </c>
      <c r="B5" s="6" t="s">
        <v>1</v>
      </c>
      <c r="C5" s="6" t="s">
        <v>2</v>
      </c>
      <c r="D5" s="34" t="s">
        <v>11</v>
      </c>
      <c r="E5" s="6" t="s">
        <v>3</v>
      </c>
      <c r="F5" s="3"/>
      <c r="G5" s="3"/>
      <c r="H5" s="3"/>
    </row>
    <row r="6" spans="1:8">
      <c r="A6" s="5" t="s">
        <v>7</v>
      </c>
      <c r="B6" s="7">
        <v>0.5</v>
      </c>
      <c r="C6" s="5"/>
      <c r="D6" s="31"/>
      <c r="E6" s="5"/>
      <c r="F6" s="3"/>
      <c r="G6" s="3"/>
      <c r="H6" s="3"/>
    </row>
    <row r="7" spans="1:8">
      <c r="A7" s="5" t="s">
        <v>4</v>
      </c>
      <c r="B7" s="7">
        <v>0.25</v>
      </c>
      <c r="C7" s="5">
        <v>200</v>
      </c>
      <c r="D7" s="31">
        <f>1/C7</f>
        <v>5.0000000000000001E-3</v>
      </c>
      <c r="E7" s="10">
        <f>+C7*B7</f>
        <v>50</v>
      </c>
      <c r="F7" s="79" t="s">
        <v>64</v>
      </c>
      <c r="G7" s="3"/>
      <c r="H7" s="3"/>
    </row>
    <row r="8" spans="1:8">
      <c r="A8" s="5" t="s">
        <v>8</v>
      </c>
      <c r="B8" s="7">
        <v>0.1</v>
      </c>
      <c r="C8" s="5">
        <v>60</v>
      </c>
      <c r="D8" s="31">
        <f t="shared" ref="D8:D9" si="0">1/C8</f>
        <v>1.6666666666666666E-2</v>
      </c>
      <c r="E8" s="5">
        <f>+C8*B8</f>
        <v>6</v>
      </c>
      <c r="F8" s="3"/>
      <c r="G8" s="17"/>
    </row>
    <row r="9" spans="1:8">
      <c r="A9" s="83" t="s">
        <v>73</v>
      </c>
      <c r="B9" s="7">
        <v>0.1</v>
      </c>
      <c r="C9" s="5">
        <v>800</v>
      </c>
      <c r="D9" s="31">
        <f t="shared" si="0"/>
        <v>1.25E-3</v>
      </c>
      <c r="E9" s="10">
        <f>+C9*B9</f>
        <v>80</v>
      </c>
      <c r="F9" s="79" t="s">
        <v>65</v>
      </c>
      <c r="G9" s="3"/>
      <c r="H9" s="3"/>
    </row>
    <row r="10" spans="1:8">
      <c r="A10" s="5" t="s">
        <v>5</v>
      </c>
      <c r="B10" s="7">
        <v>0</v>
      </c>
      <c r="C10" s="5"/>
      <c r="D10" s="31"/>
      <c r="E10" s="5"/>
      <c r="F10" s="3"/>
    </row>
    <row r="11" spans="1:8">
      <c r="A11" s="6" t="s">
        <v>6</v>
      </c>
      <c r="B11" s="38">
        <v>0.95000000000000007</v>
      </c>
      <c r="C11" s="6"/>
      <c r="D11" s="34"/>
      <c r="E11" s="6"/>
      <c r="F11" s="3"/>
    </row>
    <row r="12" spans="1:8">
      <c r="A12" s="87" t="s">
        <v>66</v>
      </c>
    </row>
    <row r="13" spans="1:8">
      <c r="A13" s="87" t="s">
        <v>131</v>
      </c>
    </row>
    <row r="14" spans="1:8" s="29" customFormat="1">
      <c r="A14" s="87" t="s">
        <v>132</v>
      </c>
    </row>
    <row r="15" spans="1:8" s="29" customFormat="1"/>
    <row r="16" spans="1:8">
      <c r="A16" s="81" t="s">
        <v>133</v>
      </c>
    </row>
    <row r="17" spans="1:11" s="79" customFormat="1">
      <c r="A17" s="81"/>
    </row>
    <row r="18" spans="1:11" s="79" customFormat="1">
      <c r="A18" s="81"/>
    </row>
    <row r="19" spans="1:11">
      <c r="A19" s="82" t="s">
        <v>77</v>
      </c>
      <c r="B19" s="79"/>
      <c r="D19" s="82" t="s">
        <v>78</v>
      </c>
      <c r="E19" s="79"/>
      <c r="G19" s="82" t="s">
        <v>79</v>
      </c>
      <c r="H19" s="79"/>
    </row>
    <row r="20" spans="1:11">
      <c r="A20" s="84" t="s">
        <v>88</v>
      </c>
      <c r="B20" s="84" t="s">
        <v>87</v>
      </c>
      <c r="D20" s="84" t="s">
        <v>88</v>
      </c>
      <c r="E20" s="84" t="s">
        <v>87</v>
      </c>
      <c r="G20" s="84" t="s">
        <v>88</v>
      </c>
      <c r="H20" s="84" t="s">
        <v>87</v>
      </c>
    </row>
    <row r="21" spans="1:11">
      <c r="A21" s="83">
        <v>1</v>
      </c>
      <c r="B21" s="109">
        <v>2</v>
      </c>
      <c r="D21" s="83">
        <v>1</v>
      </c>
      <c r="E21" s="109">
        <v>3</v>
      </c>
      <c r="G21" s="83">
        <v>1</v>
      </c>
      <c r="H21" s="109">
        <v>4</v>
      </c>
    </row>
    <row r="22" spans="1:11" s="79" customFormat="1">
      <c r="A22" s="81"/>
    </row>
    <row r="23" spans="1:11" s="79" customFormat="1">
      <c r="A23" s="81"/>
    </row>
    <row r="24" spans="1:11" s="3" customFormat="1">
      <c r="A24" s="2"/>
      <c r="D24" s="29"/>
    </row>
    <row r="25" spans="1:11">
      <c r="A25" s="82" t="s">
        <v>81</v>
      </c>
      <c r="B25" s="79"/>
      <c r="D25" s="4" t="s">
        <v>84</v>
      </c>
      <c r="G25" s="4" t="s">
        <v>85</v>
      </c>
      <c r="H25" s="3"/>
      <c r="J25" s="4" t="s">
        <v>86</v>
      </c>
      <c r="K25" s="3"/>
    </row>
    <row r="26" spans="1:11">
      <c r="A26" s="84" t="s">
        <v>80</v>
      </c>
      <c r="B26" s="84" t="s">
        <v>87</v>
      </c>
      <c r="D26" s="84" t="s">
        <v>88</v>
      </c>
      <c r="E26" s="84" t="s">
        <v>87</v>
      </c>
      <c r="G26" s="84" t="s">
        <v>88</v>
      </c>
      <c r="H26" s="84" t="s">
        <v>87</v>
      </c>
      <c r="J26" s="84" t="s">
        <v>88</v>
      </c>
      <c r="K26" s="84" t="s">
        <v>87</v>
      </c>
    </row>
    <row r="27" spans="1:11">
      <c r="A27" s="83">
        <v>1</v>
      </c>
      <c r="B27" s="108">
        <v>2</v>
      </c>
      <c r="D27" s="5">
        <v>2</v>
      </c>
      <c r="E27" s="108">
        <v>2</v>
      </c>
      <c r="G27" s="83">
        <v>1</v>
      </c>
      <c r="H27" s="108">
        <v>2</v>
      </c>
      <c r="J27" s="83">
        <v>1</v>
      </c>
      <c r="K27" s="108">
        <v>3</v>
      </c>
    </row>
    <row r="28" spans="1:11">
      <c r="A28" s="83">
        <v>2</v>
      </c>
      <c r="B28" s="108">
        <v>3</v>
      </c>
      <c r="D28" s="1">
        <v>3</v>
      </c>
      <c r="E28" s="108">
        <v>3</v>
      </c>
      <c r="G28" s="83">
        <v>2</v>
      </c>
      <c r="H28" s="108">
        <v>2</v>
      </c>
      <c r="J28" s="83">
        <v>2</v>
      </c>
      <c r="K28" s="108">
        <v>3</v>
      </c>
    </row>
    <row r="29" spans="1:11">
      <c r="A29" s="106" t="s">
        <v>6</v>
      </c>
      <c r="B29" s="109">
        <f>+SUM(B27:B28)</f>
        <v>5</v>
      </c>
      <c r="D29" s="106" t="s">
        <v>6</v>
      </c>
      <c r="E29" s="109">
        <f>+SUM(E27:E28)</f>
        <v>5</v>
      </c>
      <c r="G29" s="80">
        <v>3</v>
      </c>
      <c r="H29" s="108">
        <v>4</v>
      </c>
      <c r="J29" s="80">
        <v>3</v>
      </c>
      <c r="K29" s="108">
        <v>6</v>
      </c>
    </row>
    <row r="30" spans="1:11" s="79" customFormat="1">
      <c r="D30" s="29"/>
      <c r="E30"/>
      <c r="F30" s="82"/>
      <c r="G30" s="106" t="s">
        <v>6</v>
      </c>
      <c r="H30" s="109">
        <f>+SUM(H27:H29)</f>
        <v>8</v>
      </c>
      <c r="I30" s="82"/>
      <c r="J30" s="106" t="s">
        <v>6</v>
      </c>
      <c r="K30" s="109">
        <f>+SUM(K27:K29)</f>
        <v>12</v>
      </c>
    </row>
    <row r="34" spans="1:7">
      <c r="A34" s="82" t="s">
        <v>82</v>
      </c>
      <c r="B34" s="79"/>
      <c r="D34" s="82" t="s">
        <v>83</v>
      </c>
      <c r="E34" s="79"/>
    </row>
    <row r="35" spans="1:7">
      <c r="A35" s="84" t="s">
        <v>88</v>
      </c>
      <c r="B35" s="84" t="s">
        <v>87</v>
      </c>
      <c r="D35" s="84" t="s">
        <v>88</v>
      </c>
      <c r="E35" s="84" t="s">
        <v>87</v>
      </c>
    </row>
    <row r="36" spans="1:7">
      <c r="A36" s="83">
        <v>1</v>
      </c>
      <c r="B36" s="108">
        <v>2</v>
      </c>
      <c r="D36" s="83">
        <v>1</v>
      </c>
      <c r="E36" s="108">
        <v>2</v>
      </c>
      <c r="G36" s="81"/>
    </row>
    <row r="37" spans="1:7">
      <c r="A37" s="83">
        <v>2</v>
      </c>
      <c r="B37" s="108">
        <v>5</v>
      </c>
      <c r="D37" s="83">
        <v>2</v>
      </c>
      <c r="E37" s="108">
        <v>5</v>
      </c>
    </row>
    <row r="38" spans="1:7">
      <c r="A38" s="83">
        <v>3</v>
      </c>
      <c r="B38" s="108">
        <v>8</v>
      </c>
      <c r="D38" s="83">
        <v>3</v>
      </c>
      <c r="E38" s="108">
        <v>8</v>
      </c>
    </row>
    <row r="39" spans="1:7">
      <c r="A39" s="106" t="s">
        <v>6</v>
      </c>
      <c r="B39" s="109">
        <f>+SUM(B36:B38)</f>
        <v>15</v>
      </c>
      <c r="D39" s="106" t="s">
        <v>6</v>
      </c>
      <c r="E39" s="109">
        <f>+SUM(E36:E38)</f>
        <v>15</v>
      </c>
    </row>
  </sheetData>
  <pageMargins left="0.7" right="0.7" top="0.75" bottom="0.75" header="0.3" footer="0.3"/>
  <pageSetup paperSize="9" orientation="portrait" horizontalDpi="200" verticalDpi="200" r:id="rId1"/>
</worksheet>
</file>

<file path=xl/worksheets/sheet2.xml><?xml version="1.0" encoding="utf-8"?>
<worksheet xmlns="http://schemas.openxmlformats.org/spreadsheetml/2006/main" xmlns:r="http://schemas.openxmlformats.org/officeDocument/2006/relationships">
  <sheetPr codeName="Hoja8"/>
  <dimension ref="A1:F38"/>
  <sheetViews>
    <sheetView tabSelected="1" workbookViewId="0"/>
  </sheetViews>
  <sheetFormatPr baseColWidth="10" defaultRowHeight="14.4"/>
  <cols>
    <col min="1" max="1" width="19.5546875" style="79" customWidth="1"/>
    <col min="2" max="2" width="11.5546875" style="79"/>
    <col min="3" max="3" width="17" style="79" customWidth="1"/>
    <col min="4" max="4" width="13.5546875" style="79" bestFit="1" customWidth="1"/>
    <col min="5" max="16384" width="11.5546875" style="79"/>
  </cols>
  <sheetData>
    <row r="1" spans="1:6">
      <c r="A1" s="79" t="s">
        <v>67</v>
      </c>
    </row>
    <row r="2" spans="1:6">
      <c r="A2" s="79" t="s">
        <v>69</v>
      </c>
    </row>
    <row r="3" spans="1:6">
      <c r="A3" s="79" t="s">
        <v>76</v>
      </c>
    </row>
    <row r="5" spans="1:6" ht="15" thickBot="1"/>
    <row r="6" spans="1:6">
      <c r="A6" s="95" t="s">
        <v>53</v>
      </c>
      <c r="B6" s="96" t="s">
        <v>54</v>
      </c>
      <c r="C6" s="96" t="s">
        <v>55</v>
      </c>
      <c r="D6" s="96" t="s">
        <v>56</v>
      </c>
      <c r="E6" s="97" t="s">
        <v>57</v>
      </c>
    </row>
    <row r="7" spans="1:6">
      <c r="A7" s="98" t="s">
        <v>58</v>
      </c>
      <c r="B7" s="99">
        <v>3</v>
      </c>
      <c r="C7" s="99">
        <v>1.2</v>
      </c>
      <c r="D7" s="99">
        <f>+B7*C7</f>
        <v>3.5999999999999996</v>
      </c>
      <c r="E7" s="100">
        <v>330</v>
      </c>
    </row>
    <row r="8" spans="1:6">
      <c r="A8" s="98" t="s">
        <v>59</v>
      </c>
      <c r="B8" s="99">
        <v>5</v>
      </c>
      <c r="C8" s="99">
        <v>1.05</v>
      </c>
      <c r="D8" s="99">
        <f t="shared" ref="D8:D9" si="0">+B8*C8</f>
        <v>5.25</v>
      </c>
      <c r="E8" s="100">
        <v>180</v>
      </c>
    </row>
    <row r="9" spans="1:6">
      <c r="A9" s="98" t="s">
        <v>60</v>
      </c>
      <c r="B9" s="99">
        <v>10</v>
      </c>
      <c r="C9" s="99">
        <v>0.9</v>
      </c>
      <c r="D9" s="99">
        <f t="shared" si="0"/>
        <v>9</v>
      </c>
      <c r="E9" s="100">
        <v>309</v>
      </c>
    </row>
    <row r="10" spans="1:6" ht="15" thickBot="1">
      <c r="A10" s="101" t="s">
        <v>61</v>
      </c>
      <c r="B10" s="102">
        <v>0</v>
      </c>
      <c r="C10" s="102">
        <v>15</v>
      </c>
      <c r="D10" s="102">
        <f>+B10*C10</f>
        <v>0</v>
      </c>
      <c r="E10" s="103">
        <v>0</v>
      </c>
      <c r="F10" s="79" t="s">
        <v>127</v>
      </c>
    </row>
    <row r="11" spans="1:6" ht="15" thickBot="1">
      <c r="F11" s="79" t="s">
        <v>128</v>
      </c>
    </row>
    <row r="12" spans="1:6" ht="15" thickBot="1">
      <c r="C12" s="104" t="s">
        <v>68</v>
      </c>
      <c r="D12" s="105">
        <f>+SUMPRODUCT(D7:D9,E7:E9)/SUM(E7:E9)</f>
        <v>6</v>
      </c>
    </row>
    <row r="15" spans="1:6">
      <c r="A15" s="79" t="s">
        <v>63</v>
      </c>
    </row>
    <row r="16" spans="1:6" ht="15" thickBot="1"/>
    <row r="17" spans="1:6">
      <c r="A17" s="95" t="s">
        <v>53</v>
      </c>
      <c r="B17" s="96" t="s">
        <v>54</v>
      </c>
      <c r="C17" s="96" t="s">
        <v>55</v>
      </c>
      <c r="D17" s="96" t="s">
        <v>56</v>
      </c>
      <c r="E17" s="97" t="s">
        <v>57</v>
      </c>
    </row>
    <row r="18" spans="1:6">
      <c r="A18" s="98" t="s">
        <v>58</v>
      </c>
      <c r="B18" s="99">
        <v>3</v>
      </c>
      <c r="C18" s="99">
        <v>1.2</v>
      </c>
      <c r="D18" s="99">
        <f>+B18*C18</f>
        <v>3.5999999999999996</v>
      </c>
      <c r="E18" s="100">
        <v>10</v>
      </c>
    </row>
    <row r="19" spans="1:6">
      <c r="A19" s="98" t="s">
        <v>59</v>
      </c>
      <c r="B19" s="99">
        <v>5</v>
      </c>
      <c r="C19" s="99">
        <v>1.05</v>
      </c>
      <c r="D19" s="99">
        <f t="shared" ref="D19:D20" si="1">+B19*C19</f>
        <v>5.25</v>
      </c>
      <c r="E19" s="100">
        <v>8</v>
      </c>
    </row>
    <row r="20" spans="1:6">
      <c r="A20" s="98" t="s">
        <v>60</v>
      </c>
      <c r="B20" s="99">
        <v>10</v>
      </c>
      <c r="C20" s="99">
        <v>0.9</v>
      </c>
      <c r="D20" s="99">
        <f t="shared" si="1"/>
        <v>9</v>
      </c>
      <c r="E20" s="100">
        <v>7</v>
      </c>
    </row>
    <row r="21" spans="1:6" ht="15" thickBot="1">
      <c r="A21" s="101" t="s">
        <v>61</v>
      </c>
      <c r="B21" s="102">
        <v>1</v>
      </c>
      <c r="C21" s="102">
        <v>15</v>
      </c>
      <c r="D21" s="102">
        <f>+B21*C21</f>
        <v>15</v>
      </c>
      <c r="E21" s="103">
        <v>1</v>
      </c>
      <c r="F21" s="79" t="s">
        <v>129</v>
      </c>
    </row>
    <row r="22" spans="1:6" ht="15" thickBot="1">
      <c r="A22" s="81" t="s">
        <v>62</v>
      </c>
    </row>
    <row r="23" spans="1:6" ht="15" thickBot="1">
      <c r="C23" s="104" t="s">
        <v>68</v>
      </c>
      <c r="D23" s="105">
        <f>+SUMPRODUCT(D18:D21,E18:E21)/SUM(E18:E21)</f>
        <v>6</v>
      </c>
    </row>
    <row r="25" spans="1:6">
      <c r="A25" s="79" t="s">
        <v>130</v>
      </c>
    </row>
    <row r="26" spans="1:6">
      <c r="A26" s="79" t="s">
        <v>70</v>
      </c>
    </row>
    <row r="29" spans="1:6" ht="15.6">
      <c r="A29" s="118" t="s">
        <v>137</v>
      </c>
    </row>
    <row r="30" spans="1:6">
      <c r="A30" s="79" t="s">
        <v>138</v>
      </c>
    </row>
    <row r="32" spans="1:6">
      <c r="A32" s="79" t="s">
        <v>139</v>
      </c>
    </row>
    <row r="33" spans="1:1">
      <c r="A33" s="119" t="s">
        <v>140</v>
      </c>
    </row>
    <row r="34" spans="1:1">
      <c r="A34" s="79" t="s">
        <v>141</v>
      </c>
    </row>
    <row r="36" spans="1:1">
      <c r="A36" s="79" t="s">
        <v>142</v>
      </c>
    </row>
    <row r="37" spans="1:1">
      <c r="A37" s="79" t="s">
        <v>143</v>
      </c>
    </row>
    <row r="38" spans="1:1">
      <c r="A38" s="79" t="s">
        <v>144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79" customWidth="1"/>
    <col min="2" max="2" width="25.21875" style="79" bestFit="1" customWidth="1"/>
    <col min="3" max="3" width="11.5546875" style="79"/>
    <col min="4" max="4" width="15.5546875" style="79" bestFit="1" customWidth="1"/>
    <col min="5" max="5" width="11.5546875" style="79"/>
    <col min="6" max="6" width="13.33203125" style="79" customWidth="1"/>
    <col min="7" max="7" width="15.33203125" style="79" bestFit="1" customWidth="1"/>
    <col min="8" max="8" width="15.88671875" style="79" customWidth="1"/>
    <col min="9" max="9" width="12" style="79" customWidth="1"/>
    <col min="10" max="16384" width="11.5546875" style="79"/>
  </cols>
  <sheetData>
    <row r="1" spans="1:9" ht="18">
      <c r="A1" s="116" t="s">
        <v>135</v>
      </c>
      <c r="B1" s="116"/>
      <c r="C1" s="116"/>
      <c r="D1" s="116"/>
      <c r="E1" s="116"/>
    </row>
    <row r="2" spans="1:9">
      <c r="A2" s="89" t="s">
        <v>101</v>
      </c>
    </row>
    <row r="4" spans="1:9">
      <c r="A4" s="82" t="s">
        <v>10</v>
      </c>
      <c r="B4" s="84" t="s">
        <v>88</v>
      </c>
      <c r="C4" s="84" t="s">
        <v>11</v>
      </c>
      <c r="D4" s="84" t="s">
        <v>20</v>
      </c>
      <c r="E4" s="84" t="s">
        <v>9</v>
      </c>
      <c r="F4" s="84" t="s">
        <v>1</v>
      </c>
      <c r="G4" s="84" t="s">
        <v>52</v>
      </c>
    </row>
    <row r="5" spans="1:9">
      <c r="A5" s="79" t="s">
        <v>95</v>
      </c>
      <c r="B5" s="111">
        <v>1</v>
      </c>
      <c r="C5" s="52">
        <v>0.19500000000000001</v>
      </c>
      <c r="D5" s="80">
        <f>+SUM($C$5:C5)</f>
        <v>0.19500000000000001</v>
      </c>
      <c r="E5" s="80">
        <f>+Summary!E27</f>
        <v>2</v>
      </c>
      <c r="F5" s="80">
        <f>+C5*E5</f>
        <v>0.39</v>
      </c>
      <c r="G5" s="62"/>
    </row>
    <row r="6" spans="1:9">
      <c r="B6" s="111">
        <v>2</v>
      </c>
      <c r="C6" s="52">
        <v>0.02</v>
      </c>
      <c r="D6" s="115">
        <f>+SUM($C$5:C6)</f>
        <v>0.215</v>
      </c>
      <c r="E6" s="80">
        <f>+Summary!E28</f>
        <v>3</v>
      </c>
      <c r="F6" s="80">
        <f t="shared" ref="F6:F7" si="0">+C6*E6</f>
        <v>0.06</v>
      </c>
      <c r="G6" s="62"/>
    </row>
    <row r="7" spans="1:9">
      <c r="B7" s="111" t="s">
        <v>89</v>
      </c>
      <c r="C7" s="52">
        <v>0.01</v>
      </c>
      <c r="D7" s="80">
        <f>+SUM($C$5:C7)</f>
        <v>0.22500000000000001</v>
      </c>
      <c r="E7" s="80">
        <f>+E5+E6</f>
        <v>5</v>
      </c>
      <c r="F7" s="80">
        <f t="shared" si="0"/>
        <v>0.05</v>
      </c>
      <c r="G7" s="62">
        <v>0.5</v>
      </c>
      <c r="H7" s="79" t="s">
        <v>94</v>
      </c>
      <c r="I7" s="113"/>
    </row>
    <row r="8" spans="1:9">
      <c r="B8" s="86" t="s">
        <v>12</v>
      </c>
      <c r="C8" s="86">
        <f>+SUM(C5:C7)</f>
        <v>0.22500000000000001</v>
      </c>
      <c r="D8" s="86"/>
      <c r="E8" s="86"/>
      <c r="F8" s="72">
        <f>+SUM(F5:F7)</f>
        <v>0.5</v>
      </c>
      <c r="G8" s="63"/>
    </row>
    <row r="9" spans="1:9">
      <c r="B9" s="87" t="s">
        <v>93</v>
      </c>
      <c r="G9" s="60"/>
    </row>
    <row r="10" spans="1:9">
      <c r="G10" s="60"/>
    </row>
    <row r="11" spans="1:9">
      <c r="G11" s="60"/>
    </row>
    <row r="12" spans="1:9">
      <c r="A12" s="82" t="s">
        <v>18</v>
      </c>
      <c r="B12" s="84" t="s">
        <v>88</v>
      </c>
      <c r="C12" s="84" t="s">
        <v>11</v>
      </c>
      <c r="D12" s="84" t="s">
        <v>20</v>
      </c>
      <c r="E12" s="84" t="s">
        <v>9</v>
      </c>
      <c r="F12" s="84" t="s">
        <v>1</v>
      </c>
      <c r="G12" s="84" t="s">
        <v>52</v>
      </c>
    </row>
    <row r="13" spans="1:9">
      <c r="A13" s="79" t="s">
        <v>96</v>
      </c>
      <c r="B13" s="110">
        <v>1</v>
      </c>
      <c r="C13" s="83">
        <v>0.25</v>
      </c>
      <c r="D13" s="83">
        <f>+SUM(C13:$C$13)</f>
        <v>0.25</v>
      </c>
      <c r="E13" s="83">
        <f>+E5</f>
        <v>2</v>
      </c>
      <c r="F13" s="83">
        <f>+E13*C13</f>
        <v>0.5</v>
      </c>
      <c r="G13" s="62">
        <v>0.02</v>
      </c>
      <c r="H13" s="79" t="s">
        <v>94</v>
      </c>
    </row>
    <row r="14" spans="1:9">
      <c r="A14" s="79" t="s">
        <v>98</v>
      </c>
      <c r="B14" s="86" t="s">
        <v>6</v>
      </c>
      <c r="C14" s="86">
        <f>+SUM(C13:C13)</f>
        <v>0.25</v>
      </c>
      <c r="D14" s="86"/>
      <c r="E14" s="86"/>
      <c r="F14" s="91">
        <f>+SUM(F13:F13)</f>
        <v>0.5</v>
      </c>
      <c r="G14" s="64"/>
    </row>
    <row r="15" spans="1:9">
      <c r="G15" s="60"/>
    </row>
    <row r="16" spans="1:9">
      <c r="G16" s="60"/>
    </row>
    <row r="17" spans="1:8">
      <c r="A17" s="82" t="s">
        <v>19</v>
      </c>
      <c r="B17" s="84" t="s">
        <v>88</v>
      </c>
      <c r="C17" s="84" t="s">
        <v>11</v>
      </c>
      <c r="D17" s="84" t="s">
        <v>20</v>
      </c>
      <c r="E17" s="84" t="s">
        <v>9</v>
      </c>
      <c r="F17" s="84" t="s">
        <v>1</v>
      </c>
      <c r="G17" s="84" t="s">
        <v>52</v>
      </c>
    </row>
    <row r="18" spans="1:8">
      <c r="A18" s="79" t="s">
        <v>96</v>
      </c>
      <c r="B18" s="110">
        <v>2</v>
      </c>
      <c r="C18" s="83">
        <f>1/6</f>
        <v>0.16666666666666666</v>
      </c>
      <c r="D18" s="83">
        <f>+SUM(C$18:$C18)</f>
        <v>0.16666666666666666</v>
      </c>
      <c r="E18" s="83">
        <f>+E6</f>
        <v>3</v>
      </c>
      <c r="F18" s="83">
        <f>+E18*C18</f>
        <v>0.5</v>
      </c>
      <c r="G18" s="62">
        <v>0.03</v>
      </c>
      <c r="H18" s="79" t="s">
        <v>94</v>
      </c>
    </row>
    <row r="19" spans="1:8">
      <c r="A19" s="79" t="s">
        <v>97</v>
      </c>
      <c r="B19" s="86" t="s">
        <v>6</v>
      </c>
      <c r="C19" s="86">
        <f>+SUM(C18:C18)</f>
        <v>0.16666666666666666</v>
      </c>
      <c r="D19" s="86"/>
      <c r="E19" s="86"/>
      <c r="F19" s="91">
        <f>+SUM(F18:F18)</f>
        <v>0.5</v>
      </c>
      <c r="G19" s="64"/>
    </row>
    <row r="20" spans="1:8">
      <c r="G20" s="61"/>
    </row>
    <row r="21" spans="1:8">
      <c r="G21" s="61"/>
    </row>
    <row r="22" spans="1:8">
      <c r="G22" s="61"/>
    </row>
    <row r="23" spans="1:8">
      <c r="G23" s="61"/>
    </row>
    <row r="24" spans="1:8">
      <c r="G24" s="61"/>
    </row>
    <row r="25" spans="1:8">
      <c r="G25" s="61"/>
    </row>
    <row r="26" spans="1:8">
      <c r="G26" s="61"/>
    </row>
    <row r="27" spans="1:8">
      <c r="G27" s="61"/>
    </row>
    <row r="28" spans="1:8">
      <c r="G28" s="61"/>
    </row>
    <row r="29" spans="1:8">
      <c r="G29" s="61"/>
    </row>
    <row r="30" spans="1:8">
      <c r="G30" s="61"/>
    </row>
    <row r="31" spans="1:8">
      <c r="G31" s="61"/>
    </row>
    <row r="32" spans="1:8">
      <c r="G32" s="61"/>
    </row>
    <row r="33" spans="7:7">
      <c r="G33" s="61"/>
    </row>
    <row r="34" spans="7:7">
      <c r="G34" s="61"/>
    </row>
    <row r="35" spans="7:7">
      <c r="G35" s="61"/>
    </row>
    <row r="36" spans="7:7">
      <c r="G36" s="61"/>
    </row>
    <row r="37" spans="7:7">
      <c r="G37" s="61"/>
    </row>
    <row r="38" spans="7:7">
      <c r="G38" s="61"/>
    </row>
    <row r="39" spans="7:7">
      <c r="G39" s="61"/>
    </row>
    <row r="40" spans="7:7">
      <c r="G40" s="61"/>
    </row>
    <row r="41" spans="7:7">
      <c r="G41" s="61"/>
    </row>
    <row r="42" spans="7:7">
      <c r="G42" s="60"/>
    </row>
    <row r="43" spans="7:7">
      <c r="G43" s="60"/>
    </row>
    <row r="44" spans="7:7">
      <c r="G44" s="60"/>
    </row>
    <row r="45" spans="7:7">
      <c r="G45" s="60"/>
    </row>
    <row r="46" spans="7:7">
      <c r="G46" s="60"/>
    </row>
    <row r="47" spans="7:7">
      <c r="G47" s="60"/>
    </row>
    <row r="48" spans="7:7">
      <c r="G48" s="60"/>
    </row>
    <row r="49" spans="7:7">
      <c r="G49" s="60"/>
    </row>
    <row r="50" spans="7:7">
      <c r="G50" s="60"/>
    </row>
    <row r="51" spans="7:7">
      <c r="G51" s="60"/>
    </row>
    <row r="52" spans="7:7">
      <c r="G52" s="60"/>
    </row>
    <row r="53" spans="7:7">
      <c r="G53" s="60"/>
    </row>
    <row r="54" spans="7:7">
      <c r="G54" s="60"/>
    </row>
    <row r="55" spans="7:7">
      <c r="G55" s="60"/>
    </row>
    <row r="56" spans="7:7">
      <c r="G56" s="60"/>
    </row>
    <row r="57" spans="7:7">
      <c r="G57" s="60"/>
    </row>
    <row r="58" spans="7:7">
      <c r="G58" s="60"/>
    </row>
    <row r="59" spans="7:7">
      <c r="G59" s="60"/>
    </row>
    <row r="60" spans="7:7">
      <c r="G60" s="60"/>
    </row>
    <row r="61" spans="7:7">
      <c r="G61" s="60"/>
    </row>
    <row r="62" spans="7:7">
      <c r="G62" s="60"/>
    </row>
    <row r="63" spans="7:7">
      <c r="G63" s="60"/>
    </row>
    <row r="64" spans="7:7">
      <c r="G64" s="60"/>
    </row>
    <row r="65" spans="7:7">
      <c r="G65" s="60"/>
    </row>
    <row r="66" spans="7:7">
      <c r="G66" s="60"/>
    </row>
    <row r="67" spans="7:7">
      <c r="G67" s="60"/>
    </row>
    <row r="68" spans="7:7">
      <c r="G68" s="60"/>
    </row>
    <row r="69" spans="7:7">
      <c r="G69" s="60"/>
    </row>
    <row r="70" spans="7:7">
      <c r="G70" s="60"/>
    </row>
    <row r="71" spans="7:7">
      <c r="G71" s="60"/>
    </row>
    <row r="72" spans="7:7">
      <c r="G72" s="60"/>
    </row>
    <row r="73" spans="7:7">
      <c r="G73" s="60"/>
    </row>
    <row r="74" spans="7:7">
      <c r="G74" s="60"/>
    </row>
    <row r="75" spans="7:7">
      <c r="G75" s="60"/>
    </row>
    <row r="76" spans="7:7">
      <c r="G76" s="60"/>
    </row>
    <row r="77" spans="7:7">
      <c r="G77" s="60"/>
    </row>
    <row r="78" spans="7:7">
      <c r="G78" s="60"/>
    </row>
    <row r="79" spans="7:7">
      <c r="G79" s="60"/>
    </row>
    <row r="80" spans="7:7">
      <c r="G80" s="60"/>
    </row>
    <row r="81" spans="7:7">
      <c r="G81" s="60"/>
    </row>
    <row r="82" spans="7:7">
      <c r="G82" s="60"/>
    </row>
    <row r="83" spans="7:7">
      <c r="G83" s="60"/>
    </row>
    <row r="84" spans="7:7">
      <c r="G84" s="60"/>
    </row>
    <row r="85" spans="7:7">
      <c r="G85" s="60"/>
    </row>
    <row r="86" spans="7:7">
      <c r="G86" s="60"/>
    </row>
    <row r="87" spans="7:7">
      <c r="G87" s="60"/>
    </row>
    <row r="88" spans="7:7">
      <c r="G88" s="60"/>
    </row>
    <row r="89" spans="7:7">
      <c r="G89" s="60"/>
    </row>
    <row r="90" spans="7:7">
      <c r="G90" s="60"/>
    </row>
    <row r="91" spans="7:7">
      <c r="G91" s="60"/>
    </row>
    <row r="92" spans="7:7">
      <c r="G92" s="60"/>
    </row>
    <row r="93" spans="7:7">
      <c r="G93" s="60"/>
    </row>
    <row r="94" spans="7:7">
      <c r="G94" s="60"/>
    </row>
    <row r="95" spans="7:7">
      <c r="G95" s="60"/>
    </row>
    <row r="96" spans="7:7">
      <c r="G96" s="60"/>
    </row>
    <row r="97" spans="7:7">
      <c r="G97" s="60"/>
    </row>
  </sheetData>
  <mergeCells count="1">
    <mergeCell ref="A1:E1"/>
  </mergeCells>
  <pageMargins left="0.7" right="0.7" top="0.75" bottom="0.75" header="0.3" footer="0.3"/>
  <pageSetup paperSize="9" orientation="portrait" horizontalDpi="200" verticalDpi="200" r:id="rId1"/>
  <ignoredErrors>
    <ignoredError sqref="D6" formulaRange="1"/>
  </ignoredErrors>
</worksheet>
</file>

<file path=xl/worksheets/sheet4.xml><?xml version="1.0" encoding="utf-8"?>
<worksheet xmlns="http://schemas.openxmlformats.org/spreadsheetml/2006/main" xmlns:r="http://schemas.openxmlformats.org/officeDocument/2006/relationships">
  <sheetPr codeName="Hoja3"/>
  <dimension ref="A1:J126"/>
  <sheetViews>
    <sheetView workbookViewId="0">
      <selection activeCell="C31" sqref="C31"/>
    </sheetView>
  </sheetViews>
  <sheetFormatPr baseColWidth="10" defaultRowHeight="14.4"/>
  <cols>
    <col min="1" max="1" width="40.6640625" style="9" customWidth="1"/>
    <col min="2" max="2" width="25.21875" style="9" bestFit="1" customWidth="1"/>
    <col min="3" max="3" width="11.5546875" style="9"/>
    <col min="4" max="4" width="15.5546875" style="9" bestFit="1" customWidth="1"/>
    <col min="5" max="5" width="11.5546875" style="9"/>
    <col min="6" max="6" width="13.33203125" style="9" customWidth="1"/>
    <col min="7" max="7" width="15.33203125" style="9" bestFit="1" customWidth="1"/>
    <col min="8" max="8" width="15.109375" style="9" customWidth="1"/>
    <col min="9" max="9" width="11.5546875" style="9"/>
    <col min="10" max="10" width="12.5546875" style="9" bestFit="1" customWidth="1"/>
    <col min="11" max="16384" width="11.5546875" style="9"/>
  </cols>
  <sheetData>
    <row r="1" spans="1:9" ht="18">
      <c r="A1" s="116" t="s">
        <v>100</v>
      </c>
      <c r="B1" s="116"/>
      <c r="C1" s="116"/>
      <c r="D1" s="116"/>
      <c r="E1" s="116"/>
    </row>
    <row r="2" spans="1:9">
      <c r="A2" s="89" t="s">
        <v>101</v>
      </c>
    </row>
    <row r="4" spans="1:9">
      <c r="A4" s="82" t="s">
        <v>10</v>
      </c>
      <c r="B4" s="14" t="s">
        <v>88</v>
      </c>
      <c r="C4" s="14" t="s">
        <v>11</v>
      </c>
      <c r="D4" s="14" t="s">
        <v>20</v>
      </c>
      <c r="E4" s="14" t="s">
        <v>9</v>
      </c>
      <c r="F4" s="14" t="s">
        <v>1</v>
      </c>
      <c r="G4" s="44" t="s">
        <v>52</v>
      </c>
      <c r="H4" s="29"/>
      <c r="I4" s="29"/>
    </row>
    <row r="5" spans="1:9">
      <c r="A5" s="79" t="s">
        <v>95</v>
      </c>
      <c r="B5" s="111">
        <v>1</v>
      </c>
      <c r="C5" s="39">
        <v>0.09</v>
      </c>
      <c r="D5" s="1">
        <f>+SUM($C$5:C5)</f>
        <v>0.09</v>
      </c>
      <c r="E5" s="1">
        <f>+Summary!H27</f>
        <v>2</v>
      </c>
      <c r="F5" s="1">
        <f>+C5*E5</f>
        <v>0.18</v>
      </c>
      <c r="G5" s="48"/>
      <c r="H5" s="29"/>
      <c r="I5" s="29"/>
    </row>
    <row r="6" spans="1:9">
      <c r="A6" s="79"/>
      <c r="B6" s="111">
        <v>2</v>
      </c>
      <c r="C6" s="39">
        <v>0.09</v>
      </c>
      <c r="D6" s="1">
        <f>+SUM($C$5:C6)</f>
        <v>0.18</v>
      </c>
      <c r="E6" s="1">
        <f>+Summary!H28</f>
        <v>2</v>
      </c>
      <c r="F6" s="1">
        <f t="shared" ref="F6:F11" si="0">+C6*E6</f>
        <v>0.18</v>
      </c>
      <c r="G6" s="48"/>
      <c r="H6" s="29"/>
      <c r="I6" s="29"/>
    </row>
    <row r="7" spans="1:9">
      <c r="A7" s="79"/>
      <c r="B7" s="111">
        <v>3</v>
      </c>
      <c r="C7" s="39">
        <v>5.0000000000000001E-3</v>
      </c>
      <c r="D7" s="1">
        <f>+SUM($C$5:C7)</f>
        <v>0.185</v>
      </c>
      <c r="E7" s="1">
        <f>+Summary!H29</f>
        <v>4</v>
      </c>
      <c r="F7" s="1">
        <f t="shared" si="0"/>
        <v>0.02</v>
      </c>
      <c r="G7" s="48"/>
      <c r="H7" s="29"/>
      <c r="I7" s="29"/>
    </row>
    <row r="8" spans="1:9">
      <c r="A8" s="79"/>
      <c r="B8" s="111" t="s">
        <v>89</v>
      </c>
      <c r="C8" s="39">
        <v>8.0000000000000002E-3</v>
      </c>
      <c r="D8" s="1">
        <f>+SUM($C$5:C8)</f>
        <v>0.193</v>
      </c>
      <c r="E8" s="1">
        <f>+E5+E6</f>
        <v>4</v>
      </c>
      <c r="F8" s="1">
        <f t="shared" si="0"/>
        <v>3.2000000000000001E-2</v>
      </c>
      <c r="G8" s="48"/>
      <c r="H8" s="29"/>
      <c r="I8" s="29"/>
    </row>
    <row r="9" spans="1:9">
      <c r="A9" s="79"/>
      <c r="B9" s="111" t="s">
        <v>90</v>
      </c>
      <c r="C9" s="39">
        <v>4.0000000000000001E-3</v>
      </c>
      <c r="D9" s="1">
        <f>+SUM($C$5:C9)</f>
        <v>0.19700000000000001</v>
      </c>
      <c r="E9" s="1">
        <f>+E5+E7</f>
        <v>6</v>
      </c>
      <c r="F9" s="1">
        <f t="shared" si="0"/>
        <v>2.4E-2</v>
      </c>
      <c r="G9" s="48"/>
      <c r="H9" s="29"/>
      <c r="I9" s="29"/>
    </row>
    <row r="10" spans="1:9">
      <c r="A10" s="79"/>
      <c r="B10" s="111" t="s">
        <v>91</v>
      </c>
      <c r="C10" s="39">
        <v>4.0000000000000001E-3</v>
      </c>
      <c r="D10" s="1">
        <f>+SUM($C$5:C10)</f>
        <v>0.20100000000000001</v>
      </c>
      <c r="E10" s="1">
        <f>+E6+E7</f>
        <v>6</v>
      </c>
      <c r="F10" s="1">
        <f t="shared" si="0"/>
        <v>2.4E-2</v>
      </c>
      <c r="G10" s="48"/>
      <c r="H10" s="29"/>
      <c r="I10" s="29"/>
    </row>
    <row r="11" spans="1:9">
      <c r="A11" s="79"/>
      <c r="B11" s="111" t="s">
        <v>92</v>
      </c>
      <c r="C11" s="40">
        <v>5.0000000000000001E-3</v>
      </c>
      <c r="D11" s="1">
        <f>+SUM($C$5:C11)</f>
        <v>0.20600000000000002</v>
      </c>
      <c r="E11" s="1">
        <f>+E5+E6+E7</f>
        <v>8</v>
      </c>
      <c r="F11" s="1">
        <f t="shared" si="0"/>
        <v>0.04</v>
      </c>
      <c r="G11" s="48">
        <v>1</v>
      </c>
      <c r="H11" s="79" t="s">
        <v>94</v>
      </c>
      <c r="I11" s="29"/>
    </row>
    <row r="12" spans="1:9">
      <c r="A12" s="79"/>
      <c r="B12" s="11" t="s">
        <v>12</v>
      </c>
      <c r="C12" s="11">
        <f>+SUM(C5:C11)</f>
        <v>0.20600000000000002</v>
      </c>
      <c r="D12" s="11"/>
      <c r="E12" s="11"/>
      <c r="F12" s="15">
        <f>+SUM(F5:F11)</f>
        <v>0.50000000000000011</v>
      </c>
      <c r="G12" s="49"/>
      <c r="H12" s="29"/>
      <c r="I12" s="29"/>
    </row>
    <row r="13" spans="1:9">
      <c r="A13" s="79"/>
      <c r="B13" s="16" t="s">
        <v>93</v>
      </c>
      <c r="G13" s="46"/>
      <c r="H13" s="29"/>
      <c r="I13" s="29"/>
    </row>
    <row r="14" spans="1:9">
      <c r="A14" s="79"/>
      <c r="G14" s="46"/>
      <c r="H14" s="29"/>
      <c r="I14" s="29"/>
    </row>
    <row r="15" spans="1:9">
      <c r="A15" s="82" t="s">
        <v>14</v>
      </c>
      <c r="B15" s="14" t="s">
        <v>88</v>
      </c>
      <c r="C15" s="14" t="s">
        <v>11</v>
      </c>
      <c r="D15" s="14" t="s">
        <v>20</v>
      </c>
      <c r="E15" s="14" t="s">
        <v>9</v>
      </c>
      <c r="F15" s="14" t="s">
        <v>1</v>
      </c>
      <c r="G15" s="44" t="s">
        <v>52</v>
      </c>
      <c r="H15" s="29"/>
      <c r="I15" s="29"/>
    </row>
    <row r="16" spans="1:9">
      <c r="A16" s="79" t="s">
        <v>96</v>
      </c>
      <c r="B16" s="110">
        <v>2</v>
      </c>
      <c r="C16" s="41">
        <v>0.2</v>
      </c>
      <c r="D16" s="10">
        <f>+SUM(C16:$C$16)</f>
        <v>0.2</v>
      </c>
      <c r="E16" s="10">
        <f>+E6</f>
        <v>2</v>
      </c>
      <c r="F16" s="10">
        <f>+C16*E16</f>
        <v>0.4</v>
      </c>
      <c r="G16" s="48"/>
      <c r="H16" s="29"/>
      <c r="I16" s="29"/>
    </row>
    <row r="17" spans="1:10">
      <c r="A17" s="79" t="s">
        <v>97</v>
      </c>
      <c r="B17" s="110">
        <v>3</v>
      </c>
      <c r="C17" s="41">
        <v>1.2999999999999999E-2</v>
      </c>
      <c r="D17" s="10">
        <f>+SUM(C$16:$C17)</f>
        <v>0.21300000000000002</v>
      </c>
      <c r="E17" s="10">
        <f>+E7</f>
        <v>4</v>
      </c>
      <c r="F17" s="10">
        <f t="shared" ref="F17:F18" si="1">+C17*E17</f>
        <v>5.1999999999999998E-2</v>
      </c>
      <c r="G17" s="48"/>
      <c r="H17" s="29"/>
      <c r="I17" s="29"/>
    </row>
    <row r="18" spans="1:10">
      <c r="A18" s="79"/>
      <c r="B18" s="110" t="s">
        <v>91</v>
      </c>
      <c r="C18" s="41">
        <v>8.0000000000000002E-3</v>
      </c>
      <c r="D18" s="10">
        <f>+SUM(C$16:$C18)</f>
        <v>0.22100000000000003</v>
      </c>
      <c r="E18" s="10">
        <f>+E16+E17</f>
        <v>6</v>
      </c>
      <c r="F18" s="10">
        <f t="shared" si="1"/>
        <v>4.8000000000000001E-2</v>
      </c>
      <c r="G18" s="48">
        <v>0.625</v>
      </c>
      <c r="H18" s="79" t="s">
        <v>94</v>
      </c>
      <c r="I18" s="29"/>
    </row>
    <row r="19" spans="1:10">
      <c r="A19" s="79"/>
      <c r="B19" s="11" t="s">
        <v>6</v>
      </c>
      <c r="C19" s="11">
        <f>+SUM(C16:C18)</f>
        <v>0.22100000000000003</v>
      </c>
      <c r="D19" s="11"/>
      <c r="E19" s="11"/>
      <c r="F19" s="13">
        <f>+SUM(F16:F18)</f>
        <v>0.5</v>
      </c>
      <c r="G19" s="50"/>
      <c r="H19" s="29"/>
      <c r="I19" s="29"/>
    </row>
    <row r="20" spans="1:10">
      <c r="A20" s="79"/>
      <c r="B20" s="12"/>
      <c r="C20" s="12"/>
      <c r="D20" s="12"/>
      <c r="E20" s="12"/>
      <c r="F20" s="8"/>
      <c r="G20" s="51"/>
      <c r="H20" s="29"/>
      <c r="I20" s="29"/>
    </row>
    <row r="21" spans="1:10">
      <c r="A21" s="79"/>
      <c r="B21" s="12"/>
      <c r="C21" s="12"/>
      <c r="D21" s="12"/>
      <c r="E21" s="12"/>
      <c r="F21" s="8"/>
      <c r="G21" s="51"/>
      <c r="H21" s="29"/>
      <c r="I21" s="29"/>
    </row>
    <row r="22" spans="1:10">
      <c r="A22" s="82" t="s">
        <v>15</v>
      </c>
      <c r="B22" s="14" t="s">
        <v>88</v>
      </c>
      <c r="C22" s="14" t="s">
        <v>11</v>
      </c>
      <c r="D22" s="14" t="s">
        <v>20</v>
      </c>
      <c r="E22" s="14" t="s">
        <v>9</v>
      </c>
      <c r="F22" s="14" t="s">
        <v>1</v>
      </c>
      <c r="G22" s="44" t="s">
        <v>52</v>
      </c>
      <c r="H22" s="29"/>
      <c r="I22" s="29"/>
    </row>
    <row r="23" spans="1:10">
      <c r="A23" s="79" t="s">
        <v>96</v>
      </c>
      <c r="B23" s="110">
        <v>1</v>
      </c>
      <c r="C23" s="42">
        <v>0.2</v>
      </c>
      <c r="D23" s="10">
        <f>+SUM(C23:$C$23)</f>
        <v>0.2</v>
      </c>
      <c r="E23" s="10">
        <f>+E5</f>
        <v>2</v>
      </c>
      <c r="F23" s="10">
        <f>+C23*E23</f>
        <v>0.4</v>
      </c>
      <c r="G23" s="48"/>
      <c r="H23" s="29"/>
      <c r="I23" s="29"/>
    </row>
    <row r="24" spans="1:10">
      <c r="A24" s="79" t="s">
        <v>98</v>
      </c>
      <c r="B24" s="110">
        <v>3</v>
      </c>
      <c r="C24" s="42">
        <v>1.2999999999999999E-2</v>
      </c>
      <c r="D24" s="10">
        <f>+SUM(C$23:$C24)</f>
        <v>0.21300000000000002</v>
      </c>
      <c r="E24" s="10">
        <f>+E7</f>
        <v>4</v>
      </c>
      <c r="F24" s="10">
        <f t="shared" ref="F24:F25" si="2">+C24*E24</f>
        <v>5.1999999999999998E-2</v>
      </c>
      <c r="G24" s="48"/>
      <c r="H24" s="29"/>
      <c r="I24" s="29"/>
    </row>
    <row r="25" spans="1:10">
      <c r="A25" s="79"/>
      <c r="B25" s="110" t="s">
        <v>90</v>
      </c>
      <c r="C25" s="42">
        <v>8.0000000000000002E-3</v>
      </c>
      <c r="D25" s="10">
        <f>+SUM(C$23:$C25)</f>
        <v>0.22100000000000003</v>
      </c>
      <c r="E25" s="10">
        <f>+E23+E24</f>
        <v>6</v>
      </c>
      <c r="F25" s="10">
        <f t="shared" si="2"/>
        <v>4.8000000000000001E-2</v>
      </c>
      <c r="G25" s="48">
        <v>0.625</v>
      </c>
      <c r="H25" s="79" t="s">
        <v>94</v>
      </c>
      <c r="I25" s="29"/>
      <c r="J25" s="37"/>
    </row>
    <row r="26" spans="1:10">
      <c r="A26" s="79"/>
      <c r="B26" s="11" t="s">
        <v>6</v>
      </c>
      <c r="C26" s="11">
        <f>+SUM(C23:C25)</f>
        <v>0.22100000000000003</v>
      </c>
      <c r="D26" s="11"/>
      <c r="E26" s="11"/>
      <c r="F26" s="13">
        <f>+SUM(F23:F25)</f>
        <v>0.5</v>
      </c>
      <c r="G26" s="50"/>
      <c r="H26" s="29"/>
      <c r="I26" s="29"/>
    </row>
    <row r="27" spans="1:10">
      <c r="A27" s="79"/>
      <c r="B27" s="12"/>
      <c r="C27" s="12"/>
      <c r="D27" s="12"/>
      <c r="E27" s="12"/>
      <c r="F27" s="8"/>
      <c r="G27" s="51"/>
      <c r="H27" s="29"/>
      <c r="I27" s="29"/>
    </row>
    <row r="28" spans="1:10">
      <c r="A28" s="79"/>
      <c r="G28" s="46"/>
      <c r="H28" s="29"/>
      <c r="I28" s="29"/>
    </row>
    <row r="29" spans="1:10">
      <c r="A29" s="82" t="s">
        <v>16</v>
      </c>
      <c r="B29" s="14" t="s">
        <v>88</v>
      </c>
      <c r="C29" s="14" t="s">
        <v>11</v>
      </c>
      <c r="D29" s="14" t="s">
        <v>20</v>
      </c>
      <c r="E29" s="14" t="s">
        <v>9</v>
      </c>
      <c r="F29" s="14" t="s">
        <v>1</v>
      </c>
      <c r="G29" s="44" t="s">
        <v>52</v>
      </c>
      <c r="H29" s="29"/>
      <c r="I29" s="29"/>
    </row>
    <row r="30" spans="1:10">
      <c r="A30" s="79" t="s">
        <v>96</v>
      </c>
      <c r="B30" s="110">
        <v>3</v>
      </c>
      <c r="C30" s="10">
        <v>0.125</v>
      </c>
      <c r="D30" s="10">
        <f>+SUM(C30:$C$30)</f>
        <v>0.125</v>
      </c>
      <c r="E30" s="10">
        <f>+E7</f>
        <v>4</v>
      </c>
      <c r="F30" s="10">
        <f>+C30*E30</f>
        <v>0.5</v>
      </c>
      <c r="G30" s="48">
        <v>0.04</v>
      </c>
      <c r="H30" s="79" t="s">
        <v>94</v>
      </c>
      <c r="I30" s="29"/>
    </row>
    <row r="31" spans="1:10">
      <c r="A31" s="79" t="s">
        <v>97</v>
      </c>
      <c r="B31" s="11" t="s">
        <v>6</v>
      </c>
      <c r="C31" s="11">
        <f>+SUM(C30:C30)</f>
        <v>0.125</v>
      </c>
      <c r="D31" s="11"/>
      <c r="E31" s="11"/>
      <c r="F31" s="13">
        <f>+SUM(F30:F30)</f>
        <v>0.5</v>
      </c>
      <c r="G31" s="50"/>
      <c r="H31" s="29"/>
      <c r="I31" s="29"/>
    </row>
    <row r="32" spans="1:10">
      <c r="A32" s="79" t="s">
        <v>98</v>
      </c>
      <c r="G32" s="46"/>
      <c r="H32" s="29"/>
      <c r="I32" s="29"/>
    </row>
    <row r="33" spans="1:9">
      <c r="A33" s="79"/>
      <c r="G33" s="46"/>
      <c r="H33" s="29"/>
      <c r="I33" s="29"/>
    </row>
    <row r="34" spans="1:9">
      <c r="A34" s="82" t="s">
        <v>17</v>
      </c>
      <c r="B34" s="14" t="s">
        <v>88</v>
      </c>
      <c r="C34" s="14" t="s">
        <v>11</v>
      </c>
      <c r="D34" s="14" t="s">
        <v>20</v>
      </c>
      <c r="E34" s="14" t="s">
        <v>9</v>
      </c>
      <c r="F34" s="14" t="s">
        <v>1</v>
      </c>
      <c r="G34" s="44" t="s">
        <v>52</v>
      </c>
      <c r="H34" s="29"/>
      <c r="I34" s="29"/>
    </row>
    <row r="35" spans="1:9">
      <c r="A35" s="79" t="s">
        <v>96</v>
      </c>
      <c r="B35" s="110">
        <v>1</v>
      </c>
      <c r="C35" s="43">
        <v>0.115</v>
      </c>
      <c r="D35" s="10">
        <f>+SUM(C35:$C$35)</f>
        <v>0.115</v>
      </c>
      <c r="E35" s="10">
        <f>+E5</f>
        <v>2</v>
      </c>
      <c r="F35" s="10">
        <f>+C35*E35</f>
        <v>0.23</v>
      </c>
      <c r="G35" s="48"/>
      <c r="H35" s="29"/>
      <c r="I35" s="29"/>
    </row>
    <row r="36" spans="1:9">
      <c r="A36" s="79" t="s">
        <v>99</v>
      </c>
      <c r="B36" s="110">
        <v>2</v>
      </c>
      <c r="C36" s="43">
        <v>0.115</v>
      </c>
      <c r="D36" s="10">
        <f>+SUM(C$35:$C36)</f>
        <v>0.23</v>
      </c>
      <c r="E36" s="10">
        <f>+E6</f>
        <v>2</v>
      </c>
      <c r="F36" s="10">
        <f t="shared" ref="F36:F37" si="3">+C36*E36</f>
        <v>0.23</v>
      </c>
      <c r="G36" s="48"/>
      <c r="H36" s="29"/>
      <c r="I36" s="29"/>
    </row>
    <row r="37" spans="1:9">
      <c r="A37" s="79"/>
      <c r="B37" s="110" t="s">
        <v>89</v>
      </c>
      <c r="C37" s="43">
        <v>0.01</v>
      </c>
      <c r="D37" s="10">
        <f>+SUM(C$35:$C37)</f>
        <v>0.24000000000000002</v>
      </c>
      <c r="E37" s="10">
        <f>+E35+E36</f>
        <v>4</v>
      </c>
      <c r="F37" s="10">
        <f t="shared" si="3"/>
        <v>0.04</v>
      </c>
      <c r="G37" s="48">
        <v>0.5</v>
      </c>
      <c r="H37" s="79" t="s">
        <v>94</v>
      </c>
      <c r="I37" s="29"/>
    </row>
    <row r="38" spans="1:9">
      <c r="A38" s="88"/>
      <c r="B38" s="11" t="s">
        <v>6</v>
      </c>
      <c r="C38" s="11">
        <f>+SUM(C35:C37)</f>
        <v>0.24000000000000002</v>
      </c>
      <c r="D38" s="11"/>
      <c r="E38" s="11"/>
      <c r="F38" s="13">
        <f>+SUM(F35:F37)</f>
        <v>0.5</v>
      </c>
      <c r="G38" s="50"/>
      <c r="H38" s="29"/>
      <c r="I38" s="29"/>
    </row>
    <row r="39" spans="1:9">
      <c r="A39" s="88"/>
      <c r="G39" s="46"/>
      <c r="H39" s="29"/>
      <c r="I39" s="29"/>
    </row>
    <row r="40" spans="1:9">
      <c r="A40" s="79"/>
      <c r="G40" s="46"/>
      <c r="H40" s="29"/>
      <c r="I40" s="29"/>
    </row>
    <row r="41" spans="1:9">
      <c r="A41" s="82" t="s">
        <v>18</v>
      </c>
      <c r="B41" s="14" t="s">
        <v>88</v>
      </c>
      <c r="C41" s="14" t="s">
        <v>11</v>
      </c>
      <c r="D41" s="14" t="s">
        <v>20</v>
      </c>
      <c r="E41" s="14" t="s">
        <v>9</v>
      </c>
      <c r="F41" s="14" t="s">
        <v>1</v>
      </c>
      <c r="G41" s="45"/>
      <c r="H41" s="29"/>
      <c r="I41" s="29"/>
    </row>
    <row r="42" spans="1:9">
      <c r="A42" s="79" t="s">
        <v>96</v>
      </c>
      <c r="B42" s="110">
        <v>1</v>
      </c>
      <c r="C42" s="10">
        <v>0.25</v>
      </c>
      <c r="D42" s="10">
        <f>+SUM(C42:$C$42)</f>
        <v>0.25</v>
      </c>
      <c r="E42" s="10">
        <f>+E5</f>
        <v>2</v>
      </c>
      <c r="F42" s="10">
        <f>+E42*C42</f>
        <v>0.5</v>
      </c>
      <c r="G42" s="48">
        <v>0.02</v>
      </c>
      <c r="H42" s="79" t="s">
        <v>94</v>
      </c>
      <c r="I42" s="29"/>
    </row>
    <row r="43" spans="1:9">
      <c r="A43" s="79" t="s">
        <v>98</v>
      </c>
      <c r="B43" s="11" t="s">
        <v>6</v>
      </c>
      <c r="C43" s="11">
        <f>+SUM(C42:C42)</f>
        <v>0.25</v>
      </c>
      <c r="D43" s="11"/>
      <c r="E43" s="11"/>
      <c r="F43" s="13">
        <f>+SUM(F42:F42)</f>
        <v>0.5</v>
      </c>
      <c r="G43" s="50"/>
      <c r="H43" s="29"/>
      <c r="I43" s="29"/>
    </row>
    <row r="44" spans="1:9">
      <c r="A44" s="79" t="s">
        <v>99</v>
      </c>
      <c r="G44" s="46"/>
      <c r="H44" s="29"/>
      <c r="I44" s="29"/>
    </row>
    <row r="45" spans="1:9">
      <c r="A45" s="79"/>
      <c r="G45" s="46"/>
      <c r="H45" s="29"/>
      <c r="I45" s="29"/>
    </row>
    <row r="46" spans="1:9">
      <c r="A46" s="82" t="s">
        <v>19</v>
      </c>
      <c r="B46" s="14" t="s">
        <v>88</v>
      </c>
      <c r="C46" s="14" t="s">
        <v>11</v>
      </c>
      <c r="D46" s="14" t="s">
        <v>20</v>
      </c>
      <c r="E46" s="14" t="s">
        <v>9</v>
      </c>
      <c r="F46" s="14" t="s">
        <v>1</v>
      </c>
      <c r="G46" s="45"/>
      <c r="H46" s="29"/>
      <c r="I46" s="29"/>
    </row>
    <row r="47" spans="1:9">
      <c r="A47" s="79" t="s">
        <v>96</v>
      </c>
      <c r="B47" s="110">
        <v>2</v>
      </c>
      <c r="C47" s="10">
        <v>0.25</v>
      </c>
      <c r="D47" s="10">
        <f>+SUM(C$47:$C47)</f>
        <v>0.25</v>
      </c>
      <c r="E47" s="10">
        <f>+E6</f>
        <v>2</v>
      </c>
      <c r="F47" s="10">
        <f>+E47*C47</f>
        <v>0.5</v>
      </c>
      <c r="G47" s="48">
        <v>0.02</v>
      </c>
      <c r="H47" s="79" t="s">
        <v>94</v>
      </c>
      <c r="I47" s="29"/>
    </row>
    <row r="48" spans="1:9">
      <c r="A48" s="79" t="s">
        <v>97</v>
      </c>
      <c r="B48" s="11" t="s">
        <v>6</v>
      </c>
      <c r="C48" s="11">
        <f>+SUM(C47:C47)</f>
        <v>0.25</v>
      </c>
      <c r="D48" s="11"/>
      <c r="E48" s="11"/>
      <c r="F48" s="13">
        <f>+SUM(F47:F47)</f>
        <v>0.5</v>
      </c>
      <c r="G48" s="50"/>
      <c r="H48" s="29"/>
      <c r="I48" s="29"/>
    </row>
    <row r="49" spans="1:9">
      <c r="A49" s="79" t="s">
        <v>99</v>
      </c>
      <c r="G49" s="47"/>
      <c r="H49" s="29"/>
      <c r="I49" s="29"/>
    </row>
    <row r="50" spans="1:9">
      <c r="A50" s="79"/>
      <c r="G50" s="47"/>
      <c r="H50" s="29"/>
      <c r="I50" s="29"/>
    </row>
    <row r="51" spans="1:9">
      <c r="A51" s="79"/>
      <c r="G51" s="47"/>
      <c r="H51" s="29"/>
      <c r="I51" s="29"/>
    </row>
    <row r="52" spans="1:9">
      <c r="A52" s="79"/>
      <c r="G52" s="47"/>
      <c r="H52" s="29"/>
      <c r="I52" s="29"/>
    </row>
    <row r="53" spans="1:9">
      <c r="A53" s="79"/>
      <c r="G53" s="47"/>
      <c r="H53" s="29"/>
      <c r="I53" s="29"/>
    </row>
    <row r="54" spans="1:9">
      <c r="A54" s="79"/>
      <c r="G54" s="47"/>
      <c r="H54" s="29"/>
      <c r="I54" s="29"/>
    </row>
    <row r="55" spans="1:9">
      <c r="A55" s="79"/>
      <c r="G55" s="47"/>
      <c r="H55" s="29"/>
      <c r="I55" s="29"/>
    </row>
    <row r="56" spans="1:9">
      <c r="A56" s="79"/>
      <c r="G56" s="47"/>
      <c r="H56" s="29"/>
      <c r="I56" s="29"/>
    </row>
    <row r="57" spans="1:9">
      <c r="A57" s="79"/>
      <c r="G57" s="47"/>
      <c r="H57" s="29"/>
      <c r="I57" s="29"/>
    </row>
    <row r="58" spans="1:9">
      <c r="A58" s="79"/>
      <c r="G58" s="47"/>
      <c r="H58" s="29"/>
      <c r="I58" s="29"/>
    </row>
    <row r="59" spans="1:9">
      <c r="A59" s="79"/>
      <c r="G59" s="47"/>
      <c r="H59" s="29"/>
      <c r="I59" s="29"/>
    </row>
    <row r="60" spans="1:9">
      <c r="A60" s="79"/>
      <c r="G60" s="47"/>
      <c r="H60" s="29"/>
      <c r="I60" s="29"/>
    </row>
    <row r="61" spans="1:9">
      <c r="A61" s="79"/>
      <c r="G61" s="47"/>
      <c r="H61" s="29"/>
      <c r="I61" s="29"/>
    </row>
    <row r="62" spans="1:9">
      <c r="A62" s="79"/>
      <c r="G62" s="47"/>
      <c r="H62" s="29"/>
      <c r="I62" s="29"/>
    </row>
    <row r="63" spans="1:9">
      <c r="A63" s="79"/>
      <c r="G63" s="47"/>
      <c r="H63" s="29"/>
      <c r="I63" s="29"/>
    </row>
    <row r="64" spans="1:9">
      <c r="A64" s="79"/>
      <c r="G64" s="47"/>
      <c r="H64" s="29"/>
      <c r="I64" s="29"/>
    </row>
    <row r="65" spans="1:9">
      <c r="A65" s="79"/>
      <c r="G65" s="47"/>
      <c r="H65" s="29"/>
      <c r="I65" s="29"/>
    </row>
    <row r="66" spans="1:9">
      <c r="A66" s="79"/>
      <c r="G66" s="47"/>
      <c r="H66" s="29"/>
      <c r="I66" s="29"/>
    </row>
    <row r="67" spans="1:9">
      <c r="A67" s="79"/>
      <c r="G67" s="47"/>
      <c r="H67" s="29"/>
      <c r="I67" s="29"/>
    </row>
    <row r="68" spans="1:9">
      <c r="A68" s="79"/>
      <c r="G68" s="47"/>
      <c r="H68" s="29"/>
      <c r="I68" s="29"/>
    </row>
    <row r="69" spans="1:9">
      <c r="A69" s="79"/>
      <c r="G69" s="47"/>
      <c r="H69" s="29"/>
      <c r="I69" s="29"/>
    </row>
    <row r="70" spans="1:9">
      <c r="A70" s="79"/>
      <c r="G70" s="47"/>
      <c r="H70" s="29"/>
      <c r="I70" s="29"/>
    </row>
    <row r="71" spans="1:9">
      <c r="A71" s="79"/>
      <c r="G71" s="46"/>
      <c r="H71" s="29"/>
      <c r="I71" s="29"/>
    </row>
    <row r="72" spans="1:9">
      <c r="A72" s="79"/>
      <c r="G72" s="46"/>
      <c r="H72" s="29"/>
      <c r="I72" s="29"/>
    </row>
    <row r="73" spans="1:9">
      <c r="A73" s="79"/>
      <c r="G73" s="46"/>
      <c r="H73" s="29"/>
      <c r="I73" s="29"/>
    </row>
    <row r="74" spans="1:9">
      <c r="A74" s="79"/>
      <c r="G74" s="46"/>
      <c r="H74" s="29"/>
      <c r="I74" s="29"/>
    </row>
    <row r="75" spans="1:9">
      <c r="A75" s="79"/>
      <c r="G75" s="46"/>
      <c r="H75" s="29"/>
      <c r="I75" s="29"/>
    </row>
    <row r="76" spans="1:9">
      <c r="A76" s="79"/>
      <c r="G76" s="46"/>
      <c r="H76" s="29"/>
      <c r="I76" s="29"/>
    </row>
    <row r="77" spans="1:9">
      <c r="A77" s="79"/>
      <c r="G77" s="46"/>
      <c r="H77" s="29"/>
      <c r="I77" s="29"/>
    </row>
    <row r="78" spans="1:9">
      <c r="A78" s="79"/>
      <c r="G78" s="46"/>
      <c r="H78" s="29"/>
      <c r="I78" s="29"/>
    </row>
    <row r="79" spans="1:9">
      <c r="A79" s="79"/>
      <c r="G79" s="46"/>
      <c r="H79" s="29"/>
      <c r="I79" s="29"/>
    </row>
    <row r="80" spans="1:9">
      <c r="A80" s="79"/>
      <c r="G80" s="46"/>
      <c r="H80" s="29"/>
      <c r="I80" s="29"/>
    </row>
    <row r="81" spans="1:9">
      <c r="A81" s="79"/>
      <c r="G81" s="46"/>
      <c r="H81" s="29"/>
      <c r="I81" s="29"/>
    </row>
    <row r="82" spans="1:9">
      <c r="A82" s="79"/>
      <c r="G82" s="46"/>
      <c r="H82" s="29"/>
      <c r="I82" s="29"/>
    </row>
    <row r="83" spans="1:9">
      <c r="A83" s="79"/>
      <c r="G83" s="46"/>
      <c r="H83" s="29"/>
      <c r="I83" s="29"/>
    </row>
    <row r="84" spans="1:9">
      <c r="A84" s="79"/>
      <c r="G84" s="46"/>
      <c r="H84" s="29"/>
      <c r="I84" s="29"/>
    </row>
    <row r="85" spans="1:9">
      <c r="A85" s="79"/>
      <c r="G85" s="46"/>
      <c r="H85" s="29"/>
      <c r="I85" s="29"/>
    </row>
    <row r="86" spans="1:9">
      <c r="A86" s="79"/>
      <c r="G86" s="46"/>
      <c r="H86" s="29"/>
      <c r="I86" s="29"/>
    </row>
    <row r="87" spans="1:9">
      <c r="A87" s="79"/>
      <c r="G87" s="46"/>
      <c r="H87" s="29"/>
      <c r="I87" s="29"/>
    </row>
    <row r="88" spans="1:9">
      <c r="A88" s="79"/>
      <c r="G88" s="46"/>
      <c r="H88" s="29"/>
      <c r="I88" s="29"/>
    </row>
    <row r="89" spans="1:9">
      <c r="A89" s="79"/>
      <c r="G89" s="46"/>
      <c r="H89" s="29"/>
      <c r="I89" s="29"/>
    </row>
    <row r="90" spans="1:9">
      <c r="A90" s="79"/>
      <c r="G90" s="46"/>
      <c r="H90" s="29"/>
      <c r="I90" s="29"/>
    </row>
    <row r="91" spans="1:9">
      <c r="A91" s="79"/>
      <c r="G91" s="46"/>
      <c r="H91" s="29"/>
      <c r="I91" s="29"/>
    </row>
    <row r="92" spans="1:9">
      <c r="A92" s="79"/>
      <c r="G92" s="46"/>
      <c r="H92" s="29"/>
      <c r="I92" s="29"/>
    </row>
    <row r="93" spans="1:9">
      <c r="A93" s="79"/>
      <c r="G93" s="46"/>
      <c r="H93" s="29"/>
      <c r="I93" s="29"/>
    </row>
    <row r="94" spans="1:9">
      <c r="A94" s="79"/>
      <c r="G94" s="46"/>
      <c r="H94" s="29"/>
      <c r="I94" s="29"/>
    </row>
    <row r="95" spans="1:9">
      <c r="A95" s="79"/>
      <c r="G95" s="46"/>
      <c r="H95" s="29"/>
      <c r="I95" s="29"/>
    </row>
    <row r="96" spans="1:9">
      <c r="A96" s="79"/>
      <c r="G96" s="46"/>
      <c r="H96" s="29"/>
      <c r="I96" s="29"/>
    </row>
    <row r="97" spans="1:9">
      <c r="A97" s="79"/>
      <c r="G97" s="46"/>
      <c r="H97" s="29"/>
      <c r="I97" s="29"/>
    </row>
    <row r="98" spans="1:9">
      <c r="A98" s="79"/>
      <c r="G98" s="46"/>
      <c r="H98" s="29"/>
      <c r="I98" s="29"/>
    </row>
    <row r="99" spans="1:9">
      <c r="A99" s="79"/>
      <c r="G99" s="46"/>
      <c r="H99" s="29"/>
      <c r="I99" s="29"/>
    </row>
    <row r="100" spans="1:9">
      <c r="A100" s="79"/>
      <c r="G100" s="46"/>
      <c r="H100" s="29"/>
      <c r="I100" s="29"/>
    </row>
    <row r="101" spans="1:9">
      <c r="A101" s="79"/>
      <c r="G101" s="46"/>
      <c r="H101" s="29"/>
      <c r="I101" s="29"/>
    </row>
    <row r="102" spans="1:9">
      <c r="A102" s="79"/>
      <c r="G102" s="46"/>
      <c r="H102" s="29"/>
      <c r="I102" s="29"/>
    </row>
    <row r="103" spans="1:9">
      <c r="A103" s="79"/>
      <c r="G103" s="46"/>
      <c r="H103" s="29"/>
      <c r="I103" s="29"/>
    </row>
    <row r="104" spans="1:9">
      <c r="A104" s="79"/>
      <c r="G104" s="46"/>
      <c r="H104" s="29"/>
      <c r="I104" s="29"/>
    </row>
    <row r="105" spans="1:9">
      <c r="A105" s="79"/>
      <c r="G105" s="46"/>
      <c r="H105" s="29"/>
      <c r="I105" s="29"/>
    </row>
    <row r="106" spans="1:9">
      <c r="A106" s="79"/>
      <c r="G106" s="46"/>
      <c r="H106" s="29"/>
      <c r="I106" s="29"/>
    </row>
    <row r="107" spans="1:9">
      <c r="A107" s="79"/>
      <c r="G107" s="46"/>
      <c r="H107" s="29"/>
      <c r="I107" s="29"/>
    </row>
    <row r="108" spans="1:9">
      <c r="A108" s="79"/>
      <c r="G108" s="46"/>
      <c r="H108" s="29"/>
      <c r="I108" s="29"/>
    </row>
    <row r="109" spans="1:9">
      <c r="A109" s="79"/>
      <c r="G109" s="46"/>
      <c r="H109" s="29"/>
      <c r="I109" s="29"/>
    </row>
    <row r="110" spans="1:9">
      <c r="A110" s="79"/>
      <c r="G110" s="46"/>
      <c r="H110" s="29"/>
      <c r="I110" s="29"/>
    </row>
    <row r="111" spans="1:9">
      <c r="A111" s="79"/>
      <c r="G111" s="46"/>
      <c r="H111" s="29"/>
      <c r="I111" s="29"/>
    </row>
    <row r="112" spans="1:9">
      <c r="A112" s="79"/>
      <c r="G112" s="46"/>
      <c r="H112" s="29"/>
      <c r="I112" s="29"/>
    </row>
    <row r="113" spans="1:9">
      <c r="A113" s="79"/>
      <c r="G113" s="46"/>
      <c r="H113" s="29"/>
      <c r="I113" s="29"/>
    </row>
    <row r="114" spans="1:9">
      <c r="A114" s="79"/>
      <c r="G114" s="46"/>
      <c r="H114" s="29"/>
      <c r="I114" s="29"/>
    </row>
    <row r="115" spans="1:9">
      <c r="A115" s="79"/>
      <c r="G115" s="46"/>
      <c r="H115" s="29"/>
      <c r="I115" s="29"/>
    </row>
    <row r="116" spans="1:9">
      <c r="A116" s="79"/>
      <c r="G116" s="46"/>
      <c r="H116" s="29"/>
      <c r="I116" s="29"/>
    </row>
    <row r="117" spans="1:9">
      <c r="A117" s="79"/>
      <c r="G117" s="46"/>
      <c r="H117" s="29"/>
      <c r="I117" s="29"/>
    </row>
    <row r="118" spans="1:9">
      <c r="G118" s="46"/>
      <c r="H118" s="29"/>
      <c r="I118" s="29"/>
    </row>
    <row r="119" spans="1:9">
      <c r="G119" s="46"/>
      <c r="H119" s="29"/>
      <c r="I119" s="29"/>
    </row>
    <row r="120" spans="1:9">
      <c r="G120" s="46"/>
      <c r="H120" s="29"/>
      <c r="I120" s="29"/>
    </row>
    <row r="121" spans="1:9">
      <c r="G121" s="35"/>
      <c r="H121" s="29"/>
      <c r="I121" s="29"/>
    </row>
    <row r="122" spans="1:9">
      <c r="G122" s="35"/>
      <c r="H122" s="29"/>
      <c r="I122" s="29"/>
    </row>
    <row r="123" spans="1:9">
      <c r="G123" s="35"/>
      <c r="H123" s="29"/>
      <c r="I123" s="29"/>
    </row>
    <row r="124" spans="1:9">
      <c r="G124" s="35"/>
      <c r="H124" s="29"/>
      <c r="I124" s="29"/>
    </row>
    <row r="125" spans="1:9">
      <c r="G125" s="35"/>
      <c r="H125" s="29"/>
      <c r="I125" s="29"/>
    </row>
    <row r="126" spans="1:9">
      <c r="G126" s="35"/>
      <c r="H126" s="29"/>
      <c r="I126" s="29"/>
    </row>
  </sheetData>
  <mergeCells count="1">
    <mergeCell ref="A1:E1"/>
  </mergeCells>
  <pageMargins left="0.7" right="0.7" top="0.75" bottom="0.75" header="0.3" footer="0.3"/>
  <pageSetup paperSize="9" orientation="portrait" horizontalDpi="200" verticalDpi="200" r:id="rId1"/>
  <ignoredErrors>
    <ignoredError sqref="D6:D7 D8:D11 D17:D18" formulaRange="1"/>
  </ignoredErrors>
</worksheet>
</file>

<file path=xl/worksheets/sheet5.xml><?xml version="1.0" encoding="utf-8"?>
<worksheet xmlns="http://schemas.openxmlformats.org/spreadsheetml/2006/main" xmlns:r="http://schemas.openxmlformats.org/officeDocument/2006/relationships">
  <sheetPr codeName="Hoja4"/>
  <dimension ref="A1:L126"/>
  <sheetViews>
    <sheetView workbookViewId="0">
      <selection sqref="A1:E1"/>
    </sheetView>
  </sheetViews>
  <sheetFormatPr baseColWidth="10" defaultRowHeight="14.4"/>
  <cols>
    <col min="1" max="1" width="40.6640625" style="9" customWidth="1"/>
    <col min="2" max="2" width="25.21875" style="9" bestFit="1" customWidth="1"/>
    <col min="3" max="3" width="11.5546875" style="9"/>
    <col min="4" max="4" width="15.5546875" style="9" bestFit="1" customWidth="1"/>
    <col min="5" max="5" width="11.5546875" style="9"/>
    <col min="6" max="6" width="13.33203125" style="9" customWidth="1"/>
    <col min="7" max="7" width="15.33203125" style="9" bestFit="1" customWidth="1"/>
    <col min="8" max="8" width="15.88671875" style="9" customWidth="1"/>
    <col min="9" max="9" width="12" style="9" customWidth="1"/>
    <col min="10" max="16384" width="11.5546875" style="9"/>
  </cols>
  <sheetData>
    <row r="1" spans="1:12" ht="18">
      <c r="A1" s="116" t="s">
        <v>105</v>
      </c>
      <c r="B1" s="116"/>
      <c r="C1" s="116"/>
      <c r="D1" s="116"/>
      <c r="E1" s="116"/>
    </row>
    <row r="2" spans="1:12">
      <c r="A2" s="89" t="s">
        <v>101</v>
      </c>
    </row>
    <row r="4" spans="1:12">
      <c r="A4" s="82" t="s">
        <v>10</v>
      </c>
      <c r="B4" s="84" t="s">
        <v>88</v>
      </c>
      <c r="C4" s="14" t="s">
        <v>11</v>
      </c>
      <c r="D4" s="14" t="s">
        <v>20</v>
      </c>
      <c r="E4" s="14" t="s">
        <v>9</v>
      </c>
      <c r="F4" s="14" t="s">
        <v>1</v>
      </c>
      <c r="G4" s="59" t="s">
        <v>52</v>
      </c>
      <c r="H4" s="29"/>
      <c r="I4" s="29"/>
    </row>
    <row r="5" spans="1:12">
      <c r="A5" s="79" t="s">
        <v>95</v>
      </c>
      <c r="B5" s="111">
        <v>1</v>
      </c>
      <c r="C5" s="52">
        <v>0.06</v>
      </c>
      <c r="D5" s="1">
        <f>+SUM($C$5:C5)</f>
        <v>0.06</v>
      </c>
      <c r="E5" s="1">
        <f>+Summary!K27</f>
        <v>3</v>
      </c>
      <c r="F5" s="1">
        <f>+C5*E5</f>
        <v>0.18</v>
      </c>
      <c r="G5" s="62"/>
      <c r="H5" s="29"/>
      <c r="I5" s="29"/>
      <c r="L5" s="79"/>
    </row>
    <row r="6" spans="1:12">
      <c r="A6" s="79"/>
      <c r="B6" s="111">
        <v>2</v>
      </c>
      <c r="C6" s="52">
        <v>0.06</v>
      </c>
      <c r="D6" s="1">
        <f>+SUM($C$5:C6)</f>
        <v>0.12</v>
      </c>
      <c r="E6" s="1">
        <f>+Summary!K28</f>
        <v>3</v>
      </c>
      <c r="F6" s="1">
        <f t="shared" ref="F6:F11" si="0">+C6*E6</f>
        <v>0.18</v>
      </c>
      <c r="G6" s="62"/>
      <c r="H6" s="29"/>
      <c r="I6" s="29"/>
      <c r="L6" s="79"/>
    </row>
    <row r="7" spans="1:12">
      <c r="A7" s="79"/>
      <c r="B7" s="111">
        <v>3</v>
      </c>
      <c r="C7" s="52">
        <v>5.0000000000000001E-3</v>
      </c>
      <c r="D7" s="1">
        <f>+SUM($C$5:C7)</f>
        <v>0.125</v>
      </c>
      <c r="E7" s="1">
        <f>+Summary!K29</f>
        <v>6</v>
      </c>
      <c r="F7" s="1">
        <f t="shared" si="0"/>
        <v>0.03</v>
      </c>
      <c r="G7" s="62"/>
      <c r="H7" s="29"/>
      <c r="I7" s="36"/>
      <c r="L7" s="79"/>
    </row>
    <row r="8" spans="1:12">
      <c r="A8" s="79"/>
      <c r="B8" s="111" t="s">
        <v>89</v>
      </c>
      <c r="C8" s="52">
        <v>3.8333333333333301E-3</v>
      </c>
      <c r="D8" s="1">
        <f>+SUM($C$5:C8)</f>
        <v>0.12883333333333333</v>
      </c>
      <c r="E8" s="1">
        <f>+E5+E6</f>
        <v>6</v>
      </c>
      <c r="F8" s="1">
        <f t="shared" si="0"/>
        <v>2.2999999999999979E-2</v>
      </c>
      <c r="G8" s="62"/>
      <c r="H8" s="29"/>
      <c r="I8" s="113"/>
      <c r="L8" s="79"/>
    </row>
    <row r="9" spans="1:12">
      <c r="A9" s="79"/>
      <c r="B9" s="111" t="s">
        <v>90</v>
      </c>
      <c r="C9" s="52">
        <v>1.5E-3</v>
      </c>
      <c r="D9" s="1">
        <f>+SUM($C$5:C9)</f>
        <v>0.13033333333333333</v>
      </c>
      <c r="E9" s="1">
        <f>+E5+E7</f>
        <v>9</v>
      </c>
      <c r="F9" s="1">
        <f t="shared" si="0"/>
        <v>1.35E-2</v>
      </c>
      <c r="G9" s="62"/>
      <c r="H9" s="29"/>
      <c r="I9" s="29"/>
      <c r="L9" s="79"/>
    </row>
    <row r="10" spans="1:12">
      <c r="A10" s="79"/>
      <c r="B10" s="111" t="s">
        <v>91</v>
      </c>
      <c r="C10" s="52">
        <v>1.5E-3</v>
      </c>
      <c r="D10" s="1">
        <f>+SUM($C$5:C10)</f>
        <v>0.13183333333333333</v>
      </c>
      <c r="E10" s="1">
        <f>+E6+E7</f>
        <v>9</v>
      </c>
      <c r="F10" s="1">
        <f t="shared" si="0"/>
        <v>1.35E-2</v>
      </c>
      <c r="G10" s="62"/>
      <c r="H10" s="29"/>
      <c r="I10" s="29"/>
      <c r="L10" s="79"/>
    </row>
    <row r="11" spans="1:12">
      <c r="A11" s="79"/>
      <c r="B11" s="111" t="s">
        <v>92</v>
      </c>
      <c r="C11" s="52">
        <v>5.0000000000000001E-3</v>
      </c>
      <c r="D11" s="1">
        <f>+SUM($C$5:C11)</f>
        <v>0.13683333333333333</v>
      </c>
      <c r="E11" s="1">
        <f>+E5+E6+E7</f>
        <v>12</v>
      </c>
      <c r="F11" s="1">
        <f t="shared" si="0"/>
        <v>0.06</v>
      </c>
      <c r="G11" s="62">
        <v>1</v>
      </c>
      <c r="H11" s="79" t="s">
        <v>94</v>
      </c>
      <c r="I11" s="29"/>
    </row>
    <row r="12" spans="1:12">
      <c r="A12" s="79"/>
      <c r="B12" s="86" t="s">
        <v>12</v>
      </c>
      <c r="C12" s="11">
        <f>+SUM(C5:C11)</f>
        <v>0.13683333333333333</v>
      </c>
      <c r="D12" s="11"/>
      <c r="E12" s="11"/>
      <c r="F12" s="15">
        <f>+SUM(F5:F11)</f>
        <v>0.5</v>
      </c>
      <c r="G12" s="63"/>
      <c r="H12" s="29"/>
      <c r="I12" s="29"/>
      <c r="J12" s="29"/>
    </row>
    <row r="13" spans="1:12">
      <c r="A13" s="79"/>
      <c r="B13" s="87" t="s">
        <v>93</v>
      </c>
      <c r="G13" s="60"/>
      <c r="H13" s="29"/>
      <c r="I13" s="29"/>
      <c r="J13" s="29"/>
    </row>
    <row r="14" spans="1:12">
      <c r="A14" s="79"/>
      <c r="B14" s="79"/>
      <c r="G14" s="60"/>
      <c r="H14" s="29"/>
      <c r="I14" s="29"/>
      <c r="J14" s="29"/>
    </row>
    <row r="15" spans="1:12">
      <c r="A15" s="82" t="s">
        <v>14</v>
      </c>
      <c r="B15" s="84" t="s">
        <v>88</v>
      </c>
      <c r="C15" s="14" t="s">
        <v>11</v>
      </c>
      <c r="D15" s="14" t="s">
        <v>20</v>
      </c>
      <c r="E15" s="14" t="s">
        <v>9</v>
      </c>
      <c r="F15" s="14" t="s">
        <v>1</v>
      </c>
      <c r="G15" s="59" t="s">
        <v>52</v>
      </c>
      <c r="H15" s="29"/>
      <c r="I15" s="29"/>
      <c r="J15" s="29"/>
    </row>
    <row r="16" spans="1:12">
      <c r="A16" s="79" t="s">
        <v>96</v>
      </c>
      <c r="B16" s="110">
        <v>2</v>
      </c>
      <c r="C16" s="53">
        <v>9.6666666666666595E-2</v>
      </c>
      <c r="D16" s="10">
        <f>+SUM(C16:$C$16)</f>
        <v>9.6666666666666595E-2</v>
      </c>
      <c r="E16" s="10">
        <f>+E6</f>
        <v>3</v>
      </c>
      <c r="F16" s="10">
        <f>+C16*E16</f>
        <v>0.28999999999999981</v>
      </c>
      <c r="G16" s="62"/>
      <c r="H16" s="29"/>
      <c r="I16" s="29"/>
      <c r="J16" s="29"/>
    </row>
    <row r="17" spans="1:10">
      <c r="A17" s="79" t="s">
        <v>97</v>
      </c>
      <c r="B17" s="110">
        <v>3</v>
      </c>
      <c r="C17" s="53">
        <v>0.02</v>
      </c>
      <c r="D17" s="10">
        <f>+SUM(C$16:$C17)</f>
        <v>0.1166666666666666</v>
      </c>
      <c r="E17" s="10">
        <f>+E7</f>
        <v>6</v>
      </c>
      <c r="F17" s="10">
        <f t="shared" ref="F17:F18" si="1">+C17*E17</f>
        <v>0.12</v>
      </c>
      <c r="G17" s="62"/>
      <c r="H17" s="29"/>
      <c r="I17" s="29"/>
      <c r="J17" s="29"/>
    </row>
    <row r="18" spans="1:10">
      <c r="A18" s="79"/>
      <c r="B18" s="110" t="s">
        <v>91</v>
      </c>
      <c r="C18" s="53">
        <v>0.01</v>
      </c>
      <c r="D18" s="10">
        <f>+SUM(C$16:$C18)</f>
        <v>0.12666666666666659</v>
      </c>
      <c r="E18" s="10">
        <f>+E16+E17</f>
        <v>9</v>
      </c>
      <c r="F18" s="10">
        <f t="shared" si="1"/>
        <v>0.09</v>
      </c>
      <c r="G18" s="62">
        <v>0.5</v>
      </c>
      <c r="H18" s="79" t="s">
        <v>94</v>
      </c>
      <c r="I18" s="29"/>
      <c r="J18" s="29"/>
    </row>
    <row r="19" spans="1:10">
      <c r="A19" s="79"/>
      <c r="B19" s="86" t="s">
        <v>6</v>
      </c>
      <c r="C19" s="11">
        <f>+SUM(C16:C18)</f>
        <v>0.12666666666666659</v>
      </c>
      <c r="D19" s="11"/>
      <c r="E19" s="11"/>
      <c r="F19" s="13">
        <f>+SUM(F16:F18)</f>
        <v>0.49999999999999978</v>
      </c>
      <c r="G19" s="64"/>
      <c r="H19" s="29"/>
      <c r="I19" s="29"/>
      <c r="J19" s="29"/>
    </row>
    <row r="20" spans="1:10">
      <c r="A20" s="79"/>
      <c r="B20" s="90"/>
      <c r="C20" s="12"/>
      <c r="D20" s="12"/>
      <c r="E20" s="12"/>
      <c r="F20" s="8"/>
      <c r="G20" s="65"/>
      <c r="H20" s="29"/>
      <c r="I20" s="29"/>
      <c r="J20" s="29"/>
    </row>
    <row r="21" spans="1:10">
      <c r="A21" s="79"/>
      <c r="B21" s="90"/>
      <c r="C21" s="12"/>
      <c r="D21" s="12"/>
      <c r="E21" s="12"/>
      <c r="F21" s="8"/>
      <c r="G21" s="65"/>
      <c r="H21" s="29"/>
      <c r="I21" s="29"/>
      <c r="J21" s="29"/>
    </row>
    <row r="22" spans="1:10">
      <c r="A22" s="82" t="s">
        <v>15</v>
      </c>
      <c r="B22" s="84" t="s">
        <v>88</v>
      </c>
      <c r="C22" s="14" t="s">
        <v>11</v>
      </c>
      <c r="D22" s="14" t="s">
        <v>20</v>
      </c>
      <c r="E22" s="14" t="s">
        <v>9</v>
      </c>
      <c r="F22" s="14" t="s">
        <v>1</v>
      </c>
      <c r="G22" s="59" t="s">
        <v>52</v>
      </c>
      <c r="H22" s="29"/>
      <c r="I22" s="29"/>
      <c r="J22" s="29"/>
    </row>
    <row r="23" spans="1:10">
      <c r="A23" s="79" t="s">
        <v>96</v>
      </c>
      <c r="B23" s="110">
        <v>1</v>
      </c>
      <c r="C23" s="54">
        <v>9.6666666666666595E-2</v>
      </c>
      <c r="D23" s="10">
        <f>+SUM(C23:$C$23)</f>
        <v>9.6666666666666595E-2</v>
      </c>
      <c r="E23" s="10">
        <f>+E5</f>
        <v>3</v>
      </c>
      <c r="F23" s="10">
        <f>+C23*E23</f>
        <v>0.28999999999999981</v>
      </c>
      <c r="G23" s="62"/>
      <c r="H23" s="29"/>
      <c r="I23" s="29"/>
      <c r="J23" s="29"/>
    </row>
    <row r="24" spans="1:10">
      <c r="A24" s="79" t="s">
        <v>98</v>
      </c>
      <c r="B24" s="110">
        <v>3</v>
      </c>
      <c r="C24" s="54">
        <v>0.02</v>
      </c>
      <c r="D24" s="10">
        <f>+SUM(C$23:$C24)</f>
        <v>0.1166666666666666</v>
      </c>
      <c r="E24" s="10">
        <f>+E7</f>
        <v>6</v>
      </c>
      <c r="F24" s="10">
        <f t="shared" ref="F24:F25" si="2">+C24*E24</f>
        <v>0.12</v>
      </c>
      <c r="G24" s="62"/>
      <c r="H24" s="29"/>
      <c r="I24" s="29"/>
      <c r="J24" s="29"/>
    </row>
    <row r="25" spans="1:10">
      <c r="A25" s="79"/>
      <c r="B25" s="110" t="s">
        <v>90</v>
      </c>
      <c r="C25" s="54">
        <v>0.01</v>
      </c>
      <c r="D25" s="10">
        <f>+SUM(C$23:$C25)</f>
        <v>0.12666666666666659</v>
      </c>
      <c r="E25" s="10">
        <f>+E23+E24</f>
        <v>9</v>
      </c>
      <c r="F25" s="10">
        <f t="shared" si="2"/>
        <v>0.09</v>
      </c>
      <c r="G25" s="62">
        <v>0.5</v>
      </c>
      <c r="H25" s="79" t="s">
        <v>94</v>
      </c>
      <c r="I25" s="29"/>
      <c r="J25" s="29"/>
    </row>
    <row r="26" spans="1:10">
      <c r="A26" s="79"/>
      <c r="B26" s="86" t="s">
        <v>6</v>
      </c>
      <c r="C26" s="11">
        <f>+SUM(C23:C25)</f>
        <v>0.12666666666666659</v>
      </c>
      <c r="D26" s="11"/>
      <c r="E26" s="11"/>
      <c r="F26" s="13">
        <f>+SUM(F23:F25)</f>
        <v>0.49999999999999978</v>
      </c>
      <c r="G26" s="64"/>
      <c r="H26" s="29"/>
      <c r="I26" s="29"/>
      <c r="J26" s="29"/>
    </row>
    <row r="27" spans="1:10">
      <c r="A27" s="79"/>
      <c r="B27" s="90"/>
      <c r="C27" s="12"/>
      <c r="D27" s="12"/>
      <c r="E27" s="12"/>
      <c r="F27" s="8"/>
      <c r="G27" s="65"/>
      <c r="H27" s="29"/>
      <c r="I27" s="29"/>
      <c r="J27" s="29"/>
    </row>
    <row r="28" spans="1:10">
      <c r="A28" s="79"/>
      <c r="B28" s="79"/>
      <c r="G28" s="60"/>
      <c r="H28" s="29"/>
      <c r="I28" s="29"/>
      <c r="J28" s="29"/>
    </row>
    <row r="29" spans="1:10">
      <c r="A29" s="82" t="s">
        <v>16</v>
      </c>
      <c r="B29" s="84" t="s">
        <v>88</v>
      </c>
      <c r="C29" s="14" t="s">
        <v>11</v>
      </c>
      <c r="D29" s="14" t="s">
        <v>20</v>
      </c>
      <c r="E29" s="14" t="s">
        <v>9</v>
      </c>
      <c r="F29" s="14" t="s">
        <v>1</v>
      </c>
      <c r="G29" s="59" t="s">
        <v>52</v>
      </c>
      <c r="H29" s="29"/>
      <c r="I29" s="29"/>
      <c r="J29" s="29"/>
    </row>
    <row r="30" spans="1:10">
      <c r="A30" s="79" t="s">
        <v>96</v>
      </c>
      <c r="B30" s="110">
        <v>3</v>
      </c>
      <c r="C30" s="55">
        <v>8.3333333333333329E-2</v>
      </c>
      <c r="D30" s="10">
        <f>+SUM(C30:$C$30)</f>
        <v>8.3333333333333329E-2</v>
      </c>
      <c r="E30" s="10">
        <f>+E7</f>
        <v>6</v>
      </c>
      <c r="F30" s="10">
        <f>+C30*E30</f>
        <v>0.5</v>
      </c>
      <c r="G30" s="62">
        <v>0.06</v>
      </c>
      <c r="H30" s="79" t="s">
        <v>94</v>
      </c>
      <c r="I30" s="29"/>
      <c r="J30" s="29"/>
    </row>
    <row r="31" spans="1:10">
      <c r="A31" s="79" t="s">
        <v>97</v>
      </c>
      <c r="B31" s="86" t="s">
        <v>6</v>
      </c>
      <c r="C31" s="11">
        <f>+SUM(C30:C30)</f>
        <v>8.3333333333333329E-2</v>
      </c>
      <c r="D31" s="11"/>
      <c r="E31" s="11"/>
      <c r="F31" s="13">
        <f>+SUM(F30:F30)</f>
        <v>0.5</v>
      </c>
      <c r="G31" s="64"/>
      <c r="H31" s="29"/>
      <c r="I31" s="29"/>
      <c r="J31" s="29"/>
    </row>
    <row r="32" spans="1:10">
      <c r="A32" s="79" t="s">
        <v>98</v>
      </c>
      <c r="B32" s="79"/>
      <c r="G32" s="60"/>
      <c r="H32" s="29"/>
      <c r="I32" s="29"/>
      <c r="J32" s="29"/>
    </row>
    <row r="33" spans="1:10">
      <c r="A33" s="79"/>
      <c r="B33" s="79"/>
      <c r="G33" s="60"/>
      <c r="H33" s="29"/>
      <c r="I33" s="29"/>
      <c r="J33" s="29"/>
    </row>
    <row r="34" spans="1:10">
      <c r="A34" s="82" t="s">
        <v>17</v>
      </c>
      <c r="B34" s="84" t="s">
        <v>88</v>
      </c>
      <c r="C34" s="14" t="s">
        <v>11</v>
      </c>
      <c r="D34" s="14" t="s">
        <v>20</v>
      </c>
      <c r="E34" s="14" t="s">
        <v>9</v>
      </c>
      <c r="F34" s="14" t="s">
        <v>1</v>
      </c>
      <c r="G34" s="59" t="s">
        <v>52</v>
      </c>
      <c r="H34" s="29"/>
      <c r="I34" s="29"/>
      <c r="J34" s="29"/>
    </row>
    <row r="35" spans="1:10">
      <c r="A35" s="79" t="s">
        <v>96</v>
      </c>
      <c r="B35" s="110">
        <v>1</v>
      </c>
      <c r="C35" s="56">
        <v>7.0000000000000007E-2</v>
      </c>
      <c r="D35" s="10">
        <f>+SUM(C35:$C$35)</f>
        <v>7.0000000000000007E-2</v>
      </c>
      <c r="E35" s="10">
        <f>+E5</f>
        <v>3</v>
      </c>
      <c r="F35" s="10">
        <f>+C35*E35</f>
        <v>0.21000000000000002</v>
      </c>
      <c r="G35" s="62"/>
      <c r="H35" s="29"/>
      <c r="I35" s="29"/>
      <c r="J35" s="29"/>
    </row>
    <row r="36" spans="1:10">
      <c r="A36" s="79" t="s">
        <v>99</v>
      </c>
      <c r="B36" s="110">
        <v>2</v>
      </c>
      <c r="C36" s="56">
        <v>7.0000000000000007E-2</v>
      </c>
      <c r="D36" s="10">
        <f>+SUM(C$35:$C36)</f>
        <v>0.14000000000000001</v>
      </c>
      <c r="E36" s="10">
        <f>+E6</f>
        <v>3</v>
      </c>
      <c r="F36" s="10">
        <f t="shared" ref="F36:F37" si="3">+C36*E36</f>
        <v>0.21000000000000002</v>
      </c>
      <c r="G36" s="62"/>
      <c r="H36" s="29"/>
      <c r="I36" s="29"/>
      <c r="J36" s="29"/>
    </row>
    <row r="37" spans="1:10">
      <c r="A37" s="79"/>
      <c r="B37" s="110" t="s">
        <v>89</v>
      </c>
      <c r="C37" s="56">
        <v>1.3333333333333334E-2</v>
      </c>
      <c r="D37" s="10">
        <f>+SUM(C$35:$C37)</f>
        <v>0.15333333333333335</v>
      </c>
      <c r="E37" s="10">
        <f>+E35+E36</f>
        <v>6</v>
      </c>
      <c r="F37" s="10">
        <f t="shared" si="3"/>
        <v>0.08</v>
      </c>
      <c r="G37" s="62">
        <v>0.375</v>
      </c>
      <c r="H37" s="79" t="s">
        <v>94</v>
      </c>
      <c r="I37" s="29"/>
      <c r="J37" s="29"/>
    </row>
    <row r="38" spans="1:10">
      <c r="A38" s="88"/>
      <c r="B38" s="86" t="s">
        <v>6</v>
      </c>
      <c r="C38" s="11">
        <f>+SUM(C35:C37)</f>
        <v>0.15333333333333335</v>
      </c>
      <c r="D38" s="11"/>
      <c r="E38" s="11"/>
      <c r="F38" s="13">
        <f>+SUM(F35:F37)</f>
        <v>0.5</v>
      </c>
      <c r="G38" s="64"/>
      <c r="H38" s="29"/>
      <c r="I38" s="29"/>
      <c r="J38" s="29"/>
    </row>
    <row r="39" spans="1:10">
      <c r="A39" s="88"/>
      <c r="B39" s="79"/>
      <c r="G39" s="60"/>
      <c r="H39" s="29"/>
      <c r="I39" s="29"/>
      <c r="J39" s="29"/>
    </row>
    <row r="40" spans="1:10">
      <c r="A40" s="79"/>
      <c r="B40" s="79"/>
      <c r="G40" s="60"/>
      <c r="H40" s="29"/>
      <c r="I40" s="29"/>
      <c r="J40" s="29"/>
    </row>
    <row r="41" spans="1:10">
      <c r="A41" s="82" t="s">
        <v>18</v>
      </c>
      <c r="B41" s="84" t="s">
        <v>88</v>
      </c>
      <c r="C41" s="14" t="s">
        <v>11</v>
      </c>
      <c r="D41" s="14" t="s">
        <v>20</v>
      </c>
      <c r="E41" s="14" t="s">
        <v>9</v>
      </c>
      <c r="F41" s="14" t="s">
        <v>1</v>
      </c>
      <c r="G41" s="59" t="s">
        <v>52</v>
      </c>
      <c r="H41" s="29"/>
      <c r="I41" s="29"/>
      <c r="J41" s="29"/>
    </row>
    <row r="42" spans="1:10">
      <c r="A42" s="79" t="s">
        <v>96</v>
      </c>
      <c r="B42" s="110">
        <v>1</v>
      </c>
      <c r="C42" s="57">
        <v>0.16666666666666666</v>
      </c>
      <c r="D42" s="10">
        <f>+SUM(C42:$C$42)</f>
        <v>0.16666666666666666</v>
      </c>
      <c r="E42" s="10">
        <f>+E5</f>
        <v>3</v>
      </c>
      <c r="F42" s="10">
        <f>+E42*C42</f>
        <v>0.5</v>
      </c>
      <c r="G42" s="62">
        <v>0.03</v>
      </c>
      <c r="H42" s="79" t="s">
        <v>94</v>
      </c>
      <c r="I42" s="29"/>
      <c r="J42" s="29"/>
    </row>
    <row r="43" spans="1:10">
      <c r="A43" s="79" t="s">
        <v>98</v>
      </c>
      <c r="B43" s="86" t="s">
        <v>6</v>
      </c>
      <c r="C43" s="11">
        <f>+SUM(C42:C42)</f>
        <v>0.16666666666666666</v>
      </c>
      <c r="D43" s="11"/>
      <c r="E43" s="11"/>
      <c r="F43" s="13">
        <f>+SUM(F42:F42)</f>
        <v>0.5</v>
      </c>
      <c r="G43" s="64"/>
      <c r="H43" s="29"/>
      <c r="I43" s="29"/>
      <c r="J43" s="29"/>
    </row>
    <row r="44" spans="1:10">
      <c r="A44" s="79" t="s">
        <v>99</v>
      </c>
      <c r="B44" s="79"/>
      <c r="G44" s="60"/>
      <c r="H44" s="29"/>
      <c r="I44" s="29"/>
      <c r="J44" s="29"/>
    </row>
    <row r="45" spans="1:10">
      <c r="A45" s="79"/>
      <c r="B45" s="79"/>
      <c r="G45" s="60"/>
      <c r="H45" s="29"/>
      <c r="I45" s="29"/>
      <c r="J45" s="29"/>
    </row>
    <row r="46" spans="1:10">
      <c r="A46" s="82" t="s">
        <v>19</v>
      </c>
      <c r="B46" s="84" t="s">
        <v>88</v>
      </c>
      <c r="C46" s="14" t="s">
        <v>11</v>
      </c>
      <c r="D46" s="14" t="s">
        <v>20</v>
      </c>
      <c r="E46" s="14" t="s">
        <v>9</v>
      </c>
      <c r="F46" s="14" t="s">
        <v>1</v>
      </c>
      <c r="G46" s="59" t="s">
        <v>52</v>
      </c>
      <c r="H46" s="29"/>
      <c r="I46" s="29"/>
      <c r="J46" s="29"/>
    </row>
    <row r="47" spans="1:10">
      <c r="A47" s="79" t="s">
        <v>96</v>
      </c>
      <c r="B47" s="110">
        <v>2</v>
      </c>
      <c r="C47" s="58">
        <v>0.16666666666666666</v>
      </c>
      <c r="D47" s="10">
        <f>+SUM(C$47:$C47)</f>
        <v>0.16666666666666666</v>
      </c>
      <c r="E47" s="10">
        <f>+E6</f>
        <v>3</v>
      </c>
      <c r="F47" s="10">
        <f>+E47*C47</f>
        <v>0.5</v>
      </c>
      <c r="G47" s="62">
        <v>0.03</v>
      </c>
      <c r="H47" s="79" t="s">
        <v>94</v>
      </c>
      <c r="I47" s="29"/>
      <c r="J47" s="29"/>
    </row>
    <row r="48" spans="1:10">
      <c r="A48" s="79" t="s">
        <v>97</v>
      </c>
      <c r="B48" s="86" t="s">
        <v>6</v>
      </c>
      <c r="C48" s="11">
        <f>+SUM(C47:C47)</f>
        <v>0.16666666666666666</v>
      </c>
      <c r="D48" s="11"/>
      <c r="E48" s="11"/>
      <c r="F48" s="13">
        <f>+SUM(F47:F47)</f>
        <v>0.5</v>
      </c>
      <c r="G48" s="64"/>
      <c r="H48" s="29"/>
      <c r="I48" s="29"/>
      <c r="J48" s="29"/>
    </row>
    <row r="49" spans="1:10">
      <c r="A49" s="79" t="s">
        <v>99</v>
      </c>
      <c r="B49" s="79"/>
      <c r="G49" s="61"/>
      <c r="H49" s="29"/>
      <c r="I49" s="29"/>
      <c r="J49" s="29"/>
    </row>
    <row r="50" spans="1:10">
      <c r="A50" s="79"/>
      <c r="B50" s="79"/>
      <c r="G50" s="61"/>
      <c r="H50" s="29"/>
      <c r="I50" s="29"/>
      <c r="J50" s="29"/>
    </row>
    <row r="51" spans="1:10">
      <c r="A51" s="79"/>
      <c r="B51" s="79"/>
      <c r="G51" s="61"/>
      <c r="H51" s="29"/>
      <c r="I51" s="29"/>
      <c r="J51" s="29"/>
    </row>
    <row r="52" spans="1:10">
      <c r="A52" s="79"/>
      <c r="B52" s="79"/>
      <c r="G52" s="61"/>
      <c r="H52" s="29"/>
      <c r="I52" s="29"/>
      <c r="J52" s="29"/>
    </row>
    <row r="53" spans="1:10">
      <c r="A53" s="79"/>
      <c r="B53" s="79"/>
      <c r="G53" s="61"/>
      <c r="H53" s="29"/>
      <c r="I53" s="29"/>
      <c r="J53" s="29"/>
    </row>
    <row r="54" spans="1:10">
      <c r="A54" s="79"/>
      <c r="G54" s="61"/>
      <c r="H54" s="29"/>
      <c r="I54" s="29"/>
    </row>
    <row r="55" spans="1:10">
      <c r="A55" s="79"/>
      <c r="G55" s="61"/>
      <c r="H55" s="29"/>
      <c r="I55" s="29"/>
    </row>
    <row r="56" spans="1:10">
      <c r="A56" s="79"/>
      <c r="G56" s="61"/>
      <c r="H56" s="29"/>
      <c r="I56" s="29"/>
    </row>
    <row r="57" spans="1:10">
      <c r="A57" s="79"/>
      <c r="G57" s="61"/>
      <c r="H57" s="29"/>
      <c r="I57" s="29"/>
    </row>
    <row r="58" spans="1:10">
      <c r="A58" s="79"/>
      <c r="G58" s="61"/>
      <c r="H58" s="29"/>
      <c r="I58" s="29"/>
    </row>
    <row r="59" spans="1:10">
      <c r="A59" s="79"/>
      <c r="G59" s="61"/>
      <c r="H59" s="29"/>
      <c r="I59" s="29"/>
    </row>
    <row r="60" spans="1:10">
      <c r="A60" s="79"/>
      <c r="G60" s="61"/>
      <c r="H60" s="29"/>
      <c r="I60" s="29"/>
    </row>
    <row r="61" spans="1:10">
      <c r="A61" s="79"/>
      <c r="G61" s="61"/>
      <c r="H61" s="29"/>
      <c r="I61" s="29"/>
    </row>
    <row r="62" spans="1:10">
      <c r="A62" s="79"/>
      <c r="G62" s="61"/>
      <c r="H62" s="29"/>
      <c r="I62" s="29"/>
    </row>
    <row r="63" spans="1:10">
      <c r="A63" s="79"/>
      <c r="G63" s="61"/>
      <c r="H63" s="29"/>
      <c r="I63" s="29"/>
    </row>
    <row r="64" spans="1:10">
      <c r="A64" s="79"/>
      <c r="G64" s="61"/>
      <c r="H64" s="29"/>
      <c r="I64" s="29"/>
    </row>
    <row r="65" spans="1:9">
      <c r="A65" s="79"/>
      <c r="G65" s="61"/>
      <c r="H65" s="29"/>
      <c r="I65" s="29"/>
    </row>
    <row r="66" spans="1:9">
      <c r="A66" s="79"/>
      <c r="G66" s="61"/>
      <c r="H66" s="29"/>
      <c r="I66" s="29"/>
    </row>
    <row r="67" spans="1:9">
      <c r="A67" s="79"/>
      <c r="G67" s="61"/>
      <c r="H67" s="29"/>
      <c r="I67" s="29"/>
    </row>
    <row r="68" spans="1:9">
      <c r="A68" s="79"/>
      <c r="G68" s="61"/>
      <c r="H68" s="29"/>
      <c r="I68" s="29"/>
    </row>
    <row r="69" spans="1:9">
      <c r="A69" s="79"/>
      <c r="G69" s="61"/>
      <c r="H69" s="29"/>
      <c r="I69" s="29"/>
    </row>
    <row r="70" spans="1:9">
      <c r="A70" s="79"/>
      <c r="G70" s="61"/>
      <c r="H70" s="29"/>
      <c r="I70" s="29"/>
    </row>
    <row r="71" spans="1:9">
      <c r="A71" s="79"/>
      <c r="G71" s="60"/>
      <c r="H71" s="29"/>
      <c r="I71" s="29"/>
    </row>
    <row r="72" spans="1:9">
      <c r="A72" s="79"/>
      <c r="G72" s="60"/>
      <c r="H72" s="29"/>
      <c r="I72" s="29"/>
    </row>
    <row r="73" spans="1:9">
      <c r="A73" s="79"/>
      <c r="G73" s="60"/>
      <c r="H73" s="29"/>
      <c r="I73" s="29"/>
    </row>
    <row r="74" spans="1:9">
      <c r="A74" s="79"/>
      <c r="G74" s="60"/>
      <c r="H74" s="29"/>
      <c r="I74" s="29"/>
    </row>
    <row r="75" spans="1:9">
      <c r="A75" s="79"/>
      <c r="G75" s="60"/>
      <c r="H75" s="29"/>
      <c r="I75" s="29"/>
    </row>
    <row r="76" spans="1:9">
      <c r="A76" s="79"/>
      <c r="G76" s="60"/>
      <c r="H76" s="29"/>
      <c r="I76" s="29"/>
    </row>
    <row r="77" spans="1:9">
      <c r="A77" s="79"/>
      <c r="G77" s="60"/>
      <c r="H77" s="29"/>
      <c r="I77" s="29"/>
    </row>
    <row r="78" spans="1:9">
      <c r="A78" s="79"/>
      <c r="G78" s="60"/>
      <c r="H78" s="29"/>
      <c r="I78" s="29"/>
    </row>
    <row r="79" spans="1:9">
      <c r="A79" s="79"/>
      <c r="G79" s="60"/>
      <c r="H79" s="29"/>
      <c r="I79" s="29"/>
    </row>
    <row r="80" spans="1:9">
      <c r="A80" s="79"/>
      <c r="G80" s="60"/>
      <c r="H80" s="29"/>
      <c r="I80" s="29"/>
    </row>
    <row r="81" spans="1:9">
      <c r="A81" s="79"/>
      <c r="G81" s="60"/>
      <c r="H81" s="29"/>
      <c r="I81" s="29"/>
    </row>
    <row r="82" spans="1:9">
      <c r="A82" s="79"/>
      <c r="G82" s="60"/>
      <c r="H82" s="29"/>
      <c r="I82" s="29"/>
    </row>
    <row r="83" spans="1:9">
      <c r="A83" s="79"/>
      <c r="G83" s="60"/>
      <c r="H83" s="29"/>
      <c r="I83" s="29"/>
    </row>
    <row r="84" spans="1:9">
      <c r="A84" s="79"/>
      <c r="G84" s="60"/>
      <c r="H84" s="29"/>
      <c r="I84" s="29"/>
    </row>
    <row r="85" spans="1:9">
      <c r="A85" s="79"/>
      <c r="G85" s="60"/>
      <c r="H85" s="29"/>
      <c r="I85" s="29"/>
    </row>
    <row r="86" spans="1:9">
      <c r="A86" s="79"/>
      <c r="G86" s="60"/>
      <c r="H86" s="29"/>
      <c r="I86" s="29"/>
    </row>
    <row r="87" spans="1:9">
      <c r="A87" s="79"/>
      <c r="G87" s="60"/>
      <c r="H87" s="29"/>
      <c r="I87" s="29"/>
    </row>
    <row r="88" spans="1:9">
      <c r="A88" s="79"/>
      <c r="G88" s="60"/>
      <c r="H88" s="29"/>
      <c r="I88" s="29"/>
    </row>
    <row r="89" spans="1:9">
      <c r="A89" s="79"/>
      <c r="G89" s="60"/>
      <c r="H89" s="29"/>
      <c r="I89" s="29"/>
    </row>
    <row r="90" spans="1:9">
      <c r="A90" s="79"/>
      <c r="G90" s="60"/>
      <c r="H90" s="29"/>
      <c r="I90" s="29"/>
    </row>
    <row r="91" spans="1:9">
      <c r="A91" s="79"/>
      <c r="G91" s="60"/>
      <c r="H91" s="29"/>
      <c r="I91" s="29"/>
    </row>
    <row r="92" spans="1:9">
      <c r="A92" s="79"/>
      <c r="G92" s="60"/>
      <c r="H92" s="29"/>
      <c r="I92" s="29"/>
    </row>
    <row r="93" spans="1:9">
      <c r="A93" s="79"/>
      <c r="G93" s="60"/>
      <c r="H93" s="29"/>
      <c r="I93" s="29"/>
    </row>
    <row r="94" spans="1:9">
      <c r="A94" s="79"/>
      <c r="G94" s="60"/>
      <c r="H94" s="29"/>
      <c r="I94" s="29"/>
    </row>
    <row r="95" spans="1:9">
      <c r="A95" s="79"/>
      <c r="G95" s="60"/>
      <c r="H95" s="29"/>
      <c r="I95" s="29"/>
    </row>
    <row r="96" spans="1:9">
      <c r="A96" s="79"/>
      <c r="G96" s="60"/>
      <c r="H96" s="29"/>
      <c r="I96" s="29"/>
    </row>
    <row r="97" spans="1:9">
      <c r="A97" s="79"/>
      <c r="G97" s="60"/>
      <c r="H97" s="29"/>
      <c r="I97" s="29"/>
    </row>
    <row r="98" spans="1:9">
      <c r="A98" s="79"/>
      <c r="G98" s="60"/>
      <c r="H98" s="29"/>
      <c r="I98" s="29"/>
    </row>
    <row r="99" spans="1:9">
      <c r="A99" s="79"/>
      <c r="G99" s="60"/>
      <c r="H99" s="29"/>
      <c r="I99" s="29"/>
    </row>
    <row r="100" spans="1:9">
      <c r="A100" s="79"/>
      <c r="G100" s="60"/>
      <c r="H100" s="29"/>
      <c r="I100" s="29"/>
    </row>
    <row r="101" spans="1:9">
      <c r="A101" s="79"/>
      <c r="G101" s="60"/>
      <c r="H101" s="29"/>
      <c r="I101" s="29"/>
    </row>
    <row r="102" spans="1:9">
      <c r="A102" s="79"/>
      <c r="G102" s="60"/>
      <c r="H102" s="29"/>
      <c r="I102" s="29"/>
    </row>
    <row r="103" spans="1:9">
      <c r="A103" s="79"/>
      <c r="G103" s="60"/>
      <c r="H103" s="29"/>
      <c r="I103" s="29"/>
    </row>
    <row r="104" spans="1:9">
      <c r="A104" s="79"/>
      <c r="G104" s="60"/>
      <c r="H104" s="29"/>
      <c r="I104" s="29"/>
    </row>
    <row r="105" spans="1:9">
      <c r="A105" s="79"/>
      <c r="G105" s="60"/>
      <c r="H105" s="29"/>
      <c r="I105" s="29"/>
    </row>
    <row r="106" spans="1:9">
      <c r="A106" s="79"/>
      <c r="G106" s="60"/>
      <c r="H106" s="29"/>
      <c r="I106" s="29"/>
    </row>
    <row r="107" spans="1:9">
      <c r="A107" s="79"/>
      <c r="G107" s="60"/>
      <c r="H107" s="29"/>
      <c r="I107" s="29"/>
    </row>
    <row r="108" spans="1:9">
      <c r="A108" s="79"/>
      <c r="G108" s="60"/>
      <c r="H108" s="29"/>
      <c r="I108" s="29"/>
    </row>
    <row r="109" spans="1:9">
      <c r="A109" s="79"/>
      <c r="G109" s="60"/>
      <c r="H109" s="29"/>
      <c r="I109" s="29"/>
    </row>
    <row r="110" spans="1:9">
      <c r="A110" s="79"/>
      <c r="G110" s="60"/>
      <c r="H110" s="29"/>
      <c r="I110" s="29"/>
    </row>
    <row r="111" spans="1:9">
      <c r="A111" s="79"/>
      <c r="G111" s="60"/>
      <c r="H111" s="29"/>
      <c r="I111" s="29"/>
    </row>
    <row r="112" spans="1:9">
      <c r="A112" s="79"/>
      <c r="G112" s="60"/>
      <c r="H112" s="29"/>
      <c r="I112" s="29"/>
    </row>
    <row r="113" spans="1:9">
      <c r="A113" s="79"/>
      <c r="G113" s="60"/>
      <c r="H113" s="29"/>
      <c r="I113" s="29"/>
    </row>
    <row r="114" spans="1:9">
      <c r="A114" s="79"/>
      <c r="G114" s="60"/>
      <c r="H114" s="29"/>
      <c r="I114" s="29"/>
    </row>
    <row r="115" spans="1:9">
      <c r="A115" s="79"/>
      <c r="G115" s="60"/>
      <c r="H115" s="29"/>
      <c r="I115" s="29"/>
    </row>
    <row r="116" spans="1:9">
      <c r="A116" s="79"/>
      <c r="G116" s="60"/>
      <c r="H116" s="29"/>
      <c r="I116" s="29"/>
    </row>
    <row r="117" spans="1:9">
      <c r="A117" s="79"/>
      <c r="G117" s="60"/>
      <c r="H117" s="29"/>
      <c r="I117" s="29"/>
    </row>
    <row r="118" spans="1:9">
      <c r="G118" s="60"/>
      <c r="H118" s="29"/>
      <c r="I118" s="29"/>
    </row>
    <row r="119" spans="1:9">
      <c r="G119" s="35"/>
      <c r="H119" s="29"/>
      <c r="I119" s="29"/>
    </row>
    <row r="120" spans="1:9">
      <c r="G120" s="35"/>
      <c r="H120" s="29"/>
      <c r="I120" s="29"/>
    </row>
    <row r="121" spans="1:9">
      <c r="G121" s="35"/>
      <c r="H121" s="29"/>
      <c r="I121" s="29"/>
    </row>
    <row r="122" spans="1:9">
      <c r="G122" s="35"/>
      <c r="H122" s="29"/>
      <c r="I122" s="29"/>
    </row>
    <row r="123" spans="1:9">
      <c r="G123" s="35"/>
      <c r="H123" s="29"/>
      <c r="I123" s="29"/>
    </row>
    <row r="124" spans="1:9">
      <c r="G124" s="35"/>
      <c r="H124" s="29"/>
      <c r="I124" s="29"/>
    </row>
    <row r="125" spans="1:9">
      <c r="G125" s="35"/>
      <c r="H125" s="29"/>
      <c r="I125" s="29"/>
    </row>
    <row r="126" spans="1:9">
      <c r="G126" s="35"/>
      <c r="H126" s="29"/>
      <c r="I126" s="29"/>
    </row>
  </sheetData>
  <mergeCells count="1">
    <mergeCell ref="A1:E1"/>
  </mergeCells>
  <pageMargins left="0.7" right="0.7" top="0.75" bottom="0.75" header="0.3" footer="0.3"/>
  <pageSetup paperSize="9" orientation="portrait" horizontalDpi="200" verticalDpi="200" r:id="rId1"/>
  <ignoredErrors>
    <ignoredError sqref="D6:D11 D17:D18 D24" formulaRange="1"/>
  </ignoredErrors>
</worksheet>
</file>

<file path=xl/worksheets/sheet6.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79" customWidth="1"/>
    <col min="2" max="2" width="25.21875" style="79" bestFit="1" customWidth="1"/>
    <col min="3" max="3" width="11.5546875" style="79"/>
    <col min="4" max="4" width="15.5546875" style="79" bestFit="1" customWidth="1"/>
    <col min="5" max="5" width="11.5546875" style="79"/>
    <col min="6" max="6" width="13.33203125" style="79" customWidth="1"/>
    <col min="7" max="7" width="15.33203125" style="79" bestFit="1" customWidth="1"/>
    <col min="8" max="8" width="15.88671875" style="79" customWidth="1"/>
    <col min="9" max="9" width="12" style="79" customWidth="1"/>
    <col min="10" max="16384" width="11.5546875" style="79"/>
  </cols>
  <sheetData>
    <row r="1" spans="1:9" ht="18">
      <c r="A1" s="116" t="s">
        <v>81</v>
      </c>
      <c r="B1" s="116"/>
      <c r="C1" s="116"/>
      <c r="D1" s="116"/>
      <c r="E1" s="116"/>
    </row>
    <row r="2" spans="1:9">
      <c r="A2" s="89" t="s">
        <v>101</v>
      </c>
    </row>
    <row r="4" spans="1:9">
      <c r="A4" s="82" t="s">
        <v>10</v>
      </c>
      <c r="B4" s="84" t="s">
        <v>88</v>
      </c>
      <c r="C4" s="84" t="s">
        <v>11</v>
      </c>
      <c r="D4" s="84" t="s">
        <v>20</v>
      </c>
      <c r="E4" s="84" t="s">
        <v>9</v>
      </c>
      <c r="F4" s="84" t="s">
        <v>1</v>
      </c>
      <c r="G4" s="84" t="s">
        <v>52</v>
      </c>
    </row>
    <row r="5" spans="1:9">
      <c r="A5" s="79" t="s">
        <v>95</v>
      </c>
      <c r="B5" s="111">
        <v>1</v>
      </c>
      <c r="C5" s="52">
        <v>0.105</v>
      </c>
      <c r="D5" s="80">
        <f>+SUM($C$5:C5)</f>
        <v>0.105</v>
      </c>
      <c r="E5" s="80">
        <f>+Summary!B27</f>
        <v>2</v>
      </c>
      <c r="F5" s="80">
        <f>+C5*E5</f>
        <v>0.21</v>
      </c>
      <c r="G5" s="62"/>
    </row>
    <row r="6" spans="1:9">
      <c r="B6" s="111">
        <v>2</v>
      </c>
      <c r="C6" s="52">
        <v>0.08</v>
      </c>
      <c r="D6" s="80">
        <f>+SUM($C$5:C6)</f>
        <v>0.185</v>
      </c>
      <c r="E6" s="80">
        <f>+Summary!B28</f>
        <v>3</v>
      </c>
      <c r="F6" s="80">
        <f t="shared" ref="F6:F7" si="0">+C6*E6</f>
        <v>0.24</v>
      </c>
      <c r="G6" s="62"/>
    </row>
    <row r="7" spans="1:9">
      <c r="B7" s="111" t="s">
        <v>89</v>
      </c>
      <c r="C7" s="52">
        <v>0.01</v>
      </c>
      <c r="D7" s="80">
        <f>+SUM($C$5:C7)</f>
        <v>0.19500000000000001</v>
      </c>
      <c r="E7" s="80">
        <f>+E5+E6</f>
        <v>5</v>
      </c>
      <c r="F7" s="80">
        <f t="shared" si="0"/>
        <v>0.05</v>
      </c>
      <c r="G7" s="62">
        <v>0.5</v>
      </c>
      <c r="H7" s="79" t="s">
        <v>94</v>
      </c>
      <c r="I7" s="113"/>
    </row>
    <row r="8" spans="1:9">
      <c r="B8" s="86" t="s">
        <v>12</v>
      </c>
      <c r="C8" s="86">
        <f>+SUM(C5:C7)</f>
        <v>0.19500000000000001</v>
      </c>
      <c r="D8" s="86"/>
      <c r="E8" s="86"/>
      <c r="F8" s="72">
        <f>+SUM(F5:F7)</f>
        <v>0.49999999999999994</v>
      </c>
      <c r="G8" s="63"/>
    </row>
    <row r="9" spans="1:9">
      <c r="B9" s="87" t="s">
        <v>93</v>
      </c>
      <c r="G9" s="60"/>
    </row>
    <row r="10" spans="1:9">
      <c r="G10" s="60"/>
    </row>
    <row r="11" spans="1:9">
      <c r="G11" s="60"/>
    </row>
    <row r="12" spans="1:9">
      <c r="A12" s="82" t="s">
        <v>18</v>
      </c>
      <c r="B12" s="84" t="s">
        <v>88</v>
      </c>
      <c r="C12" s="84" t="s">
        <v>11</v>
      </c>
      <c r="D12" s="84" t="s">
        <v>20</v>
      </c>
      <c r="E12" s="84" t="s">
        <v>9</v>
      </c>
      <c r="F12" s="84" t="s">
        <v>1</v>
      </c>
      <c r="G12" s="84" t="s">
        <v>52</v>
      </c>
    </row>
    <row r="13" spans="1:9">
      <c r="A13" s="79" t="s">
        <v>96</v>
      </c>
      <c r="B13" s="110">
        <v>1</v>
      </c>
      <c r="C13" s="83">
        <v>0.25</v>
      </c>
      <c r="D13" s="83">
        <f>+SUM(C13:$C$13)</f>
        <v>0.25</v>
      </c>
      <c r="E13" s="83">
        <f>+E5</f>
        <v>2</v>
      </c>
      <c r="F13" s="83">
        <f>+E13*C13</f>
        <v>0.5</v>
      </c>
      <c r="G13" s="62">
        <v>0.02</v>
      </c>
      <c r="H13" s="79" t="s">
        <v>94</v>
      </c>
    </row>
    <row r="14" spans="1:9">
      <c r="A14" s="79" t="s">
        <v>98</v>
      </c>
      <c r="B14" s="86" t="s">
        <v>6</v>
      </c>
      <c r="C14" s="86">
        <f>+SUM(C13:C13)</f>
        <v>0.25</v>
      </c>
      <c r="D14" s="86"/>
      <c r="E14" s="86"/>
      <c r="F14" s="91">
        <f>+SUM(F13:F13)</f>
        <v>0.5</v>
      </c>
      <c r="G14" s="64"/>
    </row>
    <row r="15" spans="1:9">
      <c r="G15" s="60"/>
    </row>
    <row r="16" spans="1:9">
      <c r="G16" s="60"/>
    </row>
    <row r="17" spans="1:8">
      <c r="A17" s="82" t="s">
        <v>19</v>
      </c>
      <c r="B17" s="84" t="s">
        <v>88</v>
      </c>
      <c r="C17" s="84" t="s">
        <v>11</v>
      </c>
      <c r="D17" s="84" t="s">
        <v>20</v>
      </c>
      <c r="E17" s="84" t="s">
        <v>9</v>
      </c>
      <c r="F17" s="84" t="s">
        <v>1</v>
      </c>
      <c r="G17" s="84" t="s">
        <v>52</v>
      </c>
    </row>
    <row r="18" spans="1:8">
      <c r="A18" s="79" t="s">
        <v>96</v>
      </c>
      <c r="B18" s="110">
        <v>2</v>
      </c>
      <c r="C18" s="83">
        <f>1/6</f>
        <v>0.16666666666666666</v>
      </c>
      <c r="D18" s="83">
        <f>+SUM(C$18:$C18)</f>
        <v>0.16666666666666666</v>
      </c>
      <c r="E18" s="83">
        <f>+E6</f>
        <v>3</v>
      </c>
      <c r="F18" s="83">
        <f>+E18*C18</f>
        <v>0.5</v>
      </c>
      <c r="G18" s="62">
        <v>0.03</v>
      </c>
      <c r="H18" s="79" t="s">
        <v>94</v>
      </c>
    </row>
    <row r="19" spans="1:8">
      <c r="A19" s="79" t="s">
        <v>97</v>
      </c>
      <c r="B19" s="86" t="s">
        <v>6</v>
      </c>
      <c r="C19" s="86">
        <f>+SUM(C18:C18)</f>
        <v>0.16666666666666666</v>
      </c>
      <c r="D19" s="86"/>
      <c r="E19" s="86"/>
      <c r="F19" s="91">
        <f>+SUM(F18:F18)</f>
        <v>0.5</v>
      </c>
      <c r="G19" s="64"/>
    </row>
    <row r="20" spans="1:8">
      <c r="G20" s="61"/>
    </row>
    <row r="21" spans="1:8">
      <c r="G21" s="61"/>
    </row>
    <row r="22" spans="1:8">
      <c r="G22" s="61"/>
    </row>
    <row r="23" spans="1:8">
      <c r="G23" s="61"/>
    </row>
    <row r="24" spans="1:8">
      <c r="G24" s="61"/>
    </row>
    <row r="25" spans="1:8">
      <c r="G25" s="61"/>
    </row>
    <row r="26" spans="1:8">
      <c r="G26" s="61"/>
    </row>
    <row r="27" spans="1:8">
      <c r="G27" s="61"/>
    </row>
    <row r="28" spans="1:8">
      <c r="G28" s="61"/>
    </row>
    <row r="29" spans="1:8">
      <c r="G29" s="61"/>
    </row>
    <row r="30" spans="1:8">
      <c r="G30" s="61"/>
    </row>
    <row r="31" spans="1:8">
      <c r="G31" s="61"/>
    </row>
    <row r="32" spans="1:8">
      <c r="G32" s="61"/>
    </row>
    <row r="33" spans="7:7">
      <c r="G33" s="61"/>
    </row>
    <row r="34" spans="7:7">
      <c r="G34" s="61"/>
    </row>
    <row r="35" spans="7:7">
      <c r="G35" s="61"/>
    </row>
    <row r="36" spans="7:7">
      <c r="G36" s="61"/>
    </row>
    <row r="37" spans="7:7">
      <c r="G37" s="61"/>
    </row>
    <row r="38" spans="7:7">
      <c r="G38" s="61"/>
    </row>
    <row r="39" spans="7:7">
      <c r="G39" s="61"/>
    </row>
    <row r="40" spans="7:7">
      <c r="G40" s="61"/>
    </row>
    <row r="41" spans="7:7">
      <c r="G41" s="61"/>
    </row>
    <row r="42" spans="7:7">
      <c r="G42" s="60"/>
    </row>
    <row r="43" spans="7:7">
      <c r="G43" s="60"/>
    </row>
    <row r="44" spans="7:7">
      <c r="G44" s="60"/>
    </row>
    <row r="45" spans="7:7">
      <c r="G45" s="60"/>
    </row>
    <row r="46" spans="7:7">
      <c r="G46" s="60"/>
    </row>
    <row r="47" spans="7:7">
      <c r="G47" s="60"/>
    </row>
    <row r="48" spans="7:7">
      <c r="G48" s="60"/>
    </row>
    <row r="49" spans="7:7">
      <c r="G49" s="60"/>
    </row>
    <row r="50" spans="7:7">
      <c r="G50" s="60"/>
    </row>
    <row r="51" spans="7:7">
      <c r="G51" s="60"/>
    </row>
    <row r="52" spans="7:7">
      <c r="G52" s="60"/>
    </row>
    <row r="53" spans="7:7">
      <c r="G53" s="60"/>
    </row>
    <row r="54" spans="7:7">
      <c r="G54" s="60"/>
    </row>
    <row r="55" spans="7:7">
      <c r="G55" s="60"/>
    </row>
    <row r="56" spans="7:7">
      <c r="G56" s="60"/>
    </row>
    <row r="57" spans="7:7">
      <c r="G57" s="60"/>
    </row>
    <row r="58" spans="7:7">
      <c r="G58" s="60"/>
    </row>
    <row r="59" spans="7:7">
      <c r="G59" s="60"/>
    </row>
    <row r="60" spans="7:7">
      <c r="G60" s="60"/>
    </row>
    <row r="61" spans="7:7">
      <c r="G61" s="60"/>
    </row>
    <row r="62" spans="7:7">
      <c r="G62" s="60"/>
    </row>
    <row r="63" spans="7:7">
      <c r="G63" s="60"/>
    </row>
    <row r="64" spans="7:7">
      <c r="G64" s="60"/>
    </row>
    <row r="65" spans="7:7">
      <c r="G65" s="60"/>
    </row>
    <row r="66" spans="7:7">
      <c r="G66" s="60"/>
    </row>
    <row r="67" spans="7:7">
      <c r="G67" s="60"/>
    </row>
    <row r="68" spans="7:7">
      <c r="G68" s="60"/>
    </row>
    <row r="69" spans="7:7">
      <c r="G69" s="60"/>
    </row>
    <row r="70" spans="7:7">
      <c r="G70" s="60"/>
    </row>
    <row r="71" spans="7:7">
      <c r="G71" s="60"/>
    </row>
    <row r="72" spans="7:7">
      <c r="G72" s="60"/>
    </row>
    <row r="73" spans="7:7">
      <c r="G73" s="60"/>
    </row>
    <row r="74" spans="7:7">
      <c r="G74" s="60"/>
    </row>
    <row r="75" spans="7:7">
      <c r="G75" s="60"/>
    </row>
    <row r="76" spans="7:7">
      <c r="G76" s="60"/>
    </row>
    <row r="77" spans="7:7">
      <c r="G77" s="60"/>
    </row>
    <row r="78" spans="7:7">
      <c r="G78" s="60"/>
    </row>
    <row r="79" spans="7:7">
      <c r="G79" s="60"/>
    </row>
    <row r="80" spans="7:7">
      <c r="G80" s="60"/>
    </row>
    <row r="81" spans="7:7">
      <c r="G81" s="60"/>
    </row>
    <row r="82" spans="7:7">
      <c r="G82" s="60"/>
    </row>
    <row r="83" spans="7:7">
      <c r="G83" s="60"/>
    </row>
    <row r="84" spans="7:7">
      <c r="G84" s="60"/>
    </row>
    <row r="85" spans="7:7">
      <c r="G85" s="60"/>
    </row>
    <row r="86" spans="7:7">
      <c r="G86" s="60"/>
    </row>
    <row r="87" spans="7:7">
      <c r="G87" s="60"/>
    </row>
    <row r="88" spans="7:7">
      <c r="G88" s="60"/>
    </row>
    <row r="89" spans="7:7">
      <c r="G89" s="60"/>
    </row>
    <row r="90" spans="7:7">
      <c r="G90" s="60"/>
    </row>
    <row r="91" spans="7:7">
      <c r="G91" s="60"/>
    </row>
    <row r="92" spans="7:7">
      <c r="G92" s="60"/>
    </row>
    <row r="93" spans="7:7">
      <c r="G93" s="60"/>
    </row>
    <row r="94" spans="7:7">
      <c r="G94" s="60"/>
    </row>
    <row r="95" spans="7:7">
      <c r="G95" s="60"/>
    </row>
    <row r="96" spans="7:7">
      <c r="G96" s="60"/>
    </row>
    <row r="97" spans="7:7">
      <c r="G97" s="60"/>
    </row>
  </sheetData>
  <mergeCells count="1">
    <mergeCell ref="A1:E1"/>
  </mergeCells>
  <pageMargins left="0.7" right="0.7" top="0.75" bottom="0.75" header="0.3" footer="0.3"/>
  <pageSetup paperSize="9" orientation="portrait" horizontalDpi="200" verticalDpi="200" r:id="rId1"/>
</worksheet>
</file>

<file path=xl/worksheets/sheet7.xml><?xml version="1.0" encoding="utf-8"?>
<worksheet xmlns="http://schemas.openxmlformats.org/spreadsheetml/2006/main" xmlns:r="http://schemas.openxmlformats.org/officeDocument/2006/relationships">
  <dimension ref="A1:H89"/>
  <sheetViews>
    <sheetView workbookViewId="0">
      <selection sqref="A1:E1"/>
    </sheetView>
  </sheetViews>
  <sheetFormatPr baseColWidth="10" defaultRowHeight="14.4"/>
  <cols>
    <col min="1" max="1" width="40.6640625" style="79" customWidth="1"/>
    <col min="2" max="2" width="25.21875" style="79" bestFit="1" customWidth="1"/>
    <col min="3" max="3" width="11.5546875" style="79"/>
    <col min="4" max="4" width="15.5546875" style="79" bestFit="1" customWidth="1"/>
    <col min="5" max="5" width="11.5546875" style="79"/>
    <col min="6" max="6" width="13.33203125" style="79" customWidth="1"/>
    <col min="7" max="7" width="15.33203125" style="79" bestFit="1" customWidth="1"/>
    <col min="8" max="8" width="15.109375" style="79" customWidth="1"/>
    <col min="9" max="9" width="11.5546875" style="79"/>
    <col min="10" max="10" width="12.5546875" style="79" bestFit="1" customWidth="1"/>
    <col min="11" max="16384" width="11.5546875" style="79"/>
  </cols>
  <sheetData>
    <row r="1" spans="1:8" ht="18">
      <c r="A1" s="116" t="s">
        <v>114</v>
      </c>
      <c r="B1" s="116"/>
      <c r="C1" s="116"/>
      <c r="D1" s="116"/>
      <c r="E1" s="116"/>
    </row>
    <row r="2" spans="1:8">
      <c r="A2" s="89"/>
    </row>
    <row r="4" spans="1:8">
      <c r="A4" s="82" t="s">
        <v>77</v>
      </c>
      <c r="B4" s="84" t="s">
        <v>88</v>
      </c>
      <c r="C4" s="84" t="s">
        <v>11</v>
      </c>
      <c r="D4" s="84" t="s">
        <v>20</v>
      </c>
      <c r="E4" s="84" t="s">
        <v>9</v>
      </c>
      <c r="F4" s="84" t="s">
        <v>1</v>
      </c>
      <c r="G4" s="84" t="s">
        <v>52</v>
      </c>
    </row>
    <row r="5" spans="1:8">
      <c r="B5" s="110">
        <v>1</v>
      </c>
      <c r="C5" s="83">
        <v>0.25</v>
      </c>
      <c r="D5" s="83">
        <f>+SUM(C5:$C$5)</f>
        <v>0.25</v>
      </c>
      <c r="E5" s="83">
        <f>+Summary!B21</f>
        <v>2</v>
      </c>
      <c r="F5" s="83">
        <f>+E5*C5</f>
        <v>0.5</v>
      </c>
      <c r="G5" s="62">
        <v>0.02</v>
      </c>
      <c r="H5" s="79" t="s">
        <v>94</v>
      </c>
    </row>
    <row r="6" spans="1:8">
      <c r="B6" s="86" t="s">
        <v>6</v>
      </c>
      <c r="C6" s="86">
        <f>+SUM(C5:C5)</f>
        <v>0.25</v>
      </c>
      <c r="D6" s="86"/>
      <c r="E6" s="86"/>
      <c r="F6" s="91">
        <f>+SUM(F5:F5)</f>
        <v>0.5</v>
      </c>
      <c r="G6" s="64"/>
    </row>
    <row r="7" spans="1:8">
      <c r="G7" s="60"/>
    </row>
    <row r="8" spans="1:8">
      <c r="G8" s="60"/>
    </row>
    <row r="9" spans="1:8">
      <c r="A9" s="82" t="s">
        <v>78</v>
      </c>
      <c r="B9" s="84" t="s">
        <v>88</v>
      </c>
      <c r="C9" s="84" t="s">
        <v>11</v>
      </c>
      <c r="D9" s="84" t="s">
        <v>20</v>
      </c>
      <c r="E9" s="84" t="s">
        <v>9</v>
      </c>
      <c r="F9" s="84" t="s">
        <v>1</v>
      </c>
      <c r="G9" s="84" t="s">
        <v>52</v>
      </c>
    </row>
    <row r="10" spans="1:8">
      <c r="B10" s="110">
        <v>1</v>
      </c>
      <c r="C10" s="83">
        <v>0.16666666666666599</v>
      </c>
      <c r="D10" s="83">
        <f>1/6</f>
        <v>0.16666666666666666</v>
      </c>
      <c r="E10" s="83">
        <f>+Summary!E21</f>
        <v>3</v>
      </c>
      <c r="F10" s="83">
        <f>+E10*C10</f>
        <v>0.499999999999998</v>
      </c>
      <c r="G10" s="62">
        <v>0.03</v>
      </c>
      <c r="H10" s="79" t="s">
        <v>94</v>
      </c>
    </row>
    <row r="11" spans="1:8">
      <c r="B11" s="86" t="s">
        <v>6</v>
      </c>
      <c r="C11" s="86">
        <f>+SUM(C10:C10)</f>
        <v>0.16666666666666599</v>
      </c>
      <c r="D11" s="86"/>
      <c r="E11" s="86"/>
      <c r="F11" s="91">
        <f>+SUM(F10:F10)</f>
        <v>0.499999999999998</v>
      </c>
      <c r="G11" s="64"/>
    </row>
    <row r="12" spans="1:8">
      <c r="G12" s="61"/>
    </row>
    <row r="13" spans="1:8">
      <c r="G13" s="61"/>
    </row>
    <row r="14" spans="1:8">
      <c r="A14" s="82" t="s">
        <v>79</v>
      </c>
      <c r="B14" s="84" t="s">
        <v>88</v>
      </c>
      <c r="C14" s="84" t="s">
        <v>11</v>
      </c>
      <c r="D14" s="84" t="s">
        <v>20</v>
      </c>
      <c r="E14" s="84" t="s">
        <v>9</v>
      </c>
      <c r="F14" s="84" t="s">
        <v>1</v>
      </c>
      <c r="G14" s="84" t="s">
        <v>52</v>
      </c>
    </row>
    <row r="15" spans="1:8">
      <c r="B15" s="110">
        <v>1</v>
      </c>
      <c r="C15" s="83">
        <v>0.125</v>
      </c>
      <c r="D15" s="83">
        <f>+SUM(C$15:$C15)</f>
        <v>0.125</v>
      </c>
      <c r="E15" s="83">
        <f>+Summary!H21</f>
        <v>4</v>
      </c>
      <c r="F15" s="83">
        <f>+E15*C15</f>
        <v>0.5</v>
      </c>
      <c r="G15" s="62">
        <v>0.04</v>
      </c>
      <c r="H15" s="79" t="s">
        <v>94</v>
      </c>
    </row>
    <row r="16" spans="1:8">
      <c r="B16" s="86" t="s">
        <v>6</v>
      </c>
      <c r="C16" s="86">
        <f>+SUM(C15:C15)</f>
        <v>0.125</v>
      </c>
      <c r="D16" s="86"/>
      <c r="E16" s="86"/>
      <c r="F16" s="91">
        <f>+SUM(F15:F15)</f>
        <v>0.5</v>
      </c>
      <c r="G16" s="64"/>
    </row>
    <row r="17" spans="7:7">
      <c r="G17" s="61"/>
    </row>
    <row r="18" spans="7:7">
      <c r="G18" s="61"/>
    </row>
    <row r="19" spans="7:7">
      <c r="G19" s="61"/>
    </row>
    <row r="20" spans="7:7">
      <c r="G20" s="61"/>
    </row>
    <row r="21" spans="7:7">
      <c r="G21" s="61"/>
    </row>
    <row r="22" spans="7:7">
      <c r="G22" s="61"/>
    </row>
    <row r="23" spans="7:7">
      <c r="G23" s="61"/>
    </row>
    <row r="24" spans="7:7">
      <c r="G24" s="61"/>
    </row>
    <row r="25" spans="7:7">
      <c r="G25" s="61"/>
    </row>
    <row r="26" spans="7:7">
      <c r="G26" s="61"/>
    </row>
    <row r="27" spans="7:7">
      <c r="G27" s="61"/>
    </row>
    <row r="28" spans="7:7">
      <c r="G28" s="61"/>
    </row>
    <row r="29" spans="7:7">
      <c r="G29" s="61"/>
    </row>
    <row r="30" spans="7:7">
      <c r="G30" s="61"/>
    </row>
    <row r="31" spans="7:7">
      <c r="G31" s="61"/>
    </row>
    <row r="32" spans="7:7">
      <c r="G32" s="61"/>
    </row>
    <row r="33" spans="7:7">
      <c r="G33" s="61"/>
    </row>
    <row r="34" spans="7:7">
      <c r="G34" s="60"/>
    </row>
    <row r="35" spans="7:7">
      <c r="G35" s="60"/>
    </row>
    <row r="36" spans="7:7">
      <c r="G36" s="60"/>
    </row>
    <row r="37" spans="7:7">
      <c r="G37" s="60"/>
    </row>
    <row r="38" spans="7:7">
      <c r="G38" s="60"/>
    </row>
    <row r="39" spans="7:7">
      <c r="G39" s="60"/>
    </row>
    <row r="40" spans="7:7">
      <c r="G40" s="60"/>
    </row>
    <row r="41" spans="7:7">
      <c r="G41" s="60"/>
    </row>
    <row r="42" spans="7:7">
      <c r="G42" s="60"/>
    </row>
    <row r="43" spans="7:7">
      <c r="G43" s="60"/>
    </row>
    <row r="44" spans="7:7">
      <c r="G44" s="60"/>
    </row>
    <row r="45" spans="7:7">
      <c r="G45" s="60"/>
    </row>
    <row r="46" spans="7:7">
      <c r="G46" s="60"/>
    </row>
    <row r="47" spans="7:7">
      <c r="G47" s="60"/>
    </row>
    <row r="48" spans="7:7">
      <c r="G48" s="60"/>
    </row>
    <row r="49" spans="7:7">
      <c r="G49" s="60"/>
    </row>
    <row r="50" spans="7:7">
      <c r="G50" s="60"/>
    </row>
    <row r="51" spans="7:7">
      <c r="G51" s="60"/>
    </row>
    <row r="52" spans="7:7">
      <c r="G52" s="60"/>
    </row>
    <row r="53" spans="7:7">
      <c r="G53" s="60"/>
    </row>
    <row r="54" spans="7:7">
      <c r="G54" s="60"/>
    </row>
    <row r="55" spans="7:7">
      <c r="G55" s="60"/>
    </row>
    <row r="56" spans="7:7">
      <c r="G56" s="60"/>
    </row>
    <row r="57" spans="7:7">
      <c r="G57" s="60"/>
    </row>
    <row r="58" spans="7:7">
      <c r="G58" s="60"/>
    </row>
    <row r="59" spans="7:7">
      <c r="G59" s="60"/>
    </row>
    <row r="60" spans="7:7">
      <c r="G60" s="60"/>
    </row>
    <row r="61" spans="7:7">
      <c r="G61" s="60"/>
    </row>
    <row r="62" spans="7:7">
      <c r="G62" s="60"/>
    </row>
    <row r="63" spans="7:7">
      <c r="G63" s="60"/>
    </row>
    <row r="64" spans="7:7">
      <c r="G64" s="60"/>
    </row>
    <row r="65" spans="7:7">
      <c r="G65" s="60"/>
    </row>
    <row r="66" spans="7:7">
      <c r="G66" s="60"/>
    </row>
    <row r="67" spans="7:7">
      <c r="G67" s="60"/>
    </row>
    <row r="68" spans="7:7">
      <c r="G68" s="60"/>
    </row>
    <row r="69" spans="7:7">
      <c r="G69" s="60"/>
    </row>
    <row r="70" spans="7:7">
      <c r="G70" s="60"/>
    </row>
    <row r="71" spans="7:7">
      <c r="G71" s="60"/>
    </row>
    <row r="72" spans="7:7">
      <c r="G72" s="60"/>
    </row>
    <row r="73" spans="7:7">
      <c r="G73" s="60"/>
    </row>
    <row r="74" spans="7:7">
      <c r="G74" s="60"/>
    </row>
    <row r="75" spans="7:7">
      <c r="G75" s="60"/>
    </row>
    <row r="76" spans="7:7">
      <c r="G76" s="60"/>
    </row>
    <row r="77" spans="7:7">
      <c r="G77" s="60"/>
    </row>
    <row r="78" spans="7:7">
      <c r="G78" s="60"/>
    </row>
    <row r="79" spans="7:7">
      <c r="G79" s="60"/>
    </row>
    <row r="80" spans="7:7">
      <c r="G80" s="60"/>
    </row>
    <row r="81" spans="7:7">
      <c r="G81" s="60"/>
    </row>
    <row r="82" spans="7:7">
      <c r="G82" s="60"/>
    </row>
    <row r="83" spans="7:7">
      <c r="G83" s="60"/>
    </row>
    <row r="84" spans="7:7">
      <c r="G84" s="60"/>
    </row>
    <row r="85" spans="7:7">
      <c r="G85" s="60"/>
    </row>
    <row r="86" spans="7:7">
      <c r="G86" s="60"/>
    </row>
    <row r="87" spans="7:7">
      <c r="G87" s="60"/>
    </row>
    <row r="88" spans="7:7">
      <c r="G88" s="60"/>
    </row>
    <row r="89" spans="7:7">
      <c r="G89" s="60"/>
    </row>
  </sheetData>
  <mergeCells count="1">
    <mergeCell ref="A1:E1"/>
  </mergeCells>
  <pageMargins left="0.7" right="0.7" top="0.75" bottom="0.75" header="0.3" footer="0.3"/>
  <pageSetup paperSize="9" orientation="portrait" horizontalDpi="200" verticalDpi="200" r:id="rId1"/>
</worksheet>
</file>

<file path=xl/worksheets/sheet8.xml><?xml version="1.0" encoding="utf-8"?>
<worksheet xmlns="http://schemas.openxmlformats.org/spreadsheetml/2006/main" xmlns:r="http://schemas.openxmlformats.org/officeDocument/2006/relationships">
  <dimension ref="A1:I126"/>
  <sheetViews>
    <sheetView workbookViewId="0">
      <selection sqref="A1:E1"/>
    </sheetView>
  </sheetViews>
  <sheetFormatPr baseColWidth="10" defaultRowHeight="14.4"/>
  <cols>
    <col min="1" max="1" width="40.6640625" style="79" customWidth="1"/>
    <col min="2" max="2" width="25.21875" style="79" bestFit="1" customWidth="1"/>
    <col min="3" max="3" width="11.5546875" style="79"/>
    <col min="4" max="4" width="15.5546875" style="79" bestFit="1" customWidth="1"/>
    <col min="5" max="5" width="11.5546875" style="79"/>
    <col min="6" max="6" width="13.33203125" style="79" customWidth="1"/>
    <col min="7" max="7" width="15.33203125" style="79" bestFit="1" customWidth="1"/>
    <col min="8" max="8" width="15.88671875" style="79" customWidth="1"/>
    <col min="9" max="9" width="12" style="79" customWidth="1"/>
    <col min="10" max="16384" width="11.5546875" style="79"/>
  </cols>
  <sheetData>
    <row r="1" spans="1:9" ht="18">
      <c r="A1" s="116" t="s">
        <v>115</v>
      </c>
      <c r="B1" s="116"/>
      <c r="C1" s="116"/>
      <c r="D1" s="116"/>
      <c r="E1" s="116"/>
    </row>
    <row r="2" spans="1:9">
      <c r="A2" s="89" t="s">
        <v>101</v>
      </c>
    </row>
    <row r="4" spans="1:9">
      <c r="A4" s="82" t="s">
        <v>10</v>
      </c>
      <c r="B4" s="84" t="s">
        <v>88</v>
      </c>
      <c r="C4" s="84" t="s">
        <v>11</v>
      </c>
      <c r="D4" s="84" t="s">
        <v>20</v>
      </c>
      <c r="E4" s="84" t="s">
        <v>9</v>
      </c>
      <c r="F4" s="84" t="s">
        <v>1</v>
      </c>
      <c r="G4" s="84" t="s">
        <v>52</v>
      </c>
    </row>
    <row r="5" spans="1:9">
      <c r="A5" s="79" t="s">
        <v>95</v>
      </c>
      <c r="B5" s="111">
        <v>1</v>
      </c>
      <c r="C5" s="52">
        <v>7.0000000000000007E-2</v>
      </c>
      <c r="D5" s="80">
        <f>+SUM($C$5:C5)</f>
        <v>7.0000000000000007E-2</v>
      </c>
      <c r="E5" s="80">
        <f>+Summary!B36</f>
        <v>2</v>
      </c>
      <c r="F5" s="80">
        <f>+C5*E5</f>
        <v>0.14000000000000001</v>
      </c>
      <c r="G5" s="62"/>
    </row>
    <row r="6" spans="1:9">
      <c r="B6" s="111">
        <v>2</v>
      </c>
      <c r="C6" s="52">
        <v>8.9999999999999993E-3</v>
      </c>
      <c r="D6" s="80">
        <f>+SUM($C$5:C6)</f>
        <v>7.9000000000000001E-2</v>
      </c>
      <c r="E6" s="80">
        <f>+Summary!B37</f>
        <v>5</v>
      </c>
      <c r="F6" s="80">
        <f t="shared" ref="F6:F11" si="0">+C6*E6</f>
        <v>4.4999999999999998E-2</v>
      </c>
      <c r="G6" s="62"/>
    </row>
    <row r="7" spans="1:9">
      <c r="B7" s="111">
        <v>3</v>
      </c>
      <c r="C7" s="52">
        <v>0.01</v>
      </c>
      <c r="D7" s="80">
        <f>+SUM($C$5:C7)</f>
        <v>8.8999999999999996E-2</v>
      </c>
      <c r="E7" s="80">
        <f>+Summary!B38</f>
        <v>8</v>
      </c>
      <c r="F7" s="80">
        <f t="shared" si="0"/>
        <v>0.08</v>
      </c>
      <c r="G7" s="62"/>
      <c r="I7" s="36"/>
    </row>
    <row r="8" spans="1:9">
      <c r="B8" s="111" t="s">
        <v>89</v>
      </c>
      <c r="C8" s="52">
        <v>5.0000000000000001E-3</v>
      </c>
      <c r="D8" s="80">
        <f>+SUM($C$5:C8)</f>
        <v>9.4E-2</v>
      </c>
      <c r="E8" s="80">
        <f>+E5+E6</f>
        <v>7</v>
      </c>
      <c r="F8" s="80">
        <f t="shared" si="0"/>
        <v>3.5000000000000003E-2</v>
      </c>
      <c r="G8" s="62"/>
      <c r="I8" s="113"/>
    </row>
    <row r="9" spans="1:9">
      <c r="B9" s="111" t="s">
        <v>90</v>
      </c>
      <c r="C9" s="52">
        <v>6.0000000000000001E-3</v>
      </c>
      <c r="D9" s="80">
        <f>+SUM($C$5:C9)</f>
        <v>0.1</v>
      </c>
      <c r="E9" s="80">
        <f>+E5+E7</f>
        <v>10</v>
      </c>
      <c r="F9" s="80">
        <f t="shared" si="0"/>
        <v>0.06</v>
      </c>
      <c r="G9" s="62"/>
    </row>
    <row r="10" spans="1:9">
      <c r="B10" s="111" t="s">
        <v>91</v>
      </c>
      <c r="C10" s="52">
        <v>5.0000000000000001E-3</v>
      </c>
      <c r="D10" s="80">
        <f>+SUM($C$5:C10)</f>
        <v>0.10500000000000001</v>
      </c>
      <c r="E10" s="80">
        <f>+E6+E7</f>
        <v>13</v>
      </c>
      <c r="F10" s="80">
        <f t="shared" si="0"/>
        <v>6.5000000000000002E-2</v>
      </c>
      <c r="G10" s="62"/>
    </row>
    <row r="11" spans="1:9">
      <c r="B11" s="111" t="s">
        <v>92</v>
      </c>
      <c r="C11" s="52">
        <v>5.0000000000000001E-3</v>
      </c>
      <c r="D11" s="80">
        <f>+SUM($C$5:C11)</f>
        <v>0.11000000000000001</v>
      </c>
      <c r="E11" s="80">
        <f>+E5+E6+E7</f>
        <v>15</v>
      </c>
      <c r="F11" s="80">
        <f t="shared" si="0"/>
        <v>7.4999999999999997E-2</v>
      </c>
      <c r="G11" s="62">
        <v>1</v>
      </c>
      <c r="H11" s="79" t="s">
        <v>94</v>
      </c>
    </row>
    <row r="12" spans="1:9">
      <c r="B12" s="86" t="s">
        <v>12</v>
      </c>
      <c r="C12" s="86">
        <f>+SUM(C5:C11)</f>
        <v>0.11000000000000001</v>
      </c>
      <c r="D12" s="86"/>
      <c r="E12" s="86"/>
      <c r="F12" s="72">
        <f>+SUM(F5:F11)</f>
        <v>0.5</v>
      </c>
      <c r="G12" s="63"/>
    </row>
    <row r="13" spans="1:9">
      <c r="B13" s="87" t="s">
        <v>93</v>
      </c>
      <c r="G13" s="60"/>
    </row>
    <row r="14" spans="1:9">
      <c r="G14" s="60"/>
    </row>
    <row r="15" spans="1:9">
      <c r="A15" s="82" t="s">
        <v>14</v>
      </c>
      <c r="B15" s="84" t="s">
        <v>88</v>
      </c>
      <c r="C15" s="84" t="s">
        <v>11</v>
      </c>
      <c r="D15" s="84" t="s">
        <v>20</v>
      </c>
      <c r="E15" s="84" t="s">
        <v>9</v>
      </c>
      <c r="F15" s="84" t="s">
        <v>1</v>
      </c>
      <c r="G15" s="84" t="s">
        <v>52</v>
      </c>
    </row>
    <row r="16" spans="1:9">
      <c r="A16" s="79" t="s">
        <v>96</v>
      </c>
      <c r="B16" s="110">
        <v>2</v>
      </c>
      <c r="C16" s="83">
        <v>0.08</v>
      </c>
      <c r="D16" s="83">
        <f>+SUM(C16:$C$16)</f>
        <v>0.08</v>
      </c>
      <c r="E16" s="83">
        <f>+E6</f>
        <v>5</v>
      </c>
      <c r="F16" s="83">
        <f>+C16*E16</f>
        <v>0.4</v>
      </c>
      <c r="G16" s="62"/>
    </row>
    <row r="17" spans="1:9">
      <c r="A17" s="79" t="s">
        <v>97</v>
      </c>
      <c r="B17" s="110">
        <v>3</v>
      </c>
      <c r="C17" s="83">
        <v>4.3750000000000004E-3</v>
      </c>
      <c r="D17" s="83">
        <f>+SUM(C$16:$C17)</f>
        <v>8.4375000000000006E-2</v>
      </c>
      <c r="E17" s="83">
        <f>+E7</f>
        <v>8</v>
      </c>
      <c r="F17" s="83">
        <f t="shared" ref="F17:F18" si="1">+C17*E17</f>
        <v>3.5000000000000003E-2</v>
      </c>
      <c r="G17" s="62"/>
      <c r="I17" s="112"/>
    </row>
    <row r="18" spans="1:9">
      <c r="B18" s="110" t="s">
        <v>91</v>
      </c>
      <c r="C18" s="83">
        <v>5.0000000000000001E-3</v>
      </c>
      <c r="D18" s="83">
        <f>+SUM(C$16:$C18)</f>
        <v>8.937500000000001E-2</v>
      </c>
      <c r="E18" s="83">
        <f>+E16+E17</f>
        <v>13</v>
      </c>
      <c r="F18" s="83">
        <f t="shared" si="1"/>
        <v>6.5000000000000002E-2</v>
      </c>
      <c r="G18" s="62">
        <v>1</v>
      </c>
      <c r="H18" s="79" t="s">
        <v>94</v>
      </c>
    </row>
    <row r="19" spans="1:9">
      <c r="B19" s="86" t="s">
        <v>6</v>
      </c>
      <c r="C19" s="86">
        <f>+SUM(C16:C18)</f>
        <v>8.937500000000001E-2</v>
      </c>
      <c r="D19" s="86"/>
      <c r="E19" s="86"/>
      <c r="F19" s="91">
        <f>+SUM(F16:F18)</f>
        <v>0.5</v>
      </c>
      <c r="G19" s="64"/>
    </row>
    <row r="20" spans="1:9">
      <c r="B20" s="90"/>
      <c r="C20" s="90"/>
      <c r="D20" s="90"/>
      <c r="E20" s="90"/>
      <c r="F20" s="85"/>
      <c r="G20" s="65"/>
    </row>
    <row r="21" spans="1:9">
      <c r="B21" s="90"/>
      <c r="C21" s="90"/>
      <c r="D21" s="90"/>
      <c r="E21" s="90"/>
      <c r="F21" s="85"/>
      <c r="G21" s="65"/>
    </row>
    <row r="22" spans="1:9">
      <c r="A22" s="82" t="s">
        <v>15</v>
      </c>
      <c r="B22" s="84" t="s">
        <v>88</v>
      </c>
      <c r="C22" s="84" t="s">
        <v>11</v>
      </c>
      <c r="D22" s="84" t="s">
        <v>20</v>
      </c>
      <c r="E22" s="84" t="s">
        <v>9</v>
      </c>
      <c r="F22" s="84" t="s">
        <v>1</v>
      </c>
      <c r="G22" s="84" t="s">
        <v>52</v>
      </c>
    </row>
    <row r="23" spans="1:9">
      <c r="A23" s="79" t="s">
        <v>96</v>
      </c>
      <c r="B23" s="110">
        <v>1</v>
      </c>
      <c r="C23" s="83">
        <v>0.12</v>
      </c>
      <c r="D23" s="83">
        <f>+SUM(C23:$C$23)</f>
        <v>0.12</v>
      </c>
      <c r="E23" s="83">
        <f>+E5</f>
        <v>2</v>
      </c>
      <c r="F23" s="83">
        <f>+C23*E23</f>
        <v>0.24</v>
      </c>
      <c r="G23" s="62"/>
    </row>
    <row r="24" spans="1:9">
      <c r="A24" s="79" t="s">
        <v>98</v>
      </c>
      <c r="B24" s="110">
        <v>3</v>
      </c>
      <c r="C24" s="83">
        <v>0.02</v>
      </c>
      <c r="D24" s="83">
        <f>+SUM(C$23:$C24)</f>
        <v>0.13999999999999999</v>
      </c>
      <c r="E24" s="83">
        <f>+E7</f>
        <v>8</v>
      </c>
      <c r="F24" s="83">
        <f t="shared" ref="F24:F25" si="2">+C24*E24</f>
        <v>0.16</v>
      </c>
      <c r="G24" s="62"/>
    </row>
    <row r="25" spans="1:9">
      <c r="B25" s="110" t="s">
        <v>90</v>
      </c>
      <c r="C25" s="83">
        <v>0.01</v>
      </c>
      <c r="D25" s="83">
        <f>+SUM(C$23:$C25)</f>
        <v>0.15</v>
      </c>
      <c r="E25" s="83">
        <f>+E23+E24</f>
        <v>10</v>
      </c>
      <c r="F25" s="83">
        <f t="shared" si="2"/>
        <v>0.1</v>
      </c>
      <c r="G25" s="62">
        <v>0.5</v>
      </c>
      <c r="H25" s="79" t="s">
        <v>94</v>
      </c>
    </row>
    <row r="26" spans="1:9">
      <c r="B26" s="86" t="s">
        <v>6</v>
      </c>
      <c r="C26" s="86">
        <f>+SUM(C23:C25)</f>
        <v>0.15</v>
      </c>
      <c r="D26" s="86"/>
      <c r="E26" s="86"/>
      <c r="F26" s="91">
        <f>+SUM(F23:F25)</f>
        <v>0.5</v>
      </c>
      <c r="G26" s="64"/>
    </row>
    <row r="27" spans="1:9">
      <c r="B27" s="90"/>
      <c r="C27" s="90"/>
      <c r="D27" s="90"/>
      <c r="E27" s="90"/>
      <c r="F27" s="85"/>
      <c r="G27" s="65"/>
    </row>
    <row r="28" spans="1:9">
      <c r="G28" s="60"/>
    </row>
    <row r="29" spans="1:9">
      <c r="A29" s="82" t="s">
        <v>16</v>
      </c>
      <c r="B29" s="84" t="s">
        <v>88</v>
      </c>
      <c r="C29" s="84" t="s">
        <v>11</v>
      </c>
      <c r="D29" s="84" t="s">
        <v>20</v>
      </c>
      <c r="E29" s="84" t="s">
        <v>9</v>
      </c>
      <c r="F29" s="84" t="s">
        <v>1</v>
      </c>
      <c r="G29" s="84" t="s">
        <v>52</v>
      </c>
    </row>
    <row r="30" spans="1:9">
      <c r="A30" s="79" t="s">
        <v>96</v>
      </c>
      <c r="B30" s="110">
        <v>3</v>
      </c>
      <c r="C30" s="83">
        <v>6.25E-2</v>
      </c>
      <c r="D30" s="83">
        <f>+SUM(C30:$C$30)</f>
        <v>6.25E-2</v>
      </c>
      <c r="E30" s="83">
        <f>+E7</f>
        <v>8</v>
      </c>
      <c r="F30" s="83">
        <f>+C30*E30</f>
        <v>0.5</v>
      </c>
      <c r="G30" s="62">
        <v>0.08</v>
      </c>
      <c r="H30" s="79" t="s">
        <v>94</v>
      </c>
    </row>
    <row r="31" spans="1:9">
      <c r="A31" s="79" t="s">
        <v>97</v>
      </c>
      <c r="B31" s="86" t="s">
        <v>6</v>
      </c>
      <c r="C31" s="86">
        <f>+SUM(C30:C30)</f>
        <v>6.25E-2</v>
      </c>
      <c r="D31" s="86"/>
      <c r="E31" s="86"/>
      <c r="F31" s="91">
        <f>+SUM(F30:F30)</f>
        <v>0.5</v>
      </c>
      <c r="G31" s="64"/>
    </row>
    <row r="32" spans="1:9">
      <c r="A32" s="79" t="s">
        <v>98</v>
      </c>
      <c r="G32" s="60"/>
    </row>
    <row r="33" spans="1:8">
      <c r="G33" s="60"/>
    </row>
    <row r="34" spans="1:8">
      <c r="A34" s="82" t="s">
        <v>17</v>
      </c>
      <c r="B34" s="84" t="s">
        <v>88</v>
      </c>
      <c r="C34" s="84" t="s">
        <v>11</v>
      </c>
      <c r="D34" s="84" t="s">
        <v>20</v>
      </c>
      <c r="E34" s="84" t="s">
        <v>9</v>
      </c>
      <c r="F34" s="84" t="s">
        <v>1</v>
      </c>
      <c r="G34" s="84" t="s">
        <v>52</v>
      </c>
    </row>
    <row r="35" spans="1:8">
      <c r="A35" s="79" t="s">
        <v>96</v>
      </c>
      <c r="B35" s="110">
        <v>1</v>
      </c>
      <c r="C35" s="83">
        <v>0.115</v>
      </c>
      <c r="D35" s="83">
        <f>+SUM(C35:$C$35)</f>
        <v>0.115</v>
      </c>
      <c r="E35" s="83">
        <f>+E5</f>
        <v>2</v>
      </c>
      <c r="F35" s="83">
        <f>+C35*E35</f>
        <v>0.23</v>
      </c>
      <c r="G35" s="62"/>
    </row>
    <row r="36" spans="1:8">
      <c r="A36" s="79" t="s">
        <v>99</v>
      </c>
      <c r="B36" s="110">
        <v>2</v>
      </c>
      <c r="C36" s="83">
        <v>0.04</v>
      </c>
      <c r="D36" s="83">
        <f>+SUM(C$35:$C36)</f>
        <v>0.155</v>
      </c>
      <c r="E36" s="83">
        <f>+E6</f>
        <v>5</v>
      </c>
      <c r="F36" s="83">
        <f t="shared" ref="F36:F37" si="3">+C36*E36</f>
        <v>0.2</v>
      </c>
      <c r="G36" s="62"/>
    </row>
    <row r="37" spans="1:8">
      <c r="B37" s="110" t="s">
        <v>89</v>
      </c>
      <c r="C37" s="83">
        <v>0.01</v>
      </c>
      <c r="D37" s="83">
        <f>+SUM(C$35:$C37)</f>
        <v>0.16500000000000001</v>
      </c>
      <c r="E37" s="83">
        <f>+E35+E36</f>
        <v>7</v>
      </c>
      <c r="F37" s="83">
        <f t="shared" si="3"/>
        <v>7.0000000000000007E-2</v>
      </c>
      <c r="G37" s="62">
        <v>0.5</v>
      </c>
      <c r="H37" s="79" t="s">
        <v>94</v>
      </c>
    </row>
    <row r="38" spans="1:8">
      <c r="A38" s="88"/>
      <c r="B38" s="86" t="s">
        <v>6</v>
      </c>
      <c r="C38" s="86">
        <f>+SUM(C35:C37)</f>
        <v>0.16500000000000001</v>
      </c>
      <c r="D38" s="86"/>
      <c r="E38" s="86"/>
      <c r="F38" s="91">
        <f>+SUM(F35:F37)</f>
        <v>0.5</v>
      </c>
      <c r="G38" s="64"/>
    </row>
    <row r="39" spans="1:8">
      <c r="A39" s="88"/>
      <c r="G39" s="60"/>
    </row>
    <row r="40" spans="1:8">
      <c r="G40" s="60"/>
    </row>
    <row r="41" spans="1:8">
      <c r="A41" s="82" t="s">
        <v>18</v>
      </c>
      <c r="B41" s="84" t="s">
        <v>88</v>
      </c>
      <c r="C41" s="84" t="s">
        <v>11</v>
      </c>
      <c r="D41" s="84" t="s">
        <v>20</v>
      </c>
      <c r="E41" s="84" t="s">
        <v>9</v>
      </c>
      <c r="F41" s="84" t="s">
        <v>1</v>
      </c>
      <c r="G41" s="84" t="s">
        <v>52</v>
      </c>
    </row>
    <row r="42" spans="1:8">
      <c r="A42" s="79" t="s">
        <v>96</v>
      </c>
      <c r="B42" s="110">
        <v>1</v>
      </c>
      <c r="C42" s="83">
        <v>0.25</v>
      </c>
      <c r="D42" s="83">
        <f>+SUM(C42:$C$42)</f>
        <v>0.25</v>
      </c>
      <c r="E42" s="83">
        <f>+E5</f>
        <v>2</v>
      </c>
      <c r="F42" s="83">
        <f>+E42*C42</f>
        <v>0.5</v>
      </c>
      <c r="G42" s="62">
        <v>0.02</v>
      </c>
      <c r="H42" s="79" t="s">
        <v>94</v>
      </c>
    </row>
    <row r="43" spans="1:8">
      <c r="A43" s="79" t="s">
        <v>98</v>
      </c>
      <c r="B43" s="86" t="s">
        <v>6</v>
      </c>
      <c r="C43" s="86">
        <f>+SUM(C42:C42)</f>
        <v>0.25</v>
      </c>
      <c r="D43" s="86"/>
      <c r="E43" s="86"/>
      <c r="F43" s="91">
        <f>+SUM(F42:F42)</f>
        <v>0.5</v>
      </c>
      <c r="G43" s="64"/>
    </row>
    <row r="44" spans="1:8">
      <c r="A44" s="79" t="s">
        <v>99</v>
      </c>
      <c r="G44" s="60"/>
    </row>
    <row r="45" spans="1:8">
      <c r="G45" s="60"/>
    </row>
    <row r="46" spans="1:8">
      <c r="A46" s="82" t="s">
        <v>19</v>
      </c>
      <c r="B46" s="84" t="s">
        <v>88</v>
      </c>
      <c r="C46" s="84" t="s">
        <v>11</v>
      </c>
      <c r="D46" s="84" t="s">
        <v>20</v>
      </c>
      <c r="E46" s="84" t="s">
        <v>9</v>
      </c>
      <c r="F46" s="84" t="s">
        <v>1</v>
      </c>
      <c r="G46" s="84" t="s">
        <v>52</v>
      </c>
    </row>
    <row r="47" spans="1:8">
      <c r="A47" s="79" t="s">
        <v>96</v>
      </c>
      <c r="B47" s="110">
        <v>2</v>
      </c>
      <c r="C47" s="83">
        <v>0.1</v>
      </c>
      <c r="D47" s="83">
        <f>+SUM(C$47:$C47)</f>
        <v>0.1</v>
      </c>
      <c r="E47" s="83">
        <f>+E6</f>
        <v>5</v>
      </c>
      <c r="F47" s="83">
        <f>+E47*C47</f>
        <v>0.5</v>
      </c>
      <c r="G47" s="62">
        <v>0.05</v>
      </c>
      <c r="H47" s="79" t="s">
        <v>94</v>
      </c>
    </row>
    <row r="48" spans="1:8">
      <c r="A48" s="79" t="s">
        <v>97</v>
      </c>
      <c r="B48" s="86" t="s">
        <v>6</v>
      </c>
      <c r="C48" s="86">
        <f>+SUM(C47:C47)</f>
        <v>0.1</v>
      </c>
      <c r="D48" s="86"/>
      <c r="E48" s="86"/>
      <c r="F48" s="91">
        <f>+SUM(F47:F47)</f>
        <v>0.5</v>
      </c>
      <c r="G48" s="64"/>
    </row>
    <row r="49" spans="1:7">
      <c r="A49" s="79" t="s">
        <v>99</v>
      </c>
      <c r="G49" s="61"/>
    </row>
    <row r="50" spans="1:7">
      <c r="G50" s="61"/>
    </row>
    <row r="51" spans="1:7">
      <c r="G51" s="61"/>
    </row>
    <row r="52" spans="1:7">
      <c r="G52" s="61"/>
    </row>
    <row r="53" spans="1:7">
      <c r="G53" s="61"/>
    </row>
    <row r="54" spans="1:7">
      <c r="G54" s="61"/>
    </row>
    <row r="55" spans="1:7">
      <c r="G55" s="61"/>
    </row>
    <row r="56" spans="1:7">
      <c r="G56" s="61"/>
    </row>
    <row r="57" spans="1:7">
      <c r="G57" s="61"/>
    </row>
    <row r="58" spans="1:7">
      <c r="G58" s="61"/>
    </row>
    <row r="59" spans="1:7">
      <c r="G59" s="61"/>
    </row>
    <row r="60" spans="1:7">
      <c r="G60" s="61"/>
    </row>
    <row r="61" spans="1:7">
      <c r="G61" s="61"/>
    </row>
    <row r="62" spans="1:7">
      <c r="G62" s="61"/>
    </row>
    <row r="63" spans="1:7">
      <c r="G63" s="61"/>
    </row>
    <row r="64" spans="1:7">
      <c r="G64" s="61"/>
    </row>
    <row r="65" spans="7:7">
      <c r="G65" s="61"/>
    </row>
    <row r="66" spans="7:7">
      <c r="G66" s="61"/>
    </row>
    <row r="67" spans="7:7">
      <c r="G67" s="61"/>
    </row>
    <row r="68" spans="7:7">
      <c r="G68" s="61"/>
    </row>
    <row r="69" spans="7:7">
      <c r="G69" s="61"/>
    </row>
    <row r="70" spans="7:7">
      <c r="G70" s="61"/>
    </row>
    <row r="71" spans="7:7">
      <c r="G71" s="60"/>
    </row>
    <row r="72" spans="7:7">
      <c r="G72" s="60"/>
    </row>
    <row r="73" spans="7:7">
      <c r="G73" s="60"/>
    </row>
    <row r="74" spans="7:7">
      <c r="G74" s="60"/>
    </row>
    <row r="75" spans="7:7">
      <c r="G75" s="60"/>
    </row>
    <row r="76" spans="7:7">
      <c r="G76" s="60"/>
    </row>
    <row r="77" spans="7:7">
      <c r="G77" s="60"/>
    </row>
    <row r="78" spans="7:7">
      <c r="G78" s="60"/>
    </row>
    <row r="79" spans="7:7">
      <c r="G79" s="60"/>
    </row>
    <row r="80" spans="7:7">
      <c r="G80" s="60"/>
    </row>
    <row r="81" spans="7:7">
      <c r="G81" s="60"/>
    </row>
    <row r="82" spans="7:7">
      <c r="G82" s="60"/>
    </row>
    <row r="83" spans="7:7">
      <c r="G83" s="60"/>
    </row>
    <row r="84" spans="7:7">
      <c r="G84" s="60"/>
    </row>
    <row r="85" spans="7:7">
      <c r="G85" s="60"/>
    </row>
    <row r="86" spans="7:7">
      <c r="G86" s="60"/>
    </row>
    <row r="87" spans="7:7">
      <c r="G87" s="60"/>
    </row>
    <row r="88" spans="7:7">
      <c r="G88" s="60"/>
    </row>
    <row r="89" spans="7:7">
      <c r="G89" s="60"/>
    </row>
    <row r="90" spans="7:7">
      <c r="G90" s="60"/>
    </row>
    <row r="91" spans="7:7">
      <c r="G91" s="60"/>
    </row>
    <row r="92" spans="7:7">
      <c r="G92" s="60"/>
    </row>
    <row r="93" spans="7:7">
      <c r="G93" s="60"/>
    </row>
    <row r="94" spans="7:7">
      <c r="G94" s="60"/>
    </row>
    <row r="95" spans="7:7">
      <c r="G95" s="60"/>
    </row>
    <row r="96" spans="7:7">
      <c r="G96" s="60"/>
    </row>
    <row r="97" spans="7:7">
      <c r="G97" s="60"/>
    </row>
    <row r="98" spans="7:7">
      <c r="G98" s="60"/>
    </row>
    <row r="99" spans="7:7">
      <c r="G99" s="60"/>
    </row>
    <row r="100" spans="7:7">
      <c r="G100" s="60"/>
    </row>
    <row r="101" spans="7:7">
      <c r="G101" s="60"/>
    </row>
    <row r="102" spans="7:7">
      <c r="G102" s="60"/>
    </row>
    <row r="103" spans="7:7">
      <c r="G103" s="60"/>
    </row>
    <row r="104" spans="7:7">
      <c r="G104" s="60"/>
    </row>
    <row r="105" spans="7:7">
      <c r="G105" s="60"/>
    </row>
    <row r="106" spans="7:7">
      <c r="G106" s="60"/>
    </row>
    <row r="107" spans="7:7">
      <c r="G107" s="60"/>
    </row>
    <row r="108" spans="7:7">
      <c r="G108" s="60"/>
    </row>
    <row r="109" spans="7:7">
      <c r="G109" s="60"/>
    </row>
    <row r="110" spans="7:7">
      <c r="G110" s="60"/>
    </row>
    <row r="111" spans="7:7">
      <c r="G111" s="60"/>
    </row>
    <row r="112" spans="7:7">
      <c r="G112" s="60"/>
    </row>
    <row r="113" spans="7:7">
      <c r="G113" s="60"/>
    </row>
    <row r="114" spans="7:7">
      <c r="G114" s="60"/>
    </row>
    <row r="115" spans="7:7">
      <c r="G115" s="60"/>
    </row>
    <row r="116" spans="7:7">
      <c r="G116" s="60"/>
    </row>
    <row r="117" spans="7:7">
      <c r="G117" s="60"/>
    </row>
    <row r="118" spans="7:7">
      <c r="G118" s="60"/>
    </row>
    <row r="119" spans="7:7">
      <c r="G119" s="60"/>
    </row>
    <row r="120" spans="7:7">
      <c r="G120" s="60"/>
    </row>
    <row r="121" spans="7:7">
      <c r="G121" s="60"/>
    </row>
    <row r="122" spans="7:7">
      <c r="G122" s="60"/>
    </row>
    <row r="123" spans="7:7">
      <c r="G123" s="60"/>
    </row>
    <row r="124" spans="7:7">
      <c r="G124" s="60"/>
    </row>
    <row r="125" spans="7:7">
      <c r="G125" s="60"/>
    </row>
    <row r="126" spans="7:7">
      <c r="G126" s="60"/>
    </row>
  </sheetData>
  <mergeCells count="1">
    <mergeCell ref="A1:E1"/>
  </mergeCells>
  <pageMargins left="0.7" right="0.7" top="0.75" bottom="0.75" header="0.3" footer="0.3"/>
  <pageSetup paperSize="9" orientation="portrait" horizontalDpi="200" verticalDpi="200" r:id="rId1"/>
</worksheet>
</file>

<file path=xl/worksheets/sheet9.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79" customWidth="1"/>
    <col min="2" max="2" width="25.21875" style="79" bestFit="1" customWidth="1"/>
    <col min="3" max="3" width="11.5546875" style="79"/>
    <col min="4" max="4" width="15.5546875" style="79" bestFit="1" customWidth="1"/>
    <col min="5" max="5" width="11.5546875" style="79"/>
    <col min="6" max="6" width="13.33203125" style="79" customWidth="1"/>
    <col min="7" max="7" width="15.33203125" style="79" bestFit="1" customWidth="1"/>
    <col min="8" max="8" width="15.88671875" style="79" customWidth="1"/>
    <col min="9" max="9" width="12" style="79" customWidth="1"/>
    <col min="10" max="16384" width="11.5546875" style="79"/>
  </cols>
  <sheetData>
    <row r="1" spans="1:9" ht="18">
      <c r="A1" s="116" t="s">
        <v>136</v>
      </c>
      <c r="B1" s="116"/>
      <c r="C1" s="116"/>
      <c r="D1" s="116"/>
      <c r="E1" s="116"/>
    </row>
    <row r="2" spans="1:9">
      <c r="A2" s="89" t="s">
        <v>134</v>
      </c>
    </row>
    <row r="4" spans="1:9">
      <c r="A4" s="82" t="s">
        <v>10</v>
      </c>
      <c r="B4" s="84" t="s">
        <v>88</v>
      </c>
      <c r="C4" s="84" t="s">
        <v>11</v>
      </c>
      <c r="D4" s="84" t="s">
        <v>20</v>
      </c>
      <c r="E4" s="84" t="s">
        <v>9</v>
      </c>
      <c r="F4" s="84" t="s">
        <v>1</v>
      </c>
      <c r="G4" s="84" t="s">
        <v>52</v>
      </c>
    </row>
    <row r="5" spans="1:9">
      <c r="A5" s="79" t="s">
        <v>95</v>
      </c>
      <c r="B5" s="111">
        <v>1</v>
      </c>
      <c r="C5" s="52">
        <v>0.375</v>
      </c>
      <c r="D5" s="80">
        <f>+SUM($C$5:C5)</f>
        <v>0.375</v>
      </c>
      <c r="E5" s="80">
        <f>+Summary!E27</f>
        <v>2</v>
      </c>
      <c r="F5" s="80">
        <f>+C5*E5</f>
        <v>0.75</v>
      </c>
      <c r="G5" s="62"/>
    </row>
    <row r="6" spans="1:9">
      <c r="B6" s="111">
        <v>2</v>
      </c>
      <c r="C6" s="52">
        <v>7.5000000000000011E-2</v>
      </c>
      <c r="D6" s="80">
        <f>+SUM($C$5:C6)</f>
        <v>0.45</v>
      </c>
      <c r="E6" s="80">
        <f>+Summary!E28</f>
        <v>3</v>
      </c>
      <c r="F6" s="80">
        <f t="shared" ref="F6:F7" si="0">+C6*E6</f>
        <v>0.22500000000000003</v>
      </c>
      <c r="G6" s="62"/>
    </row>
    <row r="7" spans="1:9">
      <c r="B7" s="111" t="s">
        <v>89</v>
      </c>
      <c r="C7" s="52">
        <v>4.4999999999999998E-2</v>
      </c>
      <c r="D7" s="80">
        <f>+SUM($C$5:C7)</f>
        <v>0.495</v>
      </c>
      <c r="E7" s="80">
        <f>+E5+E6</f>
        <v>5</v>
      </c>
      <c r="F7" s="80">
        <f t="shared" si="0"/>
        <v>0.22499999999999998</v>
      </c>
      <c r="G7" s="62">
        <v>0</v>
      </c>
      <c r="H7" s="79" t="s">
        <v>94</v>
      </c>
      <c r="I7" s="113"/>
    </row>
    <row r="8" spans="1:9">
      <c r="B8" s="86" t="s">
        <v>12</v>
      </c>
      <c r="C8" s="86">
        <f>+SUM(C5:C7)</f>
        <v>0.495</v>
      </c>
      <c r="D8" s="86"/>
      <c r="E8" s="86"/>
      <c r="F8" s="72">
        <f>+SUM(F5:F7)</f>
        <v>1.2000000000000002</v>
      </c>
      <c r="G8" s="63"/>
    </row>
    <row r="9" spans="1:9">
      <c r="B9" s="87" t="s">
        <v>93</v>
      </c>
      <c r="G9" s="60"/>
    </row>
    <row r="10" spans="1:9">
      <c r="G10" s="60"/>
    </row>
    <row r="11" spans="1:9">
      <c r="G11" s="60"/>
    </row>
    <row r="12" spans="1:9">
      <c r="A12" s="82" t="s">
        <v>18</v>
      </c>
      <c r="B12" s="84" t="s">
        <v>88</v>
      </c>
      <c r="C12" s="84" t="s">
        <v>11</v>
      </c>
      <c r="D12" s="84" t="s">
        <v>20</v>
      </c>
      <c r="E12" s="84" t="s">
        <v>9</v>
      </c>
      <c r="F12" s="84" t="s">
        <v>1</v>
      </c>
      <c r="G12" s="84" t="s">
        <v>52</v>
      </c>
    </row>
    <row r="13" spans="1:9">
      <c r="A13" s="79" t="s">
        <v>96</v>
      </c>
      <c r="B13" s="110">
        <v>1</v>
      </c>
      <c r="C13" s="83">
        <v>0.6</v>
      </c>
      <c r="D13" s="83">
        <f>+SUM(C13:$C$13)</f>
        <v>0.6</v>
      </c>
      <c r="E13" s="83">
        <f>+E5</f>
        <v>2</v>
      </c>
      <c r="F13" s="83">
        <f>+E13*C13</f>
        <v>1.2</v>
      </c>
      <c r="G13" s="62">
        <v>0</v>
      </c>
      <c r="H13" s="79" t="s">
        <v>94</v>
      </c>
    </row>
    <row r="14" spans="1:9">
      <c r="A14" s="79" t="s">
        <v>98</v>
      </c>
      <c r="B14" s="86" t="s">
        <v>6</v>
      </c>
      <c r="C14" s="86">
        <f>+SUM(C13:C13)</f>
        <v>0.6</v>
      </c>
      <c r="D14" s="86"/>
      <c r="E14" s="86"/>
      <c r="F14" s="91">
        <f>+SUM(F13:F13)</f>
        <v>1.2</v>
      </c>
      <c r="G14" s="64"/>
    </row>
    <row r="15" spans="1:9">
      <c r="G15" s="60"/>
    </row>
    <row r="16" spans="1:9">
      <c r="G16" s="60"/>
    </row>
    <row r="17" spans="1:8">
      <c r="A17" s="82" t="s">
        <v>19</v>
      </c>
      <c r="B17" s="84" t="s">
        <v>88</v>
      </c>
      <c r="C17" s="84" t="s">
        <v>11</v>
      </c>
      <c r="D17" s="84" t="s">
        <v>20</v>
      </c>
      <c r="E17" s="84" t="s">
        <v>9</v>
      </c>
      <c r="F17" s="84" t="s">
        <v>1</v>
      </c>
      <c r="G17" s="84" t="s">
        <v>52</v>
      </c>
    </row>
    <row r="18" spans="1:8">
      <c r="A18" s="79" t="s">
        <v>96</v>
      </c>
      <c r="B18" s="110">
        <v>2</v>
      </c>
      <c r="C18" s="83">
        <v>0.4</v>
      </c>
      <c r="D18" s="83">
        <f>+SUM(C$18:$C18)</f>
        <v>0.4</v>
      </c>
      <c r="E18" s="83">
        <f>+E6</f>
        <v>3</v>
      </c>
      <c r="F18" s="83">
        <f>+E18*C18</f>
        <v>1.2000000000000002</v>
      </c>
      <c r="G18" s="62">
        <v>0</v>
      </c>
      <c r="H18" s="79" t="s">
        <v>94</v>
      </c>
    </row>
    <row r="19" spans="1:8">
      <c r="A19" s="79" t="s">
        <v>97</v>
      </c>
      <c r="B19" s="86" t="s">
        <v>6</v>
      </c>
      <c r="C19" s="86">
        <f>+SUM(C18:C18)</f>
        <v>0.4</v>
      </c>
      <c r="D19" s="86"/>
      <c r="E19" s="86"/>
      <c r="F19" s="91">
        <f>+SUM(F18:F18)</f>
        <v>1.2000000000000002</v>
      </c>
      <c r="G19" s="64"/>
    </row>
    <row r="20" spans="1:8">
      <c r="G20" s="61"/>
    </row>
    <row r="21" spans="1:8">
      <c r="G21" s="61"/>
    </row>
    <row r="22" spans="1:8">
      <c r="G22" s="61"/>
    </row>
    <row r="23" spans="1:8">
      <c r="G23" s="61"/>
    </row>
    <row r="24" spans="1:8">
      <c r="G24" s="61"/>
    </row>
    <row r="25" spans="1:8">
      <c r="G25" s="61"/>
    </row>
    <row r="26" spans="1:8">
      <c r="G26" s="61"/>
    </row>
    <row r="27" spans="1:8">
      <c r="G27" s="61"/>
    </row>
    <row r="28" spans="1:8">
      <c r="G28" s="61"/>
    </row>
    <row r="29" spans="1:8">
      <c r="G29" s="61"/>
    </row>
    <row r="30" spans="1:8">
      <c r="G30" s="61"/>
    </row>
    <row r="31" spans="1:8">
      <c r="G31" s="61"/>
    </row>
    <row r="32" spans="1:8">
      <c r="G32" s="61"/>
    </row>
    <row r="33" spans="7:7">
      <c r="G33" s="61"/>
    </row>
    <row r="34" spans="7:7">
      <c r="G34" s="61"/>
    </row>
    <row r="35" spans="7:7">
      <c r="G35" s="61"/>
    </row>
    <row r="36" spans="7:7">
      <c r="G36" s="61"/>
    </row>
    <row r="37" spans="7:7">
      <c r="G37" s="61"/>
    </row>
    <row r="38" spans="7:7">
      <c r="G38" s="61"/>
    </row>
    <row r="39" spans="7:7">
      <c r="G39" s="61"/>
    </row>
    <row r="40" spans="7:7">
      <c r="G40" s="61"/>
    </row>
    <row r="41" spans="7:7">
      <c r="G41" s="61"/>
    </row>
    <row r="42" spans="7:7">
      <c r="G42" s="60"/>
    </row>
    <row r="43" spans="7:7">
      <c r="G43" s="60"/>
    </row>
    <row r="44" spans="7:7">
      <c r="G44" s="60"/>
    </row>
    <row r="45" spans="7:7">
      <c r="G45" s="60"/>
    </row>
    <row r="46" spans="7:7">
      <c r="G46" s="60"/>
    </row>
    <row r="47" spans="7:7">
      <c r="G47" s="60"/>
    </row>
    <row r="48" spans="7:7">
      <c r="G48" s="60"/>
    </row>
    <row r="49" spans="7:7">
      <c r="G49" s="60"/>
    </row>
    <row r="50" spans="7:7">
      <c r="G50" s="60"/>
    </row>
    <row r="51" spans="7:7">
      <c r="G51" s="60"/>
    </row>
    <row r="52" spans="7:7">
      <c r="G52" s="60"/>
    </row>
    <row r="53" spans="7:7">
      <c r="G53" s="60"/>
    </row>
    <row r="54" spans="7:7">
      <c r="G54" s="60"/>
    </row>
    <row r="55" spans="7:7">
      <c r="G55" s="60"/>
    </row>
    <row r="56" spans="7:7">
      <c r="G56" s="60"/>
    </row>
    <row r="57" spans="7:7">
      <c r="G57" s="60"/>
    </row>
    <row r="58" spans="7:7">
      <c r="G58" s="60"/>
    </row>
    <row r="59" spans="7:7">
      <c r="G59" s="60"/>
    </row>
    <row r="60" spans="7:7">
      <c r="G60" s="60"/>
    </row>
    <row r="61" spans="7:7">
      <c r="G61" s="60"/>
    </row>
    <row r="62" spans="7:7">
      <c r="G62" s="60"/>
    </row>
    <row r="63" spans="7:7">
      <c r="G63" s="60"/>
    </row>
    <row r="64" spans="7:7">
      <c r="G64" s="60"/>
    </row>
    <row r="65" spans="7:7">
      <c r="G65" s="60"/>
    </row>
    <row r="66" spans="7:7">
      <c r="G66" s="60"/>
    </row>
    <row r="67" spans="7:7">
      <c r="G67" s="60"/>
    </row>
    <row r="68" spans="7:7">
      <c r="G68" s="60"/>
    </row>
    <row r="69" spans="7:7">
      <c r="G69" s="60"/>
    </row>
    <row r="70" spans="7:7">
      <c r="G70" s="60"/>
    </row>
    <row r="71" spans="7:7">
      <c r="G71" s="60"/>
    </row>
    <row r="72" spans="7:7">
      <c r="G72" s="60"/>
    </row>
    <row r="73" spans="7:7">
      <c r="G73" s="60"/>
    </row>
    <row r="74" spans="7:7">
      <c r="G74" s="60"/>
    </row>
    <row r="75" spans="7:7">
      <c r="G75" s="60"/>
    </row>
    <row r="76" spans="7:7">
      <c r="G76" s="60"/>
    </row>
    <row r="77" spans="7:7">
      <c r="G77" s="60"/>
    </row>
    <row r="78" spans="7:7">
      <c r="G78" s="60"/>
    </row>
    <row r="79" spans="7:7">
      <c r="G79" s="60"/>
    </row>
    <row r="80" spans="7:7">
      <c r="G80" s="60"/>
    </row>
    <row r="81" spans="7:7">
      <c r="G81" s="60"/>
    </row>
    <row r="82" spans="7:7">
      <c r="G82" s="60"/>
    </row>
    <row r="83" spans="7:7">
      <c r="G83" s="60"/>
    </row>
    <row r="84" spans="7:7">
      <c r="G84" s="60"/>
    </row>
    <row r="85" spans="7:7">
      <c r="G85" s="60"/>
    </row>
    <row r="86" spans="7:7">
      <c r="G86" s="60"/>
    </row>
    <row r="87" spans="7:7">
      <c r="G87" s="60"/>
    </row>
    <row r="88" spans="7:7">
      <c r="G88" s="60"/>
    </row>
    <row r="89" spans="7:7">
      <c r="G89" s="60"/>
    </row>
    <row r="90" spans="7:7">
      <c r="G90" s="60"/>
    </row>
    <row r="91" spans="7:7">
      <c r="G91" s="60"/>
    </row>
    <row r="92" spans="7:7">
      <c r="G92" s="60"/>
    </row>
    <row r="93" spans="7:7">
      <c r="G93" s="60"/>
    </row>
    <row r="94" spans="7:7">
      <c r="G94" s="60"/>
    </row>
    <row r="95" spans="7:7">
      <c r="G95" s="60"/>
    </row>
    <row r="96" spans="7:7">
      <c r="G96" s="60"/>
    </row>
    <row r="97" spans="7:7">
      <c r="G97" s="60"/>
    </row>
  </sheetData>
  <mergeCells count="1">
    <mergeCell ref="A1:E1"/>
  </mergeCells>
  <pageMargins left="0.7" right="0.7" top="0.75" bottom="0.75" header="0.3" footer="0.3"/>
  <pageSetup paperSize="9" orientation="portrait" horizontalDpi="200" verticalDpi="200" r:id="rId1"/>
</worksheet>
</file>

<file path=xl/worksheets/sheet10.xml><?xml version="1.0" encoding="utf-8"?>
<worksheet xmlns="http://schemas.openxmlformats.org/spreadsheetml/2006/main" xmlns:r="http://schemas.openxmlformats.org/officeDocument/2006/relationships">
  <sheetPr codeName="Hoja9"/>
  <dimension ref="A1:J126"/>
  <sheetViews>
    <sheetView workbookViewId="0">
      <selection activeCell="D18" sqref="D18"/>
    </sheetView>
  </sheetViews>
  <sheetFormatPr baseColWidth="10" defaultRowHeight="14.4"/>
  <cols>
    <col min="1" max="1" width="40.6640625" style="79" customWidth="1"/>
    <col min="2" max="2" width="25.21875" style="79" bestFit="1" customWidth="1"/>
    <col min="3" max="3" width="11.5546875" style="79"/>
    <col min="4" max="4" width="15.5546875" style="79" bestFit="1" customWidth="1"/>
    <col min="5" max="5" width="11.5546875" style="79"/>
    <col min="6" max="6" width="13.33203125" style="79" customWidth="1"/>
    <col min="7" max="7" width="15.33203125" style="79" bestFit="1" customWidth="1"/>
    <col min="8" max="8" width="15.109375" style="79" customWidth="1"/>
    <col min="9" max="9" width="11.5546875" style="79"/>
    <col min="10" max="10" width="12.5546875" style="79" bestFit="1" customWidth="1"/>
    <col min="11" max="16384" width="11.5546875" style="79"/>
  </cols>
  <sheetData>
    <row r="1" spans="1:8" ht="18">
      <c r="A1" s="116" t="s">
        <v>106</v>
      </c>
      <c r="B1" s="116"/>
      <c r="C1" s="116"/>
      <c r="D1" s="116"/>
      <c r="E1" s="116"/>
    </row>
    <row r="2" spans="1:8">
      <c r="A2" s="89" t="s">
        <v>134</v>
      </c>
    </row>
    <row r="4" spans="1:8">
      <c r="A4" s="82" t="s">
        <v>10</v>
      </c>
      <c r="B4" s="84" t="s">
        <v>88</v>
      </c>
      <c r="C4" s="84" t="s">
        <v>11</v>
      </c>
      <c r="D4" s="84" t="s">
        <v>20</v>
      </c>
      <c r="E4" s="84" t="s">
        <v>9</v>
      </c>
      <c r="F4" s="84" t="s">
        <v>1</v>
      </c>
      <c r="G4" s="84" t="s">
        <v>52</v>
      </c>
    </row>
    <row r="5" spans="1:8">
      <c r="A5" s="79" t="s">
        <v>95</v>
      </c>
      <c r="B5" s="111">
        <v>1</v>
      </c>
      <c r="C5" s="80">
        <v>0.2</v>
      </c>
      <c r="D5" s="80">
        <f>+SUM($C$5:C5)</f>
        <v>0.2</v>
      </c>
      <c r="E5" s="80">
        <f>+Summary!H27</f>
        <v>2</v>
      </c>
      <c r="F5" s="80">
        <f>+C5*E5</f>
        <v>0.4</v>
      </c>
      <c r="G5" s="62"/>
    </row>
    <row r="6" spans="1:8">
      <c r="B6" s="111">
        <v>2</v>
      </c>
      <c r="C6" s="80">
        <v>0.2</v>
      </c>
      <c r="D6" s="80">
        <f>+SUM($C$5:C6)</f>
        <v>0.4</v>
      </c>
      <c r="E6" s="80">
        <f>+Summary!H28</f>
        <v>2</v>
      </c>
      <c r="F6" s="80">
        <f t="shared" ref="F6:F11" si="0">+C6*E6</f>
        <v>0.4</v>
      </c>
      <c r="G6" s="62"/>
    </row>
    <row r="7" spans="1:8">
      <c r="B7" s="111">
        <v>3</v>
      </c>
      <c r="C7" s="80">
        <v>0.01</v>
      </c>
      <c r="D7" s="80">
        <f>+SUM($C$5:C7)</f>
        <v>0.41000000000000003</v>
      </c>
      <c r="E7" s="80">
        <f>+Summary!H29</f>
        <v>4</v>
      </c>
      <c r="F7" s="80">
        <f t="shared" si="0"/>
        <v>0.04</v>
      </c>
      <c r="G7" s="62"/>
    </row>
    <row r="8" spans="1:8">
      <c r="B8" s="111" t="s">
        <v>89</v>
      </c>
      <c r="C8" s="80">
        <v>0.05</v>
      </c>
      <c r="D8" s="80">
        <f>+SUM($C$5:C8)</f>
        <v>0.46</v>
      </c>
      <c r="E8" s="80">
        <f>+E5+E6</f>
        <v>4</v>
      </c>
      <c r="F8" s="80">
        <f t="shared" si="0"/>
        <v>0.2</v>
      </c>
      <c r="G8" s="62"/>
    </row>
    <row r="9" spans="1:8">
      <c r="B9" s="111" t="s">
        <v>90</v>
      </c>
      <c r="C9" s="80">
        <v>0.01</v>
      </c>
      <c r="D9" s="80">
        <f>+SUM($C$5:C9)</f>
        <v>0.47000000000000003</v>
      </c>
      <c r="E9" s="80">
        <f>+E5+E7</f>
        <v>6</v>
      </c>
      <c r="F9" s="80">
        <f t="shared" si="0"/>
        <v>0.06</v>
      </c>
      <c r="G9" s="62"/>
    </row>
    <row r="10" spans="1:8">
      <c r="B10" s="111" t="s">
        <v>91</v>
      </c>
      <c r="C10" s="80">
        <v>0.01</v>
      </c>
      <c r="D10" s="80">
        <f>+SUM($C$5:C10)</f>
        <v>0.48000000000000004</v>
      </c>
      <c r="E10" s="80">
        <f>+E6+E7</f>
        <v>6</v>
      </c>
      <c r="F10" s="80">
        <f t="shared" si="0"/>
        <v>0.06</v>
      </c>
      <c r="G10" s="62"/>
    </row>
    <row r="11" spans="1:8">
      <c r="B11" s="111" t="s">
        <v>92</v>
      </c>
      <c r="C11" s="80">
        <v>5.0000000000000001E-3</v>
      </c>
      <c r="D11" s="80">
        <f>+SUM($C$5:C11)</f>
        <v>0.48500000000000004</v>
      </c>
      <c r="E11" s="80">
        <f>+E5+E6+E7</f>
        <v>8</v>
      </c>
      <c r="F11" s="80">
        <f t="shared" si="0"/>
        <v>0.04</v>
      </c>
      <c r="G11" s="62">
        <v>0</v>
      </c>
      <c r="H11" s="79" t="s">
        <v>94</v>
      </c>
    </row>
    <row r="12" spans="1:8">
      <c r="B12" s="86" t="s">
        <v>12</v>
      </c>
      <c r="C12" s="86">
        <f>+SUM(C5:C11)</f>
        <v>0.48500000000000004</v>
      </c>
      <c r="D12" s="86"/>
      <c r="E12" s="86"/>
      <c r="F12" s="93">
        <f>+SUM(F5:F11)</f>
        <v>1.2000000000000002</v>
      </c>
      <c r="G12" s="63"/>
    </row>
    <row r="13" spans="1:8">
      <c r="B13" s="87" t="s">
        <v>93</v>
      </c>
      <c r="G13" s="60"/>
    </row>
    <row r="14" spans="1:8">
      <c r="G14" s="60"/>
    </row>
    <row r="15" spans="1:8">
      <c r="A15" s="82" t="s">
        <v>14</v>
      </c>
      <c r="B15" s="84" t="s">
        <v>88</v>
      </c>
      <c r="C15" s="84" t="s">
        <v>11</v>
      </c>
      <c r="D15" s="84" t="s">
        <v>20</v>
      </c>
      <c r="E15" s="84" t="s">
        <v>9</v>
      </c>
      <c r="F15" s="84" t="s">
        <v>1</v>
      </c>
      <c r="G15" s="84" t="s">
        <v>52</v>
      </c>
    </row>
    <row r="16" spans="1:8">
      <c r="A16" s="79" t="s">
        <v>96</v>
      </c>
      <c r="B16" s="110">
        <v>2</v>
      </c>
      <c r="C16" s="83">
        <v>0.5</v>
      </c>
      <c r="D16" s="83">
        <f>+SUM(C16:$C$16)</f>
        <v>0.5</v>
      </c>
      <c r="E16" s="83">
        <f>+E6</f>
        <v>2</v>
      </c>
      <c r="F16" s="83">
        <f>+C16*E16</f>
        <v>1</v>
      </c>
      <c r="G16" s="62"/>
    </row>
    <row r="17" spans="1:10">
      <c r="A17" s="79" t="s">
        <v>97</v>
      </c>
      <c r="B17" s="110">
        <v>3</v>
      </c>
      <c r="C17" s="83">
        <v>0.02</v>
      </c>
      <c r="D17" s="83">
        <f>+SUM(C$16:$C17)</f>
        <v>0.52</v>
      </c>
      <c r="E17" s="83">
        <f>+E7</f>
        <v>4</v>
      </c>
      <c r="F17" s="83">
        <f t="shared" ref="F17:F18" si="1">+C17*E17</f>
        <v>0.08</v>
      </c>
      <c r="G17" s="62"/>
    </row>
    <row r="18" spans="1:10">
      <c r="B18" s="110" t="s">
        <v>91</v>
      </c>
      <c r="C18" s="83">
        <v>0.02</v>
      </c>
      <c r="D18" s="83">
        <f>+SUM(C$16:$C18)</f>
        <v>0.54</v>
      </c>
      <c r="E18" s="83">
        <f>+E16+E17</f>
        <v>6</v>
      </c>
      <c r="F18" s="83">
        <f t="shared" si="1"/>
        <v>0.12</v>
      </c>
      <c r="G18" s="62">
        <v>0</v>
      </c>
      <c r="H18" s="79" t="s">
        <v>94</v>
      </c>
    </row>
    <row r="19" spans="1:10">
      <c r="B19" s="86" t="s">
        <v>6</v>
      </c>
      <c r="C19" s="86">
        <f>+SUM(C16:C18)</f>
        <v>0.54</v>
      </c>
      <c r="D19" s="86"/>
      <c r="E19" s="86"/>
      <c r="F19" s="91">
        <f>+SUM(F16:F18)</f>
        <v>1.2000000000000002</v>
      </c>
      <c r="G19" s="64"/>
    </row>
    <row r="20" spans="1:10">
      <c r="B20" s="90"/>
      <c r="C20" s="90"/>
      <c r="D20" s="90"/>
      <c r="E20" s="90"/>
      <c r="F20" s="85"/>
      <c r="G20" s="65"/>
    </row>
    <row r="21" spans="1:10">
      <c r="B21" s="90"/>
      <c r="C21" s="90"/>
      <c r="D21" s="90"/>
      <c r="E21" s="90"/>
      <c r="F21" s="85"/>
      <c r="G21" s="65"/>
    </row>
    <row r="22" spans="1:10">
      <c r="A22" s="82" t="s">
        <v>15</v>
      </c>
      <c r="B22" s="84" t="s">
        <v>88</v>
      </c>
      <c r="C22" s="84" t="s">
        <v>11</v>
      </c>
      <c r="D22" s="84" t="s">
        <v>20</v>
      </c>
      <c r="E22" s="84" t="s">
        <v>9</v>
      </c>
      <c r="F22" s="84" t="s">
        <v>1</v>
      </c>
      <c r="G22" s="84" t="s">
        <v>52</v>
      </c>
    </row>
    <row r="23" spans="1:10">
      <c r="A23" s="79" t="s">
        <v>96</v>
      </c>
      <c r="B23" s="110">
        <v>1</v>
      </c>
      <c r="C23" s="83">
        <v>0.5</v>
      </c>
      <c r="D23" s="83">
        <f>+SUM(C23:$C$23)</f>
        <v>0.5</v>
      </c>
      <c r="E23" s="83">
        <f>+E5</f>
        <v>2</v>
      </c>
      <c r="F23" s="83">
        <f>+C23*E23</f>
        <v>1</v>
      </c>
      <c r="G23" s="62"/>
    </row>
    <row r="24" spans="1:10">
      <c r="A24" s="79" t="s">
        <v>98</v>
      </c>
      <c r="B24" s="110">
        <v>3</v>
      </c>
      <c r="C24" s="83">
        <v>0.02</v>
      </c>
      <c r="D24" s="83">
        <f>+SUM(C$23:$C24)</f>
        <v>0.52</v>
      </c>
      <c r="E24" s="83">
        <f>+E7</f>
        <v>4</v>
      </c>
      <c r="F24" s="83">
        <f t="shared" ref="F24:F25" si="2">+C24*E24</f>
        <v>0.08</v>
      </c>
      <c r="G24" s="62"/>
    </row>
    <row r="25" spans="1:10">
      <c r="B25" s="110" t="s">
        <v>90</v>
      </c>
      <c r="C25" s="83">
        <v>0.02</v>
      </c>
      <c r="D25" s="83">
        <f>+SUM(C$23:$C25)</f>
        <v>0.54</v>
      </c>
      <c r="E25" s="83">
        <f>+E23+E24</f>
        <v>6</v>
      </c>
      <c r="F25" s="83">
        <f t="shared" si="2"/>
        <v>0.12</v>
      </c>
      <c r="G25" s="62">
        <v>0</v>
      </c>
      <c r="H25" s="79" t="s">
        <v>94</v>
      </c>
      <c r="J25" s="92"/>
    </row>
    <row r="26" spans="1:10">
      <c r="B26" s="86" t="s">
        <v>6</v>
      </c>
      <c r="C26" s="86">
        <f>+SUM(C23:C25)</f>
        <v>0.54</v>
      </c>
      <c r="D26" s="86"/>
      <c r="E26" s="86"/>
      <c r="F26" s="91">
        <f>+SUM(F23:F25)</f>
        <v>1.2000000000000002</v>
      </c>
      <c r="G26" s="64"/>
    </row>
    <row r="27" spans="1:10">
      <c r="B27" s="90"/>
      <c r="C27" s="90"/>
      <c r="D27" s="90"/>
      <c r="E27" s="90"/>
      <c r="F27" s="85"/>
      <c r="G27" s="65"/>
    </row>
    <row r="28" spans="1:10">
      <c r="G28" s="60"/>
    </row>
    <row r="29" spans="1:10">
      <c r="A29" s="82" t="s">
        <v>16</v>
      </c>
      <c r="B29" s="84" t="s">
        <v>88</v>
      </c>
      <c r="C29" s="84" t="s">
        <v>11</v>
      </c>
      <c r="D29" s="84" t="s">
        <v>20</v>
      </c>
      <c r="E29" s="84" t="s">
        <v>9</v>
      </c>
      <c r="F29" s="84" t="s">
        <v>1</v>
      </c>
      <c r="G29" s="84" t="s">
        <v>52</v>
      </c>
    </row>
    <row r="30" spans="1:10">
      <c r="A30" s="79" t="s">
        <v>96</v>
      </c>
      <c r="B30" s="110">
        <v>3</v>
      </c>
      <c r="C30" s="83">
        <v>0.3</v>
      </c>
      <c r="D30" s="83">
        <f>+SUM(C30:$C$30)</f>
        <v>0.3</v>
      </c>
      <c r="E30" s="83">
        <f>+E7</f>
        <v>4</v>
      </c>
      <c r="F30" s="83">
        <f>+C30*E30</f>
        <v>1.2</v>
      </c>
      <c r="G30" s="62">
        <v>0</v>
      </c>
      <c r="H30" s="79" t="s">
        <v>94</v>
      </c>
    </row>
    <row r="31" spans="1:10">
      <c r="A31" s="79" t="s">
        <v>97</v>
      </c>
      <c r="B31" s="86" t="s">
        <v>6</v>
      </c>
      <c r="C31" s="86">
        <f>+SUM(C30:C30)</f>
        <v>0.3</v>
      </c>
      <c r="D31" s="86"/>
      <c r="E31" s="86"/>
      <c r="F31" s="91">
        <f>+SUM(F30:F30)</f>
        <v>1.2</v>
      </c>
      <c r="G31" s="64"/>
    </row>
    <row r="32" spans="1:10">
      <c r="A32" s="79" t="s">
        <v>98</v>
      </c>
      <c r="G32" s="60"/>
    </row>
    <row r="33" spans="1:8">
      <c r="G33" s="60"/>
    </row>
    <row r="34" spans="1:8">
      <c r="A34" s="82" t="s">
        <v>17</v>
      </c>
      <c r="B34" s="84" t="s">
        <v>88</v>
      </c>
      <c r="C34" s="84" t="s">
        <v>11</v>
      </c>
      <c r="D34" s="84" t="s">
        <v>20</v>
      </c>
      <c r="E34" s="84" t="s">
        <v>9</v>
      </c>
      <c r="F34" s="84" t="s">
        <v>1</v>
      </c>
      <c r="G34" s="84" t="s">
        <v>52</v>
      </c>
    </row>
    <row r="35" spans="1:8">
      <c r="A35" s="79" t="s">
        <v>96</v>
      </c>
      <c r="B35" s="110">
        <v>1</v>
      </c>
      <c r="C35" s="83">
        <v>0.28000000000000003</v>
      </c>
      <c r="D35" s="83">
        <f>+SUM(C35:$C$35)</f>
        <v>0.28000000000000003</v>
      </c>
      <c r="E35" s="83">
        <f>+E5</f>
        <v>2</v>
      </c>
      <c r="F35" s="83">
        <f>+C35*E35</f>
        <v>0.56000000000000005</v>
      </c>
      <c r="G35" s="62"/>
    </row>
    <row r="36" spans="1:8">
      <c r="A36" s="79" t="s">
        <v>99</v>
      </c>
      <c r="B36" s="110">
        <v>2</v>
      </c>
      <c r="C36" s="83">
        <v>0.28000000000000003</v>
      </c>
      <c r="D36" s="83">
        <f>+SUM(C$35:$C36)</f>
        <v>0.56000000000000005</v>
      </c>
      <c r="E36" s="83">
        <f>+E6</f>
        <v>2</v>
      </c>
      <c r="F36" s="83">
        <f t="shared" ref="F36:F37" si="3">+C36*E36</f>
        <v>0.56000000000000005</v>
      </c>
      <c r="G36" s="62"/>
    </row>
    <row r="37" spans="1:8">
      <c r="B37" s="110" t="s">
        <v>89</v>
      </c>
      <c r="C37" s="83">
        <v>0.02</v>
      </c>
      <c r="D37" s="83">
        <f>+SUM(C$35:$C37)</f>
        <v>0.58000000000000007</v>
      </c>
      <c r="E37" s="83">
        <f>+E35+E36</f>
        <v>4</v>
      </c>
      <c r="F37" s="83">
        <f t="shared" si="3"/>
        <v>0.08</v>
      </c>
      <c r="G37" s="62">
        <v>0</v>
      </c>
      <c r="H37" s="79" t="s">
        <v>94</v>
      </c>
    </row>
    <row r="38" spans="1:8">
      <c r="A38" s="88"/>
      <c r="B38" s="86" t="s">
        <v>6</v>
      </c>
      <c r="C38" s="86">
        <f>+SUM(C35:C37)</f>
        <v>0.58000000000000007</v>
      </c>
      <c r="D38" s="86"/>
      <c r="E38" s="86"/>
      <c r="F38" s="91">
        <f>+SUM(F35:F37)</f>
        <v>1.2000000000000002</v>
      </c>
      <c r="G38" s="64"/>
    </row>
    <row r="39" spans="1:8">
      <c r="A39" s="88"/>
      <c r="G39" s="60"/>
    </row>
    <row r="40" spans="1:8">
      <c r="G40" s="60"/>
    </row>
    <row r="41" spans="1:8">
      <c r="A41" s="82" t="s">
        <v>18</v>
      </c>
      <c r="B41" s="84" t="s">
        <v>88</v>
      </c>
      <c r="C41" s="84" t="s">
        <v>11</v>
      </c>
      <c r="D41" s="84" t="s">
        <v>20</v>
      </c>
      <c r="E41" s="84" t="s">
        <v>9</v>
      </c>
      <c r="F41" s="84" t="s">
        <v>1</v>
      </c>
      <c r="G41" s="78"/>
    </row>
    <row r="42" spans="1:8">
      <c r="A42" s="79" t="s">
        <v>96</v>
      </c>
      <c r="B42" s="110">
        <v>1</v>
      </c>
      <c r="C42" s="83">
        <v>0.6</v>
      </c>
      <c r="D42" s="83">
        <f>+SUM(C42:$C$42)</f>
        <v>0.6</v>
      </c>
      <c r="E42" s="83">
        <f>+E5</f>
        <v>2</v>
      </c>
      <c r="F42" s="83">
        <f>+E42*C42</f>
        <v>1.2</v>
      </c>
      <c r="G42" s="62">
        <v>0</v>
      </c>
      <c r="H42" s="79" t="s">
        <v>94</v>
      </c>
    </row>
    <row r="43" spans="1:8">
      <c r="A43" s="79" t="s">
        <v>98</v>
      </c>
      <c r="B43" s="86" t="s">
        <v>6</v>
      </c>
      <c r="C43" s="86">
        <f>+SUM(C42:C42)</f>
        <v>0.6</v>
      </c>
      <c r="D43" s="86"/>
      <c r="E43" s="86"/>
      <c r="F43" s="91">
        <f>+SUM(F42:F42)</f>
        <v>1.2</v>
      </c>
      <c r="G43" s="64"/>
    </row>
    <row r="44" spans="1:8">
      <c r="A44" s="79" t="s">
        <v>99</v>
      </c>
      <c r="G44" s="60"/>
    </row>
    <row r="45" spans="1:8">
      <c r="G45" s="60"/>
    </row>
    <row r="46" spans="1:8">
      <c r="A46" s="82" t="s">
        <v>19</v>
      </c>
      <c r="B46" s="84" t="s">
        <v>88</v>
      </c>
      <c r="C46" s="84" t="s">
        <v>11</v>
      </c>
      <c r="D46" s="84" t="s">
        <v>20</v>
      </c>
      <c r="E46" s="84" t="s">
        <v>9</v>
      </c>
      <c r="F46" s="84" t="s">
        <v>1</v>
      </c>
      <c r="G46" s="78"/>
    </row>
    <row r="47" spans="1:8">
      <c r="A47" s="79" t="s">
        <v>96</v>
      </c>
      <c r="B47" s="110">
        <v>2</v>
      </c>
      <c r="C47" s="83">
        <v>0.6</v>
      </c>
      <c r="D47" s="83">
        <f>+SUM(C$47:$C47)</f>
        <v>0.6</v>
      </c>
      <c r="E47" s="83">
        <f>+E6</f>
        <v>2</v>
      </c>
      <c r="F47" s="83">
        <f>+E47*C47</f>
        <v>1.2</v>
      </c>
      <c r="G47" s="62">
        <v>0</v>
      </c>
      <c r="H47" s="79" t="s">
        <v>94</v>
      </c>
    </row>
    <row r="48" spans="1:8">
      <c r="A48" s="79" t="s">
        <v>97</v>
      </c>
      <c r="B48" s="86" t="s">
        <v>6</v>
      </c>
      <c r="C48" s="86">
        <f>+SUM(C47:C47)</f>
        <v>0.6</v>
      </c>
      <c r="D48" s="86"/>
      <c r="E48" s="86"/>
      <c r="F48" s="91">
        <f>+SUM(F47:F47)</f>
        <v>1.2</v>
      </c>
      <c r="G48" s="64"/>
    </row>
    <row r="49" spans="1:7">
      <c r="A49" s="79" t="s">
        <v>99</v>
      </c>
      <c r="G49" s="61"/>
    </row>
    <row r="50" spans="1:7">
      <c r="G50" s="61"/>
    </row>
    <row r="51" spans="1:7">
      <c r="G51" s="61"/>
    </row>
    <row r="52" spans="1:7">
      <c r="G52" s="61"/>
    </row>
    <row r="53" spans="1:7">
      <c r="G53" s="61"/>
    </row>
    <row r="54" spans="1:7">
      <c r="G54" s="61"/>
    </row>
    <row r="55" spans="1:7">
      <c r="G55" s="61"/>
    </row>
    <row r="56" spans="1:7">
      <c r="G56" s="61"/>
    </row>
    <row r="57" spans="1:7">
      <c r="G57" s="61"/>
    </row>
    <row r="58" spans="1:7">
      <c r="G58" s="61"/>
    </row>
    <row r="59" spans="1:7">
      <c r="G59" s="61"/>
    </row>
    <row r="60" spans="1:7">
      <c r="G60" s="61"/>
    </row>
    <row r="61" spans="1:7">
      <c r="G61" s="61"/>
    </row>
    <row r="62" spans="1:7">
      <c r="G62" s="61"/>
    </row>
    <row r="63" spans="1:7">
      <c r="G63" s="61"/>
    </row>
    <row r="64" spans="1:7">
      <c r="G64" s="61"/>
    </row>
    <row r="65" spans="7:7">
      <c r="G65" s="61"/>
    </row>
    <row r="66" spans="7:7">
      <c r="G66" s="61"/>
    </row>
    <row r="67" spans="7:7">
      <c r="G67" s="61"/>
    </row>
    <row r="68" spans="7:7">
      <c r="G68" s="61"/>
    </row>
    <row r="69" spans="7:7">
      <c r="G69" s="61"/>
    </row>
    <row r="70" spans="7:7">
      <c r="G70" s="61"/>
    </row>
    <row r="71" spans="7:7">
      <c r="G71" s="60"/>
    </row>
    <row r="72" spans="7:7">
      <c r="G72" s="60"/>
    </row>
    <row r="73" spans="7:7">
      <c r="G73" s="60"/>
    </row>
    <row r="74" spans="7:7">
      <c r="G74" s="60"/>
    </row>
    <row r="75" spans="7:7">
      <c r="G75" s="60"/>
    </row>
    <row r="76" spans="7:7">
      <c r="G76" s="60"/>
    </row>
    <row r="77" spans="7:7">
      <c r="G77" s="60"/>
    </row>
    <row r="78" spans="7:7">
      <c r="G78" s="60"/>
    </row>
    <row r="79" spans="7:7">
      <c r="G79" s="60"/>
    </row>
    <row r="80" spans="7:7">
      <c r="G80" s="60"/>
    </row>
    <row r="81" spans="7:7">
      <c r="G81" s="60"/>
    </row>
    <row r="82" spans="7:7">
      <c r="G82" s="60"/>
    </row>
    <row r="83" spans="7:7">
      <c r="G83" s="60"/>
    </row>
    <row r="84" spans="7:7">
      <c r="G84" s="60"/>
    </row>
    <row r="85" spans="7:7">
      <c r="G85" s="60"/>
    </row>
    <row r="86" spans="7:7">
      <c r="G86" s="60"/>
    </row>
    <row r="87" spans="7:7">
      <c r="G87" s="60"/>
    </row>
    <row r="88" spans="7:7">
      <c r="G88" s="60"/>
    </row>
    <row r="89" spans="7:7">
      <c r="G89" s="60"/>
    </row>
    <row r="90" spans="7:7">
      <c r="G90" s="60"/>
    </row>
    <row r="91" spans="7:7">
      <c r="G91" s="60"/>
    </row>
    <row r="92" spans="7:7">
      <c r="G92" s="60"/>
    </row>
    <row r="93" spans="7:7">
      <c r="G93" s="60"/>
    </row>
    <row r="94" spans="7:7">
      <c r="G94" s="60"/>
    </row>
    <row r="95" spans="7:7">
      <c r="G95" s="60"/>
    </row>
    <row r="96" spans="7:7">
      <c r="G96" s="60"/>
    </row>
    <row r="97" spans="7:7">
      <c r="G97" s="60"/>
    </row>
    <row r="98" spans="7:7">
      <c r="G98" s="60"/>
    </row>
    <row r="99" spans="7:7">
      <c r="G99" s="60"/>
    </row>
    <row r="100" spans="7:7">
      <c r="G100" s="60"/>
    </row>
    <row r="101" spans="7:7">
      <c r="G101" s="60"/>
    </row>
    <row r="102" spans="7:7">
      <c r="G102" s="60"/>
    </row>
    <row r="103" spans="7:7">
      <c r="G103" s="60"/>
    </row>
    <row r="104" spans="7:7">
      <c r="G104" s="60"/>
    </row>
    <row r="105" spans="7:7">
      <c r="G105" s="60"/>
    </row>
    <row r="106" spans="7:7">
      <c r="G106" s="60"/>
    </row>
    <row r="107" spans="7:7">
      <c r="G107" s="60"/>
    </row>
    <row r="108" spans="7:7">
      <c r="G108" s="60"/>
    </row>
    <row r="109" spans="7:7">
      <c r="G109" s="60"/>
    </row>
    <row r="110" spans="7:7">
      <c r="G110" s="60"/>
    </row>
    <row r="111" spans="7:7">
      <c r="G111" s="60"/>
    </row>
    <row r="112" spans="7:7">
      <c r="G112" s="60"/>
    </row>
    <row r="113" spans="7:7">
      <c r="G113" s="60"/>
    </row>
    <row r="114" spans="7:7">
      <c r="G114" s="60"/>
    </row>
    <row r="115" spans="7:7">
      <c r="G115" s="60"/>
    </row>
    <row r="116" spans="7:7">
      <c r="G116" s="60"/>
    </row>
    <row r="117" spans="7:7">
      <c r="G117" s="60"/>
    </row>
    <row r="118" spans="7:7">
      <c r="G118" s="60"/>
    </row>
    <row r="119" spans="7:7">
      <c r="G119" s="60"/>
    </row>
    <row r="120" spans="7:7">
      <c r="G120" s="60"/>
    </row>
    <row r="121" spans="7:7">
      <c r="G121" s="60"/>
    </row>
    <row r="122" spans="7:7">
      <c r="G122" s="60"/>
    </row>
    <row r="123" spans="7:7">
      <c r="G123" s="60"/>
    </row>
    <row r="124" spans="7:7">
      <c r="G124" s="60"/>
    </row>
    <row r="125" spans="7:7">
      <c r="G125" s="60"/>
    </row>
    <row r="126" spans="7:7">
      <c r="G126" s="60"/>
    </row>
  </sheetData>
  <mergeCells count="1">
    <mergeCell ref="A1:E1"/>
  </mergeCells>
  <pageMargins left="0.7" right="0.7" top="0.75" bottom="0.75" header="0.3" footer="0.3"/>
  <pageSetup paperSize="9" orientation="portrait" horizontalDpi="200" verticalDpi="200" r:id="rId1"/>
</worksheet>
</file>

<file path=xl/worksheets/sheet11.xml><?xml version="1.0" encoding="utf-8"?>
<worksheet xmlns="http://schemas.openxmlformats.org/spreadsheetml/2006/main" xmlns:r="http://schemas.openxmlformats.org/officeDocument/2006/relationships">
  <sheetPr codeName="Hoja11"/>
  <dimension ref="A1:J126"/>
  <sheetViews>
    <sheetView workbookViewId="0">
      <selection sqref="A1:E1"/>
    </sheetView>
  </sheetViews>
  <sheetFormatPr baseColWidth="10" defaultRowHeight="14.4"/>
  <cols>
    <col min="1" max="1" width="40.6640625" style="79" customWidth="1"/>
    <col min="2" max="2" width="25.21875" style="79" bestFit="1" customWidth="1"/>
    <col min="3" max="3" width="11.5546875" style="79"/>
    <col min="4" max="4" width="15.5546875" style="79" bestFit="1" customWidth="1"/>
    <col min="5" max="5" width="11.5546875" style="79"/>
    <col min="6" max="6" width="13.33203125" style="79" customWidth="1"/>
    <col min="7" max="7" width="15.33203125" style="79" bestFit="1" customWidth="1"/>
    <col min="8" max="8" width="15.109375" style="79" customWidth="1"/>
    <col min="9" max="9" width="11.5546875" style="79"/>
    <col min="10" max="10" width="12.5546875" style="79" bestFit="1" customWidth="1"/>
    <col min="11" max="16384" width="11.5546875" style="79"/>
  </cols>
  <sheetData>
    <row r="1" spans="1:8" ht="18">
      <c r="A1" s="116" t="s">
        <v>110</v>
      </c>
      <c r="B1" s="116"/>
      <c r="C1" s="116"/>
      <c r="D1" s="116"/>
      <c r="E1" s="116"/>
    </row>
    <row r="2" spans="1:8">
      <c r="A2" s="89" t="s">
        <v>134</v>
      </c>
    </row>
    <row r="4" spans="1:8">
      <c r="A4" s="82" t="s">
        <v>10</v>
      </c>
      <c r="B4" s="84" t="s">
        <v>88</v>
      </c>
      <c r="C4" s="84" t="s">
        <v>11</v>
      </c>
      <c r="D4" s="84" t="s">
        <v>20</v>
      </c>
      <c r="E4" s="84" t="s">
        <v>9</v>
      </c>
      <c r="F4" s="84" t="s">
        <v>1</v>
      </c>
      <c r="G4" s="84" t="s">
        <v>52</v>
      </c>
    </row>
    <row r="5" spans="1:8">
      <c r="A5" s="79" t="s">
        <v>95</v>
      </c>
      <c r="B5" s="111">
        <v>1</v>
      </c>
      <c r="C5" s="80">
        <v>0.12</v>
      </c>
      <c r="D5" s="80">
        <f>+SUM($C$5:C5)</f>
        <v>0.12</v>
      </c>
      <c r="E5" s="94">
        <f>Summary!K27</f>
        <v>3</v>
      </c>
      <c r="F5" s="80">
        <f>+C5*E5</f>
        <v>0.36</v>
      </c>
      <c r="G5" s="62"/>
    </row>
    <row r="6" spans="1:8">
      <c r="B6" s="111">
        <v>2</v>
      </c>
      <c r="C6" s="80">
        <v>0.12</v>
      </c>
      <c r="D6" s="80">
        <f>+SUM($C$5:C6)</f>
        <v>0.24</v>
      </c>
      <c r="E6" s="94">
        <f>Summary!K28</f>
        <v>3</v>
      </c>
      <c r="F6" s="80">
        <f t="shared" ref="F6:F11" si="0">+C6*E6</f>
        <v>0.36</v>
      </c>
      <c r="G6" s="62"/>
    </row>
    <row r="7" spans="1:8">
      <c r="B7" s="111">
        <v>3</v>
      </c>
      <c r="C7" s="80">
        <v>0.02</v>
      </c>
      <c r="D7" s="80">
        <f>+SUM($C$5:C7)</f>
        <v>0.26</v>
      </c>
      <c r="E7" s="94">
        <f>Summary!K29</f>
        <v>6</v>
      </c>
      <c r="F7" s="80">
        <f t="shared" si="0"/>
        <v>0.12</v>
      </c>
      <c r="G7" s="62"/>
    </row>
    <row r="8" spans="1:8">
      <c r="B8" s="111" t="s">
        <v>89</v>
      </c>
      <c r="C8" s="80">
        <v>0.02</v>
      </c>
      <c r="D8" s="80">
        <f>+SUM($C$5:C8)</f>
        <v>0.28000000000000003</v>
      </c>
      <c r="E8" s="80">
        <f>+E5+E6</f>
        <v>6</v>
      </c>
      <c r="F8" s="80">
        <f t="shared" si="0"/>
        <v>0.12</v>
      </c>
      <c r="G8" s="62"/>
    </row>
    <row r="9" spans="1:8">
      <c r="B9" s="111" t="s">
        <v>90</v>
      </c>
      <c r="C9" s="80">
        <v>0.01</v>
      </c>
      <c r="D9" s="80">
        <f>+SUM($C$5:C9)</f>
        <v>0.29000000000000004</v>
      </c>
      <c r="E9" s="80">
        <f>+E5+E7</f>
        <v>9</v>
      </c>
      <c r="F9" s="80">
        <f t="shared" si="0"/>
        <v>0.09</v>
      </c>
      <c r="G9" s="62"/>
    </row>
    <row r="10" spans="1:8">
      <c r="B10" s="111" t="s">
        <v>91</v>
      </c>
      <c r="C10" s="80">
        <v>0.01</v>
      </c>
      <c r="D10" s="80">
        <f>+SUM($C$5:C10)</f>
        <v>0.30000000000000004</v>
      </c>
      <c r="E10" s="80">
        <f>+E6+E7</f>
        <v>9</v>
      </c>
      <c r="F10" s="80">
        <f t="shared" si="0"/>
        <v>0.09</v>
      </c>
      <c r="G10" s="62"/>
    </row>
    <row r="11" spans="1:8">
      <c r="B11" s="111" t="s">
        <v>92</v>
      </c>
      <c r="C11" s="80">
        <v>5.0000000000000001E-3</v>
      </c>
      <c r="D11" s="80">
        <f>+SUM($C$5:C11)</f>
        <v>0.30500000000000005</v>
      </c>
      <c r="E11" s="80">
        <f>+E5+E6+E7</f>
        <v>12</v>
      </c>
      <c r="F11" s="80">
        <f t="shared" si="0"/>
        <v>0.06</v>
      </c>
      <c r="G11" s="62">
        <v>0</v>
      </c>
      <c r="H11" s="79" t="s">
        <v>94</v>
      </c>
    </row>
    <row r="12" spans="1:8">
      <c r="B12" s="86" t="s">
        <v>12</v>
      </c>
      <c r="C12" s="86">
        <f>+SUM(C5:C11)</f>
        <v>0.30500000000000005</v>
      </c>
      <c r="D12" s="86"/>
      <c r="E12" s="86"/>
      <c r="F12" s="93">
        <f>+SUM(F5:F11)</f>
        <v>1.2000000000000002</v>
      </c>
      <c r="G12" s="63"/>
    </row>
    <row r="13" spans="1:8">
      <c r="B13" s="87" t="s">
        <v>93</v>
      </c>
      <c r="G13" s="60"/>
    </row>
    <row r="14" spans="1:8">
      <c r="G14" s="60"/>
    </row>
    <row r="15" spans="1:8">
      <c r="A15" s="82" t="s">
        <v>14</v>
      </c>
      <c r="B15" s="84" t="s">
        <v>88</v>
      </c>
      <c r="C15" s="84" t="s">
        <v>11</v>
      </c>
      <c r="D15" s="84" t="s">
        <v>20</v>
      </c>
      <c r="E15" s="84" t="s">
        <v>9</v>
      </c>
      <c r="F15" s="84" t="s">
        <v>1</v>
      </c>
      <c r="G15" s="84" t="s">
        <v>52</v>
      </c>
    </row>
    <row r="16" spans="1:8">
      <c r="A16" s="79" t="s">
        <v>96</v>
      </c>
      <c r="B16" s="110">
        <v>2</v>
      </c>
      <c r="C16" s="83">
        <v>0.3</v>
      </c>
      <c r="D16" s="83">
        <f>+SUM(C16:$C$16)</f>
        <v>0.3</v>
      </c>
      <c r="E16" s="83">
        <f>+E6</f>
        <v>3</v>
      </c>
      <c r="F16" s="83">
        <f>+C16*E16</f>
        <v>0.89999999999999991</v>
      </c>
      <c r="G16" s="62"/>
    </row>
    <row r="17" spans="1:10">
      <c r="A17" s="79" t="s">
        <v>97</v>
      </c>
      <c r="B17" s="110">
        <v>3</v>
      </c>
      <c r="C17" s="83">
        <v>0.02</v>
      </c>
      <c r="D17" s="83">
        <f>+SUM(C$16:$C17)</f>
        <v>0.32</v>
      </c>
      <c r="E17" s="83">
        <f>+E7</f>
        <v>6</v>
      </c>
      <c r="F17" s="83">
        <f t="shared" ref="F17:F18" si="1">+C17*E17</f>
        <v>0.12</v>
      </c>
      <c r="G17" s="62"/>
    </row>
    <row r="18" spans="1:10">
      <c r="B18" s="110" t="s">
        <v>91</v>
      </c>
      <c r="C18" s="83">
        <v>0.02</v>
      </c>
      <c r="D18" s="83">
        <f>+SUM(C$16:$C18)</f>
        <v>0.34</v>
      </c>
      <c r="E18" s="83">
        <f>+E16+E17</f>
        <v>9</v>
      </c>
      <c r="F18" s="83">
        <f t="shared" si="1"/>
        <v>0.18</v>
      </c>
      <c r="G18" s="62">
        <v>0</v>
      </c>
      <c r="H18" s="79" t="s">
        <v>94</v>
      </c>
    </row>
    <row r="19" spans="1:10">
      <c r="B19" s="86" t="s">
        <v>6</v>
      </c>
      <c r="C19" s="86">
        <f>+SUM(C16:C18)</f>
        <v>0.34</v>
      </c>
      <c r="D19" s="86"/>
      <c r="E19" s="86"/>
      <c r="F19" s="91">
        <f>+SUM(F16:F18)</f>
        <v>1.2</v>
      </c>
      <c r="G19" s="64"/>
    </row>
    <row r="20" spans="1:10">
      <c r="B20" s="90"/>
      <c r="C20" s="90"/>
      <c r="D20" s="90"/>
      <c r="E20" s="90"/>
      <c r="F20" s="85"/>
      <c r="G20" s="65"/>
    </row>
    <row r="21" spans="1:10">
      <c r="B21" s="90"/>
      <c r="C21" s="90"/>
      <c r="D21" s="90"/>
      <c r="E21" s="90"/>
      <c r="F21" s="85"/>
      <c r="G21" s="65"/>
    </row>
    <row r="22" spans="1:10">
      <c r="A22" s="82" t="s">
        <v>15</v>
      </c>
      <c r="B22" s="84" t="s">
        <v>88</v>
      </c>
      <c r="C22" s="84" t="s">
        <v>11</v>
      </c>
      <c r="D22" s="84" t="s">
        <v>20</v>
      </c>
      <c r="E22" s="84" t="s">
        <v>9</v>
      </c>
      <c r="F22" s="84" t="s">
        <v>1</v>
      </c>
      <c r="G22" s="84" t="s">
        <v>52</v>
      </c>
    </row>
    <row r="23" spans="1:10">
      <c r="A23" s="79" t="s">
        <v>96</v>
      </c>
      <c r="B23" s="110">
        <v>1</v>
      </c>
      <c r="C23" s="83">
        <v>0.3</v>
      </c>
      <c r="D23" s="83">
        <f>+SUM(C23:$C$23)</f>
        <v>0.3</v>
      </c>
      <c r="E23" s="83">
        <f>+E5</f>
        <v>3</v>
      </c>
      <c r="F23" s="83">
        <f>+C23*E23</f>
        <v>0.89999999999999991</v>
      </c>
      <c r="G23" s="62"/>
    </row>
    <row r="24" spans="1:10">
      <c r="A24" s="79" t="s">
        <v>98</v>
      </c>
      <c r="B24" s="110">
        <v>3</v>
      </c>
      <c r="C24" s="83">
        <v>0.02</v>
      </c>
      <c r="D24" s="83">
        <f>+SUM(C$23:$C24)</f>
        <v>0.32</v>
      </c>
      <c r="E24" s="83">
        <f>+E7</f>
        <v>6</v>
      </c>
      <c r="F24" s="83">
        <f t="shared" ref="F24:F25" si="2">+C24*E24</f>
        <v>0.12</v>
      </c>
      <c r="G24" s="62"/>
    </row>
    <row r="25" spans="1:10">
      <c r="B25" s="110" t="s">
        <v>90</v>
      </c>
      <c r="C25" s="83">
        <v>0.02</v>
      </c>
      <c r="D25" s="83">
        <f>+SUM(C$23:$C25)</f>
        <v>0.34</v>
      </c>
      <c r="E25" s="83">
        <f>+E23+E24</f>
        <v>9</v>
      </c>
      <c r="F25" s="83">
        <f t="shared" si="2"/>
        <v>0.18</v>
      </c>
      <c r="G25" s="62">
        <v>0</v>
      </c>
      <c r="H25" s="79" t="s">
        <v>94</v>
      </c>
      <c r="J25" s="92"/>
    </row>
    <row r="26" spans="1:10">
      <c r="B26" s="86" t="s">
        <v>6</v>
      </c>
      <c r="C26" s="86">
        <f>+SUM(C23:C25)</f>
        <v>0.34</v>
      </c>
      <c r="D26" s="86"/>
      <c r="E26" s="86"/>
      <c r="F26" s="91">
        <f>+SUM(F23:F25)</f>
        <v>1.2</v>
      </c>
      <c r="G26" s="64"/>
    </row>
    <row r="27" spans="1:10">
      <c r="B27" s="90"/>
      <c r="C27" s="90"/>
      <c r="D27" s="90"/>
      <c r="E27" s="90"/>
      <c r="F27" s="85"/>
      <c r="G27" s="65"/>
    </row>
    <row r="28" spans="1:10">
      <c r="G28" s="60"/>
    </row>
    <row r="29" spans="1:10">
      <c r="A29" s="82" t="s">
        <v>16</v>
      </c>
      <c r="B29" s="84" t="s">
        <v>88</v>
      </c>
      <c r="C29" s="84" t="s">
        <v>11</v>
      </c>
      <c r="D29" s="84" t="s">
        <v>20</v>
      </c>
      <c r="E29" s="84" t="s">
        <v>9</v>
      </c>
      <c r="F29" s="84" t="s">
        <v>1</v>
      </c>
      <c r="G29" s="84" t="s">
        <v>52</v>
      </c>
    </row>
    <row r="30" spans="1:10">
      <c r="A30" s="79" t="s">
        <v>96</v>
      </c>
      <c r="B30" s="110">
        <v>3</v>
      </c>
      <c r="C30" s="83">
        <v>0.2</v>
      </c>
      <c r="D30" s="83">
        <f>+SUM(C30:$C$30)</f>
        <v>0.2</v>
      </c>
      <c r="E30" s="83">
        <f>+E7</f>
        <v>6</v>
      </c>
      <c r="F30" s="83">
        <f>+C30*E30</f>
        <v>1.2000000000000002</v>
      </c>
      <c r="G30" s="62">
        <v>0</v>
      </c>
      <c r="H30" s="79" t="s">
        <v>94</v>
      </c>
    </row>
    <row r="31" spans="1:10">
      <c r="A31" s="79" t="s">
        <v>97</v>
      </c>
      <c r="B31" s="86" t="s">
        <v>6</v>
      </c>
      <c r="C31" s="86">
        <f>+SUM(C30:C30)</f>
        <v>0.2</v>
      </c>
      <c r="D31" s="86"/>
      <c r="E31" s="86"/>
      <c r="F31" s="91">
        <f>+SUM(F30:F30)</f>
        <v>1.2000000000000002</v>
      </c>
      <c r="G31" s="64"/>
    </row>
    <row r="32" spans="1:10">
      <c r="A32" s="79" t="s">
        <v>98</v>
      </c>
      <c r="G32" s="60"/>
    </row>
    <row r="33" spans="1:8">
      <c r="G33" s="60"/>
    </row>
    <row r="34" spans="1:8">
      <c r="A34" s="82" t="s">
        <v>17</v>
      </c>
      <c r="B34" s="84" t="s">
        <v>88</v>
      </c>
      <c r="C34" s="84" t="s">
        <v>11</v>
      </c>
      <c r="D34" s="84" t="s">
        <v>20</v>
      </c>
      <c r="E34" s="84" t="s">
        <v>9</v>
      </c>
      <c r="F34" s="84" t="s">
        <v>1</v>
      </c>
      <c r="G34" s="84" t="s">
        <v>52</v>
      </c>
    </row>
    <row r="35" spans="1:8">
      <c r="A35" s="79" t="s">
        <v>96</v>
      </c>
      <c r="B35" s="110">
        <v>1</v>
      </c>
      <c r="C35" s="83">
        <v>0.16</v>
      </c>
      <c r="D35" s="83">
        <f>+SUM(C35:$C$35)</f>
        <v>0.16</v>
      </c>
      <c r="E35" s="83">
        <f>+E5</f>
        <v>3</v>
      </c>
      <c r="F35" s="83">
        <f>+C35*E35</f>
        <v>0.48</v>
      </c>
      <c r="G35" s="62"/>
    </row>
    <row r="36" spans="1:8">
      <c r="A36" s="79" t="s">
        <v>99</v>
      </c>
      <c r="B36" s="110">
        <v>2</v>
      </c>
      <c r="C36" s="83">
        <v>0.16</v>
      </c>
      <c r="D36" s="83">
        <f>+SUM(C$35:$C36)</f>
        <v>0.32</v>
      </c>
      <c r="E36" s="83">
        <f>+E6</f>
        <v>3</v>
      </c>
      <c r="F36" s="83">
        <f t="shared" ref="F36:F37" si="3">+C36*E36</f>
        <v>0.48</v>
      </c>
      <c r="G36" s="62"/>
    </row>
    <row r="37" spans="1:8">
      <c r="B37" s="110" t="s">
        <v>89</v>
      </c>
      <c r="C37" s="83">
        <v>0.04</v>
      </c>
      <c r="D37" s="83">
        <f>+SUM(C$35:$C37)</f>
        <v>0.36</v>
      </c>
      <c r="E37" s="83">
        <f>+E35+E36</f>
        <v>6</v>
      </c>
      <c r="F37" s="83">
        <f t="shared" si="3"/>
        <v>0.24</v>
      </c>
      <c r="G37" s="62">
        <v>0</v>
      </c>
      <c r="H37" s="79" t="s">
        <v>94</v>
      </c>
    </row>
    <row r="38" spans="1:8">
      <c r="A38" s="88"/>
      <c r="B38" s="86" t="s">
        <v>6</v>
      </c>
      <c r="C38" s="86">
        <f>+SUM(C35:C37)</f>
        <v>0.36</v>
      </c>
      <c r="D38" s="86"/>
      <c r="E38" s="86"/>
      <c r="F38" s="91">
        <f>+SUM(F35:F37)</f>
        <v>1.2</v>
      </c>
      <c r="G38" s="64"/>
    </row>
    <row r="39" spans="1:8">
      <c r="A39" s="88"/>
      <c r="G39" s="60"/>
    </row>
    <row r="40" spans="1:8">
      <c r="G40" s="60"/>
    </row>
    <row r="41" spans="1:8">
      <c r="A41" s="82" t="s">
        <v>18</v>
      </c>
      <c r="B41" s="84" t="s">
        <v>88</v>
      </c>
      <c r="C41" s="84" t="s">
        <v>11</v>
      </c>
      <c r="D41" s="84" t="s">
        <v>20</v>
      </c>
      <c r="E41" s="84" t="s">
        <v>9</v>
      </c>
      <c r="F41" s="84" t="s">
        <v>1</v>
      </c>
      <c r="G41" s="78"/>
    </row>
    <row r="42" spans="1:8">
      <c r="A42" s="79" t="s">
        <v>96</v>
      </c>
      <c r="B42" s="110">
        <v>1</v>
      </c>
      <c r="C42" s="83">
        <v>0.4</v>
      </c>
      <c r="D42" s="83">
        <f>+SUM(C42:$C$42)</f>
        <v>0.4</v>
      </c>
      <c r="E42" s="83">
        <f>+E5</f>
        <v>3</v>
      </c>
      <c r="F42" s="83">
        <f>+E42*C42</f>
        <v>1.2000000000000002</v>
      </c>
      <c r="G42" s="62">
        <v>0</v>
      </c>
      <c r="H42" s="79" t="s">
        <v>94</v>
      </c>
    </row>
    <row r="43" spans="1:8">
      <c r="A43" s="79" t="s">
        <v>98</v>
      </c>
      <c r="B43" s="86" t="s">
        <v>6</v>
      </c>
      <c r="C43" s="86">
        <f>+SUM(C42:C42)</f>
        <v>0.4</v>
      </c>
      <c r="D43" s="86"/>
      <c r="E43" s="86"/>
      <c r="F43" s="91">
        <f>+SUM(F42:F42)</f>
        <v>1.2000000000000002</v>
      </c>
      <c r="G43" s="64"/>
    </row>
    <row r="44" spans="1:8">
      <c r="A44" s="79" t="s">
        <v>99</v>
      </c>
      <c r="G44" s="60"/>
    </row>
    <row r="45" spans="1:8">
      <c r="G45" s="60"/>
    </row>
    <row r="46" spans="1:8">
      <c r="A46" s="82" t="s">
        <v>19</v>
      </c>
      <c r="B46" s="84" t="s">
        <v>88</v>
      </c>
      <c r="C46" s="84" t="s">
        <v>11</v>
      </c>
      <c r="D46" s="84" t="s">
        <v>20</v>
      </c>
      <c r="E46" s="84" t="s">
        <v>9</v>
      </c>
      <c r="F46" s="84" t="s">
        <v>1</v>
      </c>
      <c r="G46" s="78"/>
    </row>
    <row r="47" spans="1:8">
      <c r="A47" s="79" t="s">
        <v>96</v>
      </c>
      <c r="B47" s="110">
        <v>2</v>
      </c>
      <c r="C47" s="83">
        <v>0.4</v>
      </c>
      <c r="D47" s="83">
        <f>+SUM(C$47:$C47)</f>
        <v>0.4</v>
      </c>
      <c r="E47" s="83">
        <f>+E6</f>
        <v>3</v>
      </c>
      <c r="F47" s="83">
        <f>+E47*C47</f>
        <v>1.2000000000000002</v>
      </c>
      <c r="G47" s="62">
        <v>0</v>
      </c>
      <c r="H47" s="79" t="s">
        <v>94</v>
      </c>
    </row>
    <row r="48" spans="1:8">
      <c r="A48" s="79" t="s">
        <v>97</v>
      </c>
      <c r="B48" s="86" t="s">
        <v>6</v>
      </c>
      <c r="C48" s="86">
        <f>+SUM(C47:C47)</f>
        <v>0.4</v>
      </c>
      <c r="D48" s="86"/>
      <c r="E48" s="86"/>
      <c r="F48" s="91">
        <f>+SUM(F47:F47)</f>
        <v>1.2000000000000002</v>
      </c>
      <c r="G48" s="64"/>
    </row>
    <row r="49" spans="1:7">
      <c r="A49" s="79" t="s">
        <v>99</v>
      </c>
      <c r="G49" s="61"/>
    </row>
    <row r="50" spans="1:7">
      <c r="G50" s="61"/>
    </row>
    <row r="51" spans="1:7">
      <c r="G51" s="61"/>
    </row>
    <row r="52" spans="1:7">
      <c r="G52" s="61"/>
    </row>
    <row r="53" spans="1:7">
      <c r="G53" s="61"/>
    </row>
    <row r="54" spans="1:7">
      <c r="G54" s="61"/>
    </row>
    <row r="55" spans="1:7">
      <c r="G55" s="61"/>
    </row>
    <row r="56" spans="1:7">
      <c r="G56" s="61"/>
    </row>
    <row r="57" spans="1:7">
      <c r="G57" s="61"/>
    </row>
    <row r="58" spans="1:7">
      <c r="G58" s="61"/>
    </row>
    <row r="59" spans="1:7">
      <c r="G59" s="61"/>
    </row>
    <row r="60" spans="1:7">
      <c r="G60" s="61"/>
    </row>
    <row r="61" spans="1:7">
      <c r="G61" s="61"/>
    </row>
    <row r="62" spans="1:7">
      <c r="G62" s="61"/>
    </row>
    <row r="63" spans="1:7">
      <c r="G63" s="61"/>
    </row>
    <row r="64" spans="1:7">
      <c r="G64" s="61"/>
    </row>
    <row r="65" spans="7:7">
      <c r="G65" s="61"/>
    </row>
    <row r="66" spans="7:7">
      <c r="G66" s="61"/>
    </row>
    <row r="67" spans="7:7">
      <c r="G67" s="61"/>
    </row>
    <row r="68" spans="7:7">
      <c r="G68" s="61"/>
    </row>
    <row r="69" spans="7:7">
      <c r="G69" s="61"/>
    </row>
    <row r="70" spans="7:7">
      <c r="G70" s="61"/>
    </row>
    <row r="71" spans="7:7">
      <c r="G71" s="60"/>
    </row>
    <row r="72" spans="7:7">
      <c r="G72" s="60"/>
    </row>
    <row r="73" spans="7:7">
      <c r="G73" s="60"/>
    </row>
    <row r="74" spans="7:7">
      <c r="G74" s="60"/>
    </row>
    <row r="75" spans="7:7">
      <c r="G75" s="60"/>
    </row>
    <row r="76" spans="7:7">
      <c r="G76" s="60"/>
    </row>
    <row r="77" spans="7:7">
      <c r="G77" s="60"/>
    </row>
    <row r="78" spans="7:7">
      <c r="G78" s="60"/>
    </row>
    <row r="79" spans="7:7">
      <c r="G79" s="60"/>
    </row>
    <row r="80" spans="7:7">
      <c r="G80" s="60"/>
    </row>
    <row r="81" spans="7:7">
      <c r="G81" s="60"/>
    </row>
    <row r="82" spans="7:7">
      <c r="G82" s="60"/>
    </row>
    <row r="83" spans="7:7">
      <c r="G83" s="60"/>
    </row>
    <row r="84" spans="7:7">
      <c r="G84" s="60"/>
    </row>
    <row r="85" spans="7:7">
      <c r="G85" s="60"/>
    </row>
    <row r="86" spans="7:7">
      <c r="G86" s="60"/>
    </row>
    <row r="87" spans="7:7">
      <c r="G87" s="60"/>
    </row>
    <row r="88" spans="7:7">
      <c r="G88" s="60"/>
    </row>
    <row r="89" spans="7:7">
      <c r="G89" s="60"/>
    </row>
    <row r="90" spans="7:7">
      <c r="G90" s="60"/>
    </row>
    <row r="91" spans="7:7">
      <c r="G91" s="60"/>
    </row>
    <row r="92" spans="7:7">
      <c r="G92" s="60"/>
    </row>
    <row r="93" spans="7:7">
      <c r="G93" s="60"/>
    </row>
    <row r="94" spans="7:7">
      <c r="G94" s="60"/>
    </row>
    <row r="95" spans="7:7">
      <c r="G95" s="60"/>
    </row>
    <row r="96" spans="7:7">
      <c r="G96" s="60"/>
    </row>
    <row r="97" spans="7:7">
      <c r="G97" s="60"/>
    </row>
    <row r="98" spans="7:7">
      <c r="G98" s="60"/>
    </row>
    <row r="99" spans="7:7">
      <c r="G99" s="60"/>
    </row>
    <row r="100" spans="7:7">
      <c r="G100" s="60"/>
    </row>
    <row r="101" spans="7:7">
      <c r="G101" s="60"/>
    </row>
    <row r="102" spans="7:7">
      <c r="G102" s="60"/>
    </row>
    <row r="103" spans="7:7">
      <c r="G103" s="60"/>
    </row>
    <row r="104" spans="7:7">
      <c r="G104" s="60"/>
    </row>
    <row r="105" spans="7:7">
      <c r="G105" s="60"/>
    </row>
    <row r="106" spans="7:7">
      <c r="G106" s="60"/>
    </row>
    <row r="107" spans="7:7">
      <c r="G107" s="60"/>
    </row>
    <row r="108" spans="7:7">
      <c r="G108" s="60"/>
    </row>
    <row r="109" spans="7:7">
      <c r="G109" s="60"/>
    </row>
    <row r="110" spans="7:7">
      <c r="G110" s="60"/>
    </row>
    <row r="111" spans="7:7">
      <c r="G111" s="60"/>
    </row>
    <row r="112" spans="7:7">
      <c r="G112" s="60"/>
    </row>
    <row r="113" spans="7:7">
      <c r="G113" s="60"/>
    </row>
    <row r="114" spans="7:7">
      <c r="G114" s="60"/>
    </row>
    <row r="115" spans="7:7">
      <c r="G115" s="60"/>
    </row>
    <row r="116" spans="7:7">
      <c r="G116" s="60"/>
    </row>
    <row r="117" spans="7:7">
      <c r="G117" s="60"/>
    </row>
    <row r="118" spans="7:7">
      <c r="G118" s="60"/>
    </row>
    <row r="119" spans="7:7">
      <c r="G119" s="60"/>
    </row>
    <row r="120" spans="7:7">
      <c r="G120" s="60"/>
    </row>
    <row r="121" spans="7:7">
      <c r="G121" s="60"/>
    </row>
    <row r="122" spans="7:7">
      <c r="G122" s="60"/>
    </row>
    <row r="123" spans="7:7">
      <c r="G123" s="60"/>
    </row>
    <row r="124" spans="7:7">
      <c r="G124" s="60"/>
    </row>
    <row r="125" spans="7:7">
      <c r="G125" s="60"/>
    </row>
    <row r="126" spans="7:7">
      <c r="G126" s="60"/>
    </row>
  </sheetData>
  <mergeCells count="1">
    <mergeCell ref="A1:E1"/>
  </mergeCells>
  <pageMargins left="0.7" right="0.7" top="0.75" bottom="0.75" header="0.3" footer="0.3"/>
  <pageSetup paperSize="9" orientation="portrait" horizontalDpi="200" verticalDpi="200" r:id="rId1"/>
</worksheet>
</file>

<file path=xl/worksheets/sheet12.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79" customWidth="1"/>
    <col min="2" max="2" width="25.21875" style="79" bestFit="1" customWidth="1"/>
    <col min="3" max="3" width="11.5546875" style="79"/>
    <col min="4" max="4" width="15.5546875" style="79" bestFit="1" customWidth="1"/>
    <col min="5" max="5" width="11.5546875" style="79"/>
    <col min="6" max="6" width="13.33203125" style="79" customWidth="1"/>
    <col min="7" max="7" width="15.33203125" style="79" bestFit="1" customWidth="1"/>
    <col min="8" max="8" width="15.88671875" style="79" customWidth="1"/>
    <col min="9" max="9" width="12" style="79" customWidth="1"/>
    <col min="10" max="16384" width="11.5546875" style="79"/>
  </cols>
  <sheetData>
    <row r="1" spans="1:9" ht="18">
      <c r="A1" s="116" t="s">
        <v>116</v>
      </c>
      <c r="B1" s="116"/>
      <c r="C1" s="116"/>
      <c r="D1" s="116"/>
      <c r="E1" s="116"/>
    </row>
    <row r="2" spans="1:9">
      <c r="A2" s="89" t="s">
        <v>134</v>
      </c>
    </row>
    <row r="4" spans="1:9">
      <c r="A4" s="82" t="s">
        <v>10</v>
      </c>
      <c r="B4" s="84" t="s">
        <v>88</v>
      </c>
      <c r="C4" s="84" t="s">
        <v>11</v>
      </c>
      <c r="D4" s="84" t="s">
        <v>20</v>
      </c>
      <c r="E4" s="84" t="s">
        <v>9</v>
      </c>
      <c r="F4" s="84" t="s">
        <v>1</v>
      </c>
      <c r="G4" s="84" t="s">
        <v>52</v>
      </c>
    </row>
    <row r="5" spans="1:9">
      <c r="A5" s="79" t="s">
        <v>95</v>
      </c>
      <c r="B5" s="111">
        <v>1</v>
      </c>
      <c r="C5" s="52">
        <v>0.26</v>
      </c>
      <c r="D5" s="80">
        <f>+SUM($C$5:C5)</f>
        <v>0.26</v>
      </c>
      <c r="E5" s="80">
        <f>+Summary!B27</f>
        <v>2</v>
      </c>
      <c r="F5" s="80">
        <f>+C5*E5</f>
        <v>0.52</v>
      </c>
      <c r="G5" s="62"/>
    </row>
    <row r="6" spans="1:9">
      <c r="B6" s="111">
        <v>2</v>
      </c>
      <c r="C6" s="52">
        <v>0.16</v>
      </c>
      <c r="D6" s="80">
        <f>+SUM($C$5:C6)</f>
        <v>0.42000000000000004</v>
      </c>
      <c r="E6" s="80">
        <f>+Summary!B28</f>
        <v>3</v>
      </c>
      <c r="F6" s="80">
        <f t="shared" ref="F6:F7" si="0">+C6*E6</f>
        <v>0.48</v>
      </c>
      <c r="G6" s="62"/>
    </row>
    <row r="7" spans="1:9">
      <c r="B7" s="111" t="s">
        <v>89</v>
      </c>
      <c r="C7" s="52">
        <v>0.04</v>
      </c>
      <c r="D7" s="80">
        <f>+SUM($C$5:C7)</f>
        <v>0.46</v>
      </c>
      <c r="E7" s="80">
        <f>+E5+E6</f>
        <v>5</v>
      </c>
      <c r="F7" s="80">
        <f t="shared" si="0"/>
        <v>0.2</v>
      </c>
      <c r="G7" s="62">
        <v>0</v>
      </c>
      <c r="H7" s="79" t="s">
        <v>94</v>
      </c>
      <c r="I7" s="113"/>
    </row>
    <row r="8" spans="1:9">
      <c r="B8" s="86" t="s">
        <v>12</v>
      </c>
      <c r="C8" s="86">
        <f>+SUM(C5:C7)</f>
        <v>0.46</v>
      </c>
      <c r="D8" s="86"/>
      <c r="E8" s="86"/>
      <c r="F8" s="72">
        <f>+SUM(F5:F7)</f>
        <v>1.2</v>
      </c>
      <c r="G8" s="63"/>
    </row>
    <row r="9" spans="1:9">
      <c r="B9" s="87" t="s">
        <v>93</v>
      </c>
      <c r="G9" s="60"/>
    </row>
    <row r="10" spans="1:9">
      <c r="G10" s="60"/>
    </row>
    <row r="11" spans="1:9">
      <c r="G11" s="60"/>
    </row>
    <row r="12" spans="1:9">
      <c r="A12" s="82" t="s">
        <v>18</v>
      </c>
      <c r="B12" s="84" t="s">
        <v>88</v>
      </c>
      <c r="C12" s="84" t="s">
        <v>11</v>
      </c>
      <c r="D12" s="84" t="s">
        <v>20</v>
      </c>
      <c r="E12" s="84" t="s">
        <v>9</v>
      </c>
      <c r="F12" s="84" t="s">
        <v>1</v>
      </c>
      <c r="G12" s="84" t="s">
        <v>52</v>
      </c>
    </row>
    <row r="13" spans="1:9">
      <c r="A13" s="79" t="s">
        <v>96</v>
      </c>
      <c r="B13" s="110">
        <v>1</v>
      </c>
      <c r="C13" s="83">
        <v>0.6</v>
      </c>
      <c r="D13" s="83">
        <f>+SUM(C13:$C$13)</f>
        <v>0.6</v>
      </c>
      <c r="E13" s="83">
        <f>+E5</f>
        <v>2</v>
      </c>
      <c r="F13" s="83">
        <f>+E13*C13</f>
        <v>1.2</v>
      </c>
      <c r="G13" s="62">
        <v>0</v>
      </c>
      <c r="H13" s="79" t="s">
        <v>94</v>
      </c>
    </row>
    <row r="14" spans="1:9">
      <c r="A14" s="79" t="s">
        <v>98</v>
      </c>
      <c r="B14" s="86" t="s">
        <v>6</v>
      </c>
      <c r="C14" s="86">
        <f>+SUM(C13:C13)</f>
        <v>0.6</v>
      </c>
      <c r="D14" s="86"/>
      <c r="E14" s="86"/>
      <c r="F14" s="91">
        <f>+SUM(F13:F13)</f>
        <v>1.2</v>
      </c>
      <c r="G14" s="64"/>
    </row>
    <row r="15" spans="1:9">
      <c r="G15" s="60"/>
    </row>
    <row r="16" spans="1:9">
      <c r="G16" s="60"/>
    </row>
    <row r="17" spans="1:8">
      <c r="A17" s="82" t="s">
        <v>19</v>
      </c>
      <c r="B17" s="84" t="s">
        <v>88</v>
      </c>
      <c r="C17" s="84" t="s">
        <v>11</v>
      </c>
      <c r="D17" s="84" t="s">
        <v>20</v>
      </c>
      <c r="E17" s="84" t="s">
        <v>9</v>
      </c>
      <c r="F17" s="84" t="s">
        <v>1</v>
      </c>
      <c r="G17" s="84" t="s">
        <v>52</v>
      </c>
    </row>
    <row r="18" spans="1:8">
      <c r="A18" s="79" t="s">
        <v>96</v>
      </c>
      <c r="B18" s="110">
        <v>2</v>
      </c>
      <c r="C18" s="83">
        <v>0.4</v>
      </c>
      <c r="D18" s="83">
        <f>+SUM(C$18:$C18)</f>
        <v>0.4</v>
      </c>
      <c r="E18" s="83">
        <f>+E6</f>
        <v>3</v>
      </c>
      <c r="F18" s="83">
        <f>+E18*C18</f>
        <v>1.2000000000000002</v>
      </c>
      <c r="G18" s="62">
        <v>0</v>
      </c>
      <c r="H18" s="79" t="s">
        <v>94</v>
      </c>
    </row>
    <row r="19" spans="1:8">
      <c r="A19" s="79" t="s">
        <v>97</v>
      </c>
      <c r="B19" s="86" t="s">
        <v>6</v>
      </c>
      <c r="C19" s="86">
        <f>+SUM(C18:C18)</f>
        <v>0.4</v>
      </c>
      <c r="D19" s="86"/>
      <c r="E19" s="86"/>
      <c r="F19" s="91">
        <f>+SUM(F18:F18)</f>
        <v>1.2000000000000002</v>
      </c>
      <c r="G19" s="64"/>
    </row>
    <row r="20" spans="1:8">
      <c r="G20" s="61"/>
    </row>
    <row r="21" spans="1:8">
      <c r="G21" s="61"/>
    </row>
    <row r="22" spans="1:8">
      <c r="G22" s="61"/>
    </row>
    <row r="23" spans="1:8">
      <c r="G23" s="61"/>
    </row>
    <row r="24" spans="1:8">
      <c r="G24" s="61"/>
    </row>
    <row r="25" spans="1:8">
      <c r="G25" s="61"/>
    </row>
    <row r="26" spans="1:8">
      <c r="G26" s="61"/>
    </row>
    <row r="27" spans="1:8">
      <c r="G27" s="61"/>
    </row>
    <row r="28" spans="1:8">
      <c r="G28" s="61"/>
    </row>
    <row r="29" spans="1:8">
      <c r="G29" s="61"/>
    </row>
    <row r="30" spans="1:8">
      <c r="G30" s="61"/>
    </row>
    <row r="31" spans="1:8">
      <c r="G31" s="61"/>
    </row>
    <row r="32" spans="1:8">
      <c r="G32" s="61"/>
    </row>
    <row r="33" spans="7:7">
      <c r="G33" s="61"/>
    </row>
    <row r="34" spans="7:7">
      <c r="G34" s="61"/>
    </row>
    <row r="35" spans="7:7">
      <c r="G35" s="61"/>
    </row>
    <row r="36" spans="7:7">
      <c r="G36" s="61"/>
    </row>
    <row r="37" spans="7:7">
      <c r="G37" s="61"/>
    </row>
    <row r="38" spans="7:7">
      <c r="G38" s="61"/>
    </row>
    <row r="39" spans="7:7">
      <c r="G39" s="61"/>
    </row>
    <row r="40" spans="7:7">
      <c r="G40" s="61"/>
    </row>
    <row r="41" spans="7:7">
      <c r="G41" s="61"/>
    </row>
    <row r="42" spans="7:7">
      <c r="G42" s="60"/>
    </row>
    <row r="43" spans="7:7">
      <c r="G43" s="60"/>
    </row>
    <row r="44" spans="7:7">
      <c r="G44" s="60"/>
    </row>
    <row r="45" spans="7:7">
      <c r="G45" s="60"/>
    </row>
    <row r="46" spans="7:7">
      <c r="G46" s="60"/>
    </row>
    <row r="47" spans="7:7">
      <c r="G47" s="60"/>
    </row>
    <row r="48" spans="7:7">
      <c r="G48" s="60"/>
    </row>
    <row r="49" spans="7:7">
      <c r="G49" s="60"/>
    </row>
    <row r="50" spans="7:7">
      <c r="G50" s="60"/>
    </row>
    <row r="51" spans="7:7">
      <c r="G51" s="60"/>
    </row>
    <row r="52" spans="7:7">
      <c r="G52" s="60"/>
    </row>
    <row r="53" spans="7:7">
      <c r="G53" s="60"/>
    </row>
    <row r="54" spans="7:7">
      <c r="G54" s="60"/>
    </row>
    <row r="55" spans="7:7">
      <c r="G55" s="60"/>
    </row>
    <row r="56" spans="7:7">
      <c r="G56" s="60"/>
    </row>
    <row r="57" spans="7:7">
      <c r="G57" s="60"/>
    </row>
    <row r="58" spans="7:7">
      <c r="G58" s="60"/>
    </row>
    <row r="59" spans="7:7">
      <c r="G59" s="60"/>
    </row>
    <row r="60" spans="7:7">
      <c r="G60" s="60"/>
    </row>
    <row r="61" spans="7:7">
      <c r="G61" s="60"/>
    </row>
    <row r="62" spans="7:7">
      <c r="G62" s="60"/>
    </row>
    <row r="63" spans="7:7">
      <c r="G63" s="60"/>
    </row>
    <row r="64" spans="7:7">
      <c r="G64" s="60"/>
    </row>
    <row r="65" spans="7:7">
      <c r="G65" s="60"/>
    </row>
    <row r="66" spans="7:7">
      <c r="G66" s="60"/>
    </row>
    <row r="67" spans="7:7">
      <c r="G67" s="60"/>
    </row>
    <row r="68" spans="7:7">
      <c r="G68" s="60"/>
    </row>
    <row r="69" spans="7:7">
      <c r="G69" s="60"/>
    </row>
    <row r="70" spans="7:7">
      <c r="G70" s="60"/>
    </row>
    <row r="71" spans="7:7">
      <c r="G71" s="60"/>
    </row>
    <row r="72" spans="7:7">
      <c r="G72" s="60"/>
    </row>
    <row r="73" spans="7:7">
      <c r="G73" s="60"/>
    </row>
    <row r="74" spans="7:7">
      <c r="G74" s="60"/>
    </row>
    <row r="75" spans="7:7">
      <c r="G75" s="60"/>
    </row>
    <row r="76" spans="7:7">
      <c r="G76" s="60"/>
    </row>
    <row r="77" spans="7:7">
      <c r="G77" s="60"/>
    </row>
    <row r="78" spans="7:7">
      <c r="G78" s="60"/>
    </row>
    <row r="79" spans="7:7">
      <c r="G79" s="60"/>
    </row>
    <row r="80" spans="7:7">
      <c r="G80" s="60"/>
    </row>
    <row r="81" spans="7:7">
      <c r="G81" s="60"/>
    </row>
    <row r="82" spans="7:7">
      <c r="G82" s="60"/>
    </row>
    <row r="83" spans="7:7">
      <c r="G83" s="60"/>
    </row>
    <row r="84" spans="7:7">
      <c r="G84" s="60"/>
    </row>
    <row r="85" spans="7:7">
      <c r="G85" s="60"/>
    </row>
    <row r="86" spans="7:7">
      <c r="G86" s="60"/>
    </row>
    <row r="87" spans="7:7">
      <c r="G87" s="60"/>
    </row>
    <row r="88" spans="7:7">
      <c r="G88" s="60"/>
    </row>
    <row r="89" spans="7:7">
      <c r="G89" s="60"/>
    </row>
    <row r="90" spans="7:7">
      <c r="G90" s="60"/>
    </row>
    <row r="91" spans="7:7">
      <c r="G91" s="60"/>
    </row>
    <row r="92" spans="7:7">
      <c r="G92" s="60"/>
    </row>
    <row r="93" spans="7:7">
      <c r="G93" s="60"/>
    </row>
    <row r="94" spans="7:7">
      <c r="G94" s="60"/>
    </row>
    <row r="95" spans="7:7">
      <c r="G95" s="60"/>
    </row>
    <row r="96" spans="7:7">
      <c r="G96" s="60"/>
    </row>
    <row r="97" spans="7:7">
      <c r="G97" s="60"/>
    </row>
  </sheetData>
  <mergeCells count="1">
    <mergeCell ref="A1:E1"/>
  </mergeCells>
  <pageMargins left="0.7" right="0.7" top="0.75" bottom="0.75" header="0.3" footer="0.3"/>
  <pageSetup paperSize="9" orientation="portrait" horizontalDpi="200" verticalDpi="200" r:id="rId1"/>
</worksheet>
</file>

<file path=xl/worksheets/sheet13.xml><?xml version="1.0" encoding="utf-8"?>
<worksheet xmlns="http://schemas.openxmlformats.org/spreadsheetml/2006/main" xmlns:r="http://schemas.openxmlformats.org/officeDocument/2006/relationships">
  <dimension ref="A1:H89"/>
  <sheetViews>
    <sheetView workbookViewId="0">
      <selection sqref="A1:E1"/>
    </sheetView>
  </sheetViews>
  <sheetFormatPr baseColWidth="10" defaultRowHeight="14.4"/>
  <cols>
    <col min="1" max="1" width="40.6640625" style="79" customWidth="1"/>
    <col min="2" max="2" width="25.21875" style="79" bestFit="1" customWidth="1"/>
    <col min="3" max="3" width="11.5546875" style="79"/>
    <col min="4" max="4" width="15.5546875" style="79" bestFit="1" customWidth="1"/>
    <col min="5" max="5" width="11.5546875" style="79"/>
    <col min="6" max="6" width="13.33203125" style="79" customWidth="1"/>
    <col min="7" max="7" width="15.33203125" style="79" bestFit="1" customWidth="1"/>
    <col min="8" max="8" width="15.109375" style="79" customWidth="1"/>
    <col min="9" max="9" width="11.5546875" style="79"/>
    <col min="10" max="10" width="12.5546875" style="79" bestFit="1" customWidth="1"/>
    <col min="11" max="16384" width="11.5546875" style="79"/>
  </cols>
  <sheetData>
    <row r="1" spans="1:8" ht="18">
      <c r="A1" s="116" t="s">
        <v>117</v>
      </c>
      <c r="B1" s="116"/>
      <c r="C1" s="116"/>
      <c r="D1" s="116"/>
      <c r="E1" s="116"/>
    </row>
    <row r="2" spans="1:8">
      <c r="A2" s="89" t="s">
        <v>134</v>
      </c>
    </row>
    <row r="4" spans="1:8">
      <c r="A4" s="82" t="s">
        <v>77</v>
      </c>
      <c r="B4" s="84" t="s">
        <v>88</v>
      </c>
      <c r="C4" s="84" t="s">
        <v>11</v>
      </c>
      <c r="D4" s="84" t="s">
        <v>20</v>
      </c>
      <c r="E4" s="84" t="s">
        <v>9</v>
      </c>
      <c r="F4" s="84" t="s">
        <v>1</v>
      </c>
      <c r="G4" s="84" t="s">
        <v>52</v>
      </c>
    </row>
    <row r="5" spans="1:8">
      <c r="B5" s="110">
        <v>1</v>
      </c>
      <c r="C5" s="83">
        <v>0.6</v>
      </c>
      <c r="D5" s="83">
        <f>+SUM(C5:$C$5)</f>
        <v>0.6</v>
      </c>
      <c r="E5" s="83">
        <f>+Summary!B21</f>
        <v>2</v>
      </c>
      <c r="F5" s="83">
        <f>+E5*C5</f>
        <v>1.2</v>
      </c>
      <c r="G5" s="62">
        <v>0</v>
      </c>
      <c r="H5" s="79" t="s">
        <v>94</v>
      </c>
    </row>
    <row r="6" spans="1:8">
      <c r="B6" s="86" t="s">
        <v>6</v>
      </c>
      <c r="C6" s="86">
        <f>+SUM(C5:C5)</f>
        <v>0.6</v>
      </c>
      <c r="D6" s="86"/>
      <c r="E6" s="86"/>
      <c r="F6" s="91">
        <f>+SUM(F5:F5)</f>
        <v>1.2</v>
      </c>
      <c r="G6" s="64"/>
    </row>
    <row r="7" spans="1:8">
      <c r="G7" s="60"/>
    </row>
    <row r="8" spans="1:8">
      <c r="G8" s="60"/>
    </row>
    <row r="9" spans="1:8">
      <c r="A9" s="82" t="s">
        <v>78</v>
      </c>
      <c r="B9" s="84" t="s">
        <v>88</v>
      </c>
      <c r="C9" s="84" t="s">
        <v>11</v>
      </c>
      <c r="D9" s="84" t="s">
        <v>20</v>
      </c>
      <c r="E9" s="84" t="s">
        <v>9</v>
      </c>
      <c r="F9" s="84" t="s">
        <v>1</v>
      </c>
      <c r="G9" s="84" t="s">
        <v>52</v>
      </c>
    </row>
    <row r="10" spans="1:8">
      <c r="B10" s="110">
        <v>1</v>
      </c>
      <c r="C10" s="83">
        <v>0.4</v>
      </c>
      <c r="D10" s="83">
        <f>1/6</f>
        <v>0.16666666666666666</v>
      </c>
      <c r="E10" s="83">
        <f>+Summary!E21</f>
        <v>3</v>
      </c>
      <c r="F10" s="83">
        <f>+E10*C10</f>
        <v>1.2000000000000002</v>
      </c>
      <c r="G10" s="62">
        <v>0</v>
      </c>
      <c r="H10" s="79" t="s">
        <v>94</v>
      </c>
    </row>
    <row r="11" spans="1:8">
      <c r="B11" s="86" t="s">
        <v>6</v>
      </c>
      <c r="C11" s="86">
        <f>+SUM(C10:C10)</f>
        <v>0.4</v>
      </c>
      <c r="D11" s="86"/>
      <c r="E11" s="86"/>
      <c r="F11" s="91">
        <f>+SUM(F10:F10)</f>
        <v>1.2000000000000002</v>
      </c>
      <c r="G11" s="64"/>
    </row>
    <row r="12" spans="1:8">
      <c r="G12" s="61"/>
    </row>
    <row r="13" spans="1:8">
      <c r="G13" s="61"/>
    </row>
    <row r="14" spans="1:8">
      <c r="A14" s="82" t="s">
        <v>79</v>
      </c>
      <c r="B14" s="84" t="s">
        <v>88</v>
      </c>
      <c r="C14" s="84" t="s">
        <v>11</v>
      </c>
      <c r="D14" s="84" t="s">
        <v>20</v>
      </c>
      <c r="E14" s="84" t="s">
        <v>9</v>
      </c>
      <c r="F14" s="84" t="s">
        <v>1</v>
      </c>
      <c r="G14" s="84" t="s">
        <v>52</v>
      </c>
    </row>
    <row r="15" spans="1:8">
      <c r="B15" s="110">
        <v>1</v>
      </c>
      <c r="C15" s="83">
        <v>0.3</v>
      </c>
      <c r="D15" s="83">
        <f>+SUM(C$15:$C15)</f>
        <v>0.3</v>
      </c>
      <c r="E15" s="83">
        <f>+Summary!H21</f>
        <v>4</v>
      </c>
      <c r="F15" s="83">
        <f>+E15*C15</f>
        <v>1.2</v>
      </c>
      <c r="G15" s="62">
        <v>0</v>
      </c>
      <c r="H15" s="79" t="s">
        <v>94</v>
      </c>
    </row>
    <row r="16" spans="1:8">
      <c r="B16" s="86" t="s">
        <v>6</v>
      </c>
      <c r="C16" s="86">
        <f>+SUM(C15:C15)</f>
        <v>0.3</v>
      </c>
      <c r="D16" s="86"/>
      <c r="E16" s="86"/>
      <c r="F16" s="91">
        <f>+SUM(F15:F15)</f>
        <v>1.2</v>
      </c>
      <c r="G16" s="64"/>
    </row>
    <row r="17" spans="7:7">
      <c r="G17" s="61"/>
    </row>
    <row r="18" spans="7:7">
      <c r="G18" s="61"/>
    </row>
    <row r="19" spans="7:7">
      <c r="G19" s="61"/>
    </row>
    <row r="20" spans="7:7">
      <c r="G20" s="61"/>
    </row>
    <row r="21" spans="7:7">
      <c r="G21" s="61"/>
    </row>
    <row r="22" spans="7:7">
      <c r="G22" s="61"/>
    </row>
    <row r="23" spans="7:7">
      <c r="G23" s="61"/>
    </row>
    <row r="24" spans="7:7">
      <c r="G24" s="61"/>
    </row>
    <row r="25" spans="7:7">
      <c r="G25" s="61"/>
    </row>
    <row r="26" spans="7:7">
      <c r="G26" s="61"/>
    </row>
    <row r="27" spans="7:7">
      <c r="G27" s="61"/>
    </row>
    <row r="28" spans="7:7">
      <c r="G28" s="61"/>
    </row>
    <row r="29" spans="7:7">
      <c r="G29" s="61"/>
    </row>
    <row r="30" spans="7:7">
      <c r="G30" s="61"/>
    </row>
    <row r="31" spans="7:7">
      <c r="G31" s="61"/>
    </row>
    <row r="32" spans="7:7">
      <c r="G32" s="61"/>
    </row>
    <row r="33" spans="7:7">
      <c r="G33" s="61"/>
    </row>
    <row r="34" spans="7:7">
      <c r="G34" s="60"/>
    </row>
    <row r="35" spans="7:7">
      <c r="G35" s="60"/>
    </row>
    <row r="36" spans="7:7">
      <c r="G36" s="60"/>
    </row>
    <row r="37" spans="7:7">
      <c r="G37" s="60"/>
    </row>
    <row r="38" spans="7:7">
      <c r="G38" s="60"/>
    </row>
    <row r="39" spans="7:7">
      <c r="G39" s="60"/>
    </row>
    <row r="40" spans="7:7">
      <c r="G40" s="60"/>
    </row>
    <row r="41" spans="7:7">
      <c r="G41" s="60"/>
    </row>
    <row r="42" spans="7:7">
      <c r="G42" s="60"/>
    </row>
    <row r="43" spans="7:7">
      <c r="G43" s="60"/>
    </row>
    <row r="44" spans="7:7">
      <c r="G44" s="60"/>
    </row>
    <row r="45" spans="7:7">
      <c r="G45" s="60"/>
    </row>
    <row r="46" spans="7:7">
      <c r="G46" s="60"/>
    </row>
    <row r="47" spans="7:7">
      <c r="G47" s="60"/>
    </row>
    <row r="48" spans="7:7">
      <c r="G48" s="60"/>
    </row>
    <row r="49" spans="7:7">
      <c r="G49" s="60"/>
    </row>
    <row r="50" spans="7:7">
      <c r="G50" s="60"/>
    </row>
    <row r="51" spans="7:7">
      <c r="G51" s="60"/>
    </row>
    <row r="52" spans="7:7">
      <c r="G52" s="60"/>
    </row>
    <row r="53" spans="7:7">
      <c r="G53" s="60"/>
    </row>
    <row r="54" spans="7:7">
      <c r="G54" s="60"/>
    </row>
    <row r="55" spans="7:7">
      <c r="G55" s="60"/>
    </row>
    <row r="56" spans="7:7">
      <c r="G56" s="60"/>
    </row>
    <row r="57" spans="7:7">
      <c r="G57" s="60"/>
    </row>
    <row r="58" spans="7:7">
      <c r="G58" s="60"/>
    </row>
    <row r="59" spans="7:7">
      <c r="G59" s="60"/>
    </row>
    <row r="60" spans="7:7">
      <c r="G60" s="60"/>
    </row>
    <row r="61" spans="7:7">
      <c r="G61" s="60"/>
    </row>
    <row r="62" spans="7:7">
      <c r="G62" s="60"/>
    </row>
    <row r="63" spans="7:7">
      <c r="G63" s="60"/>
    </row>
    <row r="64" spans="7:7">
      <c r="G64" s="60"/>
    </row>
    <row r="65" spans="7:7">
      <c r="G65" s="60"/>
    </row>
    <row r="66" spans="7:7">
      <c r="G66" s="60"/>
    </row>
    <row r="67" spans="7:7">
      <c r="G67" s="60"/>
    </row>
    <row r="68" spans="7:7">
      <c r="G68" s="60"/>
    </row>
    <row r="69" spans="7:7">
      <c r="G69" s="60"/>
    </row>
    <row r="70" spans="7:7">
      <c r="G70" s="60"/>
    </row>
    <row r="71" spans="7:7">
      <c r="G71" s="60"/>
    </row>
    <row r="72" spans="7:7">
      <c r="G72" s="60"/>
    </row>
    <row r="73" spans="7:7">
      <c r="G73" s="60"/>
    </row>
    <row r="74" spans="7:7">
      <c r="G74" s="60"/>
    </row>
    <row r="75" spans="7:7">
      <c r="G75" s="60"/>
    </row>
    <row r="76" spans="7:7">
      <c r="G76" s="60"/>
    </row>
    <row r="77" spans="7:7">
      <c r="G77" s="60"/>
    </row>
    <row r="78" spans="7:7">
      <c r="G78" s="60"/>
    </row>
    <row r="79" spans="7:7">
      <c r="G79" s="60"/>
    </row>
    <row r="80" spans="7:7">
      <c r="G80" s="60"/>
    </row>
    <row r="81" spans="7:7">
      <c r="G81" s="60"/>
    </row>
    <row r="82" spans="7:7">
      <c r="G82" s="60"/>
    </row>
    <row r="83" spans="7:7">
      <c r="G83" s="60"/>
    </row>
    <row r="84" spans="7:7">
      <c r="G84" s="60"/>
    </row>
    <row r="85" spans="7:7">
      <c r="G85" s="60"/>
    </row>
    <row r="86" spans="7:7">
      <c r="G86" s="60"/>
    </row>
    <row r="87" spans="7:7">
      <c r="G87" s="60"/>
    </row>
    <row r="88" spans="7:7">
      <c r="G88" s="60"/>
    </row>
    <row r="89" spans="7:7">
      <c r="G89" s="60"/>
    </row>
  </sheetData>
  <mergeCells count="1">
    <mergeCell ref="A1:E1"/>
  </mergeCells>
  <pageMargins left="0.7" right="0.7" top="0.75" bottom="0.75" header="0.3" footer="0.3"/>
  <pageSetup paperSize="9" orientation="portrait" horizontalDpi="200" verticalDpi="200" r:id="rId1"/>
</worksheet>
</file>

<file path=xl/worksheets/sheet14.xml><?xml version="1.0" encoding="utf-8"?>
<worksheet xmlns="http://schemas.openxmlformats.org/spreadsheetml/2006/main" xmlns:r="http://schemas.openxmlformats.org/officeDocument/2006/relationships">
  <dimension ref="A1:I126"/>
  <sheetViews>
    <sheetView workbookViewId="0">
      <selection sqref="A1:E1"/>
    </sheetView>
  </sheetViews>
  <sheetFormatPr baseColWidth="10" defaultRowHeight="14.4"/>
  <cols>
    <col min="1" max="1" width="40.6640625" style="79" customWidth="1"/>
    <col min="2" max="2" width="25.21875" style="79" bestFit="1" customWidth="1"/>
    <col min="3" max="3" width="11.5546875" style="79"/>
    <col min="4" max="4" width="15.5546875" style="79" bestFit="1" customWidth="1"/>
    <col min="5" max="5" width="11.5546875" style="79"/>
    <col min="6" max="6" width="13.33203125" style="79" customWidth="1"/>
    <col min="7" max="7" width="15.33203125" style="79" bestFit="1" customWidth="1"/>
    <col min="8" max="8" width="15.88671875" style="79" customWidth="1"/>
    <col min="9" max="9" width="12" style="79" customWidth="1"/>
    <col min="10" max="16384" width="11.5546875" style="79"/>
  </cols>
  <sheetData>
    <row r="1" spans="1:9" ht="18">
      <c r="A1" s="116" t="s">
        <v>118</v>
      </c>
      <c r="B1" s="116"/>
      <c r="C1" s="116"/>
      <c r="D1" s="116"/>
      <c r="E1" s="116"/>
    </row>
    <row r="2" spans="1:9">
      <c r="A2" s="89" t="s">
        <v>134</v>
      </c>
    </row>
    <row r="4" spans="1:9">
      <c r="A4" s="82" t="s">
        <v>10</v>
      </c>
      <c r="B4" s="84" t="s">
        <v>88</v>
      </c>
      <c r="C4" s="84" t="s">
        <v>11</v>
      </c>
      <c r="D4" s="84" t="s">
        <v>20</v>
      </c>
      <c r="E4" s="84" t="s">
        <v>9</v>
      </c>
      <c r="F4" s="84" t="s">
        <v>1</v>
      </c>
      <c r="G4" s="84" t="s">
        <v>52</v>
      </c>
    </row>
    <row r="5" spans="1:9">
      <c r="A5" s="79" t="s">
        <v>95</v>
      </c>
      <c r="B5" s="111">
        <v>1</v>
      </c>
      <c r="C5" s="114">
        <v>0.12</v>
      </c>
      <c r="D5" s="80">
        <f>+SUM($C$5:C5)</f>
        <v>0.12</v>
      </c>
      <c r="E5" s="80">
        <f>+Summary!B36</f>
        <v>2</v>
      </c>
      <c r="F5" s="80">
        <f>+C5*E5</f>
        <v>0.24</v>
      </c>
      <c r="G5" s="62"/>
    </row>
    <row r="6" spans="1:9">
      <c r="B6" s="111">
        <v>2</v>
      </c>
      <c r="C6" s="114">
        <v>0.01</v>
      </c>
      <c r="D6" s="80">
        <f>+SUM($C$5:C6)</f>
        <v>0.13</v>
      </c>
      <c r="E6" s="80">
        <f>+Summary!B37</f>
        <v>5</v>
      </c>
      <c r="F6" s="80">
        <f t="shared" ref="F6:F11" si="0">+C6*E6</f>
        <v>0.05</v>
      </c>
      <c r="G6" s="62"/>
    </row>
    <row r="7" spans="1:9">
      <c r="B7" s="111">
        <v>3</v>
      </c>
      <c r="C7" s="114">
        <v>0.01</v>
      </c>
      <c r="D7" s="80">
        <f>+SUM($C$5:C7)</f>
        <v>0.14000000000000001</v>
      </c>
      <c r="E7" s="80">
        <f>+Summary!B38</f>
        <v>8</v>
      </c>
      <c r="F7" s="80">
        <f t="shared" si="0"/>
        <v>0.08</v>
      </c>
      <c r="G7" s="62"/>
      <c r="I7" s="36"/>
    </row>
    <row r="8" spans="1:9">
      <c r="B8" s="111" t="s">
        <v>89</v>
      </c>
      <c r="C8" s="114">
        <v>0.01</v>
      </c>
      <c r="D8" s="80">
        <f>+SUM($C$5:C8)</f>
        <v>0.15000000000000002</v>
      </c>
      <c r="E8" s="80">
        <f>+E5+E6</f>
        <v>7</v>
      </c>
      <c r="F8" s="80">
        <f t="shared" si="0"/>
        <v>7.0000000000000007E-2</v>
      </c>
      <c r="G8" s="62"/>
      <c r="I8" s="113"/>
    </row>
    <row r="9" spans="1:9">
      <c r="B9" s="111" t="s">
        <v>90</v>
      </c>
      <c r="C9" s="114">
        <v>0.02</v>
      </c>
      <c r="D9" s="80">
        <f>+SUM($C$5:C9)</f>
        <v>0.17</v>
      </c>
      <c r="E9" s="80">
        <f>+E5+E7</f>
        <v>10</v>
      </c>
      <c r="F9" s="80">
        <f t="shared" si="0"/>
        <v>0.2</v>
      </c>
      <c r="G9" s="62"/>
    </row>
    <row r="10" spans="1:9">
      <c r="B10" s="111" t="s">
        <v>91</v>
      </c>
      <c r="C10" s="114">
        <v>0.02</v>
      </c>
      <c r="D10" s="80">
        <f>+SUM($C$5:C10)</f>
        <v>0.19</v>
      </c>
      <c r="E10" s="80">
        <f>+E6+E7</f>
        <v>13</v>
      </c>
      <c r="F10" s="80">
        <f t="shared" si="0"/>
        <v>0.26</v>
      </c>
      <c r="G10" s="62"/>
    </row>
    <row r="11" spans="1:9">
      <c r="B11" s="111" t="s">
        <v>92</v>
      </c>
      <c r="C11" s="114">
        <v>0.02</v>
      </c>
      <c r="D11" s="80">
        <f>+SUM($C$5:C11)</f>
        <v>0.21</v>
      </c>
      <c r="E11" s="80">
        <f>+E5+E6+E7</f>
        <v>15</v>
      </c>
      <c r="F11" s="80">
        <f t="shared" si="0"/>
        <v>0.3</v>
      </c>
      <c r="G11" s="62">
        <v>0</v>
      </c>
      <c r="H11" s="79" t="s">
        <v>94</v>
      </c>
    </row>
    <row r="12" spans="1:9">
      <c r="B12" s="86" t="s">
        <v>12</v>
      </c>
      <c r="C12" s="86">
        <f>+SUM(C5:C11)</f>
        <v>0.21</v>
      </c>
      <c r="D12" s="86"/>
      <c r="E12" s="86"/>
      <c r="F12" s="72">
        <f>+SUM(F5:F11)</f>
        <v>1.2</v>
      </c>
      <c r="G12" s="63"/>
    </row>
    <row r="13" spans="1:9">
      <c r="B13" s="87" t="s">
        <v>93</v>
      </c>
      <c r="G13" s="60"/>
    </row>
    <row r="14" spans="1:9">
      <c r="G14" s="60"/>
    </row>
    <row r="15" spans="1:9">
      <c r="A15" s="82" t="s">
        <v>14</v>
      </c>
      <c r="B15" s="84" t="s">
        <v>88</v>
      </c>
      <c r="C15" s="84" t="s">
        <v>11</v>
      </c>
      <c r="D15" s="84" t="s">
        <v>20</v>
      </c>
      <c r="E15" s="84" t="s">
        <v>9</v>
      </c>
      <c r="F15" s="84" t="s">
        <v>1</v>
      </c>
      <c r="G15" s="84" t="s">
        <v>52</v>
      </c>
    </row>
    <row r="16" spans="1:9">
      <c r="A16" s="79" t="s">
        <v>96</v>
      </c>
      <c r="B16" s="110">
        <v>2</v>
      </c>
      <c r="C16" s="83">
        <v>0.12</v>
      </c>
      <c r="D16" s="83">
        <f>+SUM(C16:$C$16)</f>
        <v>0.12</v>
      </c>
      <c r="E16" s="83">
        <f>+E6</f>
        <v>5</v>
      </c>
      <c r="F16" s="83">
        <f>+C16*E16</f>
        <v>0.6</v>
      </c>
      <c r="G16" s="62"/>
    </row>
    <row r="17" spans="1:9">
      <c r="A17" s="79" t="s">
        <v>97</v>
      </c>
      <c r="B17" s="110">
        <v>3</v>
      </c>
      <c r="C17" s="83">
        <v>0.01</v>
      </c>
      <c r="D17" s="83">
        <f>+SUM(C$16:$C17)</f>
        <v>0.13</v>
      </c>
      <c r="E17" s="83">
        <f>+E7</f>
        <v>8</v>
      </c>
      <c r="F17" s="83">
        <f t="shared" ref="F17:F18" si="1">+C17*E17</f>
        <v>0.08</v>
      </c>
      <c r="G17" s="62"/>
      <c r="I17" s="112"/>
    </row>
    <row r="18" spans="1:9">
      <c r="B18" s="110" t="s">
        <v>91</v>
      </c>
      <c r="C18" s="83">
        <v>0.04</v>
      </c>
      <c r="D18" s="83">
        <f>+SUM(C$16:$C18)</f>
        <v>0.17</v>
      </c>
      <c r="E18" s="83">
        <f>+E16+E17</f>
        <v>13</v>
      </c>
      <c r="F18" s="83">
        <f t="shared" si="1"/>
        <v>0.52</v>
      </c>
      <c r="G18" s="62">
        <v>0</v>
      </c>
      <c r="H18" s="79" t="s">
        <v>94</v>
      </c>
    </row>
    <row r="19" spans="1:9">
      <c r="B19" s="86" t="s">
        <v>6</v>
      </c>
      <c r="C19" s="86">
        <f>+SUM(C16:C18)</f>
        <v>0.17</v>
      </c>
      <c r="D19" s="86"/>
      <c r="E19" s="86"/>
      <c r="F19" s="91">
        <f>+SUM(F16:F18)</f>
        <v>1.2</v>
      </c>
      <c r="G19" s="64"/>
    </row>
    <row r="20" spans="1:9">
      <c r="B20" s="90"/>
      <c r="C20" s="90"/>
      <c r="D20" s="90"/>
      <c r="E20" s="90"/>
      <c r="F20" s="85"/>
      <c r="G20" s="65"/>
    </row>
    <row r="21" spans="1:9">
      <c r="B21" s="90"/>
      <c r="C21" s="90"/>
      <c r="D21" s="90"/>
      <c r="E21" s="90"/>
      <c r="F21" s="85"/>
      <c r="G21" s="65"/>
    </row>
    <row r="22" spans="1:9">
      <c r="A22" s="82" t="s">
        <v>15</v>
      </c>
      <c r="B22" s="84" t="s">
        <v>88</v>
      </c>
      <c r="C22" s="84" t="s">
        <v>11</v>
      </c>
      <c r="D22" s="84" t="s">
        <v>20</v>
      </c>
      <c r="E22" s="84" t="s">
        <v>9</v>
      </c>
      <c r="F22" s="84" t="s">
        <v>1</v>
      </c>
      <c r="G22" s="84" t="s">
        <v>52</v>
      </c>
    </row>
    <row r="23" spans="1:9">
      <c r="A23" s="79" t="s">
        <v>96</v>
      </c>
      <c r="B23" s="110">
        <v>1</v>
      </c>
      <c r="C23" s="83">
        <v>0.15</v>
      </c>
      <c r="D23" s="83">
        <f>+SUM(C23:$C$23)</f>
        <v>0.15</v>
      </c>
      <c r="E23" s="83">
        <f>+E5</f>
        <v>2</v>
      </c>
      <c r="F23" s="83">
        <f>+C23*E23</f>
        <v>0.3</v>
      </c>
      <c r="G23" s="62"/>
    </row>
    <row r="24" spans="1:9">
      <c r="A24" s="79" t="s">
        <v>98</v>
      </c>
      <c r="B24" s="110">
        <v>3</v>
      </c>
      <c r="C24" s="83">
        <v>0.05</v>
      </c>
      <c r="D24" s="83">
        <f>+SUM(C$23:$C24)</f>
        <v>0.2</v>
      </c>
      <c r="E24" s="83">
        <f>+E7</f>
        <v>8</v>
      </c>
      <c r="F24" s="83">
        <f t="shared" ref="F24:F25" si="2">+C24*E24</f>
        <v>0.4</v>
      </c>
      <c r="G24" s="62"/>
    </row>
    <row r="25" spans="1:9">
      <c r="B25" s="110" t="s">
        <v>90</v>
      </c>
      <c r="C25" s="83">
        <v>0.05</v>
      </c>
      <c r="D25" s="83">
        <f>+SUM(C$23:$C25)</f>
        <v>0.25</v>
      </c>
      <c r="E25" s="83">
        <f>+E23+E24</f>
        <v>10</v>
      </c>
      <c r="F25" s="83">
        <f t="shared" si="2"/>
        <v>0.5</v>
      </c>
      <c r="G25" s="62">
        <v>0</v>
      </c>
      <c r="H25" s="79" t="s">
        <v>94</v>
      </c>
    </row>
    <row r="26" spans="1:9">
      <c r="B26" s="86" t="s">
        <v>6</v>
      </c>
      <c r="C26" s="86">
        <f>+SUM(C23:C25)</f>
        <v>0.25</v>
      </c>
      <c r="D26" s="86"/>
      <c r="E26" s="86"/>
      <c r="F26" s="91">
        <f>+SUM(F23:F25)</f>
        <v>1.2</v>
      </c>
      <c r="G26" s="64"/>
    </row>
    <row r="27" spans="1:9">
      <c r="B27" s="90"/>
      <c r="C27" s="90"/>
      <c r="D27" s="90"/>
      <c r="E27" s="90"/>
      <c r="F27" s="85"/>
      <c r="G27" s="65"/>
    </row>
    <row r="28" spans="1:9">
      <c r="G28" s="60"/>
    </row>
    <row r="29" spans="1:9">
      <c r="A29" s="82" t="s">
        <v>16</v>
      </c>
      <c r="B29" s="84" t="s">
        <v>88</v>
      </c>
      <c r="C29" s="84" t="s">
        <v>11</v>
      </c>
      <c r="D29" s="84" t="s">
        <v>20</v>
      </c>
      <c r="E29" s="84" t="s">
        <v>9</v>
      </c>
      <c r="F29" s="84" t="s">
        <v>1</v>
      </c>
      <c r="G29" s="84" t="s">
        <v>52</v>
      </c>
    </row>
    <row r="30" spans="1:9">
      <c r="A30" s="79" t="s">
        <v>96</v>
      </c>
      <c r="B30" s="110">
        <v>3</v>
      </c>
      <c r="C30" s="83">
        <v>0.15</v>
      </c>
      <c r="D30" s="83">
        <f>+SUM(C30:$C$30)</f>
        <v>0.15</v>
      </c>
      <c r="E30" s="83">
        <f>+E7</f>
        <v>8</v>
      </c>
      <c r="F30" s="83">
        <f>+C30*E30</f>
        <v>1.2</v>
      </c>
      <c r="G30" s="62">
        <v>0</v>
      </c>
      <c r="H30" s="79" t="s">
        <v>94</v>
      </c>
    </row>
    <row r="31" spans="1:9">
      <c r="A31" s="79" t="s">
        <v>97</v>
      </c>
      <c r="B31" s="86" t="s">
        <v>6</v>
      </c>
      <c r="C31" s="86">
        <f>+SUM(C30:C30)</f>
        <v>0.15</v>
      </c>
      <c r="D31" s="86"/>
      <c r="E31" s="86"/>
      <c r="F31" s="91">
        <f>+SUM(F30:F30)</f>
        <v>1.2</v>
      </c>
      <c r="G31" s="64"/>
    </row>
    <row r="32" spans="1:9">
      <c r="A32" s="79" t="s">
        <v>98</v>
      </c>
      <c r="G32" s="60"/>
    </row>
    <row r="33" spans="1:8">
      <c r="G33" s="60"/>
    </row>
    <row r="34" spans="1:8">
      <c r="A34" s="82" t="s">
        <v>17</v>
      </c>
      <c r="B34" s="84" t="s">
        <v>88</v>
      </c>
      <c r="C34" s="84" t="s">
        <v>11</v>
      </c>
      <c r="D34" s="84" t="s">
        <v>20</v>
      </c>
      <c r="E34" s="84" t="s">
        <v>9</v>
      </c>
      <c r="F34" s="84" t="s">
        <v>1</v>
      </c>
      <c r="G34" s="84" t="s">
        <v>52</v>
      </c>
    </row>
    <row r="35" spans="1:8">
      <c r="A35" s="79" t="s">
        <v>96</v>
      </c>
      <c r="B35" s="110">
        <v>1</v>
      </c>
      <c r="C35" s="83">
        <v>0.14000000000000001</v>
      </c>
      <c r="D35" s="83">
        <f>+SUM(C35:$C$35)</f>
        <v>0.14000000000000001</v>
      </c>
      <c r="E35" s="83">
        <f>+E5</f>
        <v>2</v>
      </c>
      <c r="F35" s="83">
        <f>+C35*E35</f>
        <v>0.28000000000000003</v>
      </c>
      <c r="G35" s="62"/>
    </row>
    <row r="36" spans="1:8">
      <c r="A36" s="79" t="s">
        <v>99</v>
      </c>
      <c r="B36" s="110">
        <v>2</v>
      </c>
      <c r="C36" s="83">
        <v>0.1</v>
      </c>
      <c r="D36" s="83">
        <f>+SUM(C$35:$C36)</f>
        <v>0.24000000000000002</v>
      </c>
      <c r="E36" s="83">
        <f>+E6</f>
        <v>5</v>
      </c>
      <c r="F36" s="83">
        <f t="shared" ref="F36:F37" si="3">+C36*E36</f>
        <v>0.5</v>
      </c>
      <c r="G36" s="62"/>
    </row>
    <row r="37" spans="1:8">
      <c r="B37" s="110" t="s">
        <v>89</v>
      </c>
      <c r="C37" s="83">
        <v>0.06</v>
      </c>
      <c r="D37" s="83">
        <f>+SUM(C$35:$C37)</f>
        <v>0.30000000000000004</v>
      </c>
      <c r="E37" s="83">
        <f>+E35+E36</f>
        <v>7</v>
      </c>
      <c r="F37" s="83">
        <f t="shared" si="3"/>
        <v>0.42</v>
      </c>
      <c r="G37" s="62">
        <v>0</v>
      </c>
      <c r="H37" s="79" t="s">
        <v>94</v>
      </c>
    </row>
    <row r="38" spans="1:8">
      <c r="A38" s="88"/>
      <c r="B38" s="86" t="s">
        <v>6</v>
      </c>
      <c r="C38" s="86">
        <f>+SUM(C35:C37)</f>
        <v>0.30000000000000004</v>
      </c>
      <c r="D38" s="86"/>
      <c r="E38" s="86"/>
      <c r="F38" s="91">
        <f>+SUM(F35:F37)</f>
        <v>1.2</v>
      </c>
      <c r="G38" s="64"/>
    </row>
    <row r="39" spans="1:8">
      <c r="A39" s="88"/>
      <c r="G39" s="60"/>
    </row>
    <row r="40" spans="1:8">
      <c r="G40" s="60"/>
    </row>
    <row r="41" spans="1:8">
      <c r="A41" s="82" t="s">
        <v>18</v>
      </c>
      <c r="B41" s="84" t="s">
        <v>88</v>
      </c>
      <c r="C41" s="84" t="s">
        <v>11</v>
      </c>
      <c r="D41" s="84" t="s">
        <v>20</v>
      </c>
      <c r="E41" s="84" t="s">
        <v>9</v>
      </c>
      <c r="F41" s="84" t="s">
        <v>1</v>
      </c>
      <c r="G41" s="84" t="s">
        <v>52</v>
      </c>
    </row>
    <row r="42" spans="1:8">
      <c r="A42" s="79" t="s">
        <v>96</v>
      </c>
      <c r="B42" s="110">
        <v>1</v>
      </c>
      <c r="C42" s="83">
        <v>0.6</v>
      </c>
      <c r="D42" s="83">
        <f>+SUM(C42:$C$42)</f>
        <v>0.6</v>
      </c>
      <c r="E42" s="83">
        <f>+E5</f>
        <v>2</v>
      </c>
      <c r="F42" s="83">
        <f>+E42*C42</f>
        <v>1.2</v>
      </c>
      <c r="G42" s="62">
        <v>0</v>
      </c>
      <c r="H42" s="79" t="s">
        <v>94</v>
      </c>
    </row>
    <row r="43" spans="1:8">
      <c r="A43" s="79" t="s">
        <v>98</v>
      </c>
      <c r="B43" s="86" t="s">
        <v>6</v>
      </c>
      <c r="C43" s="86">
        <f>+SUM(C42:C42)</f>
        <v>0.6</v>
      </c>
      <c r="D43" s="86"/>
      <c r="E43" s="86"/>
      <c r="F43" s="91">
        <f>+SUM(F42:F42)</f>
        <v>1.2</v>
      </c>
      <c r="G43" s="64"/>
    </row>
    <row r="44" spans="1:8">
      <c r="A44" s="79" t="s">
        <v>99</v>
      </c>
      <c r="G44" s="60"/>
    </row>
    <row r="45" spans="1:8">
      <c r="G45" s="60"/>
    </row>
    <row r="46" spans="1:8">
      <c r="A46" s="82" t="s">
        <v>19</v>
      </c>
      <c r="B46" s="84" t="s">
        <v>88</v>
      </c>
      <c r="C46" s="84" t="s">
        <v>11</v>
      </c>
      <c r="D46" s="84" t="s">
        <v>20</v>
      </c>
      <c r="E46" s="84" t="s">
        <v>9</v>
      </c>
      <c r="F46" s="84" t="s">
        <v>1</v>
      </c>
      <c r="G46" s="84" t="s">
        <v>52</v>
      </c>
    </row>
    <row r="47" spans="1:8">
      <c r="A47" s="79" t="s">
        <v>96</v>
      </c>
      <c r="B47" s="110">
        <v>2</v>
      </c>
      <c r="C47" s="83">
        <v>0.24</v>
      </c>
      <c r="D47" s="83">
        <f>+SUM(C$47:$C47)</f>
        <v>0.24</v>
      </c>
      <c r="E47" s="83">
        <f>+E6</f>
        <v>5</v>
      </c>
      <c r="F47" s="83">
        <f>+E47*C47</f>
        <v>1.2</v>
      </c>
      <c r="G47" s="62">
        <v>0</v>
      </c>
      <c r="H47" s="79" t="s">
        <v>94</v>
      </c>
    </row>
    <row r="48" spans="1:8">
      <c r="A48" s="79" t="s">
        <v>97</v>
      </c>
      <c r="B48" s="86" t="s">
        <v>6</v>
      </c>
      <c r="C48" s="86">
        <f>+SUM(C47:C47)</f>
        <v>0.24</v>
      </c>
      <c r="D48" s="86"/>
      <c r="E48" s="86"/>
      <c r="F48" s="91">
        <f>+SUM(F47:F47)</f>
        <v>1.2</v>
      </c>
      <c r="G48" s="64"/>
    </row>
    <row r="49" spans="1:7">
      <c r="A49" s="79" t="s">
        <v>99</v>
      </c>
      <c r="G49" s="61"/>
    </row>
    <row r="50" spans="1:7">
      <c r="G50" s="61"/>
    </row>
    <row r="51" spans="1:7">
      <c r="G51" s="61"/>
    </row>
    <row r="52" spans="1:7">
      <c r="G52" s="61"/>
    </row>
    <row r="53" spans="1:7">
      <c r="G53" s="61"/>
    </row>
    <row r="54" spans="1:7">
      <c r="G54" s="61"/>
    </row>
    <row r="55" spans="1:7">
      <c r="G55" s="61"/>
    </row>
    <row r="56" spans="1:7">
      <c r="G56" s="61"/>
    </row>
    <row r="57" spans="1:7">
      <c r="G57" s="61"/>
    </row>
    <row r="58" spans="1:7">
      <c r="G58" s="61"/>
    </row>
    <row r="59" spans="1:7">
      <c r="G59" s="61"/>
    </row>
    <row r="60" spans="1:7">
      <c r="G60" s="61"/>
    </row>
    <row r="61" spans="1:7">
      <c r="G61" s="61"/>
    </row>
    <row r="62" spans="1:7">
      <c r="G62" s="61"/>
    </row>
    <row r="63" spans="1:7">
      <c r="G63" s="61"/>
    </row>
    <row r="64" spans="1:7">
      <c r="G64" s="61"/>
    </row>
    <row r="65" spans="7:7">
      <c r="G65" s="61"/>
    </row>
    <row r="66" spans="7:7">
      <c r="G66" s="61"/>
    </row>
    <row r="67" spans="7:7">
      <c r="G67" s="61"/>
    </row>
    <row r="68" spans="7:7">
      <c r="G68" s="61"/>
    </row>
    <row r="69" spans="7:7">
      <c r="G69" s="61"/>
    </row>
    <row r="70" spans="7:7">
      <c r="G70" s="61"/>
    </row>
    <row r="71" spans="7:7">
      <c r="G71" s="60"/>
    </row>
    <row r="72" spans="7:7">
      <c r="G72" s="60"/>
    </row>
    <row r="73" spans="7:7">
      <c r="G73" s="60"/>
    </row>
    <row r="74" spans="7:7">
      <c r="G74" s="60"/>
    </row>
    <row r="75" spans="7:7">
      <c r="G75" s="60"/>
    </row>
    <row r="76" spans="7:7">
      <c r="G76" s="60"/>
    </row>
    <row r="77" spans="7:7">
      <c r="G77" s="60"/>
    </row>
    <row r="78" spans="7:7">
      <c r="G78" s="60"/>
    </row>
    <row r="79" spans="7:7">
      <c r="G79" s="60"/>
    </row>
    <row r="80" spans="7:7">
      <c r="G80" s="60"/>
    </row>
    <row r="81" spans="7:7">
      <c r="G81" s="60"/>
    </row>
    <row r="82" spans="7:7">
      <c r="G82" s="60"/>
    </row>
    <row r="83" spans="7:7">
      <c r="G83" s="60"/>
    </row>
    <row r="84" spans="7:7">
      <c r="G84" s="60"/>
    </row>
    <row r="85" spans="7:7">
      <c r="G85" s="60"/>
    </row>
    <row r="86" spans="7:7">
      <c r="G86" s="60"/>
    </row>
    <row r="87" spans="7:7">
      <c r="G87" s="60"/>
    </row>
    <row r="88" spans="7:7">
      <c r="G88" s="60"/>
    </row>
    <row r="89" spans="7:7">
      <c r="G89" s="60"/>
    </row>
    <row r="90" spans="7:7">
      <c r="G90" s="60"/>
    </row>
    <row r="91" spans="7:7">
      <c r="G91" s="60"/>
    </row>
    <row r="92" spans="7:7">
      <c r="G92" s="60"/>
    </row>
    <row r="93" spans="7:7">
      <c r="G93" s="60"/>
    </row>
    <row r="94" spans="7:7">
      <c r="G94" s="60"/>
    </row>
    <row r="95" spans="7:7">
      <c r="G95" s="60"/>
    </row>
    <row r="96" spans="7:7">
      <c r="G96" s="60"/>
    </row>
    <row r="97" spans="7:7">
      <c r="G97" s="60"/>
    </row>
    <row r="98" spans="7:7">
      <c r="G98" s="60"/>
    </row>
    <row r="99" spans="7:7">
      <c r="G99" s="60"/>
    </row>
    <row r="100" spans="7:7">
      <c r="G100" s="60"/>
    </row>
    <row r="101" spans="7:7">
      <c r="G101" s="60"/>
    </row>
    <row r="102" spans="7:7">
      <c r="G102" s="60"/>
    </row>
    <row r="103" spans="7:7">
      <c r="G103" s="60"/>
    </row>
    <row r="104" spans="7:7">
      <c r="G104" s="60"/>
    </row>
    <row r="105" spans="7:7">
      <c r="G105" s="60"/>
    </row>
    <row r="106" spans="7:7">
      <c r="G106" s="60"/>
    </row>
    <row r="107" spans="7:7">
      <c r="G107" s="60"/>
    </row>
    <row r="108" spans="7:7">
      <c r="G108" s="60"/>
    </row>
    <row r="109" spans="7:7">
      <c r="G109" s="60"/>
    </row>
    <row r="110" spans="7:7">
      <c r="G110" s="60"/>
    </row>
    <row r="111" spans="7:7">
      <c r="G111" s="60"/>
    </row>
    <row r="112" spans="7:7">
      <c r="G112" s="60"/>
    </row>
    <row r="113" spans="7:7">
      <c r="G113" s="60"/>
    </row>
    <row r="114" spans="7:7">
      <c r="G114" s="60"/>
    </row>
    <row r="115" spans="7:7">
      <c r="G115" s="60"/>
    </row>
    <row r="116" spans="7:7">
      <c r="G116" s="60"/>
    </row>
    <row r="117" spans="7:7">
      <c r="G117" s="60"/>
    </row>
    <row r="118" spans="7:7">
      <c r="G118" s="60"/>
    </row>
    <row r="119" spans="7:7">
      <c r="G119" s="60"/>
    </row>
    <row r="120" spans="7:7">
      <c r="G120" s="60"/>
    </row>
    <row r="121" spans="7:7">
      <c r="G121" s="60"/>
    </row>
    <row r="122" spans="7:7">
      <c r="G122" s="60"/>
    </row>
    <row r="123" spans="7:7">
      <c r="G123" s="60"/>
    </row>
    <row r="124" spans="7:7">
      <c r="G124" s="60"/>
    </row>
    <row r="125" spans="7:7">
      <c r="G125" s="60"/>
    </row>
    <row r="126" spans="7:7">
      <c r="G126" s="60"/>
    </row>
  </sheetData>
  <mergeCells count="1">
    <mergeCell ref="A1:E1"/>
  </mergeCells>
  <pageMargins left="0.7" right="0.7" top="0.75" bottom="0.75" header="0.3" footer="0.3"/>
  <pageSetup paperSize="9" orientation="portrait" horizontalDpi="200" verticalDpi="200" r:id="rId1"/>
</worksheet>
</file>

<file path=xl/worksheets/sheet15.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79" customWidth="1"/>
    <col min="2" max="2" width="25.21875" style="79" bestFit="1" customWidth="1"/>
    <col min="3" max="3" width="11.5546875" style="79"/>
    <col min="4" max="4" width="15.5546875" style="79" bestFit="1" customWidth="1"/>
    <col min="5" max="5" width="11.5546875" style="79"/>
    <col min="6" max="6" width="13.33203125" style="79" customWidth="1"/>
    <col min="7" max="7" width="15.33203125" style="79" bestFit="1" customWidth="1"/>
    <col min="8" max="8" width="15.88671875" style="79" customWidth="1"/>
    <col min="9" max="9" width="12" style="79" customWidth="1"/>
    <col min="10" max="16384" width="11.5546875" style="79"/>
  </cols>
  <sheetData>
    <row r="1" spans="1:9" ht="18">
      <c r="A1" s="116" t="s">
        <v>102</v>
      </c>
      <c r="B1" s="116"/>
      <c r="C1" s="116"/>
      <c r="D1" s="116"/>
      <c r="E1" s="116"/>
    </row>
    <row r="2" spans="1:9">
      <c r="A2" s="89" t="s">
        <v>134</v>
      </c>
    </row>
    <row r="4" spans="1:9">
      <c r="A4" s="82" t="s">
        <v>10</v>
      </c>
      <c r="B4" s="84" t="s">
        <v>88</v>
      </c>
      <c r="C4" s="84" t="s">
        <v>11</v>
      </c>
      <c r="D4" s="84" t="s">
        <v>20</v>
      </c>
      <c r="E4" s="84" t="s">
        <v>9</v>
      </c>
      <c r="F4" s="84" t="s">
        <v>1</v>
      </c>
      <c r="G4" s="84" t="s">
        <v>52</v>
      </c>
    </row>
    <row r="5" spans="1:9">
      <c r="A5" s="79" t="s">
        <v>95</v>
      </c>
      <c r="B5" s="111">
        <v>1</v>
      </c>
      <c r="C5" s="52">
        <v>0.40500000000000003</v>
      </c>
      <c r="D5" s="80">
        <f>+SUM($C$5:C5)</f>
        <v>0.40500000000000003</v>
      </c>
      <c r="E5" s="80">
        <f>+Summary!E27</f>
        <v>2</v>
      </c>
      <c r="F5" s="80">
        <f>+C5*E5</f>
        <v>0.81</v>
      </c>
      <c r="G5" s="62"/>
    </row>
    <row r="6" spans="1:9">
      <c r="B6" s="111">
        <v>2</v>
      </c>
      <c r="C6" s="52">
        <v>5.5E-2</v>
      </c>
      <c r="D6" s="80">
        <f>+SUM($C$5:C6)</f>
        <v>0.46</v>
      </c>
      <c r="E6" s="80">
        <f>+Summary!E28</f>
        <v>3</v>
      </c>
      <c r="F6" s="80">
        <f t="shared" ref="F6:F7" si="0">+C6*E6</f>
        <v>0.16500000000000001</v>
      </c>
      <c r="G6" s="62"/>
    </row>
    <row r="7" spans="1:9">
      <c r="B7" s="111" t="s">
        <v>89</v>
      </c>
      <c r="C7" s="52">
        <v>1.4999999999999999E-2</v>
      </c>
      <c r="D7" s="80">
        <f>+SUM($C$5:C7)</f>
        <v>0.47500000000000003</v>
      </c>
      <c r="E7" s="80">
        <f>+E5+E6</f>
        <v>5</v>
      </c>
      <c r="F7" s="80">
        <f t="shared" si="0"/>
        <v>7.4999999999999997E-2</v>
      </c>
      <c r="G7" s="62">
        <v>0</v>
      </c>
      <c r="H7" s="79" t="s">
        <v>94</v>
      </c>
      <c r="I7" s="113"/>
    </row>
    <row r="8" spans="1:9">
      <c r="B8" s="86" t="s">
        <v>12</v>
      </c>
      <c r="C8" s="86">
        <f>+SUM(C5:C7)</f>
        <v>0.47500000000000003</v>
      </c>
      <c r="D8" s="86"/>
      <c r="E8" s="86"/>
      <c r="F8" s="72">
        <f>+SUM(F5:F7)</f>
        <v>1.05</v>
      </c>
      <c r="G8" s="63"/>
    </row>
    <row r="9" spans="1:9">
      <c r="B9" s="87" t="s">
        <v>93</v>
      </c>
      <c r="G9" s="60"/>
    </row>
    <row r="10" spans="1:9">
      <c r="G10" s="60"/>
    </row>
    <row r="11" spans="1:9">
      <c r="G11" s="60"/>
    </row>
    <row r="12" spans="1:9">
      <c r="A12" s="82" t="s">
        <v>18</v>
      </c>
      <c r="B12" s="84" t="s">
        <v>88</v>
      </c>
      <c r="C12" s="84" t="s">
        <v>11</v>
      </c>
      <c r="D12" s="84" t="s">
        <v>20</v>
      </c>
      <c r="E12" s="84" t="s">
        <v>9</v>
      </c>
      <c r="F12" s="84" t="s">
        <v>1</v>
      </c>
      <c r="G12" s="84" t="s">
        <v>52</v>
      </c>
    </row>
    <row r="13" spans="1:9">
      <c r="A13" s="79" t="s">
        <v>96</v>
      </c>
      <c r="B13" s="110">
        <v>1</v>
      </c>
      <c r="C13" s="83">
        <v>0.52500000000000002</v>
      </c>
      <c r="D13" s="83">
        <f>+SUM(C13:$C$13)</f>
        <v>0.52500000000000002</v>
      </c>
      <c r="E13" s="83">
        <f>+E5</f>
        <v>2</v>
      </c>
      <c r="F13" s="83">
        <f>+E13*C13</f>
        <v>1.05</v>
      </c>
      <c r="G13" s="62">
        <v>0</v>
      </c>
      <c r="H13" s="79" t="s">
        <v>94</v>
      </c>
    </row>
    <row r="14" spans="1:9">
      <c r="A14" s="79" t="s">
        <v>98</v>
      </c>
      <c r="B14" s="86" t="s">
        <v>6</v>
      </c>
      <c r="C14" s="86">
        <f>+SUM(C13:C13)</f>
        <v>0.52500000000000002</v>
      </c>
      <c r="D14" s="86"/>
      <c r="E14" s="86"/>
      <c r="F14" s="91">
        <f>+SUM(F13:F13)</f>
        <v>1.05</v>
      </c>
      <c r="G14" s="64"/>
    </row>
    <row r="15" spans="1:9">
      <c r="G15" s="60"/>
    </row>
    <row r="16" spans="1:9">
      <c r="G16" s="60"/>
    </row>
    <row r="17" spans="1:8">
      <c r="A17" s="82" t="s">
        <v>19</v>
      </c>
      <c r="B17" s="84" t="s">
        <v>88</v>
      </c>
      <c r="C17" s="84" t="s">
        <v>11</v>
      </c>
      <c r="D17" s="84" t="s">
        <v>20</v>
      </c>
      <c r="E17" s="84" t="s">
        <v>9</v>
      </c>
      <c r="F17" s="84" t="s">
        <v>1</v>
      </c>
      <c r="G17" s="84" t="s">
        <v>52</v>
      </c>
    </row>
    <row r="18" spans="1:8">
      <c r="A18" s="79" t="s">
        <v>96</v>
      </c>
      <c r="B18" s="110">
        <v>2</v>
      </c>
      <c r="C18" s="83">
        <v>0.35</v>
      </c>
      <c r="D18" s="83">
        <f>+SUM(C$18:$C18)</f>
        <v>0.35</v>
      </c>
      <c r="E18" s="83">
        <f>+E6</f>
        <v>3</v>
      </c>
      <c r="F18" s="83">
        <f>+E18*C18</f>
        <v>1.0499999999999998</v>
      </c>
      <c r="G18" s="62">
        <v>0</v>
      </c>
      <c r="H18" s="79" t="s">
        <v>94</v>
      </c>
    </row>
    <row r="19" spans="1:8">
      <c r="A19" s="79" t="s">
        <v>97</v>
      </c>
      <c r="B19" s="86" t="s">
        <v>6</v>
      </c>
      <c r="C19" s="86">
        <f>+SUM(C18:C18)</f>
        <v>0.35</v>
      </c>
      <c r="D19" s="86"/>
      <c r="E19" s="86"/>
      <c r="F19" s="91">
        <f>+SUM(F18:F18)</f>
        <v>1.0499999999999998</v>
      </c>
      <c r="G19" s="64"/>
    </row>
    <row r="20" spans="1:8">
      <c r="G20" s="61"/>
    </row>
    <row r="21" spans="1:8">
      <c r="G21" s="61"/>
    </row>
    <row r="22" spans="1:8">
      <c r="G22" s="61"/>
    </row>
    <row r="23" spans="1:8">
      <c r="G23" s="61"/>
    </row>
    <row r="24" spans="1:8">
      <c r="G24" s="61"/>
    </row>
    <row r="25" spans="1:8">
      <c r="G25" s="61"/>
    </row>
    <row r="26" spans="1:8">
      <c r="G26" s="61"/>
    </row>
    <row r="27" spans="1:8">
      <c r="G27" s="61"/>
    </row>
    <row r="28" spans="1:8">
      <c r="G28" s="61"/>
    </row>
    <row r="29" spans="1:8">
      <c r="G29" s="61"/>
    </row>
    <row r="30" spans="1:8">
      <c r="G30" s="61"/>
    </row>
    <row r="31" spans="1:8">
      <c r="G31" s="61"/>
    </row>
    <row r="32" spans="1:8">
      <c r="G32" s="61"/>
    </row>
    <row r="33" spans="7:7">
      <c r="G33" s="61"/>
    </row>
    <row r="34" spans="7:7">
      <c r="G34" s="61"/>
    </row>
    <row r="35" spans="7:7">
      <c r="G35" s="61"/>
    </row>
    <row r="36" spans="7:7">
      <c r="G36" s="61"/>
    </row>
    <row r="37" spans="7:7">
      <c r="G37" s="61"/>
    </row>
    <row r="38" spans="7:7">
      <c r="G38" s="61"/>
    </row>
    <row r="39" spans="7:7">
      <c r="G39" s="61"/>
    </row>
    <row r="40" spans="7:7">
      <c r="G40" s="61"/>
    </row>
    <row r="41" spans="7:7">
      <c r="G41" s="61"/>
    </row>
    <row r="42" spans="7:7">
      <c r="G42" s="60"/>
    </row>
    <row r="43" spans="7:7">
      <c r="G43" s="60"/>
    </row>
    <row r="44" spans="7:7">
      <c r="G44" s="60"/>
    </row>
    <row r="45" spans="7:7">
      <c r="G45" s="60"/>
    </row>
    <row r="46" spans="7:7">
      <c r="G46" s="60"/>
    </row>
    <row r="47" spans="7:7">
      <c r="G47" s="60"/>
    </row>
    <row r="48" spans="7:7">
      <c r="G48" s="60"/>
    </row>
    <row r="49" spans="7:7">
      <c r="G49" s="60"/>
    </row>
    <row r="50" spans="7:7">
      <c r="G50" s="60"/>
    </row>
    <row r="51" spans="7:7">
      <c r="G51" s="60"/>
    </row>
    <row r="52" spans="7:7">
      <c r="G52" s="60"/>
    </row>
    <row r="53" spans="7:7">
      <c r="G53" s="60"/>
    </row>
    <row r="54" spans="7:7">
      <c r="G54" s="60"/>
    </row>
    <row r="55" spans="7:7">
      <c r="G55" s="60"/>
    </row>
    <row r="56" spans="7:7">
      <c r="G56" s="60"/>
    </row>
    <row r="57" spans="7:7">
      <c r="G57" s="60"/>
    </row>
    <row r="58" spans="7:7">
      <c r="G58" s="60"/>
    </row>
    <row r="59" spans="7:7">
      <c r="G59" s="60"/>
    </row>
    <row r="60" spans="7:7">
      <c r="G60" s="60"/>
    </row>
    <row r="61" spans="7:7">
      <c r="G61" s="60"/>
    </row>
    <row r="62" spans="7:7">
      <c r="G62" s="60"/>
    </row>
    <row r="63" spans="7:7">
      <c r="G63" s="60"/>
    </row>
    <row r="64" spans="7:7">
      <c r="G64" s="60"/>
    </row>
    <row r="65" spans="7:7">
      <c r="G65" s="60"/>
    </row>
    <row r="66" spans="7:7">
      <c r="G66" s="60"/>
    </row>
    <row r="67" spans="7:7">
      <c r="G67" s="60"/>
    </row>
    <row r="68" spans="7:7">
      <c r="G68" s="60"/>
    </row>
    <row r="69" spans="7:7">
      <c r="G69" s="60"/>
    </row>
    <row r="70" spans="7:7">
      <c r="G70" s="60"/>
    </row>
    <row r="71" spans="7:7">
      <c r="G71" s="60"/>
    </row>
    <row r="72" spans="7:7">
      <c r="G72" s="60"/>
    </row>
    <row r="73" spans="7:7">
      <c r="G73" s="60"/>
    </row>
    <row r="74" spans="7:7">
      <c r="G74" s="60"/>
    </row>
    <row r="75" spans="7:7">
      <c r="G75" s="60"/>
    </row>
    <row r="76" spans="7:7">
      <c r="G76" s="60"/>
    </row>
    <row r="77" spans="7:7">
      <c r="G77" s="60"/>
    </row>
    <row r="78" spans="7:7">
      <c r="G78" s="60"/>
    </row>
    <row r="79" spans="7:7">
      <c r="G79" s="60"/>
    </row>
    <row r="80" spans="7:7">
      <c r="G80" s="60"/>
    </row>
    <row r="81" spans="7:7">
      <c r="G81" s="60"/>
    </row>
    <row r="82" spans="7:7">
      <c r="G82" s="60"/>
    </row>
    <row r="83" spans="7:7">
      <c r="G83" s="60"/>
    </row>
    <row r="84" spans="7:7">
      <c r="G84" s="60"/>
    </row>
    <row r="85" spans="7:7">
      <c r="G85" s="60"/>
    </row>
    <row r="86" spans="7:7">
      <c r="G86" s="60"/>
    </row>
    <row r="87" spans="7:7">
      <c r="G87" s="60"/>
    </row>
    <row r="88" spans="7:7">
      <c r="G88" s="60"/>
    </row>
    <row r="89" spans="7:7">
      <c r="G89" s="60"/>
    </row>
    <row r="90" spans="7:7">
      <c r="G90" s="60"/>
    </row>
    <row r="91" spans="7:7">
      <c r="G91" s="60"/>
    </row>
    <row r="92" spans="7:7">
      <c r="G92" s="60"/>
    </row>
    <row r="93" spans="7:7">
      <c r="G93" s="60"/>
    </row>
    <row r="94" spans="7:7">
      <c r="G94" s="60"/>
    </row>
    <row r="95" spans="7:7">
      <c r="G95" s="60"/>
    </row>
    <row r="96" spans="7:7">
      <c r="G96" s="60"/>
    </row>
    <row r="97" spans="7:7">
      <c r="G97" s="60"/>
    </row>
  </sheetData>
  <mergeCells count="1">
    <mergeCell ref="A1:E1"/>
  </mergeCells>
  <pageMargins left="0.7" right="0.7" top="0.75" bottom="0.75" header="0.3" footer="0.3"/>
  <pageSetup paperSize="9" orientation="portrait" horizontalDpi="200" verticalDpi="200" r:id="rId1"/>
</worksheet>
</file>

<file path=xl/worksheets/sheet16.xml><?xml version="1.0" encoding="utf-8"?>
<worksheet xmlns="http://schemas.openxmlformats.org/spreadsheetml/2006/main" xmlns:r="http://schemas.openxmlformats.org/officeDocument/2006/relationships">
  <sheetPr codeName="Hoja13"/>
  <dimension ref="A1:J126"/>
  <sheetViews>
    <sheetView topLeftCell="A28" workbookViewId="0">
      <selection sqref="A1:E1"/>
    </sheetView>
  </sheetViews>
  <sheetFormatPr baseColWidth="10" defaultRowHeight="14.4"/>
  <cols>
    <col min="1" max="1" width="40.6640625" style="79" customWidth="1"/>
    <col min="2" max="2" width="25.21875" style="79" bestFit="1" customWidth="1"/>
    <col min="3" max="3" width="11.5546875" style="79"/>
    <col min="4" max="4" width="15.5546875" style="79" bestFit="1" customWidth="1"/>
    <col min="5" max="5" width="11.5546875" style="79"/>
    <col min="6" max="6" width="13.33203125" style="79" customWidth="1"/>
    <col min="7" max="7" width="15.33203125" style="79" bestFit="1" customWidth="1"/>
    <col min="8" max="8" width="15.109375" style="79" customWidth="1"/>
    <col min="9" max="9" width="11.5546875" style="79"/>
    <col min="10" max="10" width="12.5546875" style="79" bestFit="1" customWidth="1"/>
    <col min="11" max="16384" width="11.5546875" style="79"/>
  </cols>
  <sheetData>
    <row r="1" spans="1:8" ht="18">
      <c r="A1" s="116" t="s">
        <v>107</v>
      </c>
      <c r="B1" s="116"/>
      <c r="C1" s="116"/>
      <c r="D1" s="116"/>
      <c r="E1" s="116"/>
    </row>
    <row r="2" spans="1:8">
      <c r="A2" s="89" t="s">
        <v>134</v>
      </c>
    </row>
    <row r="4" spans="1:8">
      <c r="A4" s="82" t="s">
        <v>10</v>
      </c>
      <c r="B4" s="84" t="s">
        <v>88</v>
      </c>
      <c r="C4" s="84" t="s">
        <v>11</v>
      </c>
      <c r="D4" s="84" t="s">
        <v>20</v>
      </c>
      <c r="E4" s="84" t="s">
        <v>9</v>
      </c>
      <c r="F4" s="84" t="s">
        <v>1</v>
      </c>
      <c r="G4" s="84" t="s">
        <v>52</v>
      </c>
    </row>
    <row r="5" spans="1:8">
      <c r="A5" s="79" t="s">
        <v>95</v>
      </c>
      <c r="B5" s="111">
        <v>1</v>
      </c>
      <c r="C5" s="80">
        <v>0.15</v>
      </c>
      <c r="D5" s="80">
        <f>+SUM($C$5:C5)</f>
        <v>0.15</v>
      </c>
      <c r="E5" s="80">
        <f>+Summary!H27</f>
        <v>2</v>
      </c>
      <c r="F5" s="80">
        <f>+C5*E5</f>
        <v>0.3</v>
      </c>
      <c r="G5" s="62"/>
    </row>
    <row r="6" spans="1:8">
      <c r="B6" s="111">
        <v>2</v>
      </c>
      <c r="C6" s="80">
        <v>0.15</v>
      </c>
      <c r="D6" s="80">
        <f>+SUM($C$5:C6)</f>
        <v>0.3</v>
      </c>
      <c r="E6" s="80">
        <f>+Summary!H28</f>
        <v>2</v>
      </c>
      <c r="F6" s="80">
        <f t="shared" ref="F6:F11" si="0">+C6*E6</f>
        <v>0.3</v>
      </c>
      <c r="G6" s="62"/>
    </row>
    <row r="7" spans="1:8">
      <c r="B7" s="111">
        <v>3</v>
      </c>
      <c r="C7" s="80">
        <v>2.2499999999999999E-2</v>
      </c>
      <c r="D7" s="80">
        <f>+SUM($C$5:C7)</f>
        <v>0.32250000000000001</v>
      </c>
      <c r="E7" s="80">
        <f>+Summary!H29</f>
        <v>4</v>
      </c>
      <c r="F7" s="80">
        <f t="shared" si="0"/>
        <v>0.09</v>
      </c>
      <c r="G7" s="62"/>
    </row>
    <row r="8" spans="1:8">
      <c r="B8" s="111" t="s">
        <v>89</v>
      </c>
      <c r="C8" s="80">
        <v>0.05</v>
      </c>
      <c r="D8" s="80">
        <f>+SUM($C$5:C8)</f>
        <v>0.3725</v>
      </c>
      <c r="E8" s="80">
        <f>+E5+E6</f>
        <v>4</v>
      </c>
      <c r="F8" s="80">
        <f t="shared" si="0"/>
        <v>0.2</v>
      </c>
      <c r="G8" s="62"/>
    </row>
    <row r="9" spans="1:8">
      <c r="B9" s="111" t="s">
        <v>90</v>
      </c>
      <c r="C9" s="80">
        <v>0.01</v>
      </c>
      <c r="D9" s="80">
        <f>+SUM($C$5:C9)</f>
        <v>0.38250000000000001</v>
      </c>
      <c r="E9" s="80">
        <f>+E5+E7</f>
        <v>6</v>
      </c>
      <c r="F9" s="80">
        <f t="shared" si="0"/>
        <v>0.06</v>
      </c>
      <c r="G9" s="62"/>
    </row>
    <row r="10" spans="1:8">
      <c r="B10" s="111" t="s">
        <v>91</v>
      </c>
      <c r="C10" s="80">
        <v>0.01</v>
      </c>
      <c r="D10" s="80">
        <f>+SUM($C$5:C10)</f>
        <v>0.39250000000000002</v>
      </c>
      <c r="E10" s="80">
        <f>+E6+E7</f>
        <v>6</v>
      </c>
      <c r="F10" s="80">
        <f t="shared" si="0"/>
        <v>0.06</v>
      </c>
      <c r="G10" s="62"/>
    </row>
    <row r="11" spans="1:8">
      <c r="B11" s="111" t="s">
        <v>92</v>
      </c>
      <c r="C11" s="80">
        <v>5.0000000000000001E-3</v>
      </c>
      <c r="D11" s="80">
        <f>+SUM($C$5:C11)</f>
        <v>0.39750000000000002</v>
      </c>
      <c r="E11" s="80">
        <f>+E5+E6+E7</f>
        <v>8</v>
      </c>
      <c r="F11" s="80">
        <f t="shared" si="0"/>
        <v>0.04</v>
      </c>
      <c r="G11" s="62">
        <v>0</v>
      </c>
      <c r="H11" s="79" t="s">
        <v>94</v>
      </c>
    </row>
    <row r="12" spans="1:8">
      <c r="B12" s="86" t="s">
        <v>12</v>
      </c>
      <c r="C12" s="86">
        <f>+SUM(C5:C11)</f>
        <v>0.39750000000000002</v>
      </c>
      <c r="D12" s="86"/>
      <c r="E12" s="86"/>
      <c r="F12" s="93">
        <f>+SUM(F5:F11)</f>
        <v>1.05</v>
      </c>
      <c r="G12" s="63"/>
    </row>
    <row r="13" spans="1:8">
      <c r="B13" s="87" t="s">
        <v>93</v>
      </c>
      <c r="G13" s="60"/>
    </row>
    <row r="14" spans="1:8">
      <c r="G14" s="60"/>
    </row>
    <row r="15" spans="1:8">
      <c r="A15" s="82" t="s">
        <v>14</v>
      </c>
      <c r="B15" s="84" t="s">
        <v>88</v>
      </c>
      <c r="C15" s="84" t="s">
        <v>11</v>
      </c>
      <c r="D15" s="84" t="s">
        <v>20</v>
      </c>
      <c r="E15" s="84" t="s">
        <v>9</v>
      </c>
      <c r="F15" s="84" t="s">
        <v>1</v>
      </c>
      <c r="G15" s="84" t="s">
        <v>52</v>
      </c>
    </row>
    <row r="16" spans="1:8">
      <c r="A16" s="79" t="s">
        <v>96</v>
      </c>
      <c r="B16" s="110">
        <v>2</v>
      </c>
      <c r="C16" s="83">
        <v>0.4</v>
      </c>
      <c r="D16" s="83">
        <f>+SUM(C16:$C$16)</f>
        <v>0.4</v>
      </c>
      <c r="E16" s="83">
        <f>+E6</f>
        <v>2</v>
      </c>
      <c r="F16" s="83">
        <f>+C16*E16</f>
        <v>0.8</v>
      </c>
      <c r="G16" s="62"/>
    </row>
    <row r="17" spans="1:10">
      <c r="A17" s="79" t="s">
        <v>97</v>
      </c>
      <c r="B17" s="110">
        <v>3</v>
      </c>
      <c r="C17" s="83">
        <v>3.2500000000000001E-2</v>
      </c>
      <c r="D17" s="83">
        <f>+SUM(C$16:$C17)</f>
        <v>0.4325</v>
      </c>
      <c r="E17" s="83">
        <f>+E7</f>
        <v>4</v>
      </c>
      <c r="F17" s="83">
        <f t="shared" ref="F17:F18" si="1">+C17*E17</f>
        <v>0.13</v>
      </c>
      <c r="G17" s="62"/>
    </row>
    <row r="18" spans="1:10">
      <c r="B18" s="110" t="s">
        <v>91</v>
      </c>
      <c r="C18" s="83">
        <v>0.02</v>
      </c>
      <c r="D18" s="83">
        <f>+SUM(C$16:$C18)</f>
        <v>0.45250000000000001</v>
      </c>
      <c r="E18" s="83">
        <f>+E16+E17</f>
        <v>6</v>
      </c>
      <c r="F18" s="83">
        <f t="shared" si="1"/>
        <v>0.12</v>
      </c>
      <c r="G18" s="62">
        <v>0</v>
      </c>
      <c r="H18" s="79" t="s">
        <v>94</v>
      </c>
    </row>
    <row r="19" spans="1:10">
      <c r="B19" s="86" t="s">
        <v>6</v>
      </c>
      <c r="C19" s="86">
        <f>+SUM(C16:C18)</f>
        <v>0.45250000000000001</v>
      </c>
      <c r="D19" s="86"/>
      <c r="E19" s="86"/>
      <c r="F19" s="91">
        <f>+SUM(F16:F18)</f>
        <v>1.05</v>
      </c>
      <c r="G19" s="64"/>
    </row>
    <row r="20" spans="1:10">
      <c r="B20" s="90"/>
      <c r="C20" s="90"/>
      <c r="D20" s="90"/>
      <c r="E20" s="90"/>
      <c r="F20" s="85"/>
      <c r="G20" s="65"/>
    </row>
    <row r="21" spans="1:10">
      <c r="B21" s="90"/>
      <c r="C21" s="90"/>
      <c r="D21" s="90"/>
      <c r="E21" s="90"/>
      <c r="F21" s="85"/>
      <c r="G21" s="65"/>
    </row>
    <row r="22" spans="1:10">
      <c r="A22" s="82" t="s">
        <v>15</v>
      </c>
      <c r="B22" s="84" t="s">
        <v>88</v>
      </c>
      <c r="C22" s="84" t="s">
        <v>11</v>
      </c>
      <c r="D22" s="84" t="s">
        <v>20</v>
      </c>
      <c r="E22" s="84" t="s">
        <v>9</v>
      </c>
      <c r="F22" s="84" t="s">
        <v>1</v>
      </c>
      <c r="G22" s="84" t="s">
        <v>52</v>
      </c>
    </row>
    <row r="23" spans="1:10">
      <c r="A23" s="79" t="s">
        <v>96</v>
      </c>
      <c r="B23" s="110">
        <v>1</v>
      </c>
      <c r="C23" s="83">
        <v>0.4</v>
      </c>
      <c r="D23" s="83">
        <f>+SUM(C23:$C$23)</f>
        <v>0.4</v>
      </c>
      <c r="E23" s="83">
        <f>+E5</f>
        <v>2</v>
      </c>
      <c r="F23" s="83">
        <f>+C23*E23</f>
        <v>0.8</v>
      </c>
      <c r="G23" s="62"/>
    </row>
    <row r="24" spans="1:10">
      <c r="A24" s="79" t="s">
        <v>98</v>
      </c>
      <c r="B24" s="110">
        <v>3</v>
      </c>
      <c r="C24" s="83">
        <v>3.2500000000000001E-2</v>
      </c>
      <c r="D24" s="83">
        <f>+SUM(C$23:$C24)</f>
        <v>0.4325</v>
      </c>
      <c r="E24" s="83">
        <f>+E7</f>
        <v>4</v>
      </c>
      <c r="F24" s="83">
        <f t="shared" ref="F24:F25" si="2">+C24*E24</f>
        <v>0.13</v>
      </c>
      <c r="G24" s="62"/>
    </row>
    <row r="25" spans="1:10">
      <c r="B25" s="110" t="s">
        <v>90</v>
      </c>
      <c r="C25" s="83">
        <v>0.02</v>
      </c>
      <c r="D25" s="83">
        <f>+SUM(C$23:$C25)</f>
        <v>0.45250000000000001</v>
      </c>
      <c r="E25" s="83">
        <f>+E23+E24</f>
        <v>6</v>
      </c>
      <c r="F25" s="83">
        <f t="shared" si="2"/>
        <v>0.12</v>
      </c>
      <c r="G25" s="62">
        <v>0</v>
      </c>
      <c r="H25" s="79" t="s">
        <v>94</v>
      </c>
      <c r="J25" s="92"/>
    </row>
    <row r="26" spans="1:10">
      <c r="B26" s="86" t="s">
        <v>6</v>
      </c>
      <c r="C26" s="86">
        <f>+SUM(C23:C25)</f>
        <v>0.45250000000000001</v>
      </c>
      <c r="D26" s="86"/>
      <c r="E26" s="86"/>
      <c r="F26" s="91">
        <f>+SUM(F23:F25)</f>
        <v>1.05</v>
      </c>
      <c r="G26" s="64"/>
    </row>
    <row r="27" spans="1:10">
      <c r="B27" s="90"/>
      <c r="C27" s="90"/>
      <c r="D27" s="90"/>
      <c r="E27" s="90"/>
      <c r="F27" s="85"/>
      <c r="G27" s="65"/>
    </row>
    <row r="28" spans="1:10">
      <c r="G28" s="60"/>
    </row>
    <row r="29" spans="1:10">
      <c r="A29" s="82" t="s">
        <v>16</v>
      </c>
      <c r="B29" s="84" t="s">
        <v>88</v>
      </c>
      <c r="C29" s="84" t="s">
        <v>11</v>
      </c>
      <c r="D29" s="84" t="s">
        <v>20</v>
      </c>
      <c r="E29" s="84" t="s">
        <v>9</v>
      </c>
      <c r="F29" s="84" t="s">
        <v>1</v>
      </c>
      <c r="G29" s="84" t="s">
        <v>52</v>
      </c>
    </row>
    <row r="30" spans="1:10">
      <c r="A30" s="79" t="s">
        <v>96</v>
      </c>
      <c r="B30" s="110">
        <v>3</v>
      </c>
      <c r="C30" s="83">
        <v>0.26250000000000001</v>
      </c>
      <c r="D30" s="83">
        <f>+SUM(C30:$C$30)</f>
        <v>0.26250000000000001</v>
      </c>
      <c r="E30" s="83">
        <f>+E7</f>
        <v>4</v>
      </c>
      <c r="F30" s="83">
        <f>+C30*E30</f>
        <v>1.05</v>
      </c>
      <c r="G30" s="62">
        <v>0</v>
      </c>
      <c r="H30" s="79" t="s">
        <v>94</v>
      </c>
    </row>
    <row r="31" spans="1:10">
      <c r="A31" s="79" t="s">
        <v>97</v>
      </c>
      <c r="B31" s="86" t="s">
        <v>6</v>
      </c>
      <c r="C31" s="86">
        <f>+SUM(C30:C30)</f>
        <v>0.26250000000000001</v>
      </c>
      <c r="D31" s="86"/>
      <c r="E31" s="86"/>
      <c r="F31" s="91">
        <f>+SUM(F30:F30)</f>
        <v>1.05</v>
      </c>
      <c r="G31" s="64"/>
    </row>
    <row r="32" spans="1:10">
      <c r="A32" s="79" t="s">
        <v>98</v>
      </c>
      <c r="G32" s="60"/>
    </row>
    <row r="33" spans="1:8">
      <c r="G33" s="60"/>
    </row>
    <row r="34" spans="1:8">
      <c r="A34" s="82" t="s">
        <v>17</v>
      </c>
      <c r="B34" s="84" t="s">
        <v>88</v>
      </c>
      <c r="C34" s="84" t="s">
        <v>11</v>
      </c>
      <c r="D34" s="84" t="s">
        <v>20</v>
      </c>
      <c r="E34" s="84" t="s">
        <v>9</v>
      </c>
      <c r="F34" s="84" t="s">
        <v>1</v>
      </c>
      <c r="G34" s="84" t="s">
        <v>52</v>
      </c>
    </row>
    <row r="35" spans="1:8">
      <c r="A35" s="79" t="s">
        <v>96</v>
      </c>
      <c r="B35" s="110">
        <v>1</v>
      </c>
      <c r="C35" s="83">
        <v>0.24</v>
      </c>
      <c r="D35" s="83">
        <f>+SUM(C35:$C$35)</f>
        <v>0.24</v>
      </c>
      <c r="E35" s="83">
        <f>+E5</f>
        <v>2</v>
      </c>
      <c r="F35" s="83">
        <f>+C35*E35</f>
        <v>0.48</v>
      </c>
      <c r="G35" s="62"/>
    </row>
    <row r="36" spans="1:8">
      <c r="A36" s="79" t="s">
        <v>99</v>
      </c>
      <c r="B36" s="110">
        <v>2</v>
      </c>
      <c r="C36" s="83">
        <v>0.24</v>
      </c>
      <c r="D36" s="83">
        <f>+SUM(C$35:$C36)</f>
        <v>0.48</v>
      </c>
      <c r="E36" s="83">
        <f>+E6</f>
        <v>2</v>
      </c>
      <c r="F36" s="83">
        <f t="shared" ref="F36:F37" si="3">+C36*E36</f>
        <v>0.48</v>
      </c>
      <c r="G36" s="62"/>
    </row>
    <row r="37" spans="1:8">
      <c r="B37" s="110" t="s">
        <v>89</v>
      </c>
      <c r="C37" s="83">
        <v>2.2499999999999999E-2</v>
      </c>
      <c r="D37" s="83">
        <f>+SUM(C$35:$C37)</f>
        <v>0.50249999999999995</v>
      </c>
      <c r="E37" s="83">
        <f>+E35+E36</f>
        <v>4</v>
      </c>
      <c r="F37" s="83">
        <f t="shared" si="3"/>
        <v>0.09</v>
      </c>
      <c r="G37" s="62">
        <v>0</v>
      </c>
      <c r="H37" s="79" t="s">
        <v>94</v>
      </c>
    </row>
    <row r="38" spans="1:8">
      <c r="A38" s="88"/>
      <c r="B38" s="86" t="s">
        <v>6</v>
      </c>
      <c r="C38" s="86">
        <f>+SUM(C35:C37)</f>
        <v>0.50249999999999995</v>
      </c>
      <c r="D38" s="86"/>
      <c r="E38" s="86"/>
      <c r="F38" s="91">
        <f>+SUM(F35:F37)</f>
        <v>1.05</v>
      </c>
      <c r="G38" s="64"/>
    </row>
    <row r="39" spans="1:8">
      <c r="A39" s="88"/>
      <c r="G39" s="60"/>
    </row>
    <row r="40" spans="1:8">
      <c r="G40" s="60"/>
    </row>
    <row r="41" spans="1:8">
      <c r="A41" s="82" t="s">
        <v>18</v>
      </c>
      <c r="B41" s="84" t="s">
        <v>88</v>
      </c>
      <c r="C41" s="84" t="s">
        <v>11</v>
      </c>
      <c r="D41" s="84" t="s">
        <v>20</v>
      </c>
      <c r="E41" s="84" t="s">
        <v>9</v>
      </c>
      <c r="F41" s="84" t="s">
        <v>1</v>
      </c>
      <c r="G41" s="78"/>
    </row>
    <row r="42" spans="1:8">
      <c r="A42" s="79" t="s">
        <v>96</v>
      </c>
      <c r="B42" s="110">
        <v>1</v>
      </c>
      <c r="C42" s="83">
        <v>0.52500000000000002</v>
      </c>
      <c r="D42" s="83">
        <f>+SUM(C42:$C$42)</f>
        <v>0.52500000000000002</v>
      </c>
      <c r="E42" s="83">
        <f>+E5</f>
        <v>2</v>
      </c>
      <c r="F42" s="83">
        <f>+E42*C42</f>
        <v>1.05</v>
      </c>
      <c r="G42" s="62">
        <v>0</v>
      </c>
      <c r="H42" s="79" t="s">
        <v>94</v>
      </c>
    </row>
    <row r="43" spans="1:8">
      <c r="A43" s="79" t="s">
        <v>98</v>
      </c>
      <c r="B43" s="86" t="s">
        <v>6</v>
      </c>
      <c r="C43" s="86">
        <f>+SUM(C42:C42)</f>
        <v>0.52500000000000002</v>
      </c>
      <c r="D43" s="86"/>
      <c r="E43" s="86"/>
      <c r="F43" s="91">
        <f>+SUM(F42:F42)</f>
        <v>1.05</v>
      </c>
      <c r="G43" s="64"/>
    </row>
    <row r="44" spans="1:8">
      <c r="A44" s="79" t="s">
        <v>99</v>
      </c>
      <c r="G44" s="60"/>
    </row>
    <row r="45" spans="1:8">
      <c r="G45" s="60"/>
    </row>
    <row r="46" spans="1:8">
      <c r="A46" s="82" t="s">
        <v>19</v>
      </c>
      <c r="B46" s="84" t="s">
        <v>88</v>
      </c>
      <c r="C46" s="84" t="s">
        <v>11</v>
      </c>
      <c r="D46" s="84" t="s">
        <v>20</v>
      </c>
      <c r="E46" s="84" t="s">
        <v>9</v>
      </c>
      <c r="F46" s="84" t="s">
        <v>1</v>
      </c>
      <c r="G46" s="78"/>
    </row>
    <row r="47" spans="1:8">
      <c r="A47" s="79" t="s">
        <v>96</v>
      </c>
      <c r="B47" s="110">
        <v>2</v>
      </c>
      <c r="C47" s="83">
        <v>0.52500000000000002</v>
      </c>
      <c r="D47" s="83">
        <f>+SUM(C$47:$C47)</f>
        <v>0.52500000000000002</v>
      </c>
      <c r="E47" s="83">
        <f>+E6</f>
        <v>2</v>
      </c>
      <c r="F47" s="83">
        <f>+E47*C47</f>
        <v>1.05</v>
      </c>
      <c r="G47" s="62">
        <v>0</v>
      </c>
      <c r="H47" s="79" t="s">
        <v>94</v>
      </c>
    </row>
    <row r="48" spans="1:8">
      <c r="A48" s="79" t="s">
        <v>97</v>
      </c>
      <c r="B48" s="86" t="s">
        <v>6</v>
      </c>
      <c r="C48" s="86">
        <f>+SUM(C47:C47)</f>
        <v>0.52500000000000002</v>
      </c>
      <c r="D48" s="86"/>
      <c r="E48" s="86"/>
      <c r="F48" s="91">
        <f>+SUM(F47:F47)</f>
        <v>1.05</v>
      </c>
      <c r="G48" s="64"/>
    </row>
    <row r="49" spans="1:7">
      <c r="A49" s="79" t="s">
        <v>99</v>
      </c>
      <c r="G49" s="61"/>
    </row>
    <row r="50" spans="1:7">
      <c r="G50" s="61"/>
    </row>
    <row r="51" spans="1:7">
      <c r="G51" s="61"/>
    </row>
    <row r="52" spans="1:7">
      <c r="G52" s="61"/>
    </row>
    <row r="53" spans="1:7">
      <c r="G53" s="61"/>
    </row>
    <row r="54" spans="1:7">
      <c r="G54" s="61"/>
    </row>
    <row r="55" spans="1:7">
      <c r="G55" s="61"/>
    </row>
    <row r="56" spans="1:7">
      <c r="G56" s="61"/>
    </row>
    <row r="57" spans="1:7">
      <c r="G57" s="61"/>
    </row>
    <row r="58" spans="1:7">
      <c r="G58" s="61"/>
    </row>
    <row r="59" spans="1:7">
      <c r="G59" s="61"/>
    </row>
    <row r="60" spans="1:7">
      <c r="G60" s="61"/>
    </row>
    <row r="61" spans="1:7">
      <c r="G61" s="61"/>
    </row>
    <row r="62" spans="1:7">
      <c r="G62" s="61"/>
    </row>
    <row r="63" spans="1:7">
      <c r="G63" s="61"/>
    </row>
    <row r="64" spans="1:7">
      <c r="G64" s="61"/>
    </row>
    <row r="65" spans="7:7">
      <c r="G65" s="61"/>
    </row>
    <row r="66" spans="7:7">
      <c r="G66" s="61"/>
    </row>
    <row r="67" spans="7:7">
      <c r="G67" s="61"/>
    </row>
    <row r="68" spans="7:7">
      <c r="G68" s="61"/>
    </row>
    <row r="69" spans="7:7">
      <c r="G69" s="61"/>
    </row>
    <row r="70" spans="7:7">
      <c r="G70" s="61"/>
    </row>
    <row r="71" spans="7:7">
      <c r="G71" s="60"/>
    </row>
    <row r="72" spans="7:7">
      <c r="G72" s="60"/>
    </row>
    <row r="73" spans="7:7">
      <c r="G73" s="60"/>
    </row>
    <row r="74" spans="7:7">
      <c r="G74" s="60"/>
    </row>
    <row r="75" spans="7:7">
      <c r="G75" s="60"/>
    </row>
    <row r="76" spans="7:7">
      <c r="G76" s="60"/>
    </row>
    <row r="77" spans="7:7">
      <c r="G77" s="60"/>
    </row>
    <row r="78" spans="7:7">
      <c r="G78" s="60"/>
    </row>
    <row r="79" spans="7:7">
      <c r="G79" s="60"/>
    </row>
    <row r="80" spans="7:7">
      <c r="G80" s="60"/>
    </row>
    <row r="81" spans="7:7">
      <c r="G81" s="60"/>
    </row>
    <row r="82" spans="7:7">
      <c r="G82" s="60"/>
    </row>
    <row r="83" spans="7:7">
      <c r="G83" s="60"/>
    </row>
    <row r="84" spans="7:7">
      <c r="G84" s="60"/>
    </row>
    <row r="85" spans="7:7">
      <c r="G85" s="60"/>
    </row>
    <row r="86" spans="7:7">
      <c r="G86" s="60"/>
    </row>
    <row r="87" spans="7:7">
      <c r="G87" s="60"/>
    </row>
    <row r="88" spans="7:7">
      <c r="G88" s="60"/>
    </row>
    <row r="89" spans="7:7">
      <c r="G89" s="60"/>
    </row>
    <row r="90" spans="7:7">
      <c r="G90" s="60"/>
    </row>
    <row r="91" spans="7:7">
      <c r="G91" s="60"/>
    </row>
    <row r="92" spans="7:7">
      <c r="G92" s="60"/>
    </row>
    <row r="93" spans="7:7">
      <c r="G93" s="60"/>
    </row>
    <row r="94" spans="7:7">
      <c r="G94" s="60"/>
    </row>
    <row r="95" spans="7:7">
      <c r="G95" s="60"/>
    </row>
    <row r="96" spans="7:7">
      <c r="G96" s="60"/>
    </row>
    <row r="97" spans="7:7">
      <c r="G97" s="60"/>
    </row>
    <row r="98" spans="7:7">
      <c r="G98" s="60"/>
    </row>
    <row r="99" spans="7:7">
      <c r="G99" s="60"/>
    </row>
    <row r="100" spans="7:7">
      <c r="G100" s="60"/>
    </row>
    <row r="101" spans="7:7">
      <c r="G101" s="60"/>
    </row>
    <row r="102" spans="7:7">
      <c r="G102" s="60"/>
    </row>
    <row r="103" spans="7:7">
      <c r="G103" s="60"/>
    </row>
    <row r="104" spans="7:7">
      <c r="G104" s="60"/>
    </row>
    <row r="105" spans="7:7">
      <c r="G105" s="60"/>
    </row>
    <row r="106" spans="7:7">
      <c r="G106" s="60"/>
    </row>
    <row r="107" spans="7:7">
      <c r="G107" s="60"/>
    </row>
    <row r="108" spans="7:7">
      <c r="G108" s="60"/>
    </row>
    <row r="109" spans="7:7">
      <c r="G109" s="60"/>
    </row>
    <row r="110" spans="7:7">
      <c r="G110" s="60"/>
    </row>
    <row r="111" spans="7:7">
      <c r="G111" s="60"/>
    </row>
    <row r="112" spans="7:7">
      <c r="G112" s="60"/>
    </row>
    <row r="113" spans="7:7">
      <c r="G113" s="60"/>
    </row>
    <row r="114" spans="7:7">
      <c r="G114" s="60"/>
    </row>
    <row r="115" spans="7:7">
      <c r="G115" s="60"/>
    </row>
    <row r="116" spans="7:7">
      <c r="G116" s="60"/>
    </row>
    <row r="117" spans="7:7">
      <c r="G117" s="60"/>
    </row>
    <row r="118" spans="7:7">
      <c r="G118" s="60"/>
    </row>
    <row r="119" spans="7:7">
      <c r="G119" s="60"/>
    </row>
    <row r="120" spans="7:7">
      <c r="G120" s="60"/>
    </row>
    <row r="121" spans="7:7">
      <c r="G121" s="60"/>
    </row>
    <row r="122" spans="7:7">
      <c r="G122" s="60"/>
    </row>
    <row r="123" spans="7:7">
      <c r="G123" s="60"/>
    </row>
    <row r="124" spans="7:7">
      <c r="G124" s="60"/>
    </row>
    <row r="125" spans="7:7">
      <c r="G125" s="60"/>
    </row>
    <row r="126" spans="7:7">
      <c r="G126" s="60"/>
    </row>
  </sheetData>
  <mergeCells count="1">
    <mergeCell ref="A1:E1"/>
  </mergeCells>
  <pageMargins left="0.7" right="0.7" top="0.75" bottom="0.75" header="0.3" footer="0.3"/>
  <pageSetup paperSize="9" orientation="portrait" horizontalDpi="200" verticalDpi="200" r:id="rId1"/>
</worksheet>
</file>

<file path=xl/worksheets/sheet17.xml><?xml version="1.0" encoding="utf-8"?>
<worksheet xmlns="http://schemas.openxmlformats.org/spreadsheetml/2006/main" xmlns:r="http://schemas.openxmlformats.org/officeDocument/2006/relationships">
  <sheetPr codeName="Hoja14"/>
  <dimension ref="A1:J126"/>
  <sheetViews>
    <sheetView workbookViewId="0">
      <selection sqref="A1:E1"/>
    </sheetView>
  </sheetViews>
  <sheetFormatPr baseColWidth="10" defaultRowHeight="14.4"/>
  <cols>
    <col min="1" max="1" width="40.6640625" style="79" customWidth="1"/>
    <col min="2" max="2" width="25.21875" style="79" bestFit="1" customWidth="1"/>
    <col min="3" max="3" width="11.5546875" style="79"/>
    <col min="4" max="4" width="15.5546875" style="79" bestFit="1" customWidth="1"/>
    <col min="5" max="5" width="11.5546875" style="79"/>
    <col min="6" max="6" width="13.33203125" style="79" customWidth="1"/>
    <col min="7" max="7" width="15.33203125" style="79" bestFit="1" customWidth="1"/>
    <col min="8" max="8" width="15.109375" style="79" customWidth="1"/>
    <col min="9" max="9" width="11.5546875" style="79"/>
    <col min="10" max="10" width="12.5546875" style="79" bestFit="1" customWidth="1"/>
    <col min="11" max="16384" width="11.5546875" style="79"/>
  </cols>
  <sheetData>
    <row r="1" spans="1:8" ht="18">
      <c r="A1" s="116" t="s">
        <v>111</v>
      </c>
      <c r="B1" s="116"/>
      <c r="C1" s="116"/>
      <c r="D1" s="116"/>
      <c r="E1" s="116"/>
    </row>
    <row r="2" spans="1:8">
      <c r="A2" s="89" t="s">
        <v>134</v>
      </c>
    </row>
    <row r="4" spans="1:8">
      <c r="A4" s="82" t="s">
        <v>10</v>
      </c>
      <c r="B4" s="84" t="s">
        <v>88</v>
      </c>
      <c r="C4" s="84" t="s">
        <v>11</v>
      </c>
      <c r="D4" s="84" t="s">
        <v>20</v>
      </c>
      <c r="E4" s="84" t="s">
        <v>9</v>
      </c>
      <c r="F4" s="84" t="s">
        <v>1</v>
      </c>
      <c r="G4" s="84" t="s">
        <v>52</v>
      </c>
    </row>
    <row r="5" spans="1:8">
      <c r="A5" s="79" t="s">
        <v>95</v>
      </c>
      <c r="B5" s="111">
        <v>1</v>
      </c>
      <c r="C5" s="80">
        <v>0.1</v>
      </c>
      <c r="D5" s="80">
        <f>+SUM($C$5:C5)</f>
        <v>0.1</v>
      </c>
      <c r="E5" s="94">
        <f>Summary!K27</f>
        <v>3</v>
      </c>
      <c r="F5" s="80">
        <f>+C5*E5</f>
        <v>0.30000000000000004</v>
      </c>
      <c r="G5" s="62"/>
    </row>
    <row r="6" spans="1:8">
      <c r="B6" s="111">
        <v>2</v>
      </c>
      <c r="C6" s="80">
        <v>0.1</v>
      </c>
      <c r="D6" s="80">
        <f>+SUM($C$5:C6)</f>
        <v>0.2</v>
      </c>
      <c r="E6" s="94">
        <f>Summary!K28</f>
        <v>3</v>
      </c>
      <c r="F6" s="80">
        <f t="shared" ref="F6:F11" si="0">+C6*E6</f>
        <v>0.30000000000000004</v>
      </c>
      <c r="G6" s="62"/>
    </row>
    <row r="7" spans="1:8">
      <c r="B7" s="111">
        <v>3</v>
      </c>
      <c r="C7" s="80">
        <v>1.4999999999999999E-2</v>
      </c>
      <c r="D7" s="80">
        <f>+SUM($C$5:C7)</f>
        <v>0.21500000000000002</v>
      </c>
      <c r="E7" s="94">
        <f>Summary!K29</f>
        <v>6</v>
      </c>
      <c r="F7" s="80">
        <f t="shared" si="0"/>
        <v>0.09</v>
      </c>
      <c r="G7" s="62"/>
    </row>
    <row r="8" spans="1:8">
      <c r="B8" s="111" t="s">
        <v>89</v>
      </c>
      <c r="C8" s="80">
        <v>0.02</v>
      </c>
      <c r="D8" s="80">
        <f>+SUM($C$5:C8)</f>
        <v>0.23500000000000001</v>
      </c>
      <c r="E8" s="80">
        <f>+E5+E6</f>
        <v>6</v>
      </c>
      <c r="F8" s="80">
        <f t="shared" si="0"/>
        <v>0.12</v>
      </c>
      <c r="G8" s="62"/>
    </row>
    <row r="9" spans="1:8">
      <c r="B9" s="111" t="s">
        <v>90</v>
      </c>
      <c r="C9" s="80">
        <v>0.01</v>
      </c>
      <c r="D9" s="80">
        <f>+SUM($C$5:C9)</f>
        <v>0.24500000000000002</v>
      </c>
      <c r="E9" s="80">
        <f>+E5+E7</f>
        <v>9</v>
      </c>
      <c r="F9" s="80">
        <f t="shared" si="0"/>
        <v>0.09</v>
      </c>
      <c r="G9" s="62"/>
    </row>
    <row r="10" spans="1:8">
      <c r="B10" s="111" t="s">
        <v>91</v>
      </c>
      <c r="C10" s="80">
        <v>0.01</v>
      </c>
      <c r="D10" s="80">
        <f>+SUM($C$5:C10)</f>
        <v>0.255</v>
      </c>
      <c r="E10" s="80">
        <f>+E6+E7</f>
        <v>9</v>
      </c>
      <c r="F10" s="80">
        <f t="shared" si="0"/>
        <v>0.09</v>
      </c>
      <c r="G10" s="62"/>
    </row>
    <row r="11" spans="1:8">
      <c r="B11" s="111" t="s">
        <v>92</v>
      </c>
      <c r="C11" s="80">
        <v>5.0000000000000001E-3</v>
      </c>
      <c r="D11" s="80">
        <f>+SUM($C$5:C11)</f>
        <v>0.26</v>
      </c>
      <c r="E11" s="80">
        <f>+E5+E6+E7</f>
        <v>12</v>
      </c>
      <c r="F11" s="80">
        <f t="shared" si="0"/>
        <v>0.06</v>
      </c>
      <c r="G11" s="62">
        <v>0</v>
      </c>
      <c r="H11" s="79" t="s">
        <v>94</v>
      </c>
    </row>
    <row r="12" spans="1:8">
      <c r="B12" s="86" t="s">
        <v>12</v>
      </c>
      <c r="C12" s="86">
        <f>+SUM(C5:C11)</f>
        <v>0.26</v>
      </c>
      <c r="D12" s="86"/>
      <c r="E12" s="86"/>
      <c r="F12" s="93">
        <f>+SUM(F5:F11)</f>
        <v>1.05</v>
      </c>
      <c r="G12" s="63"/>
    </row>
    <row r="13" spans="1:8">
      <c r="B13" s="87" t="s">
        <v>93</v>
      </c>
      <c r="G13" s="60"/>
    </row>
    <row r="14" spans="1:8">
      <c r="G14" s="60"/>
    </row>
    <row r="15" spans="1:8">
      <c r="A15" s="82" t="s">
        <v>14</v>
      </c>
      <c r="B15" s="84" t="s">
        <v>88</v>
      </c>
      <c r="C15" s="84" t="s">
        <v>11</v>
      </c>
      <c r="D15" s="84" t="s">
        <v>20</v>
      </c>
      <c r="E15" s="84" t="s">
        <v>9</v>
      </c>
      <c r="F15" s="84" t="s">
        <v>1</v>
      </c>
      <c r="G15" s="84" t="s">
        <v>52</v>
      </c>
    </row>
    <row r="16" spans="1:8">
      <c r="A16" s="79" t="s">
        <v>96</v>
      </c>
      <c r="B16" s="110">
        <v>2</v>
      </c>
      <c r="C16" s="83">
        <v>0.25</v>
      </c>
      <c r="D16" s="83">
        <f>+SUM(C16:$C$16)</f>
        <v>0.25</v>
      </c>
      <c r="E16" s="83">
        <f>+E6</f>
        <v>3</v>
      </c>
      <c r="F16" s="83">
        <f>+C16*E16</f>
        <v>0.75</v>
      </c>
      <c r="G16" s="62"/>
    </row>
    <row r="17" spans="1:10">
      <c r="A17" s="79" t="s">
        <v>97</v>
      </c>
      <c r="B17" s="110">
        <v>3</v>
      </c>
      <c r="C17" s="83">
        <v>0.02</v>
      </c>
      <c r="D17" s="83">
        <f>+SUM(C$16:$C17)</f>
        <v>0.27</v>
      </c>
      <c r="E17" s="83">
        <f>+E7</f>
        <v>6</v>
      </c>
      <c r="F17" s="83">
        <f t="shared" ref="F17:F18" si="1">+C17*E17</f>
        <v>0.12</v>
      </c>
      <c r="G17" s="62"/>
    </row>
    <row r="18" spans="1:10">
      <c r="B18" s="110" t="s">
        <v>91</v>
      </c>
      <c r="C18" s="83">
        <v>0.02</v>
      </c>
      <c r="D18" s="83">
        <f>+SUM(C$16:$C18)</f>
        <v>0.29000000000000004</v>
      </c>
      <c r="E18" s="83">
        <f>+E16+E17</f>
        <v>9</v>
      </c>
      <c r="F18" s="83">
        <f t="shared" si="1"/>
        <v>0.18</v>
      </c>
      <c r="G18" s="62">
        <v>0</v>
      </c>
      <c r="H18" s="79" t="s">
        <v>94</v>
      </c>
    </row>
    <row r="19" spans="1:10">
      <c r="B19" s="86" t="s">
        <v>6</v>
      </c>
      <c r="C19" s="86">
        <f>+SUM(C16:C18)</f>
        <v>0.29000000000000004</v>
      </c>
      <c r="D19" s="86"/>
      <c r="E19" s="86"/>
      <c r="F19" s="91">
        <f>+SUM(F16:F18)</f>
        <v>1.05</v>
      </c>
      <c r="G19" s="64"/>
    </row>
    <row r="20" spans="1:10">
      <c r="B20" s="90"/>
      <c r="C20" s="90"/>
      <c r="D20" s="90"/>
      <c r="E20" s="90"/>
      <c r="F20" s="85"/>
      <c r="G20" s="65"/>
    </row>
    <row r="21" spans="1:10">
      <c r="B21" s="90"/>
      <c r="C21" s="90"/>
      <c r="D21" s="90"/>
      <c r="E21" s="90"/>
      <c r="F21" s="85"/>
      <c r="G21" s="65"/>
    </row>
    <row r="22" spans="1:10">
      <c r="A22" s="82" t="s">
        <v>15</v>
      </c>
      <c r="B22" s="84" t="s">
        <v>88</v>
      </c>
      <c r="C22" s="84" t="s">
        <v>11</v>
      </c>
      <c r="D22" s="84" t="s">
        <v>20</v>
      </c>
      <c r="E22" s="84" t="s">
        <v>9</v>
      </c>
      <c r="F22" s="84" t="s">
        <v>1</v>
      </c>
      <c r="G22" s="84" t="s">
        <v>52</v>
      </c>
    </row>
    <row r="23" spans="1:10">
      <c r="A23" s="79" t="s">
        <v>96</v>
      </c>
      <c r="B23" s="110">
        <v>1</v>
      </c>
      <c r="C23" s="83">
        <v>0.25</v>
      </c>
      <c r="D23" s="83">
        <f>+SUM(C23:$C$23)</f>
        <v>0.25</v>
      </c>
      <c r="E23" s="83">
        <f>+E5</f>
        <v>3</v>
      </c>
      <c r="F23" s="83">
        <f>+C23*E23</f>
        <v>0.75</v>
      </c>
      <c r="G23" s="62"/>
    </row>
    <row r="24" spans="1:10">
      <c r="A24" s="79" t="s">
        <v>98</v>
      </c>
      <c r="B24" s="110">
        <v>3</v>
      </c>
      <c r="C24" s="83">
        <v>0.02</v>
      </c>
      <c r="D24" s="83">
        <f>+SUM(C$23:$C24)</f>
        <v>0.27</v>
      </c>
      <c r="E24" s="83">
        <f>+E7</f>
        <v>6</v>
      </c>
      <c r="F24" s="83">
        <f t="shared" ref="F24:F25" si="2">+C24*E24</f>
        <v>0.12</v>
      </c>
      <c r="G24" s="62"/>
    </row>
    <row r="25" spans="1:10">
      <c r="B25" s="110" t="s">
        <v>90</v>
      </c>
      <c r="C25" s="83">
        <v>0.02</v>
      </c>
      <c r="D25" s="83">
        <f>+SUM(C$23:$C25)</f>
        <v>0.29000000000000004</v>
      </c>
      <c r="E25" s="83">
        <f>+E23+E24</f>
        <v>9</v>
      </c>
      <c r="F25" s="83">
        <f t="shared" si="2"/>
        <v>0.18</v>
      </c>
      <c r="G25" s="62">
        <v>0</v>
      </c>
      <c r="H25" s="79" t="s">
        <v>94</v>
      </c>
      <c r="J25" s="92"/>
    </row>
    <row r="26" spans="1:10">
      <c r="B26" s="86" t="s">
        <v>6</v>
      </c>
      <c r="C26" s="86">
        <f>+SUM(C23:C25)</f>
        <v>0.29000000000000004</v>
      </c>
      <c r="D26" s="86"/>
      <c r="E26" s="86"/>
      <c r="F26" s="91">
        <f>+SUM(F23:F25)</f>
        <v>1.05</v>
      </c>
      <c r="G26" s="64"/>
    </row>
    <row r="27" spans="1:10">
      <c r="B27" s="90"/>
      <c r="C27" s="90"/>
      <c r="D27" s="90"/>
      <c r="E27" s="90"/>
      <c r="F27" s="85"/>
      <c r="G27" s="65"/>
    </row>
    <row r="28" spans="1:10">
      <c r="G28" s="60"/>
    </row>
    <row r="29" spans="1:10">
      <c r="A29" s="82" t="s">
        <v>16</v>
      </c>
      <c r="B29" s="84" t="s">
        <v>88</v>
      </c>
      <c r="C29" s="84" t="s">
        <v>11</v>
      </c>
      <c r="D29" s="84" t="s">
        <v>20</v>
      </c>
      <c r="E29" s="84" t="s">
        <v>9</v>
      </c>
      <c r="F29" s="84" t="s">
        <v>1</v>
      </c>
      <c r="G29" s="84" t="s">
        <v>52</v>
      </c>
    </row>
    <row r="30" spans="1:10">
      <c r="A30" s="79" t="s">
        <v>96</v>
      </c>
      <c r="B30" s="110">
        <v>3</v>
      </c>
      <c r="C30" s="83">
        <v>0.17499999999999999</v>
      </c>
      <c r="D30" s="83">
        <f>+SUM(C30:$C$30)</f>
        <v>0.17499999999999999</v>
      </c>
      <c r="E30" s="83">
        <f>+E7</f>
        <v>6</v>
      </c>
      <c r="F30" s="83">
        <f>+C30*E30</f>
        <v>1.0499999999999998</v>
      </c>
      <c r="G30" s="62">
        <v>0</v>
      </c>
      <c r="H30" s="79" t="s">
        <v>94</v>
      </c>
    </row>
    <row r="31" spans="1:10">
      <c r="A31" s="79" t="s">
        <v>97</v>
      </c>
      <c r="B31" s="86" t="s">
        <v>6</v>
      </c>
      <c r="C31" s="86">
        <f>+SUM(C30:C30)</f>
        <v>0.17499999999999999</v>
      </c>
      <c r="D31" s="86"/>
      <c r="E31" s="86"/>
      <c r="F31" s="91">
        <f>+SUM(F30:F30)</f>
        <v>1.0499999999999998</v>
      </c>
      <c r="G31" s="64"/>
    </row>
    <row r="32" spans="1:10">
      <c r="A32" s="79" t="s">
        <v>98</v>
      </c>
      <c r="G32" s="60"/>
    </row>
    <row r="33" spans="1:8">
      <c r="G33" s="60"/>
    </row>
    <row r="34" spans="1:8">
      <c r="A34" s="82" t="s">
        <v>17</v>
      </c>
      <c r="B34" s="84" t="s">
        <v>88</v>
      </c>
      <c r="C34" s="84" t="s">
        <v>11</v>
      </c>
      <c r="D34" s="84" t="s">
        <v>20</v>
      </c>
      <c r="E34" s="84" t="s">
        <v>9</v>
      </c>
      <c r="F34" s="84" t="s">
        <v>1</v>
      </c>
      <c r="G34" s="84" t="s">
        <v>52</v>
      </c>
    </row>
    <row r="35" spans="1:8">
      <c r="A35" s="79" t="s">
        <v>96</v>
      </c>
      <c r="B35" s="110">
        <v>1</v>
      </c>
      <c r="C35" s="83">
        <v>0.15</v>
      </c>
      <c r="D35" s="83">
        <f>+SUM(C35:$C$35)</f>
        <v>0.15</v>
      </c>
      <c r="E35" s="83">
        <f>+E5</f>
        <v>3</v>
      </c>
      <c r="F35" s="83">
        <f>+C35*E35</f>
        <v>0.44999999999999996</v>
      </c>
      <c r="G35" s="62"/>
    </row>
    <row r="36" spans="1:8">
      <c r="A36" s="79" t="s">
        <v>99</v>
      </c>
      <c r="B36" s="110">
        <v>2</v>
      </c>
      <c r="C36" s="83">
        <v>0.15</v>
      </c>
      <c r="D36" s="83">
        <f>+SUM(C$35:$C36)</f>
        <v>0.3</v>
      </c>
      <c r="E36" s="83">
        <f>+E6</f>
        <v>3</v>
      </c>
      <c r="F36" s="83">
        <f t="shared" ref="F36:F37" si="3">+C36*E36</f>
        <v>0.44999999999999996</v>
      </c>
      <c r="G36" s="62"/>
    </row>
    <row r="37" spans="1:8">
      <c r="B37" s="110" t="s">
        <v>89</v>
      </c>
      <c r="C37" s="83">
        <v>2.5000000000000001E-2</v>
      </c>
      <c r="D37" s="83">
        <f>+SUM(C$35:$C37)</f>
        <v>0.32500000000000001</v>
      </c>
      <c r="E37" s="83">
        <f>+E35+E36</f>
        <v>6</v>
      </c>
      <c r="F37" s="83">
        <f t="shared" si="3"/>
        <v>0.15000000000000002</v>
      </c>
      <c r="G37" s="62">
        <v>0</v>
      </c>
      <c r="H37" s="79" t="s">
        <v>94</v>
      </c>
    </row>
    <row r="38" spans="1:8">
      <c r="A38" s="88"/>
      <c r="B38" s="86" t="s">
        <v>6</v>
      </c>
      <c r="C38" s="86">
        <f>+SUM(C35:C37)</f>
        <v>0.32500000000000001</v>
      </c>
      <c r="D38" s="86"/>
      <c r="E38" s="86"/>
      <c r="F38" s="91">
        <f>+SUM(F35:F37)</f>
        <v>1.0499999999999998</v>
      </c>
      <c r="G38" s="64"/>
    </row>
    <row r="39" spans="1:8">
      <c r="A39" s="88"/>
      <c r="G39" s="60"/>
    </row>
    <row r="40" spans="1:8">
      <c r="G40" s="60"/>
    </row>
    <row r="41" spans="1:8">
      <c r="A41" s="82" t="s">
        <v>18</v>
      </c>
      <c r="B41" s="84" t="s">
        <v>88</v>
      </c>
      <c r="C41" s="84" t="s">
        <v>11</v>
      </c>
      <c r="D41" s="84" t="s">
        <v>20</v>
      </c>
      <c r="E41" s="84" t="s">
        <v>9</v>
      </c>
      <c r="F41" s="84" t="s">
        <v>1</v>
      </c>
      <c r="G41" s="78"/>
    </row>
    <row r="42" spans="1:8">
      <c r="A42" s="79" t="s">
        <v>96</v>
      </c>
      <c r="B42" s="110">
        <v>1</v>
      </c>
      <c r="C42" s="83">
        <v>0.35</v>
      </c>
      <c r="D42" s="83">
        <f>+SUM(C42:$C$42)</f>
        <v>0.35</v>
      </c>
      <c r="E42" s="83">
        <f>+E5</f>
        <v>3</v>
      </c>
      <c r="F42" s="83">
        <f>+E42*C42</f>
        <v>1.0499999999999998</v>
      </c>
      <c r="G42" s="62">
        <v>0</v>
      </c>
      <c r="H42" s="79" t="s">
        <v>94</v>
      </c>
    </row>
    <row r="43" spans="1:8">
      <c r="A43" s="79" t="s">
        <v>98</v>
      </c>
      <c r="B43" s="86" t="s">
        <v>6</v>
      </c>
      <c r="C43" s="86">
        <f>+SUM(C42:C42)</f>
        <v>0.35</v>
      </c>
      <c r="D43" s="86"/>
      <c r="E43" s="86"/>
      <c r="F43" s="91">
        <f>+SUM(F42:F42)</f>
        <v>1.0499999999999998</v>
      </c>
      <c r="G43" s="64"/>
    </row>
    <row r="44" spans="1:8">
      <c r="A44" s="79" t="s">
        <v>99</v>
      </c>
      <c r="G44" s="60"/>
    </row>
    <row r="45" spans="1:8">
      <c r="G45" s="60"/>
    </row>
    <row r="46" spans="1:8">
      <c r="A46" s="82" t="s">
        <v>19</v>
      </c>
      <c r="B46" s="84" t="s">
        <v>88</v>
      </c>
      <c r="C46" s="84" t="s">
        <v>11</v>
      </c>
      <c r="D46" s="84" t="s">
        <v>20</v>
      </c>
      <c r="E46" s="84" t="s">
        <v>9</v>
      </c>
      <c r="F46" s="84" t="s">
        <v>1</v>
      </c>
      <c r="G46" s="78"/>
    </row>
    <row r="47" spans="1:8">
      <c r="A47" s="79" t="s">
        <v>96</v>
      </c>
      <c r="B47" s="110">
        <v>2</v>
      </c>
      <c r="C47" s="83">
        <v>0.35</v>
      </c>
      <c r="D47" s="83">
        <f>+SUM(C$47:$C47)</f>
        <v>0.35</v>
      </c>
      <c r="E47" s="83">
        <f>+E6</f>
        <v>3</v>
      </c>
      <c r="F47" s="83">
        <f>+E47*C47</f>
        <v>1.0499999999999998</v>
      </c>
      <c r="G47" s="62">
        <v>0</v>
      </c>
      <c r="H47" s="79" t="s">
        <v>94</v>
      </c>
    </row>
    <row r="48" spans="1:8">
      <c r="A48" s="79" t="s">
        <v>97</v>
      </c>
      <c r="B48" s="86" t="s">
        <v>6</v>
      </c>
      <c r="C48" s="86">
        <f>+SUM(C47:C47)</f>
        <v>0.35</v>
      </c>
      <c r="D48" s="86"/>
      <c r="E48" s="86"/>
      <c r="F48" s="91">
        <f>+SUM(F47:F47)</f>
        <v>1.0499999999999998</v>
      </c>
      <c r="G48" s="64"/>
    </row>
    <row r="49" spans="1:7">
      <c r="A49" s="79" t="s">
        <v>99</v>
      </c>
      <c r="G49" s="61"/>
    </row>
    <row r="50" spans="1:7">
      <c r="G50" s="61"/>
    </row>
    <row r="51" spans="1:7">
      <c r="G51" s="61"/>
    </row>
    <row r="52" spans="1:7">
      <c r="G52" s="61"/>
    </row>
    <row r="53" spans="1:7">
      <c r="G53" s="61"/>
    </row>
    <row r="54" spans="1:7">
      <c r="G54" s="61"/>
    </row>
    <row r="55" spans="1:7">
      <c r="G55" s="61"/>
    </row>
    <row r="56" spans="1:7">
      <c r="G56" s="61"/>
    </row>
    <row r="57" spans="1:7">
      <c r="G57" s="61"/>
    </row>
    <row r="58" spans="1:7">
      <c r="G58" s="61"/>
    </row>
    <row r="59" spans="1:7">
      <c r="G59" s="61"/>
    </row>
    <row r="60" spans="1:7">
      <c r="G60" s="61"/>
    </row>
    <row r="61" spans="1:7">
      <c r="G61" s="61"/>
    </row>
    <row r="62" spans="1:7">
      <c r="G62" s="61"/>
    </row>
    <row r="63" spans="1:7">
      <c r="G63" s="61"/>
    </row>
    <row r="64" spans="1:7">
      <c r="G64" s="61"/>
    </row>
    <row r="65" spans="7:7">
      <c r="G65" s="61"/>
    </row>
    <row r="66" spans="7:7">
      <c r="G66" s="61"/>
    </row>
    <row r="67" spans="7:7">
      <c r="G67" s="61"/>
    </row>
    <row r="68" spans="7:7">
      <c r="G68" s="61"/>
    </row>
    <row r="69" spans="7:7">
      <c r="G69" s="61"/>
    </row>
    <row r="70" spans="7:7">
      <c r="G70" s="61"/>
    </row>
    <row r="71" spans="7:7">
      <c r="G71" s="60"/>
    </row>
    <row r="72" spans="7:7">
      <c r="G72" s="60"/>
    </row>
    <row r="73" spans="7:7">
      <c r="G73" s="60"/>
    </row>
    <row r="74" spans="7:7">
      <c r="G74" s="60"/>
    </row>
    <row r="75" spans="7:7">
      <c r="G75" s="60"/>
    </row>
    <row r="76" spans="7:7">
      <c r="G76" s="60"/>
    </row>
    <row r="77" spans="7:7">
      <c r="G77" s="60"/>
    </row>
    <row r="78" spans="7:7">
      <c r="G78" s="60"/>
    </row>
    <row r="79" spans="7:7">
      <c r="G79" s="60"/>
    </row>
    <row r="80" spans="7:7">
      <c r="G80" s="60"/>
    </row>
    <row r="81" spans="7:7">
      <c r="G81" s="60"/>
    </row>
    <row r="82" spans="7:7">
      <c r="G82" s="60"/>
    </row>
    <row r="83" spans="7:7">
      <c r="G83" s="60"/>
    </row>
    <row r="84" spans="7:7">
      <c r="G84" s="60"/>
    </row>
    <row r="85" spans="7:7">
      <c r="G85" s="60"/>
    </row>
    <row r="86" spans="7:7">
      <c r="G86" s="60"/>
    </row>
    <row r="87" spans="7:7">
      <c r="G87" s="60"/>
    </row>
    <row r="88" spans="7:7">
      <c r="G88" s="60"/>
    </row>
    <row r="89" spans="7:7">
      <c r="G89" s="60"/>
    </row>
    <row r="90" spans="7:7">
      <c r="G90" s="60"/>
    </row>
    <row r="91" spans="7:7">
      <c r="G91" s="60"/>
    </row>
    <row r="92" spans="7:7">
      <c r="G92" s="60"/>
    </row>
    <row r="93" spans="7:7">
      <c r="G93" s="60"/>
    </row>
    <row r="94" spans="7:7">
      <c r="G94" s="60"/>
    </row>
    <row r="95" spans="7:7">
      <c r="G95" s="60"/>
    </row>
    <row r="96" spans="7:7">
      <c r="G96" s="60"/>
    </row>
    <row r="97" spans="7:7">
      <c r="G97" s="60"/>
    </row>
    <row r="98" spans="7:7">
      <c r="G98" s="60"/>
    </row>
    <row r="99" spans="7:7">
      <c r="G99" s="60"/>
    </row>
    <row r="100" spans="7:7">
      <c r="G100" s="60"/>
    </row>
    <row r="101" spans="7:7">
      <c r="G101" s="60"/>
    </row>
    <row r="102" spans="7:7">
      <c r="G102" s="60"/>
    </row>
    <row r="103" spans="7:7">
      <c r="G103" s="60"/>
    </row>
    <row r="104" spans="7:7">
      <c r="G104" s="60"/>
    </row>
    <row r="105" spans="7:7">
      <c r="G105" s="60"/>
    </row>
    <row r="106" spans="7:7">
      <c r="G106" s="60"/>
    </row>
    <row r="107" spans="7:7">
      <c r="G107" s="60"/>
    </row>
    <row r="108" spans="7:7">
      <c r="G108" s="60"/>
    </row>
    <row r="109" spans="7:7">
      <c r="G109" s="60"/>
    </row>
    <row r="110" spans="7:7">
      <c r="G110" s="60"/>
    </row>
    <row r="111" spans="7:7">
      <c r="G111" s="60"/>
    </row>
    <row r="112" spans="7:7">
      <c r="G112" s="60"/>
    </row>
    <row r="113" spans="7:7">
      <c r="G113" s="60"/>
    </row>
    <row r="114" spans="7:7">
      <c r="G114" s="60"/>
    </row>
    <row r="115" spans="7:7">
      <c r="G115" s="60"/>
    </row>
    <row r="116" spans="7:7">
      <c r="G116" s="60"/>
    </row>
    <row r="117" spans="7:7">
      <c r="G117" s="60"/>
    </row>
    <row r="118" spans="7:7">
      <c r="G118" s="60"/>
    </row>
    <row r="119" spans="7:7">
      <c r="G119" s="60"/>
    </row>
    <row r="120" spans="7:7">
      <c r="G120" s="60"/>
    </row>
    <row r="121" spans="7:7">
      <c r="G121" s="60"/>
    </row>
    <row r="122" spans="7:7">
      <c r="G122" s="60"/>
    </row>
    <row r="123" spans="7:7">
      <c r="G123" s="60"/>
    </row>
    <row r="124" spans="7:7">
      <c r="G124" s="60"/>
    </row>
    <row r="125" spans="7:7">
      <c r="G125" s="60"/>
    </row>
    <row r="126" spans="7:7">
      <c r="G126" s="60"/>
    </row>
  </sheetData>
  <mergeCells count="1">
    <mergeCell ref="A1:E1"/>
  </mergeCells>
  <pageMargins left="0.7" right="0.7" top="0.75" bottom="0.75" header="0.3" footer="0.3"/>
  <pageSetup paperSize="9" orientation="portrait" horizontalDpi="200" verticalDpi="200" r:id="rId1"/>
</worksheet>
</file>

<file path=xl/worksheets/sheet18.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79" customWidth="1"/>
    <col min="2" max="2" width="25.21875" style="79" bestFit="1" customWidth="1"/>
    <col min="3" max="3" width="11.5546875" style="79"/>
    <col min="4" max="4" width="15.5546875" style="79" bestFit="1" customWidth="1"/>
    <col min="5" max="5" width="11.5546875" style="79"/>
    <col min="6" max="6" width="13.33203125" style="79" customWidth="1"/>
    <col min="7" max="7" width="15.33203125" style="79" bestFit="1" customWidth="1"/>
    <col min="8" max="8" width="15.88671875" style="79" customWidth="1"/>
    <col min="9" max="9" width="12" style="79" customWidth="1"/>
    <col min="10" max="16384" width="11.5546875" style="79"/>
  </cols>
  <sheetData>
    <row r="1" spans="1:9" ht="18">
      <c r="A1" s="116" t="s">
        <v>119</v>
      </c>
      <c r="B1" s="116"/>
      <c r="C1" s="116"/>
      <c r="D1" s="116"/>
      <c r="E1" s="116"/>
    </row>
    <row r="2" spans="1:9">
      <c r="A2" s="89" t="s">
        <v>134</v>
      </c>
    </row>
    <row r="4" spans="1:9">
      <c r="A4" s="82" t="s">
        <v>10</v>
      </c>
      <c r="B4" s="84" t="s">
        <v>88</v>
      </c>
      <c r="C4" s="84" t="s">
        <v>11</v>
      </c>
      <c r="D4" s="84" t="s">
        <v>20</v>
      </c>
      <c r="E4" s="84" t="s">
        <v>9</v>
      </c>
      <c r="F4" s="84" t="s">
        <v>1</v>
      </c>
      <c r="G4" s="84" t="s">
        <v>52</v>
      </c>
    </row>
    <row r="5" spans="1:9">
      <c r="A5" s="79" t="s">
        <v>95</v>
      </c>
      <c r="B5" s="111">
        <v>1</v>
      </c>
      <c r="C5" s="52">
        <v>0.25</v>
      </c>
      <c r="D5" s="80">
        <f>+SUM($C$5:C5)</f>
        <v>0.25</v>
      </c>
      <c r="E5" s="80">
        <f>+Summary!B27</f>
        <v>2</v>
      </c>
      <c r="F5" s="80">
        <f>+C5*E5</f>
        <v>0.5</v>
      </c>
      <c r="G5" s="62"/>
    </row>
    <row r="6" spans="1:9">
      <c r="B6" s="111">
        <v>2</v>
      </c>
      <c r="C6" s="52">
        <v>0.1</v>
      </c>
      <c r="D6" s="80">
        <f>+SUM($C$5:C6)</f>
        <v>0.35</v>
      </c>
      <c r="E6" s="80">
        <f>+Summary!B28</f>
        <v>3</v>
      </c>
      <c r="F6" s="80">
        <f t="shared" ref="F6:F7" si="0">+C6*E6</f>
        <v>0.30000000000000004</v>
      </c>
      <c r="G6" s="62"/>
    </row>
    <row r="7" spans="1:9">
      <c r="B7" s="111" t="s">
        <v>89</v>
      </c>
      <c r="C7" s="52">
        <v>0.05</v>
      </c>
      <c r="D7" s="80">
        <f>+SUM($C$5:C7)</f>
        <v>0.39999999999999997</v>
      </c>
      <c r="E7" s="80">
        <f>+E5+E6</f>
        <v>5</v>
      </c>
      <c r="F7" s="80">
        <f t="shared" si="0"/>
        <v>0.25</v>
      </c>
      <c r="G7" s="62">
        <v>0</v>
      </c>
      <c r="H7" s="79" t="s">
        <v>94</v>
      </c>
      <c r="I7" s="113"/>
    </row>
    <row r="8" spans="1:9">
      <c r="B8" s="86" t="s">
        <v>12</v>
      </c>
      <c r="C8" s="86">
        <f>+SUM(C5:C7)</f>
        <v>0.39999999999999997</v>
      </c>
      <c r="D8" s="86"/>
      <c r="E8" s="86"/>
      <c r="F8" s="72">
        <f>+SUM(F5:F7)</f>
        <v>1.05</v>
      </c>
      <c r="G8" s="63"/>
    </row>
    <row r="9" spans="1:9">
      <c r="B9" s="87" t="s">
        <v>93</v>
      </c>
      <c r="G9" s="60"/>
    </row>
    <row r="10" spans="1:9">
      <c r="G10" s="60"/>
    </row>
    <row r="11" spans="1:9">
      <c r="G11" s="60"/>
    </row>
    <row r="12" spans="1:9">
      <c r="A12" s="82" t="s">
        <v>18</v>
      </c>
      <c r="B12" s="84" t="s">
        <v>88</v>
      </c>
      <c r="C12" s="84" t="s">
        <v>11</v>
      </c>
      <c r="D12" s="84" t="s">
        <v>20</v>
      </c>
      <c r="E12" s="84" t="s">
        <v>9</v>
      </c>
      <c r="F12" s="84" t="s">
        <v>1</v>
      </c>
      <c r="G12" s="84" t="s">
        <v>52</v>
      </c>
    </row>
    <row r="13" spans="1:9">
      <c r="A13" s="79" t="s">
        <v>96</v>
      </c>
      <c r="B13" s="110">
        <v>1</v>
      </c>
      <c r="C13" s="83">
        <v>0.52500000000000002</v>
      </c>
      <c r="D13" s="83">
        <f>+SUM(C13:$C$13)</f>
        <v>0.52500000000000002</v>
      </c>
      <c r="E13" s="83">
        <f>+E5</f>
        <v>2</v>
      </c>
      <c r="F13" s="83">
        <f>+E13*C13</f>
        <v>1.05</v>
      </c>
      <c r="G13" s="62">
        <v>0</v>
      </c>
      <c r="H13" s="79" t="s">
        <v>94</v>
      </c>
    </row>
    <row r="14" spans="1:9">
      <c r="A14" s="79" t="s">
        <v>98</v>
      </c>
      <c r="B14" s="86" t="s">
        <v>6</v>
      </c>
      <c r="C14" s="86">
        <f>+SUM(C13:C13)</f>
        <v>0.52500000000000002</v>
      </c>
      <c r="D14" s="86"/>
      <c r="E14" s="86"/>
      <c r="F14" s="91">
        <f>+SUM(F13:F13)</f>
        <v>1.05</v>
      </c>
      <c r="G14" s="64"/>
    </row>
    <row r="15" spans="1:9">
      <c r="G15" s="60"/>
    </row>
    <row r="16" spans="1:9">
      <c r="G16" s="60"/>
    </row>
    <row r="17" spans="1:8">
      <c r="A17" s="82" t="s">
        <v>19</v>
      </c>
      <c r="B17" s="84" t="s">
        <v>88</v>
      </c>
      <c r="C17" s="84" t="s">
        <v>11</v>
      </c>
      <c r="D17" s="84" t="s">
        <v>20</v>
      </c>
      <c r="E17" s="84" t="s">
        <v>9</v>
      </c>
      <c r="F17" s="84" t="s">
        <v>1</v>
      </c>
      <c r="G17" s="84" t="s">
        <v>52</v>
      </c>
    </row>
    <row r="18" spans="1:8">
      <c r="A18" s="79" t="s">
        <v>96</v>
      </c>
      <c r="B18" s="110">
        <v>2</v>
      </c>
      <c r="C18" s="83">
        <v>0.35</v>
      </c>
      <c r="D18" s="83">
        <f>+SUM(C$18:$C18)</f>
        <v>0.35</v>
      </c>
      <c r="E18" s="83">
        <f>+E6</f>
        <v>3</v>
      </c>
      <c r="F18" s="83">
        <f>+E18*C18</f>
        <v>1.0499999999999998</v>
      </c>
      <c r="G18" s="62">
        <v>0</v>
      </c>
      <c r="H18" s="79" t="s">
        <v>94</v>
      </c>
    </row>
    <row r="19" spans="1:8">
      <c r="A19" s="79" t="s">
        <v>97</v>
      </c>
      <c r="B19" s="86" t="s">
        <v>6</v>
      </c>
      <c r="C19" s="86">
        <f>+SUM(C18:C18)</f>
        <v>0.35</v>
      </c>
      <c r="D19" s="86"/>
      <c r="E19" s="86"/>
      <c r="F19" s="91">
        <f>+SUM(F18:F18)</f>
        <v>1.0499999999999998</v>
      </c>
      <c r="G19" s="64"/>
    </row>
    <row r="20" spans="1:8">
      <c r="G20" s="61"/>
    </row>
    <row r="21" spans="1:8">
      <c r="G21" s="61"/>
    </row>
    <row r="22" spans="1:8">
      <c r="G22" s="61"/>
    </row>
    <row r="23" spans="1:8">
      <c r="G23" s="61"/>
    </row>
    <row r="24" spans="1:8">
      <c r="G24" s="61"/>
    </row>
    <row r="25" spans="1:8">
      <c r="G25" s="61"/>
    </row>
    <row r="26" spans="1:8">
      <c r="G26" s="61"/>
    </row>
    <row r="27" spans="1:8">
      <c r="G27" s="61"/>
    </row>
    <row r="28" spans="1:8">
      <c r="G28" s="61"/>
    </row>
    <row r="29" spans="1:8">
      <c r="G29" s="61"/>
    </row>
    <row r="30" spans="1:8">
      <c r="G30" s="61"/>
    </row>
    <row r="31" spans="1:8">
      <c r="G31" s="61"/>
    </row>
    <row r="32" spans="1:8">
      <c r="G32" s="61"/>
    </row>
    <row r="33" spans="7:7">
      <c r="G33" s="61"/>
    </row>
    <row r="34" spans="7:7">
      <c r="G34" s="61"/>
    </row>
    <row r="35" spans="7:7">
      <c r="G35" s="61"/>
    </row>
    <row r="36" spans="7:7">
      <c r="G36" s="61"/>
    </row>
    <row r="37" spans="7:7">
      <c r="G37" s="61"/>
    </row>
    <row r="38" spans="7:7">
      <c r="G38" s="61"/>
    </row>
    <row r="39" spans="7:7">
      <c r="G39" s="61"/>
    </row>
    <row r="40" spans="7:7">
      <c r="G40" s="61"/>
    </row>
    <row r="41" spans="7:7">
      <c r="G41" s="61"/>
    </row>
    <row r="42" spans="7:7">
      <c r="G42" s="60"/>
    </row>
    <row r="43" spans="7:7">
      <c r="G43" s="60"/>
    </row>
    <row r="44" spans="7:7">
      <c r="G44" s="60"/>
    </row>
    <row r="45" spans="7:7">
      <c r="G45" s="60"/>
    </row>
    <row r="46" spans="7:7">
      <c r="G46" s="60"/>
    </row>
    <row r="47" spans="7:7">
      <c r="G47" s="60"/>
    </row>
    <row r="48" spans="7:7">
      <c r="G48" s="60"/>
    </row>
    <row r="49" spans="7:7">
      <c r="G49" s="60"/>
    </row>
    <row r="50" spans="7:7">
      <c r="G50" s="60"/>
    </row>
    <row r="51" spans="7:7">
      <c r="G51" s="60"/>
    </row>
    <row r="52" spans="7:7">
      <c r="G52" s="60"/>
    </row>
    <row r="53" spans="7:7">
      <c r="G53" s="60"/>
    </row>
    <row r="54" spans="7:7">
      <c r="G54" s="60"/>
    </row>
    <row r="55" spans="7:7">
      <c r="G55" s="60"/>
    </row>
    <row r="56" spans="7:7">
      <c r="G56" s="60"/>
    </row>
    <row r="57" spans="7:7">
      <c r="G57" s="60"/>
    </row>
    <row r="58" spans="7:7">
      <c r="G58" s="60"/>
    </row>
    <row r="59" spans="7:7">
      <c r="G59" s="60"/>
    </row>
    <row r="60" spans="7:7">
      <c r="G60" s="60"/>
    </row>
    <row r="61" spans="7:7">
      <c r="G61" s="60"/>
    </row>
    <row r="62" spans="7:7">
      <c r="G62" s="60"/>
    </row>
    <row r="63" spans="7:7">
      <c r="G63" s="60"/>
    </row>
    <row r="64" spans="7:7">
      <c r="G64" s="60"/>
    </row>
    <row r="65" spans="7:7">
      <c r="G65" s="60"/>
    </row>
    <row r="66" spans="7:7">
      <c r="G66" s="60"/>
    </row>
    <row r="67" spans="7:7">
      <c r="G67" s="60"/>
    </row>
    <row r="68" spans="7:7">
      <c r="G68" s="60"/>
    </row>
    <row r="69" spans="7:7">
      <c r="G69" s="60"/>
    </row>
    <row r="70" spans="7:7">
      <c r="G70" s="60"/>
    </row>
    <row r="71" spans="7:7">
      <c r="G71" s="60"/>
    </row>
    <row r="72" spans="7:7">
      <c r="G72" s="60"/>
    </row>
    <row r="73" spans="7:7">
      <c r="G73" s="60"/>
    </row>
    <row r="74" spans="7:7">
      <c r="G74" s="60"/>
    </row>
    <row r="75" spans="7:7">
      <c r="G75" s="60"/>
    </row>
    <row r="76" spans="7:7">
      <c r="G76" s="60"/>
    </row>
    <row r="77" spans="7:7">
      <c r="G77" s="60"/>
    </row>
    <row r="78" spans="7:7">
      <c r="G78" s="60"/>
    </row>
    <row r="79" spans="7:7">
      <c r="G79" s="60"/>
    </row>
    <row r="80" spans="7:7">
      <c r="G80" s="60"/>
    </row>
    <row r="81" spans="7:7">
      <c r="G81" s="60"/>
    </row>
    <row r="82" spans="7:7">
      <c r="G82" s="60"/>
    </row>
    <row r="83" spans="7:7">
      <c r="G83" s="60"/>
    </row>
    <row r="84" spans="7:7">
      <c r="G84" s="60"/>
    </row>
    <row r="85" spans="7:7">
      <c r="G85" s="60"/>
    </row>
    <row r="86" spans="7:7">
      <c r="G86" s="60"/>
    </row>
    <row r="87" spans="7:7">
      <c r="G87" s="60"/>
    </row>
    <row r="88" spans="7:7">
      <c r="G88" s="60"/>
    </row>
    <row r="89" spans="7:7">
      <c r="G89" s="60"/>
    </row>
    <row r="90" spans="7:7">
      <c r="G90" s="60"/>
    </row>
    <row r="91" spans="7:7">
      <c r="G91" s="60"/>
    </row>
    <row r="92" spans="7:7">
      <c r="G92" s="60"/>
    </row>
    <row r="93" spans="7:7">
      <c r="G93" s="60"/>
    </row>
    <row r="94" spans="7:7">
      <c r="G94" s="60"/>
    </row>
    <row r="95" spans="7:7">
      <c r="G95" s="60"/>
    </row>
    <row r="96" spans="7:7">
      <c r="G96" s="60"/>
    </row>
    <row r="97" spans="7:7">
      <c r="G97" s="60"/>
    </row>
  </sheetData>
  <mergeCells count="1">
    <mergeCell ref="A1:E1"/>
  </mergeCells>
  <pageMargins left="0.7" right="0.7" top="0.75" bottom="0.75" header="0.3" footer="0.3"/>
  <pageSetup paperSize="9" orientation="portrait" horizontalDpi="200" verticalDpi="200" r:id="rId1"/>
</worksheet>
</file>

<file path=xl/worksheets/sheet19.xml><?xml version="1.0" encoding="utf-8"?>
<worksheet xmlns="http://schemas.openxmlformats.org/spreadsheetml/2006/main" xmlns:r="http://schemas.openxmlformats.org/officeDocument/2006/relationships">
  <dimension ref="A1:H89"/>
  <sheetViews>
    <sheetView workbookViewId="0">
      <selection sqref="A1:E1"/>
    </sheetView>
  </sheetViews>
  <sheetFormatPr baseColWidth="10" defaultRowHeight="14.4"/>
  <cols>
    <col min="1" max="1" width="40.6640625" style="79" customWidth="1"/>
    <col min="2" max="2" width="25.21875" style="79" bestFit="1" customWidth="1"/>
    <col min="3" max="3" width="11.5546875" style="79"/>
    <col min="4" max="4" width="15.5546875" style="79" bestFit="1" customWidth="1"/>
    <col min="5" max="5" width="11.5546875" style="79"/>
    <col min="6" max="6" width="13.33203125" style="79" customWidth="1"/>
    <col min="7" max="7" width="15.33203125" style="79" bestFit="1" customWidth="1"/>
    <col min="8" max="8" width="15.109375" style="79" customWidth="1"/>
    <col min="9" max="9" width="11.5546875" style="79"/>
    <col min="10" max="10" width="12.5546875" style="79" bestFit="1" customWidth="1"/>
    <col min="11" max="16384" width="11.5546875" style="79"/>
  </cols>
  <sheetData>
    <row r="1" spans="1:8" ht="18">
      <c r="A1" s="116" t="s">
        <v>120</v>
      </c>
      <c r="B1" s="116"/>
      <c r="C1" s="116"/>
      <c r="D1" s="116"/>
      <c r="E1" s="116"/>
    </row>
    <row r="2" spans="1:8">
      <c r="A2" s="89" t="s">
        <v>134</v>
      </c>
    </row>
    <row r="4" spans="1:8">
      <c r="A4" s="82" t="s">
        <v>77</v>
      </c>
      <c r="B4" s="84" t="s">
        <v>88</v>
      </c>
      <c r="C4" s="84" t="s">
        <v>11</v>
      </c>
      <c r="D4" s="84" t="s">
        <v>20</v>
      </c>
      <c r="E4" s="84" t="s">
        <v>9</v>
      </c>
      <c r="F4" s="84" t="s">
        <v>1</v>
      </c>
      <c r="G4" s="84" t="s">
        <v>52</v>
      </c>
    </row>
    <row r="5" spans="1:8">
      <c r="B5" s="110">
        <v>1</v>
      </c>
      <c r="C5" s="83">
        <v>0.52500000000000002</v>
      </c>
      <c r="D5" s="83">
        <f>+SUM(C5:$C$5)</f>
        <v>0.52500000000000002</v>
      </c>
      <c r="E5" s="83">
        <f>+Summary!B21</f>
        <v>2</v>
      </c>
      <c r="F5" s="83">
        <f>+E5*C5</f>
        <v>1.05</v>
      </c>
      <c r="G5" s="62">
        <v>0</v>
      </c>
      <c r="H5" s="79" t="s">
        <v>94</v>
      </c>
    </row>
    <row r="6" spans="1:8">
      <c r="B6" s="86" t="s">
        <v>6</v>
      </c>
      <c r="C6" s="86">
        <f>+SUM(C5:C5)</f>
        <v>0.52500000000000002</v>
      </c>
      <c r="D6" s="86"/>
      <c r="E6" s="86"/>
      <c r="F6" s="91">
        <f>+SUM(F5:F5)</f>
        <v>1.05</v>
      </c>
      <c r="G6" s="64"/>
    </row>
    <row r="7" spans="1:8">
      <c r="G7" s="60"/>
    </row>
    <row r="8" spans="1:8">
      <c r="G8" s="60"/>
    </row>
    <row r="9" spans="1:8">
      <c r="A9" s="82" t="s">
        <v>78</v>
      </c>
      <c r="B9" s="84" t="s">
        <v>88</v>
      </c>
      <c r="C9" s="84" t="s">
        <v>11</v>
      </c>
      <c r="D9" s="84" t="s">
        <v>20</v>
      </c>
      <c r="E9" s="84" t="s">
        <v>9</v>
      </c>
      <c r="F9" s="84" t="s">
        <v>1</v>
      </c>
      <c r="G9" s="84" t="s">
        <v>52</v>
      </c>
    </row>
    <row r="10" spans="1:8">
      <c r="B10" s="110">
        <v>1</v>
      </c>
      <c r="C10" s="83">
        <v>0.35</v>
      </c>
      <c r="D10" s="83">
        <f>1/6</f>
        <v>0.16666666666666666</v>
      </c>
      <c r="E10" s="83">
        <f>+Summary!E21</f>
        <v>3</v>
      </c>
      <c r="F10" s="83">
        <f>+E10*C10</f>
        <v>1.0499999999999998</v>
      </c>
      <c r="G10" s="62">
        <v>0</v>
      </c>
      <c r="H10" s="79" t="s">
        <v>94</v>
      </c>
    </row>
    <row r="11" spans="1:8">
      <c r="B11" s="86" t="s">
        <v>6</v>
      </c>
      <c r="C11" s="86">
        <f>+SUM(C10:C10)</f>
        <v>0.35</v>
      </c>
      <c r="D11" s="86"/>
      <c r="E11" s="86"/>
      <c r="F11" s="91">
        <f>+SUM(F10:F10)</f>
        <v>1.0499999999999998</v>
      </c>
      <c r="G11" s="64"/>
    </row>
    <row r="12" spans="1:8">
      <c r="G12" s="61"/>
    </row>
    <row r="13" spans="1:8">
      <c r="G13" s="61"/>
    </row>
    <row r="14" spans="1:8">
      <c r="A14" s="82" t="s">
        <v>79</v>
      </c>
      <c r="B14" s="84" t="s">
        <v>88</v>
      </c>
      <c r="C14" s="84" t="s">
        <v>11</v>
      </c>
      <c r="D14" s="84" t="s">
        <v>20</v>
      </c>
      <c r="E14" s="84" t="s">
        <v>9</v>
      </c>
      <c r="F14" s="84" t="s">
        <v>1</v>
      </c>
      <c r="G14" s="84" t="s">
        <v>52</v>
      </c>
    </row>
    <row r="15" spans="1:8">
      <c r="B15" s="110">
        <v>1</v>
      </c>
      <c r="C15" s="83">
        <v>0.26250000000000001</v>
      </c>
      <c r="D15" s="83">
        <f>+SUM(C$15:$C15)</f>
        <v>0.26250000000000001</v>
      </c>
      <c r="E15" s="83">
        <f>+Summary!H21</f>
        <v>4</v>
      </c>
      <c r="F15" s="83">
        <f>+E15*C15</f>
        <v>1.05</v>
      </c>
      <c r="G15" s="62">
        <v>0</v>
      </c>
      <c r="H15" s="79" t="s">
        <v>94</v>
      </c>
    </row>
    <row r="16" spans="1:8">
      <c r="B16" s="86" t="s">
        <v>6</v>
      </c>
      <c r="C16" s="86">
        <f>+SUM(C15:C15)</f>
        <v>0.26250000000000001</v>
      </c>
      <c r="D16" s="86"/>
      <c r="E16" s="86"/>
      <c r="F16" s="91">
        <f>+SUM(F15:F15)</f>
        <v>1.05</v>
      </c>
      <c r="G16" s="64"/>
    </row>
    <row r="17" spans="7:7">
      <c r="G17" s="61"/>
    </row>
    <row r="18" spans="7:7">
      <c r="G18" s="61"/>
    </row>
    <row r="19" spans="7:7">
      <c r="G19" s="61"/>
    </row>
    <row r="20" spans="7:7">
      <c r="G20" s="61"/>
    </row>
    <row r="21" spans="7:7">
      <c r="G21" s="61"/>
    </row>
    <row r="22" spans="7:7">
      <c r="G22" s="61"/>
    </row>
    <row r="23" spans="7:7">
      <c r="G23" s="61"/>
    </row>
    <row r="24" spans="7:7">
      <c r="G24" s="61"/>
    </row>
    <row r="25" spans="7:7">
      <c r="G25" s="61"/>
    </row>
    <row r="26" spans="7:7">
      <c r="G26" s="61"/>
    </row>
    <row r="27" spans="7:7">
      <c r="G27" s="61"/>
    </row>
    <row r="28" spans="7:7">
      <c r="G28" s="61"/>
    </row>
    <row r="29" spans="7:7">
      <c r="G29" s="61"/>
    </row>
    <row r="30" spans="7:7">
      <c r="G30" s="61"/>
    </row>
    <row r="31" spans="7:7">
      <c r="G31" s="61"/>
    </row>
    <row r="32" spans="7:7">
      <c r="G32" s="61"/>
    </row>
    <row r="33" spans="7:7">
      <c r="G33" s="61"/>
    </row>
    <row r="34" spans="7:7">
      <c r="G34" s="60"/>
    </row>
    <row r="35" spans="7:7">
      <c r="G35" s="60"/>
    </row>
    <row r="36" spans="7:7">
      <c r="G36" s="60"/>
    </row>
    <row r="37" spans="7:7">
      <c r="G37" s="60"/>
    </row>
    <row r="38" spans="7:7">
      <c r="G38" s="60"/>
    </row>
    <row r="39" spans="7:7">
      <c r="G39" s="60"/>
    </row>
    <row r="40" spans="7:7">
      <c r="G40" s="60"/>
    </row>
    <row r="41" spans="7:7">
      <c r="G41" s="60"/>
    </row>
    <row r="42" spans="7:7">
      <c r="G42" s="60"/>
    </row>
    <row r="43" spans="7:7">
      <c r="G43" s="60"/>
    </row>
    <row r="44" spans="7:7">
      <c r="G44" s="60"/>
    </row>
    <row r="45" spans="7:7">
      <c r="G45" s="60"/>
    </row>
    <row r="46" spans="7:7">
      <c r="G46" s="60"/>
    </row>
    <row r="47" spans="7:7">
      <c r="G47" s="60"/>
    </row>
    <row r="48" spans="7:7">
      <c r="G48" s="60"/>
    </row>
    <row r="49" spans="7:7">
      <c r="G49" s="60"/>
    </row>
    <row r="50" spans="7:7">
      <c r="G50" s="60"/>
    </row>
    <row r="51" spans="7:7">
      <c r="G51" s="60"/>
    </row>
    <row r="52" spans="7:7">
      <c r="G52" s="60"/>
    </row>
    <row r="53" spans="7:7">
      <c r="G53" s="60"/>
    </row>
    <row r="54" spans="7:7">
      <c r="G54" s="60"/>
    </row>
    <row r="55" spans="7:7">
      <c r="G55" s="60"/>
    </row>
    <row r="56" spans="7:7">
      <c r="G56" s="60"/>
    </row>
    <row r="57" spans="7:7">
      <c r="G57" s="60"/>
    </row>
    <row r="58" spans="7:7">
      <c r="G58" s="60"/>
    </row>
    <row r="59" spans="7:7">
      <c r="G59" s="60"/>
    </row>
    <row r="60" spans="7:7">
      <c r="G60" s="60"/>
    </row>
    <row r="61" spans="7:7">
      <c r="G61" s="60"/>
    </row>
    <row r="62" spans="7:7">
      <c r="G62" s="60"/>
    </row>
    <row r="63" spans="7:7">
      <c r="G63" s="60"/>
    </row>
    <row r="64" spans="7:7">
      <c r="G64" s="60"/>
    </row>
    <row r="65" spans="7:7">
      <c r="G65" s="60"/>
    </row>
    <row r="66" spans="7:7">
      <c r="G66" s="60"/>
    </row>
    <row r="67" spans="7:7">
      <c r="G67" s="60"/>
    </row>
    <row r="68" spans="7:7">
      <c r="G68" s="60"/>
    </row>
    <row r="69" spans="7:7">
      <c r="G69" s="60"/>
    </row>
    <row r="70" spans="7:7">
      <c r="G70" s="60"/>
    </row>
    <row r="71" spans="7:7">
      <c r="G71" s="60"/>
    </row>
    <row r="72" spans="7:7">
      <c r="G72" s="60"/>
    </row>
    <row r="73" spans="7:7">
      <c r="G73" s="60"/>
    </row>
    <row r="74" spans="7:7">
      <c r="G74" s="60"/>
    </row>
    <row r="75" spans="7:7">
      <c r="G75" s="60"/>
    </row>
    <row r="76" spans="7:7">
      <c r="G76" s="60"/>
    </row>
    <row r="77" spans="7:7">
      <c r="G77" s="60"/>
    </row>
    <row r="78" spans="7:7">
      <c r="G78" s="60"/>
    </row>
    <row r="79" spans="7:7">
      <c r="G79" s="60"/>
    </row>
    <row r="80" spans="7:7">
      <c r="G80" s="60"/>
    </row>
    <row r="81" spans="7:7">
      <c r="G81" s="60"/>
    </row>
    <row r="82" spans="7:7">
      <c r="G82" s="60"/>
    </row>
    <row r="83" spans="7:7">
      <c r="G83" s="60"/>
    </row>
    <row r="84" spans="7:7">
      <c r="G84" s="60"/>
    </row>
    <row r="85" spans="7:7">
      <c r="G85" s="60"/>
    </row>
    <row r="86" spans="7:7">
      <c r="G86" s="60"/>
    </row>
    <row r="87" spans="7:7">
      <c r="G87" s="60"/>
    </row>
    <row r="88" spans="7:7">
      <c r="G88" s="60"/>
    </row>
    <row r="89" spans="7:7">
      <c r="G89" s="60"/>
    </row>
  </sheetData>
  <mergeCells count="1">
    <mergeCell ref="A1:E1"/>
  </mergeCells>
  <pageMargins left="0.7" right="0.7" top="0.75" bottom="0.75" header="0.3" footer="0.3"/>
  <pageSetup paperSize="9" orientation="portrait" horizontalDpi="200" verticalDpi="200" r:id="rId1"/>
</worksheet>
</file>

<file path=xl/worksheets/sheet20.xml><?xml version="1.0" encoding="utf-8"?>
<worksheet xmlns="http://schemas.openxmlformats.org/spreadsheetml/2006/main" xmlns:r="http://schemas.openxmlformats.org/officeDocument/2006/relationships">
  <dimension ref="A1:I126"/>
  <sheetViews>
    <sheetView workbookViewId="0">
      <selection sqref="A1:E1"/>
    </sheetView>
  </sheetViews>
  <sheetFormatPr baseColWidth="10" defaultRowHeight="14.4"/>
  <cols>
    <col min="1" max="1" width="40.6640625" style="79" customWidth="1"/>
    <col min="2" max="2" width="25.21875" style="79" bestFit="1" customWidth="1"/>
    <col min="3" max="3" width="11.5546875" style="79"/>
    <col min="4" max="4" width="15.5546875" style="79" bestFit="1" customWidth="1"/>
    <col min="5" max="5" width="11.5546875" style="79"/>
    <col min="6" max="6" width="13.33203125" style="79" customWidth="1"/>
    <col min="7" max="7" width="15.33203125" style="79" bestFit="1" customWidth="1"/>
    <col min="8" max="8" width="15.88671875" style="79" customWidth="1"/>
    <col min="9" max="9" width="12" style="79" customWidth="1"/>
    <col min="10" max="16384" width="11.5546875" style="79"/>
  </cols>
  <sheetData>
    <row r="1" spans="1:9" ht="18">
      <c r="A1" s="116" t="s">
        <v>121</v>
      </c>
      <c r="B1" s="116"/>
      <c r="C1" s="116"/>
      <c r="D1" s="116"/>
      <c r="E1" s="116"/>
    </row>
    <row r="2" spans="1:9">
      <c r="A2" s="89" t="s">
        <v>134</v>
      </c>
    </row>
    <row r="4" spans="1:9">
      <c r="A4" s="82" t="s">
        <v>10</v>
      </c>
      <c r="B4" s="84" t="s">
        <v>88</v>
      </c>
      <c r="C4" s="84" t="s">
        <v>11</v>
      </c>
      <c r="D4" s="84" t="s">
        <v>20</v>
      </c>
      <c r="E4" s="84" t="s">
        <v>9</v>
      </c>
      <c r="F4" s="84" t="s">
        <v>1</v>
      </c>
      <c r="G4" s="84" t="s">
        <v>52</v>
      </c>
    </row>
    <row r="5" spans="1:9">
      <c r="A5" s="79" t="s">
        <v>95</v>
      </c>
      <c r="B5" s="111">
        <v>1</v>
      </c>
      <c r="C5" s="114">
        <v>0.12</v>
      </c>
      <c r="D5" s="80">
        <f>+SUM($C$5:C5)</f>
        <v>0.12</v>
      </c>
      <c r="E5" s="80">
        <f>+Summary!B36</f>
        <v>2</v>
      </c>
      <c r="F5" s="80">
        <f>+C5*E5</f>
        <v>0.24</v>
      </c>
      <c r="G5" s="62"/>
    </row>
    <row r="6" spans="1:9">
      <c r="B6" s="111">
        <v>2</v>
      </c>
      <c r="C6" s="114">
        <v>0.01</v>
      </c>
      <c r="D6" s="80">
        <f>+SUM($C$5:C6)</f>
        <v>0.13</v>
      </c>
      <c r="E6" s="80">
        <f>+Summary!B37</f>
        <v>5</v>
      </c>
      <c r="F6" s="80">
        <f t="shared" ref="F6:F11" si="0">+C6*E6</f>
        <v>0.05</v>
      </c>
      <c r="G6" s="62"/>
    </row>
    <row r="7" spans="1:9">
      <c r="B7" s="111">
        <v>3</v>
      </c>
      <c r="C7" s="114">
        <v>0.01</v>
      </c>
      <c r="D7" s="80">
        <f>+SUM($C$5:C7)</f>
        <v>0.14000000000000001</v>
      </c>
      <c r="E7" s="80">
        <f>+Summary!B38</f>
        <v>8</v>
      </c>
      <c r="F7" s="80">
        <f t="shared" si="0"/>
        <v>0.08</v>
      </c>
      <c r="G7" s="62"/>
      <c r="I7" s="36"/>
    </row>
    <row r="8" spans="1:9">
      <c r="B8" s="111" t="s">
        <v>89</v>
      </c>
      <c r="C8" s="114">
        <v>0.01</v>
      </c>
      <c r="D8" s="80">
        <f>+SUM($C$5:C8)</f>
        <v>0.15000000000000002</v>
      </c>
      <c r="E8" s="80">
        <f>+E5+E6</f>
        <v>7</v>
      </c>
      <c r="F8" s="80">
        <f t="shared" si="0"/>
        <v>7.0000000000000007E-2</v>
      </c>
      <c r="G8" s="62"/>
      <c r="I8" s="113"/>
    </row>
    <row r="9" spans="1:9">
      <c r="B9" s="111" t="s">
        <v>90</v>
      </c>
      <c r="C9" s="114">
        <v>0.02</v>
      </c>
      <c r="D9" s="80">
        <f>+SUM($C$5:C9)</f>
        <v>0.17</v>
      </c>
      <c r="E9" s="80">
        <f>+E5+E7</f>
        <v>10</v>
      </c>
      <c r="F9" s="80">
        <f t="shared" si="0"/>
        <v>0.2</v>
      </c>
      <c r="G9" s="62"/>
    </row>
    <row r="10" spans="1:9">
      <c r="B10" s="111" t="s">
        <v>91</v>
      </c>
      <c r="C10" s="114">
        <v>0.02</v>
      </c>
      <c r="D10" s="80">
        <f>+SUM($C$5:C10)</f>
        <v>0.19</v>
      </c>
      <c r="E10" s="80">
        <f>+E6+E7</f>
        <v>13</v>
      </c>
      <c r="F10" s="80">
        <f t="shared" si="0"/>
        <v>0.26</v>
      </c>
      <c r="G10" s="62"/>
    </row>
    <row r="11" spans="1:9">
      <c r="B11" s="111" t="s">
        <v>92</v>
      </c>
      <c r="C11" s="114">
        <v>0.01</v>
      </c>
      <c r="D11" s="80">
        <f>+SUM($C$5:C11)</f>
        <v>0.2</v>
      </c>
      <c r="E11" s="80">
        <f>+E5+E6+E7</f>
        <v>15</v>
      </c>
      <c r="F11" s="80">
        <f t="shared" si="0"/>
        <v>0.15</v>
      </c>
      <c r="G11" s="62">
        <v>0</v>
      </c>
      <c r="H11" s="79" t="s">
        <v>94</v>
      </c>
    </row>
    <row r="12" spans="1:9">
      <c r="B12" s="86" t="s">
        <v>12</v>
      </c>
      <c r="C12" s="86">
        <f>+SUM(C5:C11)</f>
        <v>0.2</v>
      </c>
      <c r="D12" s="86"/>
      <c r="E12" s="86"/>
      <c r="F12" s="72">
        <f>+SUM(F5:F11)</f>
        <v>1.05</v>
      </c>
      <c r="G12" s="63"/>
    </row>
    <row r="13" spans="1:9">
      <c r="B13" s="87" t="s">
        <v>93</v>
      </c>
      <c r="G13" s="60"/>
    </row>
    <row r="14" spans="1:9">
      <c r="G14" s="60"/>
    </row>
    <row r="15" spans="1:9">
      <c r="A15" s="82" t="s">
        <v>14</v>
      </c>
      <c r="B15" s="84" t="s">
        <v>88</v>
      </c>
      <c r="C15" s="84" t="s">
        <v>11</v>
      </c>
      <c r="D15" s="84" t="s">
        <v>20</v>
      </c>
      <c r="E15" s="84" t="s">
        <v>9</v>
      </c>
      <c r="F15" s="84" t="s">
        <v>1</v>
      </c>
      <c r="G15" s="84" t="s">
        <v>52</v>
      </c>
    </row>
    <row r="16" spans="1:9">
      <c r="A16" s="79" t="s">
        <v>96</v>
      </c>
      <c r="B16" s="110">
        <v>2</v>
      </c>
      <c r="C16" s="83">
        <v>0.09</v>
      </c>
      <c r="D16" s="83">
        <f>+SUM(C16:$C$16)</f>
        <v>0.09</v>
      </c>
      <c r="E16" s="83">
        <f>+E6</f>
        <v>5</v>
      </c>
      <c r="F16" s="83">
        <f>+C16*E16</f>
        <v>0.44999999999999996</v>
      </c>
      <c r="G16" s="62"/>
    </row>
    <row r="17" spans="1:9">
      <c r="A17" s="79" t="s">
        <v>97</v>
      </c>
      <c r="B17" s="110">
        <v>3</v>
      </c>
      <c r="C17" s="83">
        <v>0.01</v>
      </c>
      <c r="D17" s="83">
        <f>+SUM(C$16:$C17)</f>
        <v>9.9999999999999992E-2</v>
      </c>
      <c r="E17" s="83">
        <f>+E7</f>
        <v>8</v>
      </c>
      <c r="F17" s="83">
        <f t="shared" ref="F17:F18" si="1">+C17*E17</f>
        <v>0.08</v>
      </c>
      <c r="G17" s="62"/>
      <c r="I17" s="112"/>
    </row>
    <row r="18" spans="1:9">
      <c r="B18" s="110" t="s">
        <v>91</v>
      </c>
      <c r="C18" s="83">
        <v>0.04</v>
      </c>
      <c r="D18" s="83">
        <f>+SUM(C$16:$C18)</f>
        <v>0.13999999999999999</v>
      </c>
      <c r="E18" s="83">
        <f>+E16+E17</f>
        <v>13</v>
      </c>
      <c r="F18" s="83">
        <f t="shared" si="1"/>
        <v>0.52</v>
      </c>
      <c r="G18" s="62">
        <v>0</v>
      </c>
      <c r="H18" s="79" t="s">
        <v>94</v>
      </c>
    </row>
    <row r="19" spans="1:9">
      <c r="B19" s="86" t="s">
        <v>6</v>
      </c>
      <c r="C19" s="86">
        <f>+SUM(C16:C18)</f>
        <v>0.13999999999999999</v>
      </c>
      <c r="D19" s="86"/>
      <c r="E19" s="86"/>
      <c r="F19" s="91">
        <f>+SUM(F16:F18)</f>
        <v>1.0499999999999998</v>
      </c>
      <c r="G19" s="64"/>
    </row>
    <row r="20" spans="1:9">
      <c r="B20" s="90"/>
      <c r="C20" s="90"/>
      <c r="D20" s="90"/>
      <c r="E20" s="90"/>
      <c r="F20" s="85"/>
      <c r="G20" s="65"/>
    </row>
    <row r="21" spans="1:9">
      <c r="B21" s="90"/>
      <c r="C21" s="90"/>
      <c r="D21" s="90"/>
      <c r="E21" s="90"/>
      <c r="F21" s="85"/>
      <c r="G21" s="65"/>
    </row>
    <row r="22" spans="1:9">
      <c r="A22" s="82" t="s">
        <v>15</v>
      </c>
      <c r="B22" s="84" t="s">
        <v>88</v>
      </c>
      <c r="C22" s="84" t="s">
        <v>11</v>
      </c>
      <c r="D22" s="84" t="s">
        <v>20</v>
      </c>
      <c r="E22" s="84" t="s">
        <v>9</v>
      </c>
      <c r="F22" s="84" t="s">
        <v>1</v>
      </c>
      <c r="G22" s="84" t="s">
        <v>52</v>
      </c>
    </row>
    <row r="23" spans="1:9">
      <c r="A23" s="79" t="s">
        <v>96</v>
      </c>
      <c r="B23" s="110">
        <v>1</v>
      </c>
      <c r="C23" s="83">
        <v>0.12</v>
      </c>
      <c r="D23" s="83">
        <f>+SUM(C23:$C$23)</f>
        <v>0.12</v>
      </c>
      <c r="E23" s="83">
        <f>+E5</f>
        <v>2</v>
      </c>
      <c r="F23" s="83">
        <f>+C23*E23</f>
        <v>0.24</v>
      </c>
      <c r="G23" s="62"/>
    </row>
    <row r="24" spans="1:9">
      <c r="A24" s="79" t="s">
        <v>98</v>
      </c>
      <c r="B24" s="110">
        <v>3</v>
      </c>
      <c r="C24" s="83">
        <v>0.04</v>
      </c>
      <c r="D24" s="83">
        <f>+SUM(C$23:$C24)</f>
        <v>0.16</v>
      </c>
      <c r="E24" s="83">
        <f>+E7</f>
        <v>8</v>
      </c>
      <c r="F24" s="83">
        <f t="shared" ref="F24:F25" si="2">+C24*E24</f>
        <v>0.32</v>
      </c>
      <c r="G24" s="62"/>
    </row>
    <row r="25" spans="1:9">
      <c r="B25" s="110" t="s">
        <v>90</v>
      </c>
      <c r="C25" s="83">
        <v>4.9000000000000002E-2</v>
      </c>
      <c r="D25" s="83">
        <f>+SUM(C$23:$C25)</f>
        <v>0.20900000000000002</v>
      </c>
      <c r="E25" s="83">
        <f>+E23+E24</f>
        <v>10</v>
      </c>
      <c r="F25" s="83">
        <f t="shared" si="2"/>
        <v>0.49</v>
      </c>
      <c r="G25" s="62">
        <v>0</v>
      </c>
      <c r="H25" s="79" t="s">
        <v>94</v>
      </c>
    </row>
    <row r="26" spans="1:9">
      <c r="B26" s="86" t="s">
        <v>6</v>
      </c>
      <c r="C26" s="86">
        <f>+SUM(C23:C25)</f>
        <v>0.20900000000000002</v>
      </c>
      <c r="D26" s="86"/>
      <c r="E26" s="86"/>
      <c r="F26" s="91">
        <f>+SUM(F23:F25)</f>
        <v>1.05</v>
      </c>
      <c r="G26" s="64"/>
    </row>
    <row r="27" spans="1:9">
      <c r="B27" s="90"/>
      <c r="C27" s="90"/>
      <c r="D27" s="90"/>
      <c r="E27" s="90"/>
      <c r="F27" s="85"/>
      <c r="G27" s="65"/>
    </row>
    <row r="28" spans="1:9">
      <c r="G28" s="60"/>
    </row>
    <row r="29" spans="1:9">
      <c r="A29" s="82" t="s">
        <v>16</v>
      </c>
      <c r="B29" s="84" t="s">
        <v>88</v>
      </c>
      <c r="C29" s="84" t="s">
        <v>11</v>
      </c>
      <c r="D29" s="84" t="s">
        <v>20</v>
      </c>
      <c r="E29" s="84" t="s">
        <v>9</v>
      </c>
      <c r="F29" s="84" t="s">
        <v>1</v>
      </c>
      <c r="G29" s="84" t="s">
        <v>52</v>
      </c>
    </row>
    <row r="30" spans="1:9">
      <c r="A30" s="79" t="s">
        <v>96</v>
      </c>
      <c r="B30" s="110">
        <v>3</v>
      </c>
      <c r="C30" s="83">
        <v>0.13125000000000001</v>
      </c>
      <c r="D30" s="83">
        <f>+SUM(C30:$C$30)</f>
        <v>0.13125000000000001</v>
      </c>
      <c r="E30" s="83">
        <f>+E7</f>
        <v>8</v>
      </c>
      <c r="F30" s="83">
        <f>+C30*E30</f>
        <v>1.05</v>
      </c>
      <c r="G30" s="62">
        <v>0</v>
      </c>
      <c r="H30" s="79" t="s">
        <v>94</v>
      </c>
    </row>
    <row r="31" spans="1:9">
      <c r="A31" s="79" t="s">
        <v>97</v>
      </c>
      <c r="B31" s="86" t="s">
        <v>6</v>
      </c>
      <c r="C31" s="86">
        <f>+SUM(C30:C30)</f>
        <v>0.13125000000000001</v>
      </c>
      <c r="D31" s="86"/>
      <c r="E31" s="86"/>
      <c r="F31" s="91">
        <f>+SUM(F30:F30)</f>
        <v>1.05</v>
      </c>
      <c r="G31" s="64"/>
    </row>
    <row r="32" spans="1:9">
      <c r="A32" s="79" t="s">
        <v>98</v>
      </c>
      <c r="G32" s="60"/>
    </row>
    <row r="33" spans="1:8">
      <c r="G33" s="60"/>
    </row>
    <row r="34" spans="1:8">
      <c r="A34" s="82" t="s">
        <v>17</v>
      </c>
      <c r="B34" s="84" t="s">
        <v>88</v>
      </c>
      <c r="C34" s="84" t="s">
        <v>11</v>
      </c>
      <c r="D34" s="84" t="s">
        <v>20</v>
      </c>
      <c r="E34" s="84" t="s">
        <v>9</v>
      </c>
      <c r="F34" s="84" t="s">
        <v>1</v>
      </c>
      <c r="G34" s="84" t="s">
        <v>52</v>
      </c>
    </row>
    <row r="35" spans="1:8">
      <c r="A35" s="79" t="s">
        <v>96</v>
      </c>
      <c r="B35" s="110">
        <v>1</v>
      </c>
      <c r="C35" s="83">
        <v>0.12</v>
      </c>
      <c r="D35" s="83">
        <f>+SUM(C35:$C$35)</f>
        <v>0.12</v>
      </c>
      <c r="E35" s="83">
        <f>+E5</f>
        <v>2</v>
      </c>
      <c r="F35" s="83">
        <f>+C35*E35</f>
        <v>0.24</v>
      </c>
      <c r="G35" s="62"/>
    </row>
    <row r="36" spans="1:8">
      <c r="A36" s="79" t="s">
        <v>99</v>
      </c>
      <c r="B36" s="110">
        <v>2</v>
      </c>
      <c r="C36" s="83">
        <v>7.8E-2</v>
      </c>
      <c r="D36" s="83">
        <f>+SUM(C$35:$C36)</f>
        <v>0.19800000000000001</v>
      </c>
      <c r="E36" s="83">
        <f>+E6</f>
        <v>5</v>
      </c>
      <c r="F36" s="83">
        <f t="shared" ref="F36:F37" si="3">+C36*E36</f>
        <v>0.39</v>
      </c>
      <c r="G36" s="62"/>
    </row>
    <row r="37" spans="1:8">
      <c r="B37" s="110" t="s">
        <v>89</v>
      </c>
      <c r="C37" s="83">
        <v>0.06</v>
      </c>
      <c r="D37" s="83">
        <f>+SUM(C$35:$C37)</f>
        <v>0.25800000000000001</v>
      </c>
      <c r="E37" s="83">
        <f>+E35+E36</f>
        <v>7</v>
      </c>
      <c r="F37" s="83">
        <f t="shared" si="3"/>
        <v>0.42</v>
      </c>
      <c r="G37" s="62">
        <v>0</v>
      </c>
      <c r="H37" s="79" t="s">
        <v>94</v>
      </c>
    </row>
    <row r="38" spans="1:8">
      <c r="A38" s="88"/>
      <c r="B38" s="86" t="s">
        <v>6</v>
      </c>
      <c r="C38" s="86">
        <f>+SUM(C35:C37)</f>
        <v>0.25800000000000001</v>
      </c>
      <c r="D38" s="86"/>
      <c r="E38" s="86"/>
      <c r="F38" s="91">
        <f>+SUM(F35:F37)</f>
        <v>1.05</v>
      </c>
      <c r="G38" s="64"/>
    </row>
    <row r="39" spans="1:8">
      <c r="A39" s="88"/>
      <c r="G39" s="60"/>
    </row>
    <row r="40" spans="1:8">
      <c r="G40" s="60"/>
    </row>
    <row r="41" spans="1:8">
      <c r="A41" s="82" t="s">
        <v>18</v>
      </c>
      <c r="B41" s="84" t="s">
        <v>88</v>
      </c>
      <c r="C41" s="84" t="s">
        <v>11</v>
      </c>
      <c r="D41" s="84" t="s">
        <v>20</v>
      </c>
      <c r="E41" s="84" t="s">
        <v>9</v>
      </c>
      <c r="F41" s="84" t="s">
        <v>1</v>
      </c>
      <c r="G41" s="84" t="s">
        <v>52</v>
      </c>
    </row>
    <row r="42" spans="1:8">
      <c r="A42" s="79" t="s">
        <v>96</v>
      </c>
      <c r="B42" s="110">
        <v>1</v>
      </c>
      <c r="C42" s="83">
        <v>0.52500000000000002</v>
      </c>
      <c r="D42" s="83">
        <f>+SUM(C42:$C$42)</f>
        <v>0.52500000000000002</v>
      </c>
      <c r="E42" s="83">
        <f>+E5</f>
        <v>2</v>
      </c>
      <c r="F42" s="83">
        <f>+E42*C42</f>
        <v>1.05</v>
      </c>
      <c r="G42" s="62">
        <v>0</v>
      </c>
      <c r="H42" s="79" t="s">
        <v>94</v>
      </c>
    </row>
    <row r="43" spans="1:8">
      <c r="A43" s="79" t="s">
        <v>98</v>
      </c>
      <c r="B43" s="86" t="s">
        <v>6</v>
      </c>
      <c r="C43" s="86">
        <f>+SUM(C42:C42)</f>
        <v>0.52500000000000002</v>
      </c>
      <c r="D43" s="86"/>
      <c r="E43" s="86"/>
      <c r="F43" s="91">
        <f>+SUM(F42:F42)</f>
        <v>1.05</v>
      </c>
      <c r="G43" s="64"/>
    </row>
    <row r="44" spans="1:8">
      <c r="A44" s="79" t="s">
        <v>99</v>
      </c>
      <c r="G44" s="60"/>
    </row>
    <row r="45" spans="1:8">
      <c r="G45" s="60"/>
    </row>
    <row r="46" spans="1:8">
      <c r="A46" s="82" t="s">
        <v>19</v>
      </c>
      <c r="B46" s="84" t="s">
        <v>88</v>
      </c>
      <c r="C46" s="84" t="s">
        <v>11</v>
      </c>
      <c r="D46" s="84" t="s">
        <v>20</v>
      </c>
      <c r="E46" s="84" t="s">
        <v>9</v>
      </c>
      <c r="F46" s="84" t="s">
        <v>1</v>
      </c>
      <c r="G46" s="84" t="s">
        <v>52</v>
      </c>
    </row>
    <row r="47" spans="1:8">
      <c r="A47" s="79" t="s">
        <v>96</v>
      </c>
      <c r="B47" s="110">
        <v>2</v>
      </c>
      <c r="C47" s="83">
        <v>0.21</v>
      </c>
      <c r="D47" s="83">
        <f>+SUM(C$47:$C47)</f>
        <v>0.21</v>
      </c>
      <c r="E47" s="83">
        <f>+E6</f>
        <v>5</v>
      </c>
      <c r="F47" s="83">
        <f>+E47*C47</f>
        <v>1.05</v>
      </c>
      <c r="G47" s="62">
        <v>0</v>
      </c>
      <c r="H47" s="79" t="s">
        <v>94</v>
      </c>
    </row>
    <row r="48" spans="1:8">
      <c r="A48" s="79" t="s">
        <v>97</v>
      </c>
      <c r="B48" s="86" t="s">
        <v>6</v>
      </c>
      <c r="C48" s="86">
        <f>+SUM(C47:C47)</f>
        <v>0.21</v>
      </c>
      <c r="D48" s="86"/>
      <c r="E48" s="86"/>
      <c r="F48" s="91">
        <f>+SUM(F47:F47)</f>
        <v>1.05</v>
      </c>
      <c r="G48" s="64"/>
    </row>
    <row r="49" spans="1:7">
      <c r="A49" s="79" t="s">
        <v>99</v>
      </c>
      <c r="G49" s="61"/>
    </row>
    <row r="50" spans="1:7">
      <c r="G50" s="61"/>
    </row>
    <row r="51" spans="1:7">
      <c r="G51" s="61"/>
    </row>
    <row r="52" spans="1:7">
      <c r="G52" s="61"/>
    </row>
    <row r="53" spans="1:7">
      <c r="G53" s="61"/>
    </row>
    <row r="54" spans="1:7">
      <c r="G54" s="61"/>
    </row>
    <row r="55" spans="1:7">
      <c r="G55" s="61"/>
    </row>
    <row r="56" spans="1:7">
      <c r="G56" s="61"/>
    </row>
    <row r="57" spans="1:7">
      <c r="G57" s="61"/>
    </row>
    <row r="58" spans="1:7">
      <c r="G58" s="61"/>
    </row>
    <row r="59" spans="1:7">
      <c r="G59" s="61"/>
    </row>
    <row r="60" spans="1:7">
      <c r="G60" s="61"/>
    </row>
    <row r="61" spans="1:7">
      <c r="G61" s="61"/>
    </row>
    <row r="62" spans="1:7">
      <c r="G62" s="61"/>
    </row>
    <row r="63" spans="1:7">
      <c r="G63" s="61"/>
    </row>
    <row r="64" spans="1:7">
      <c r="G64" s="61"/>
    </row>
    <row r="65" spans="7:7">
      <c r="G65" s="61"/>
    </row>
    <row r="66" spans="7:7">
      <c r="G66" s="61"/>
    </row>
    <row r="67" spans="7:7">
      <c r="G67" s="61"/>
    </row>
    <row r="68" spans="7:7">
      <c r="G68" s="61"/>
    </row>
    <row r="69" spans="7:7">
      <c r="G69" s="61"/>
    </row>
    <row r="70" spans="7:7">
      <c r="G70" s="61"/>
    </row>
    <row r="71" spans="7:7">
      <c r="G71" s="60"/>
    </row>
    <row r="72" spans="7:7">
      <c r="G72" s="60"/>
    </row>
    <row r="73" spans="7:7">
      <c r="G73" s="60"/>
    </row>
    <row r="74" spans="7:7">
      <c r="G74" s="60"/>
    </row>
    <row r="75" spans="7:7">
      <c r="G75" s="60"/>
    </row>
    <row r="76" spans="7:7">
      <c r="G76" s="60"/>
    </row>
    <row r="77" spans="7:7">
      <c r="G77" s="60"/>
    </row>
    <row r="78" spans="7:7">
      <c r="G78" s="60"/>
    </row>
    <row r="79" spans="7:7">
      <c r="G79" s="60"/>
    </row>
    <row r="80" spans="7:7">
      <c r="G80" s="60"/>
    </row>
    <row r="81" spans="7:7">
      <c r="G81" s="60"/>
    </row>
    <row r="82" spans="7:7">
      <c r="G82" s="60"/>
    </row>
    <row r="83" spans="7:7">
      <c r="G83" s="60"/>
    </row>
    <row r="84" spans="7:7">
      <c r="G84" s="60"/>
    </row>
    <row r="85" spans="7:7">
      <c r="G85" s="60"/>
    </row>
    <row r="86" spans="7:7">
      <c r="G86" s="60"/>
    </row>
    <row r="87" spans="7:7">
      <c r="G87" s="60"/>
    </row>
    <row r="88" spans="7:7">
      <c r="G88" s="60"/>
    </row>
    <row r="89" spans="7:7">
      <c r="G89" s="60"/>
    </row>
    <row r="90" spans="7:7">
      <c r="G90" s="60"/>
    </row>
    <row r="91" spans="7:7">
      <c r="G91" s="60"/>
    </row>
    <row r="92" spans="7:7">
      <c r="G92" s="60"/>
    </row>
    <row r="93" spans="7:7">
      <c r="G93" s="60"/>
    </row>
    <row r="94" spans="7:7">
      <c r="G94" s="60"/>
    </row>
    <row r="95" spans="7:7">
      <c r="G95" s="60"/>
    </row>
    <row r="96" spans="7:7">
      <c r="G96" s="60"/>
    </row>
    <row r="97" spans="7:7">
      <c r="G97" s="60"/>
    </row>
    <row r="98" spans="7:7">
      <c r="G98" s="60"/>
    </row>
    <row r="99" spans="7:7">
      <c r="G99" s="60"/>
    </row>
    <row r="100" spans="7:7">
      <c r="G100" s="60"/>
    </row>
    <row r="101" spans="7:7">
      <c r="G101" s="60"/>
    </row>
    <row r="102" spans="7:7">
      <c r="G102" s="60"/>
    </row>
    <row r="103" spans="7:7">
      <c r="G103" s="60"/>
    </row>
    <row r="104" spans="7:7">
      <c r="G104" s="60"/>
    </row>
    <row r="105" spans="7:7">
      <c r="G105" s="60"/>
    </row>
    <row r="106" spans="7:7">
      <c r="G106" s="60"/>
    </row>
    <row r="107" spans="7:7">
      <c r="G107" s="60"/>
    </row>
    <row r="108" spans="7:7">
      <c r="G108" s="60"/>
    </row>
    <row r="109" spans="7:7">
      <c r="G109" s="60"/>
    </row>
    <row r="110" spans="7:7">
      <c r="G110" s="60"/>
    </row>
    <row r="111" spans="7:7">
      <c r="G111" s="60"/>
    </row>
    <row r="112" spans="7:7">
      <c r="G112" s="60"/>
    </row>
    <row r="113" spans="7:7">
      <c r="G113" s="60"/>
    </row>
    <row r="114" spans="7:7">
      <c r="G114" s="60"/>
    </row>
    <row r="115" spans="7:7">
      <c r="G115" s="60"/>
    </row>
    <row r="116" spans="7:7">
      <c r="G116" s="60"/>
    </row>
    <row r="117" spans="7:7">
      <c r="G117" s="60"/>
    </row>
    <row r="118" spans="7:7">
      <c r="G118" s="60"/>
    </row>
    <row r="119" spans="7:7">
      <c r="G119" s="60"/>
    </row>
    <row r="120" spans="7:7">
      <c r="G120" s="60"/>
    </row>
    <row r="121" spans="7:7">
      <c r="G121" s="60"/>
    </row>
    <row r="122" spans="7:7">
      <c r="G122" s="60"/>
    </row>
    <row r="123" spans="7:7">
      <c r="G123" s="60"/>
    </row>
    <row r="124" spans="7:7">
      <c r="G124" s="60"/>
    </row>
    <row r="125" spans="7:7">
      <c r="G125" s="60"/>
    </row>
    <row r="126" spans="7:7">
      <c r="G126" s="60"/>
    </row>
  </sheetData>
  <mergeCells count="1">
    <mergeCell ref="A1:E1"/>
  </mergeCells>
  <pageMargins left="0.7" right="0.7" top="0.75" bottom="0.75" header="0.3" footer="0.3"/>
  <pageSetup paperSize="9" orientation="portrait" horizontalDpi="200" verticalDpi="200" r:id="rId1"/>
</worksheet>
</file>

<file path=xl/worksheets/sheet21.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79" customWidth="1"/>
    <col min="2" max="2" width="25.21875" style="79" bestFit="1" customWidth="1"/>
    <col min="3" max="3" width="11.5546875" style="79"/>
    <col min="4" max="4" width="15.5546875" style="79" bestFit="1" customWidth="1"/>
    <col min="5" max="5" width="11.5546875" style="79"/>
    <col min="6" max="6" width="13.33203125" style="79" customWidth="1"/>
    <col min="7" max="7" width="15.33203125" style="79" bestFit="1" customWidth="1"/>
    <col min="8" max="8" width="15.88671875" style="79" customWidth="1"/>
    <col min="9" max="9" width="12" style="79" customWidth="1"/>
    <col min="10" max="16384" width="11.5546875" style="79"/>
  </cols>
  <sheetData>
    <row r="1" spans="1:9" ht="18">
      <c r="A1" s="116" t="s">
        <v>103</v>
      </c>
      <c r="B1" s="116"/>
      <c r="C1" s="116"/>
      <c r="D1" s="116"/>
      <c r="E1" s="116"/>
    </row>
    <row r="2" spans="1:9">
      <c r="A2" s="89" t="s">
        <v>134</v>
      </c>
    </row>
    <row r="4" spans="1:9">
      <c r="A4" s="82" t="s">
        <v>10</v>
      </c>
      <c r="B4" s="84" t="s">
        <v>88</v>
      </c>
      <c r="C4" s="84" t="s">
        <v>11</v>
      </c>
      <c r="D4" s="84" t="s">
        <v>20</v>
      </c>
      <c r="E4" s="84" t="s">
        <v>9</v>
      </c>
      <c r="F4" s="84" t="s">
        <v>1</v>
      </c>
      <c r="G4" s="84" t="s">
        <v>52</v>
      </c>
    </row>
    <row r="5" spans="1:9">
      <c r="A5" s="79" t="s">
        <v>95</v>
      </c>
      <c r="B5" s="111">
        <v>1</v>
      </c>
      <c r="C5" s="52">
        <v>0.35000000000000003</v>
      </c>
      <c r="D5" s="80">
        <f>+SUM($C$5:C5)</f>
        <v>0.35000000000000003</v>
      </c>
      <c r="E5" s="80">
        <f>+Summary!E27</f>
        <v>2</v>
      </c>
      <c r="F5" s="80">
        <f>+C5*E5</f>
        <v>0.70000000000000007</v>
      </c>
      <c r="G5" s="62"/>
    </row>
    <row r="6" spans="1:9">
      <c r="B6" s="111">
        <v>2</v>
      </c>
      <c r="C6" s="52">
        <v>0.05</v>
      </c>
      <c r="D6" s="80">
        <f>+SUM($C$5:C6)</f>
        <v>0.4</v>
      </c>
      <c r="E6" s="80">
        <f>+Summary!E28</f>
        <v>3</v>
      </c>
      <c r="F6" s="80">
        <f t="shared" ref="F6:F7" si="0">+C6*E6</f>
        <v>0.15000000000000002</v>
      </c>
      <c r="G6" s="62"/>
    </row>
    <row r="7" spans="1:9">
      <c r="B7" s="111" t="s">
        <v>89</v>
      </c>
      <c r="C7" s="52">
        <v>0.01</v>
      </c>
      <c r="D7" s="80">
        <f>+SUM($C$5:C7)</f>
        <v>0.41000000000000003</v>
      </c>
      <c r="E7" s="80">
        <f>+E5+E6</f>
        <v>5</v>
      </c>
      <c r="F7" s="80">
        <f t="shared" si="0"/>
        <v>0.05</v>
      </c>
      <c r="G7" s="62">
        <v>0</v>
      </c>
      <c r="H7" s="79" t="s">
        <v>94</v>
      </c>
      <c r="I7" s="113"/>
    </row>
    <row r="8" spans="1:9">
      <c r="B8" s="86" t="s">
        <v>12</v>
      </c>
      <c r="C8" s="86">
        <f>+SUM(C5:C7)</f>
        <v>0.41000000000000003</v>
      </c>
      <c r="D8" s="86"/>
      <c r="E8" s="86"/>
      <c r="F8" s="72">
        <f>+SUM(F5:F7)</f>
        <v>0.90000000000000013</v>
      </c>
      <c r="G8" s="63"/>
    </row>
    <row r="9" spans="1:9">
      <c r="B9" s="87" t="s">
        <v>93</v>
      </c>
      <c r="G9" s="60"/>
    </row>
    <row r="10" spans="1:9">
      <c r="G10" s="60"/>
    </row>
    <row r="11" spans="1:9">
      <c r="G11" s="60"/>
    </row>
    <row r="12" spans="1:9">
      <c r="A12" s="82" t="s">
        <v>18</v>
      </c>
      <c r="B12" s="84" t="s">
        <v>88</v>
      </c>
      <c r="C12" s="84" t="s">
        <v>11</v>
      </c>
      <c r="D12" s="84" t="s">
        <v>20</v>
      </c>
      <c r="E12" s="84" t="s">
        <v>9</v>
      </c>
      <c r="F12" s="84" t="s">
        <v>1</v>
      </c>
      <c r="G12" s="84" t="s">
        <v>52</v>
      </c>
    </row>
    <row r="13" spans="1:9">
      <c r="A13" s="79" t="s">
        <v>96</v>
      </c>
      <c r="B13" s="110">
        <v>1</v>
      </c>
      <c r="C13" s="83">
        <v>0.45</v>
      </c>
      <c r="D13" s="83">
        <f>+SUM(C13:$C$13)</f>
        <v>0.45</v>
      </c>
      <c r="E13" s="83">
        <f>+E5</f>
        <v>2</v>
      </c>
      <c r="F13" s="83">
        <f>+E13*C13</f>
        <v>0.9</v>
      </c>
      <c r="G13" s="62">
        <v>0</v>
      </c>
      <c r="H13" s="79" t="s">
        <v>94</v>
      </c>
    </row>
    <row r="14" spans="1:9">
      <c r="A14" s="79" t="s">
        <v>98</v>
      </c>
      <c r="B14" s="86" t="s">
        <v>6</v>
      </c>
      <c r="C14" s="86">
        <f>+SUM(C13:C13)</f>
        <v>0.45</v>
      </c>
      <c r="D14" s="86"/>
      <c r="E14" s="86"/>
      <c r="F14" s="91">
        <f>+SUM(F13:F13)</f>
        <v>0.9</v>
      </c>
      <c r="G14" s="64"/>
    </row>
    <row r="15" spans="1:9">
      <c r="G15" s="60"/>
    </row>
    <row r="16" spans="1:9">
      <c r="G16" s="60"/>
    </row>
    <row r="17" spans="1:8">
      <c r="A17" s="82" t="s">
        <v>19</v>
      </c>
      <c r="B17" s="84" t="s">
        <v>88</v>
      </c>
      <c r="C17" s="84" t="s">
        <v>11</v>
      </c>
      <c r="D17" s="84" t="s">
        <v>20</v>
      </c>
      <c r="E17" s="84" t="s">
        <v>9</v>
      </c>
      <c r="F17" s="84" t="s">
        <v>1</v>
      </c>
      <c r="G17" s="84" t="s">
        <v>52</v>
      </c>
    </row>
    <row r="18" spans="1:8">
      <c r="A18" s="79" t="s">
        <v>96</v>
      </c>
      <c r="B18" s="110">
        <v>2</v>
      </c>
      <c r="C18" s="83">
        <v>0.3</v>
      </c>
      <c r="D18" s="83">
        <f>+SUM(C$18:$C18)</f>
        <v>0.3</v>
      </c>
      <c r="E18" s="83">
        <f>+E6</f>
        <v>3</v>
      </c>
      <c r="F18" s="83">
        <f>+E18*C18</f>
        <v>0.89999999999999991</v>
      </c>
      <c r="G18" s="62">
        <v>0</v>
      </c>
      <c r="H18" s="79" t="s">
        <v>94</v>
      </c>
    </row>
    <row r="19" spans="1:8">
      <c r="A19" s="79" t="s">
        <v>97</v>
      </c>
      <c r="B19" s="86" t="s">
        <v>6</v>
      </c>
      <c r="C19" s="86">
        <f>+SUM(C18:C18)</f>
        <v>0.3</v>
      </c>
      <c r="D19" s="86"/>
      <c r="E19" s="86"/>
      <c r="F19" s="91">
        <f>+SUM(F18:F18)</f>
        <v>0.89999999999999991</v>
      </c>
      <c r="G19" s="64"/>
    </row>
    <row r="20" spans="1:8">
      <c r="G20" s="61"/>
    </row>
    <row r="21" spans="1:8">
      <c r="G21" s="61"/>
    </row>
    <row r="22" spans="1:8">
      <c r="G22" s="61"/>
    </row>
    <row r="23" spans="1:8">
      <c r="G23" s="61"/>
    </row>
    <row r="24" spans="1:8">
      <c r="G24" s="61"/>
    </row>
    <row r="25" spans="1:8">
      <c r="G25" s="61"/>
    </row>
    <row r="26" spans="1:8">
      <c r="G26" s="61"/>
    </row>
    <row r="27" spans="1:8">
      <c r="G27" s="61"/>
    </row>
    <row r="28" spans="1:8">
      <c r="G28" s="61"/>
    </row>
    <row r="29" spans="1:8">
      <c r="G29" s="61"/>
    </row>
    <row r="30" spans="1:8">
      <c r="G30" s="61"/>
    </row>
    <row r="31" spans="1:8">
      <c r="G31" s="61"/>
    </row>
    <row r="32" spans="1:8">
      <c r="G32" s="61"/>
    </row>
    <row r="33" spans="7:7">
      <c r="G33" s="61"/>
    </row>
    <row r="34" spans="7:7">
      <c r="G34" s="61"/>
    </row>
    <row r="35" spans="7:7">
      <c r="G35" s="61"/>
    </row>
    <row r="36" spans="7:7">
      <c r="G36" s="61"/>
    </row>
    <row r="37" spans="7:7">
      <c r="G37" s="61"/>
    </row>
    <row r="38" spans="7:7">
      <c r="G38" s="61"/>
    </row>
    <row r="39" spans="7:7">
      <c r="G39" s="61"/>
    </row>
    <row r="40" spans="7:7">
      <c r="G40" s="61"/>
    </row>
    <row r="41" spans="7:7">
      <c r="G41" s="61"/>
    </row>
    <row r="42" spans="7:7">
      <c r="G42" s="60"/>
    </row>
    <row r="43" spans="7:7">
      <c r="G43" s="60"/>
    </row>
    <row r="44" spans="7:7">
      <c r="G44" s="60"/>
    </row>
    <row r="45" spans="7:7">
      <c r="G45" s="60"/>
    </row>
    <row r="46" spans="7:7">
      <c r="G46" s="60"/>
    </row>
    <row r="47" spans="7:7">
      <c r="G47" s="60"/>
    </row>
    <row r="48" spans="7:7">
      <c r="G48" s="60"/>
    </row>
    <row r="49" spans="7:7">
      <c r="G49" s="60"/>
    </row>
    <row r="50" spans="7:7">
      <c r="G50" s="60"/>
    </row>
    <row r="51" spans="7:7">
      <c r="G51" s="60"/>
    </row>
    <row r="52" spans="7:7">
      <c r="G52" s="60"/>
    </row>
    <row r="53" spans="7:7">
      <c r="G53" s="60"/>
    </row>
    <row r="54" spans="7:7">
      <c r="G54" s="60"/>
    </row>
    <row r="55" spans="7:7">
      <c r="G55" s="60"/>
    </row>
    <row r="56" spans="7:7">
      <c r="G56" s="60"/>
    </row>
    <row r="57" spans="7:7">
      <c r="G57" s="60"/>
    </row>
    <row r="58" spans="7:7">
      <c r="G58" s="60"/>
    </row>
    <row r="59" spans="7:7">
      <c r="G59" s="60"/>
    </row>
    <row r="60" spans="7:7">
      <c r="G60" s="60"/>
    </row>
    <row r="61" spans="7:7">
      <c r="G61" s="60"/>
    </row>
    <row r="62" spans="7:7">
      <c r="G62" s="60"/>
    </row>
    <row r="63" spans="7:7">
      <c r="G63" s="60"/>
    </row>
    <row r="64" spans="7:7">
      <c r="G64" s="60"/>
    </row>
    <row r="65" spans="7:7">
      <c r="G65" s="60"/>
    </row>
    <row r="66" spans="7:7">
      <c r="G66" s="60"/>
    </row>
    <row r="67" spans="7:7">
      <c r="G67" s="60"/>
    </row>
    <row r="68" spans="7:7">
      <c r="G68" s="60"/>
    </row>
    <row r="69" spans="7:7">
      <c r="G69" s="60"/>
    </row>
    <row r="70" spans="7:7">
      <c r="G70" s="60"/>
    </row>
    <row r="71" spans="7:7">
      <c r="G71" s="60"/>
    </row>
    <row r="72" spans="7:7">
      <c r="G72" s="60"/>
    </row>
    <row r="73" spans="7:7">
      <c r="G73" s="60"/>
    </row>
    <row r="74" spans="7:7">
      <c r="G74" s="60"/>
    </row>
    <row r="75" spans="7:7">
      <c r="G75" s="60"/>
    </row>
    <row r="76" spans="7:7">
      <c r="G76" s="60"/>
    </row>
    <row r="77" spans="7:7">
      <c r="G77" s="60"/>
    </row>
    <row r="78" spans="7:7">
      <c r="G78" s="60"/>
    </row>
    <row r="79" spans="7:7">
      <c r="G79" s="60"/>
    </row>
    <row r="80" spans="7:7">
      <c r="G80" s="60"/>
    </row>
    <row r="81" spans="7:7">
      <c r="G81" s="60"/>
    </row>
    <row r="82" spans="7:7">
      <c r="G82" s="60"/>
    </row>
    <row r="83" spans="7:7">
      <c r="G83" s="60"/>
    </row>
    <row r="84" spans="7:7">
      <c r="G84" s="60"/>
    </row>
    <row r="85" spans="7:7">
      <c r="G85" s="60"/>
    </row>
    <row r="86" spans="7:7">
      <c r="G86" s="60"/>
    </row>
    <row r="87" spans="7:7">
      <c r="G87" s="60"/>
    </row>
    <row r="88" spans="7:7">
      <c r="G88" s="60"/>
    </row>
    <row r="89" spans="7:7">
      <c r="G89" s="60"/>
    </row>
    <row r="90" spans="7:7">
      <c r="G90" s="60"/>
    </row>
    <row r="91" spans="7:7">
      <c r="G91" s="60"/>
    </row>
    <row r="92" spans="7:7">
      <c r="G92" s="60"/>
    </row>
    <row r="93" spans="7:7">
      <c r="G93" s="60"/>
    </row>
    <row r="94" spans="7:7">
      <c r="G94" s="60"/>
    </row>
    <row r="95" spans="7:7">
      <c r="G95" s="60"/>
    </row>
    <row r="96" spans="7:7">
      <c r="G96" s="60"/>
    </row>
    <row r="97" spans="7:7">
      <c r="G97" s="60"/>
    </row>
  </sheetData>
  <mergeCells count="1">
    <mergeCell ref="A1:E1"/>
  </mergeCells>
  <pageMargins left="0.7" right="0.7" top="0.75" bottom="0.75" header="0.3" footer="0.3"/>
  <pageSetup paperSize="9" orientation="portrait" horizontalDpi="200" verticalDpi="200" r:id="rId1"/>
</worksheet>
</file>

<file path=xl/worksheets/sheet22.xml><?xml version="1.0" encoding="utf-8"?>
<worksheet xmlns="http://schemas.openxmlformats.org/spreadsheetml/2006/main" xmlns:r="http://schemas.openxmlformats.org/officeDocument/2006/relationships">
  <sheetPr codeName="Hoja16"/>
  <dimension ref="A1:J126"/>
  <sheetViews>
    <sheetView workbookViewId="0">
      <selection sqref="A1:E1"/>
    </sheetView>
  </sheetViews>
  <sheetFormatPr baseColWidth="10" defaultRowHeight="14.4"/>
  <cols>
    <col min="1" max="1" width="40.6640625" style="79" customWidth="1"/>
    <col min="2" max="2" width="25.21875" style="79" bestFit="1" customWidth="1"/>
    <col min="3" max="3" width="11.5546875" style="79"/>
    <col min="4" max="4" width="15.5546875" style="79" bestFit="1" customWidth="1"/>
    <col min="5" max="5" width="11.5546875" style="79"/>
    <col min="6" max="6" width="13.33203125" style="79" customWidth="1"/>
    <col min="7" max="7" width="15.33203125" style="79" bestFit="1" customWidth="1"/>
    <col min="8" max="8" width="15.109375" style="79" customWidth="1"/>
    <col min="9" max="9" width="11.5546875" style="79"/>
    <col min="10" max="10" width="12.5546875" style="79" bestFit="1" customWidth="1"/>
    <col min="11" max="16384" width="11.5546875" style="79"/>
  </cols>
  <sheetData>
    <row r="1" spans="1:8" ht="18">
      <c r="A1" s="116" t="s">
        <v>108</v>
      </c>
      <c r="B1" s="116"/>
      <c r="C1" s="116"/>
      <c r="D1" s="116"/>
      <c r="E1" s="116"/>
    </row>
    <row r="2" spans="1:8">
      <c r="A2" s="89" t="s">
        <v>134</v>
      </c>
    </row>
    <row r="4" spans="1:8">
      <c r="A4" s="82" t="s">
        <v>10</v>
      </c>
      <c r="B4" s="84" t="s">
        <v>88</v>
      </c>
      <c r="C4" s="84" t="s">
        <v>11</v>
      </c>
      <c r="D4" s="84" t="s">
        <v>20</v>
      </c>
      <c r="E4" s="84" t="s">
        <v>9</v>
      </c>
      <c r="F4" s="84" t="s">
        <v>1</v>
      </c>
      <c r="G4" s="84" t="s">
        <v>52</v>
      </c>
    </row>
    <row r="5" spans="1:8">
      <c r="A5" s="79" t="s">
        <v>95</v>
      </c>
      <c r="B5" s="111">
        <v>1</v>
      </c>
      <c r="C5" s="80">
        <v>0.12</v>
      </c>
      <c r="D5" s="80">
        <f>+SUM($C$5:C5)</f>
        <v>0.12</v>
      </c>
      <c r="E5" s="80">
        <f>+Summary!H27</f>
        <v>2</v>
      </c>
      <c r="F5" s="80">
        <f>+C5*E5</f>
        <v>0.24</v>
      </c>
      <c r="G5" s="62"/>
    </row>
    <row r="6" spans="1:8">
      <c r="B6" s="111">
        <v>2</v>
      </c>
      <c r="C6" s="80">
        <v>0.12</v>
      </c>
      <c r="D6" s="80">
        <f>+SUM($C$5:C6)</f>
        <v>0.24</v>
      </c>
      <c r="E6" s="80">
        <f>+Summary!H28</f>
        <v>2</v>
      </c>
      <c r="F6" s="80">
        <f t="shared" ref="F6:F11" si="0">+C6*E6</f>
        <v>0.24</v>
      </c>
      <c r="G6" s="62"/>
    </row>
    <row r="7" spans="1:8">
      <c r="B7" s="111">
        <v>3</v>
      </c>
      <c r="C7" s="80">
        <v>0.02</v>
      </c>
      <c r="D7" s="80">
        <f>+SUM($C$5:C7)</f>
        <v>0.26</v>
      </c>
      <c r="E7" s="80">
        <f>+Summary!H29</f>
        <v>4</v>
      </c>
      <c r="F7" s="80">
        <f t="shared" si="0"/>
        <v>0.08</v>
      </c>
      <c r="G7" s="62"/>
    </row>
    <row r="8" spans="1:8">
      <c r="B8" s="111" t="s">
        <v>89</v>
      </c>
      <c r="C8" s="80">
        <v>4.4999999999999998E-2</v>
      </c>
      <c r="D8" s="80">
        <f>+SUM($C$5:C8)</f>
        <v>0.30499999999999999</v>
      </c>
      <c r="E8" s="80">
        <f>+E5+E6</f>
        <v>4</v>
      </c>
      <c r="F8" s="80">
        <f t="shared" si="0"/>
        <v>0.18</v>
      </c>
      <c r="G8" s="62"/>
    </row>
    <row r="9" spans="1:8">
      <c r="B9" s="111" t="s">
        <v>90</v>
      </c>
      <c r="C9" s="80">
        <v>0.01</v>
      </c>
      <c r="D9" s="80">
        <f>+SUM($C$5:C9)</f>
        <v>0.315</v>
      </c>
      <c r="E9" s="80">
        <f>+E5+E7</f>
        <v>6</v>
      </c>
      <c r="F9" s="80">
        <f t="shared" si="0"/>
        <v>0.06</v>
      </c>
      <c r="G9" s="62"/>
    </row>
    <row r="10" spans="1:8">
      <c r="B10" s="111" t="s">
        <v>91</v>
      </c>
      <c r="C10" s="80">
        <v>0.01</v>
      </c>
      <c r="D10" s="80">
        <f>+SUM($C$5:C10)</f>
        <v>0.32500000000000001</v>
      </c>
      <c r="E10" s="80">
        <f>+E6+E7</f>
        <v>6</v>
      </c>
      <c r="F10" s="80">
        <f t="shared" si="0"/>
        <v>0.06</v>
      </c>
      <c r="G10" s="62"/>
    </row>
    <row r="11" spans="1:8">
      <c r="B11" s="111" t="s">
        <v>92</v>
      </c>
      <c r="C11" s="80">
        <v>5.0000000000000001E-3</v>
      </c>
      <c r="D11" s="80">
        <f>+SUM($C$5:C11)</f>
        <v>0.33</v>
      </c>
      <c r="E11" s="80">
        <f>+E5+E6+E7</f>
        <v>8</v>
      </c>
      <c r="F11" s="80">
        <f t="shared" si="0"/>
        <v>0.04</v>
      </c>
      <c r="G11" s="62">
        <v>0</v>
      </c>
      <c r="H11" s="79" t="s">
        <v>94</v>
      </c>
    </row>
    <row r="12" spans="1:8">
      <c r="B12" s="86" t="s">
        <v>12</v>
      </c>
      <c r="C12" s="86">
        <f>+SUM(C5:C11)</f>
        <v>0.33</v>
      </c>
      <c r="D12" s="86"/>
      <c r="E12" s="86"/>
      <c r="F12" s="93">
        <f>+SUM(F5:F11)</f>
        <v>0.90000000000000013</v>
      </c>
      <c r="G12" s="63"/>
    </row>
    <row r="13" spans="1:8">
      <c r="B13" s="87" t="s">
        <v>93</v>
      </c>
      <c r="G13" s="60"/>
    </row>
    <row r="14" spans="1:8">
      <c r="G14" s="60"/>
    </row>
    <row r="15" spans="1:8">
      <c r="A15" s="82" t="s">
        <v>14</v>
      </c>
      <c r="B15" s="84" t="s">
        <v>88</v>
      </c>
      <c r="C15" s="84" t="s">
        <v>11</v>
      </c>
      <c r="D15" s="84" t="s">
        <v>20</v>
      </c>
      <c r="E15" s="84" t="s">
        <v>9</v>
      </c>
      <c r="F15" s="84" t="s">
        <v>1</v>
      </c>
      <c r="G15" s="84" t="s">
        <v>52</v>
      </c>
    </row>
    <row r="16" spans="1:8">
      <c r="A16" s="79" t="s">
        <v>96</v>
      </c>
      <c r="B16" s="110">
        <v>2</v>
      </c>
      <c r="C16" s="83">
        <v>0.33</v>
      </c>
      <c r="D16" s="83">
        <f>+SUM(C16:$C$16)</f>
        <v>0.33</v>
      </c>
      <c r="E16" s="83">
        <f>+E6</f>
        <v>2</v>
      </c>
      <c r="F16" s="83">
        <f>+C16*E16</f>
        <v>0.66</v>
      </c>
      <c r="G16" s="62"/>
    </row>
    <row r="17" spans="1:10">
      <c r="A17" s="79" t="s">
        <v>97</v>
      </c>
      <c r="B17" s="110">
        <v>3</v>
      </c>
      <c r="C17" s="83">
        <v>0.03</v>
      </c>
      <c r="D17" s="83">
        <f>+SUM(C$16:$C17)</f>
        <v>0.36</v>
      </c>
      <c r="E17" s="83">
        <f>+E7</f>
        <v>4</v>
      </c>
      <c r="F17" s="83">
        <f t="shared" ref="F17:F18" si="1">+C17*E17</f>
        <v>0.12</v>
      </c>
      <c r="G17" s="62"/>
    </row>
    <row r="18" spans="1:10">
      <c r="B18" s="110" t="s">
        <v>91</v>
      </c>
      <c r="C18" s="83">
        <v>0.02</v>
      </c>
      <c r="D18" s="83">
        <f>+SUM(C$16:$C18)</f>
        <v>0.38</v>
      </c>
      <c r="E18" s="83">
        <f>+E16+E17</f>
        <v>6</v>
      </c>
      <c r="F18" s="83">
        <f t="shared" si="1"/>
        <v>0.12</v>
      </c>
      <c r="G18" s="62">
        <v>0</v>
      </c>
      <c r="H18" s="79" t="s">
        <v>94</v>
      </c>
    </row>
    <row r="19" spans="1:10">
      <c r="B19" s="86" t="s">
        <v>6</v>
      </c>
      <c r="C19" s="86">
        <f>+SUM(C16:C18)</f>
        <v>0.38</v>
      </c>
      <c r="D19" s="86"/>
      <c r="E19" s="86"/>
      <c r="F19" s="91">
        <f>+SUM(F16:F18)</f>
        <v>0.9</v>
      </c>
      <c r="G19" s="64"/>
    </row>
    <row r="20" spans="1:10">
      <c r="B20" s="90"/>
      <c r="C20" s="90"/>
      <c r="D20" s="90"/>
      <c r="E20" s="90"/>
      <c r="F20" s="85"/>
      <c r="G20" s="65"/>
    </row>
    <row r="21" spans="1:10">
      <c r="B21" s="90"/>
      <c r="C21" s="90"/>
      <c r="D21" s="90"/>
      <c r="E21" s="90"/>
      <c r="F21" s="85"/>
      <c r="G21" s="65"/>
    </row>
    <row r="22" spans="1:10">
      <c r="A22" s="82" t="s">
        <v>15</v>
      </c>
      <c r="B22" s="84" t="s">
        <v>88</v>
      </c>
      <c r="C22" s="84" t="s">
        <v>11</v>
      </c>
      <c r="D22" s="84" t="s">
        <v>20</v>
      </c>
      <c r="E22" s="84" t="s">
        <v>9</v>
      </c>
      <c r="F22" s="84" t="s">
        <v>1</v>
      </c>
      <c r="G22" s="84" t="s">
        <v>52</v>
      </c>
    </row>
    <row r="23" spans="1:10">
      <c r="A23" s="79" t="s">
        <v>96</v>
      </c>
      <c r="B23" s="110">
        <v>1</v>
      </c>
      <c r="C23" s="83">
        <v>0.33</v>
      </c>
      <c r="D23" s="83">
        <f>+SUM(C23:$C$23)</f>
        <v>0.33</v>
      </c>
      <c r="E23" s="83">
        <f>+E5</f>
        <v>2</v>
      </c>
      <c r="F23" s="83">
        <f>+C23*E23</f>
        <v>0.66</v>
      </c>
      <c r="G23" s="62"/>
    </row>
    <row r="24" spans="1:10">
      <c r="A24" s="79" t="s">
        <v>98</v>
      </c>
      <c r="B24" s="110">
        <v>3</v>
      </c>
      <c r="C24" s="83">
        <v>0.03</v>
      </c>
      <c r="D24" s="83">
        <f>+SUM(C$23:$C24)</f>
        <v>0.36</v>
      </c>
      <c r="E24" s="83">
        <f>+E7</f>
        <v>4</v>
      </c>
      <c r="F24" s="83">
        <f t="shared" ref="F24:F25" si="2">+C24*E24</f>
        <v>0.12</v>
      </c>
      <c r="G24" s="62"/>
    </row>
    <row r="25" spans="1:10">
      <c r="B25" s="110" t="s">
        <v>90</v>
      </c>
      <c r="C25" s="83">
        <v>0.02</v>
      </c>
      <c r="D25" s="83">
        <f>+SUM(C$23:$C25)</f>
        <v>0.38</v>
      </c>
      <c r="E25" s="83">
        <f>+E23+E24</f>
        <v>6</v>
      </c>
      <c r="F25" s="83">
        <f t="shared" si="2"/>
        <v>0.12</v>
      </c>
      <c r="G25" s="62">
        <v>0</v>
      </c>
      <c r="H25" s="79" t="s">
        <v>94</v>
      </c>
      <c r="J25" s="92"/>
    </row>
    <row r="26" spans="1:10">
      <c r="B26" s="86" t="s">
        <v>6</v>
      </c>
      <c r="C26" s="86">
        <f>+SUM(C23:C25)</f>
        <v>0.38</v>
      </c>
      <c r="D26" s="86"/>
      <c r="E26" s="86"/>
      <c r="F26" s="91">
        <f>+SUM(F23:F25)</f>
        <v>0.9</v>
      </c>
      <c r="G26" s="64"/>
    </row>
    <row r="27" spans="1:10">
      <c r="B27" s="90"/>
      <c r="C27" s="90"/>
      <c r="D27" s="90"/>
      <c r="E27" s="90"/>
      <c r="F27" s="85"/>
      <c r="G27" s="65"/>
    </row>
    <row r="28" spans="1:10">
      <c r="G28" s="60"/>
    </row>
    <row r="29" spans="1:10">
      <c r="A29" s="82" t="s">
        <v>16</v>
      </c>
      <c r="B29" s="84" t="s">
        <v>88</v>
      </c>
      <c r="C29" s="84" t="s">
        <v>11</v>
      </c>
      <c r="D29" s="84" t="s">
        <v>20</v>
      </c>
      <c r="E29" s="84" t="s">
        <v>9</v>
      </c>
      <c r="F29" s="84" t="s">
        <v>1</v>
      </c>
      <c r="G29" s="84" t="s">
        <v>52</v>
      </c>
    </row>
    <row r="30" spans="1:10">
      <c r="A30" s="79" t="s">
        <v>96</v>
      </c>
      <c r="B30" s="110">
        <v>3</v>
      </c>
      <c r="C30" s="83">
        <v>0.22500000000000001</v>
      </c>
      <c r="D30" s="83">
        <f>+SUM(C30:$C$30)</f>
        <v>0.22500000000000001</v>
      </c>
      <c r="E30" s="83">
        <f>+E7</f>
        <v>4</v>
      </c>
      <c r="F30" s="83">
        <f>+C30*E30</f>
        <v>0.9</v>
      </c>
      <c r="G30" s="62">
        <v>0</v>
      </c>
      <c r="H30" s="79" t="s">
        <v>94</v>
      </c>
    </row>
    <row r="31" spans="1:10">
      <c r="A31" s="79" t="s">
        <v>97</v>
      </c>
      <c r="B31" s="86" t="s">
        <v>6</v>
      </c>
      <c r="C31" s="86">
        <f>+SUM(C30:C30)</f>
        <v>0.22500000000000001</v>
      </c>
      <c r="D31" s="86"/>
      <c r="E31" s="86"/>
      <c r="F31" s="91">
        <f>+SUM(F30:F30)</f>
        <v>0.9</v>
      </c>
      <c r="G31" s="64"/>
    </row>
    <row r="32" spans="1:10">
      <c r="A32" s="79" t="s">
        <v>98</v>
      </c>
      <c r="G32" s="60"/>
    </row>
    <row r="33" spans="1:8">
      <c r="G33" s="60"/>
    </row>
    <row r="34" spans="1:8">
      <c r="A34" s="82" t="s">
        <v>17</v>
      </c>
      <c r="B34" s="84" t="s">
        <v>88</v>
      </c>
      <c r="C34" s="84" t="s">
        <v>11</v>
      </c>
      <c r="D34" s="84" t="s">
        <v>20</v>
      </c>
      <c r="E34" s="84" t="s">
        <v>9</v>
      </c>
      <c r="F34" s="84" t="s">
        <v>1</v>
      </c>
      <c r="G34" s="84" t="s">
        <v>52</v>
      </c>
    </row>
    <row r="35" spans="1:8">
      <c r="A35" s="79" t="s">
        <v>96</v>
      </c>
      <c r="B35" s="110">
        <v>1</v>
      </c>
      <c r="C35" s="83">
        <v>0.2</v>
      </c>
      <c r="D35" s="83">
        <f>+SUM(C35:$C$35)</f>
        <v>0.2</v>
      </c>
      <c r="E35" s="83">
        <f>+E5</f>
        <v>2</v>
      </c>
      <c r="F35" s="83">
        <f>+C35*E35</f>
        <v>0.4</v>
      </c>
      <c r="G35" s="62"/>
    </row>
    <row r="36" spans="1:8">
      <c r="A36" s="79" t="s">
        <v>99</v>
      </c>
      <c r="B36" s="110">
        <v>2</v>
      </c>
      <c r="C36" s="83">
        <v>0.2</v>
      </c>
      <c r="D36" s="83">
        <f>+SUM(C$35:$C36)</f>
        <v>0.4</v>
      </c>
      <c r="E36" s="83">
        <f>+E6</f>
        <v>2</v>
      </c>
      <c r="F36" s="83">
        <f t="shared" ref="F36:F37" si="3">+C36*E36</f>
        <v>0.4</v>
      </c>
      <c r="G36" s="62"/>
    </row>
    <row r="37" spans="1:8">
      <c r="B37" s="110" t="s">
        <v>89</v>
      </c>
      <c r="C37" s="83">
        <v>2.5000000000000001E-2</v>
      </c>
      <c r="D37" s="83">
        <f>+SUM(C$35:$C37)</f>
        <v>0.42500000000000004</v>
      </c>
      <c r="E37" s="83">
        <f>+E35+E36</f>
        <v>4</v>
      </c>
      <c r="F37" s="83">
        <f t="shared" si="3"/>
        <v>0.1</v>
      </c>
      <c r="G37" s="62">
        <v>0</v>
      </c>
      <c r="H37" s="79" t="s">
        <v>94</v>
      </c>
    </row>
    <row r="38" spans="1:8">
      <c r="A38" s="88"/>
      <c r="B38" s="86" t="s">
        <v>6</v>
      </c>
      <c r="C38" s="86">
        <f>+SUM(C35:C37)</f>
        <v>0.42500000000000004</v>
      </c>
      <c r="D38" s="86"/>
      <c r="E38" s="86"/>
      <c r="F38" s="91">
        <f>+SUM(F35:F37)</f>
        <v>0.9</v>
      </c>
      <c r="G38" s="64"/>
    </row>
    <row r="39" spans="1:8">
      <c r="A39" s="88"/>
      <c r="G39" s="60"/>
    </row>
    <row r="40" spans="1:8">
      <c r="G40" s="60"/>
    </row>
    <row r="41" spans="1:8">
      <c r="A41" s="82" t="s">
        <v>18</v>
      </c>
      <c r="B41" s="84" t="s">
        <v>88</v>
      </c>
      <c r="C41" s="84" t="s">
        <v>11</v>
      </c>
      <c r="D41" s="84" t="s">
        <v>20</v>
      </c>
      <c r="E41" s="84" t="s">
        <v>9</v>
      </c>
      <c r="F41" s="84" t="s">
        <v>1</v>
      </c>
      <c r="G41" s="78"/>
    </row>
    <row r="42" spans="1:8">
      <c r="A42" s="79" t="s">
        <v>96</v>
      </c>
      <c r="B42" s="110">
        <v>1</v>
      </c>
      <c r="C42" s="83">
        <v>0.45</v>
      </c>
      <c r="D42" s="83">
        <f>+SUM(C42:$C$42)</f>
        <v>0.45</v>
      </c>
      <c r="E42" s="83">
        <f>+E5</f>
        <v>2</v>
      </c>
      <c r="F42" s="83">
        <f>+E42*C42</f>
        <v>0.9</v>
      </c>
      <c r="G42" s="62">
        <v>0</v>
      </c>
      <c r="H42" s="79" t="s">
        <v>94</v>
      </c>
    </row>
    <row r="43" spans="1:8">
      <c r="A43" s="79" t="s">
        <v>98</v>
      </c>
      <c r="B43" s="86" t="s">
        <v>6</v>
      </c>
      <c r="C43" s="86">
        <f>+SUM(C42:C42)</f>
        <v>0.45</v>
      </c>
      <c r="D43" s="86"/>
      <c r="E43" s="86"/>
      <c r="F43" s="91">
        <f>+SUM(F42:F42)</f>
        <v>0.9</v>
      </c>
      <c r="G43" s="64"/>
    </row>
    <row r="44" spans="1:8">
      <c r="A44" s="79" t="s">
        <v>99</v>
      </c>
      <c r="G44" s="60"/>
    </row>
    <row r="45" spans="1:8">
      <c r="G45" s="60"/>
    </row>
    <row r="46" spans="1:8">
      <c r="A46" s="82" t="s">
        <v>19</v>
      </c>
      <c r="B46" s="84" t="s">
        <v>88</v>
      </c>
      <c r="C46" s="84" t="s">
        <v>11</v>
      </c>
      <c r="D46" s="84" t="s">
        <v>20</v>
      </c>
      <c r="E46" s="84" t="s">
        <v>9</v>
      </c>
      <c r="F46" s="84" t="s">
        <v>1</v>
      </c>
      <c r="G46" s="78"/>
    </row>
    <row r="47" spans="1:8">
      <c r="A47" s="79" t="s">
        <v>96</v>
      </c>
      <c r="B47" s="110">
        <v>2</v>
      </c>
      <c r="C47" s="83">
        <v>0.45</v>
      </c>
      <c r="D47" s="83">
        <f>+SUM(C$47:$C47)</f>
        <v>0.45</v>
      </c>
      <c r="E47" s="83">
        <f>+E6</f>
        <v>2</v>
      </c>
      <c r="F47" s="83">
        <f>+E47*C47</f>
        <v>0.9</v>
      </c>
      <c r="G47" s="62">
        <v>0</v>
      </c>
      <c r="H47" s="79" t="s">
        <v>94</v>
      </c>
    </row>
    <row r="48" spans="1:8">
      <c r="A48" s="79" t="s">
        <v>97</v>
      </c>
      <c r="B48" s="86" t="s">
        <v>6</v>
      </c>
      <c r="C48" s="86">
        <f>+SUM(C47:C47)</f>
        <v>0.45</v>
      </c>
      <c r="D48" s="86"/>
      <c r="E48" s="86"/>
      <c r="F48" s="91">
        <f>+SUM(F47:F47)</f>
        <v>0.9</v>
      </c>
      <c r="G48" s="64"/>
    </row>
    <row r="49" spans="1:7">
      <c r="A49" s="79" t="s">
        <v>99</v>
      </c>
      <c r="G49" s="61"/>
    </row>
    <row r="50" spans="1:7">
      <c r="G50" s="61"/>
    </row>
    <row r="51" spans="1:7">
      <c r="G51" s="61"/>
    </row>
    <row r="52" spans="1:7">
      <c r="G52" s="61"/>
    </row>
    <row r="53" spans="1:7">
      <c r="G53" s="61"/>
    </row>
    <row r="54" spans="1:7">
      <c r="G54" s="61"/>
    </row>
    <row r="55" spans="1:7">
      <c r="G55" s="61"/>
    </row>
    <row r="56" spans="1:7">
      <c r="G56" s="61"/>
    </row>
    <row r="57" spans="1:7">
      <c r="G57" s="61"/>
    </row>
    <row r="58" spans="1:7">
      <c r="G58" s="61"/>
    </row>
    <row r="59" spans="1:7">
      <c r="G59" s="61"/>
    </row>
    <row r="60" spans="1:7">
      <c r="G60" s="61"/>
    </row>
    <row r="61" spans="1:7">
      <c r="G61" s="61"/>
    </row>
    <row r="62" spans="1:7">
      <c r="G62" s="61"/>
    </row>
    <row r="63" spans="1:7">
      <c r="G63" s="61"/>
    </row>
    <row r="64" spans="1:7">
      <c r="G64" s="61"/>
    </row>
    <row r="65" spans="7:7">
      <c r="G65" s="61"/>
    </row>
    <row r="66" spans="7:7">
      <c r="G66" s="61"/>
    </row>
    <row r="67" spans="7:7">
      <c r="G67" s="61"/>
    </row>
    <row r="68" spans="7:7">
      <c r="G68" s="61"/>
    </row>
    <row r="69" spans="7:7">
      <c r="G69" s="61"/>
    </row>
    <row r="70" spans="7:7">
      <c r="G70" s="61"/>
    </row>
    <row r="71" spans="7:7">
      <c r="G71" s="60"/>
    </row>
    <row r="72" spans="7:7">
      <c r="G72" s="60"/>
    </row>
    <row r="73" spans="7:7">
      <c r="G73" s="60"/>
    </row>
    <row r="74" spans="7:7">
      <c r="G74" s="60"/>
    </row>
    <row r="75" spans="7:7">
      <c r="G75" s="60"/>
    </row>
    <row r="76" spans="7:7">
      <c r="G76" s="60"/>
    </row>
    <row r="77" spans="7:7">
      <c r="G77" s="60"/>
    </row>
    <row r="78" spans="7:7">
      <c r="G78" s="60"/>
    </row>
    <row r="79" spans="7:7">
      <c r="G79" s="60"/>
    </row>
    <row r="80" spans="7:7">
      <c r="G80" s="60"/>
    </row>
    <row r="81" spans="7:7">
      <c r="G81" s="60"/>
    </row>
    <row r="82" spans="7:7">
      <c r="G82" s="60"/>
    </row>
    <row r="83" spans="7:7">
      <c r="G83" s="60"/>
    </row>
    <row r="84" spans="7:7">
      <c r="G84" s="60"/>
    </row>
    <row r="85" spans="7:7">
      <c r="G85" s="60"/>
    </row>
    <row r="86" spans="7:7">
      <c r="G86" s="60"/>
    </row>
    <row r="87" spans="7:7">
      <c r="G87" s="60"/>
    </row>
    <row r="88" spans="7:7">
      <c r="G88" s="60"/>
    </row>
    <row r="89" spans="7:7">
      <c r="G89" s="60"/>
    </row>
    <row r="90" spans="7:7">
      <c r="G90" s="60"/>
    </row>
    <row r="91" spans="7:7">
      <c r="G91" s="60"/>
    </row>
    <row r="92" spans="7:7">
      <c r="G92" s="60"/>
    </row>
    <row r="93" spans="7:7">
      <c r="G93" s="60"/>
    </row>
    <row r="94" spans="7:7">
      <c r="G94" s="60"/>
    </row>
    <row r="95" spans="7:7">
      <c r="G95" s="60"/>
    </row>
    <row r="96" spans="7:7">
      <c r="G96" s="60"/>
    </row>
    <row r="97" spans="7:7">
      <c r="G97" s="60"/>
    </row>
    <row r="98" spans="7:7">
      <c r="G98" s="60"/>
    </row>
    <row r="99" spans="7:7">
      <c r="G99" s="60"/>
    </row>
    <row r="100" spans="7:7">
      <c r="G100" s="60"/>
    </row>
    <row r="101" spans="7:7">
      <c r="G101" s="60"/>
    </row>
    <row r="102" spans="7:7">
      <c r="G102" s="60"/>
    </row>
    <row r="103" spans="7:7">
      <c r="G103" s="60"/>
    </row>
    <row r="104" spans="7:7">
      <c r="G104" s="60"/>
    </row>
    <row r="105" spans="7:7">
      <c r="G105" s="60"/>
    </row>
    <row r="106" spans="7:7">
      <c r="G106" s="60"/>
    </row>
    <row r="107" spans="7:7">
      <c r="G107" s="60"/>
    </row>
    <row r="108" spans="7:7">
      <c r="G108" s="60"/>
    </row>
    <row r="109" spans="7:7">
      <c r="G109" s="60"/>
    </row>
    <row r="110" spans="7:7">
      <c r="G110" s="60"/>
    </row>
    <row r="111" spans="7:7">
      <c r="G111" s="60"/>
    </row>
    <row r="112" spans="7:7">
      <c r="G112" s="60"/>
    </row>
    <row r="113" spans="7:7">
      <c r="G113" s="60"/>
    </row>
    <row r="114" spans="7:7">
      <c r="G114" s="60"/>
    </row>
    <row r="115" spans="7:7">
      <c r="G115" s="60"/>
    </row>
    <row r="116" spans="7:7">
      <c r="G116" s="60"/>
    </row>
    <row r="117" spans="7:7">
      <c r="G117" s="60"/>
    </row>
    <row r="118" spans="7:7">
      <c r="G118" s="60"/>
    </row>
    <row r="119" spans="7:7">
      <c r="G119" s="60"/>
    </row>
    <row r="120" spans="7:7">
      <c r="G120" s="60"/>
    </row>
    <row r="121" spans="7:7">
      <c r="G121" s="60"/>
    </row>
    <row r="122" spans="7:7">
      <c r="G122" s="60"/>
    </row>
    <row r="123" spans="7:7">
      <c r="G123" s="60"/>
    </row>
    <row r="124" spans="7:7">
      <c r="G124" s="60"/>
    </row>
    <row r="125" spans="7:7">
      <c r="G125" s="60"/>
    </row>
    <row r="126" spans="7:7">
      <c r="G126" s="60"/>
    </row>
  </sheetData>
  <mergeCells count="1">
    <mergeCell ref="A1:E1"/>
  </mergeCells>
  <pageMargins left="0.7" right="0.7" top="0.75" bottom="0.75" header="0.3" footer="0.3"/>
  <pageSetup paperSize="9" orientation="portrait" horizontalDpi="200" verticalDpi="200" r:id="rId1"/>
</worksheet>
</file>

<file path=xl/worksheets/sheet23.xml><?xml version="1.0" encoding="utf-8"?>
<worksheet xmlns="http://schemas.openxmlformats.org/spreadsheetml/2006/main" xmlns:r="http://schemas.openxmlformats.org/officeDocument/2006/relationships">
  <sheetPr codeName="Hoja17"/>
  <dimension ref="A1:J126"/>
  <sheetViews>
    <sheetView workbookViewId="0">
      <selection sqref="A1:E1"/>
    </sheetView>
  </sheetViews>
  <sheetFormatPr baseColWidth="10" defaultRowHeight="14.4"/>
  <cols>
    <col min="1" max="1" width="40.6640625" style="79" customWidth="1"/>
    <col min="2" max="2" width="25.21875" style="79" bestFit="1" customWidth="1"/>
    <col min="3" max="3" width="11.5546875" style="79"/>
    <col min="4" max="4" width="15.5546875" style="79" bestFit="1" customWidth="1"/>
    <col min="5" max="5" width="11.5546875" style="79"/>
    <col min="6" max="6" width="13.33203125" style="79" customWidth="1"/>
    <col min="7" max="7" width="15.33203125" style="79" bestFit="1" customWidth="1"/>
    <col min="8" max="8" width="15.109375" style="79" customWidth="1"/>
    <col min="9" max="9" width="11.5546875" style="79"/>
    <col min="10" max="10" width="12.5546875" style="79" bestFit="1" customWidth="1"/>
    <col min="11" max="16384" width="11.5546875" style="79"/>
  </cols>
  <sheetData>
    <row r="1" spans="1:8" ht="18">
      <c r="A1" s="116" t="s">
        <v>112</v>
      </c>
      <c r="B1" s="116"/>
      <c r="C1" s="116"/>
      <c r="D1" s="116"/>
      <c r="E1" s="116"/>
    </row>
    <row r="2" spans="1:8">
      <c r="A2" s="89" t="s">
        <v>134</v>
      </c>
    </row>
    <row r="4" spans="1:8">
      <c r="A4" s="82" t="s">
        <v>10</v>
      </c>
      <c r="B4" s="84" t="s">
        <v>88</v>
      </c>
      <c r="C4" s="84" t="s">
        <v>11</v>
      </c>
      <c r="D4" s="84" t="s">
        <v>20</v>
      </c>
      <c r="E4" s="84" t="s">
        <v>9</v>
      </c>
      <c r="F4" s="84" t="s">
        <v>1</v>
      </c>
      <c r="G4" s="84" t="s">
        <v>52</v>
      </c>
    </row>
    <row r="5" spans="1:8">
      <c r="A5" s="79" t="s">
        <v>95</v>
      </c>
      <c r="B5" s="111">
        <v>1</v>
      </c>
      <c r="C5" s="80">
        <v>0.09</v>
      </c>
      <c r="D5" s="80">
        <f>+SUM($C$5:C5)</f>
        <v>0.09</v>
      </c>
      <c r="E5" s="94">
        <f>Summary!K27</f>
        <v>3</v>
      </c>
      <c r="F5" s="80">
        <f>+C5*E5</f>
        <v>0.27</v>
      </c>
      <c r="G5" s="62"/>
    </row>
    <row r="6" spans="1:8">
      <c r="B6" s="111">
        <v>2</v>
      </c>
      <c r="C6" s="80">
        <v>0.09</v>
      </c>
      <c r="D6" s="80">
        <f>+SUM($C$5:C6)</f>
        <v>0.18</v>
      </c>
      <c r="E6" s="94">
        <f>Summary!K28</f>
        <v>3</v>
      </c>
      <c r="F6" s="80">
        <f t="shared" ref="F6:F11" si="0">+C6*E6</f>
        <v>0.27</v>
      </c>
      <c r="G6" s="62"/>
    </row>
    <row r="7" spans="1:8">
      <c r="B7" s="111">
        <v>3</v>
      </c>
      <c r="C7" s="80">
        <v>0.01</v>
      </c>
      <c r="D7" s="80">
        <f>+SUM($C$5:C7)</f>
        <v>0.19</v>
      </c>
      <c r="E7" s="94">
        <f>Summary!K29</f>
        <v>6</v>
      </c>
      <c r="F7" s="80">
        <f t="shared" si="0"/>
        <v>0.06</v>
      </c>
      <c r="G7" s="62"/>
    </row>
    <row r="8" spans="1:8">
      <c r="B8" s="111" t="s">
        <v>89</v>
      </c>
      <c r="C8" s="80">
        <v>0.01</v>
      </c>
      <c r="D8" s="80">
        <f>+SUM($C$5:C8)</f>
        <v>0.2</v>
      </c>
      <c r="E8" s="80">
        <f>+E5+E6</f>
        <v>6</v>
      </c>
      <c r="F8" s="80">
        <f t="shared" si="0"/>
        <v>0.06</v>
      </c>
      <c r="G8" s="62"/>
    </row>
    <row r="9" spans="1:8">
      <c r="B9" s="111" t="s">
        <v>90</v>
      </c>
      <c r="C9" s="80">
        <v>0.01</v>
      </c>
      <c r="D9" s="80">
        <f>+SUM($C$5:C9)</f>
        <v>0.21000000000000002</v>
      </c>
      <c r="E9" s="80">
        <f>+E5+E7</f>
        <v>9</v>
      </c>
      <c r="F9" s="80">
        <f t="shared" si="0"/>
        <v>0.09</v>
      </c>
      <c r="G9" s="62"/>
    </row>
    <row r="10" spans="1:8">
      <c r="B10" s="111" t="s">
        <v>91</v>
      </c>
      <c r="C10" s="80">
        <v>0.01</v>
      </c>
      <c r="D10" s="80">
        <f>+SUM($C$5:C10)</f>
        <v>0.22000000000000003</v>
      </c>
      <c r="E10" s="80">
        <f>+E6+E7</f>
        <v>9</v>
      </c>
      <c r="F10" s="80">
        <f t="shared" si="0"/>
        <v>0.09</v>
      </c>
      <c r="G10" s="62"/>
    </row>
    <row r="11" spans="1:8">
      <c r="B11" s="111" t="s">
        <v>92</v>
      </c>
      <c r="C11" s="80">
        <v>5.0000000000000001E-3</v>
      </c>
      <c r="D11" s="80">
        <f>+SUM($C$5:C11)</f>
        <v>0.22500000000000003</v>
      </c>
      <c r="E11" s="80">
        <f>+E5+E6+E7</f>
        <v>12</v>
      </c>
      <c r="F11" s="80">
        <f t="shared" si="0"/>
        <v>0.06</v>
      </c>
      <c r="G11" s="62">
        <v>0</v>
      </c>
      <c r="H11" s="79" t="s">
        <v>94</v>
      </c>
    </row>
    <row r="12" spans="1:8">
      <c r="B12" s="86" t="s">
        <v>12</v>
      </c>
      <c r="C12" s="86">
        <f>+SUM(C5:C11)</f>
        <v>0.22500000000000003</v>
      </c>
      <c r="D12" s="86"/>
      <c r="E12" s="86"/>
      <c r="F12" s="93">
        <f>+SUM(F5:F11)</f>
        <v>0.90000000000000013</v>
      </c>
      <c r="G12" s="63"/>
    </row>
    <row r="13" spans="1:8">
      <c r="B13" s="87" t="s">
        <v>93</v>
      </c>
      <c r="G13" s="60"/>
    </row>
    <row r="14" spans="1:8">
      <c r="G14" s="60"/>
    </row>
    <row r="15" spans="1:8">
      <c r="A15" s="82" t="s">
        <v>14</v>
      </c>
      <c r="B15" s="84" t="s">
        <v>88</v>
      </c>
      <c r="C15" s="84" t="s">
        <v>11</v>
      </c>
      <c r="D15" s="84" t="s">
        <v>20</v>
      </c>
      <c r="E15" s="84" t="s">
        <v>9</v>
      </c>
      <c r="F15" s="84" t="s">
        <v>1</v>
      </c>
      <c r="G15" s="84" t="s">
        <v>52</v>
      </c>
    </row>
    <row r="16" spans="1:8">
      <c r="A16" s="79" t="s">
        <v>96</v>
      </c>
      <c r="B16" s="110">
        <v>2</v>
      </c>
      <c r="C16" s="83">
        <v>0.2</v>
      </c>
      <c r="D16" s="83">
        <f>+SUM(C16:$C$16)</f>
        <v>0.2</v>
      </c>
      <c r="E16" s="83">
        <f>+E6</f>
        <v>3</v>
      </c>
      <c r="F16" s="83">
        <f>+C16*E16</f>
        <v>0.60000000000000009</v>
      </c>
      <c r="G16" s="62"/>
    </row>
    <row r="17" spans="1:10">
      <c r="A17" s="79" t="s">
        <v>97</v>
      </c>
      <c r="B17" s="110">
        <v>3</v>
      </c>
      <c r="C17" s="83">
        <v>0.02</v>
      </c>
      <c r="D17" s="83">
        <f>+SUM(C$16:$C17)</f>
        <v>0.22</v>
      </c>
      <c r="E17" s="83">
        <f>+E7</f>
        <v>6</v>
      </c>
      <c r="F17" s="83">
        <f t="shared" ref="F17:F18" si="1">+C17*E17</f>
        <v>0.12</v>
      </c>
      <c r="G17" s="62"/>
    </row>
    <row r="18" spans="1:10">
      <c r="B18" s="110" t="s">
        <v>91</v>
      </c>
      <c r="C18" s="83">
        <v>0.02</v>
      </c>
      <c r="D18" s="83">
        <f>+SUM(C$16:$C18)</f>
        <v>0.24</v>
      </c>
      <c r="E18" s="83">
        <f>+E16+E17</f>
        <v>9</v>
      </c>
      <c r="F18" s="83">
        <f t="shared" si="1"/>
        <v>0.18</v>
      </c>
      <c r="G18" s="62">
        <v>0</v>
      </c>
      <c r="H18" s="79" t="s">
        <v>94</v>
      </c>
    </row>
    <row r="19" spans="1:10">
      <c r="B19" s="86" t="s">
        <v>6</v>
      </c>
      <c r="C19" s="86">
        <f>+SUM(C16:C18)</f>
        <v>0.24</v>
      </c>
      <c r="D19" s="86"/>
      <c r="E19" s="86"/>
      <c r="F19" s="91">
        <f>+SUM(F16:F18)</f>
        <v>0.90000000000000013</v>
      </c>
      <c r="G19" s="64"/>
    </row>
    <row r="20" spans="1:10">
      <c r="B20" s="90"/>
      <c r="C20" s="90"/>
      <c r="D20" s="90"/>
      <c r="E20" s="90"/>
      <c r="F20" s="85"/>
      <c r="G20" s="65"/>
    </row>
    <row r="21" spans="1:10">
      <c r="B21" s="90"/>
      <c r="C21" s="90"/>
      <c r="D21" s="90"/>
      <c r="E21" s="90"/>
      <c r="F21" s="85"/>
      <c r="G21" s="65"/>
    </row>
    <row r="22" spans="1:10">
      <c r="A22" s="82" t="s">
        <v>15</v>
      </c>
      <c r="B22" s="84" t="s">
        <v>88</v>
      </c>
      <c r="C22" s="84" t="s">
        <v>11</v>
      </c>
      <c r="D22" s="84" t="s">
        <v>20</v>
      </c>
      <c r="E22" s="84" t="s">
        <v>9</v>
      </c>
      <c r="F22" s="84" t="s">
        <v>1</v>
      </c>
      <c r="G22" s="84" t="s">
        <v>52</v>
      </c>
    </row>
    <row r="23" spans="1:10">
      <c r="A23" s="79" t="s">
        <v>96</v>
      </c>
      <c r="B23" s="110">
        <v>1</v>
      </c>
      <c r="C23" s="83">
        <v>0.2</v>
      </c>
      <c r="D23" s="83">
        <f>+SUM(C23:$C$23)</f>
        <v>0.2</v>
      </c>
      <c r="E23" s="83">
        <f>+E5</f>
        <v>3</v>
      </c>
      <c r="F23" s="83">
        <f>+C23*E23</f>
        <v>0.60000000000000009</v>
      </c>
      <c r="G23" s="62"/>
    </row>
    <row r="24" spans="1:10">
      <c r="A24" s="79" t="s">
        <v>98</v>
      </c>
      <c r="B24" s="110">
        <v>3</v>
      </c>
      <c r="C24" s="83">
        <v>0.02</v>
      </c>
      <c r="D24" s="83">
        <f>+SUM(C$23:$C24)</f>
        <v>0.22</v>
      </c>
      <c r="E24" s="83">
        <f>+E7</f>
        <v>6</v>
      </c>
      <c r="F24" s="83">
        <f t="shared" ref="F24:F25" si="2">+C24*E24</f>
        <v>0.12</v>
      </c>
      <c r="G24" s="62"/>
    </row>
    <row r="25" spans="1:10">
      <c r="B25" s="110" t="s">
        <v>90</v>
      </c>
      <c r="C25" s="83">
        <v>0.02</v>
      </c>
      <c r="D25" s="83">
        <f>+SUM(C$23:$C25)</f>
        <v>0.24</v>
      </c>
      <c r="E25" s="83">
        <f>+E23+E24</f>
        <v>9</v>
      </c>
      <c r="F25" s="83">
        <f t="shared" si="2"/>
        <v>0.18</v>
      </c>
      <c r="G25" s="62">
        <v>0</v>
      </c>
      <c r="H25" s="79" t="s">
        <v>94</v>
      </c>
      <c r="J25" s="92"/>
    </row>
    <row r="26" spans="1:10">
      <c r="B26" s="86" t="s">
        <v>6</v>
      </c>
      <c r="C26" s="86">
        <f>+SUM(C23:C25)</f>
        <v>0.24</v>
      </c>
      <c r="D26" s="86"/>
      <c r="E26" s="86"/>
      <c r="F26" s="91">
        <f>+SUM(F23:F25)</f>
        <v>0.90000000000000013</v>
      </c>
      <c r="G26" s="64"/>
    </row>
    <row r="27" spans="1:10">
      <c r="B27" s="90"/>
      <c r="C27" s="90"/>
      <c r="D27" s="90"/>
      <c r="E27" s="90"/>
      <c r="F27" s="85"/>
      <c r="G27" s="65"/>
    </row>
    <row r="28" spans="1:10">
      <c r="G28" s="60"/>
    </row>
    <row r="29" spans="1:10">
      <c r="A29" s="82" t="s">
        <v>16</v>
      </c>
      <c r="B29" s="84" t="s">
        <v>88</v>
      </c>
      <c r="C29" s="84" t="s">
        <v>11</v>
      </c>
      <c r="D29" s="84" t="s">
        <v>20</v>
      </c>
      <c r="E29" s="84" t="s">
        <v>9</v>
      </c>
      <c r="F29" s="84" t="s">
        <v>1</v>
      </c>
      <c r="G29" s="84" t="s">
        <v>52</v>
      </c>
    </row>
    <row r="30" spans="1:10">
      <c r="A30" s="79" t="s">
        <v>96</v>
      </c>
      <c r="B30" s="110">
        <v>3</v>
      </c>
      <c r="C30" s="83">
        <v>0.15</v>
      </c>
      <c r="D30" s="83">
        <f>+SUM(C30:$C$30)</f>
        <v>0.15</v>
      </c>
      <c r="E30" s="83">
        <f>+E7</f>
        <v>6</v>
      </c>
      <c r="F30" s="83">
        <f>+C30*E30</f>
        <v>0.89999999999999991</v>
      </c>
      <c r="G30" s="62">
        <v>0</v>
      </c>
      <c r="H30" s="79" t="s">
        <v>94</v>
      </c>
    </row>
    <row r="31" spans="1:10">
      <c r="A31" s="79" t="s">
        <v>97</v>
      </c>
      <c r="B31" s="86" t="s">
        <v>6</v>
      </c>
      <c r="C31" s="86">
        <f>+SUM(C30:C30)</f>
        <v>0.15</v>
      </c>
      <c r="D31" s="86"/>
      <c r="E31" s="86"/>
      <c r="F31" s="91">
        <f>+SUM(F30:F30)</f>
        <v>0.89999999999999991</v>
      </c>
      <c r="G31" s="64"/>
    </row>
    <row r="32" spans="1:10">
      <c r="A32" s="79" t="s">
        <v>98</v>
      </c>
      <c r="G32" s="60"/>
    </row>
    <row r="33" spans="1:8">
      <c r="G33" s="60"/>
    </row>
    <row r="34" spans="1:8">
      <c r="A34" s="82" t="s">
        <v>17</v>
      </c>
      <c r="B34" s="84" t="s">
        <v>88</v>
      </c>
      <c r="C34" s="84" t="s">
        <v>11</v>
      </c>
      <c r="D34" s="84" t="s">
        <v>20</v>
      </c>
      <c r="E34" s="84" t="s">
        <v>9</v>
      </c>
      <c r="F34" s="84" t="s">
        <v>1</v>
      </c>
      <c r="G34" s="84" t="s">
        <v>52</v>
      </c>
    </row>
    <row r="35" spans="1:8">
      <c r="A35" s="79" t="s">
        <v>96</v>
      </c>
      <c r="B35" s="110">
        <v>1</v>
      </c>
      <c r="C35" s="83">
        <v>0.125</v>
      </c>
      <c r="D35" s="83">
        <f>+SUM(C35:$C$35)</f>
        <v>0.125</v>
      </c>
      <c r="E35" s="83">
        <f>+E5</f>
        <v>3</v>
      </c>
      <c r="F35" s="83">
        <f>+C35*E35</f>
        <v>0.375</v>
      </c>
      <c r="G35" s="62"/>
    </row>
    <row r="36" spans="1:8">
      <c r="A36" s="79" t="s">
        <v>99</v>
      </c>
      <c r="B36" s="110">
        <v>2</v>
      </c>
      <c r="C36" s="83">
        <v>0.125</v>
      </c>
      <c r="D36" s="83">
        <f>+SUM(C$35:$C36)</f>
        <v>0.25</v>
      </c>
      <c r="E36" s="83">
        <f>+E6</f>
        <v>3</v>
      </c>
      <c r="F36" s="83">
        <f t="shared" ref="F36:F37" si="3">+C36*E36</f>
        <v>0.375</v>
      </c>
      <c r="G36" s="62"/>
    </row>
    <row r="37" spans="1:8">
      <c r="B37" s="110" t="s">
        <v>89</v>
      </c>
      <c r="C37" s="83">
        <v>2.5000000000000001E-2</v>
      </c>
      <c r="D37" s="83">
        <f>+SUM(C$35:$C37)</f>
        <v>0.27500000000000002</v>
      </c>
      <c r="E37" s="83">
        <f>+E35+E36</f>
        <v>6</v>
      </c>
      <c r="F37" s="83">
        <f t="shared" si="3"/>
        <v>0.15000000000000002</v>
      </c>
      <c r="G37" s="62">
        <v>0</v>
      </c>
      <c r="H37" s="79" t="s">
        <v>94</v>
      </c>
    </row>
    <row r="38" spans="1:8">
      <c r="A38" s="88"/>
      <c r="B38" s="86" t="s">
        <v>6</v>
      </c>
      <c r="C38" s="86">
        <f>+SUM(C35:C37)</f>
        <v>0.27500000000000002</v>
      </c>
      <c r="D38" s="86"/>
      <c r="E38" s="86"/>
      <c r="F38" s="91">
        <f>+SUM(F35:F37)</f>
        <v>0.9</v>
      </c>
      <c r="G38" s="64"/>
    </row>
    <row r="39" spans="1:8">
      <c r="A39" s="88"/>
      <c r="G39" s="60"/>
    </row>
    <row r="40" spans="1:8">
      <c r="G40" s="60"/>
    </row>
    <row r="41" spans="1:8">
      <c r="A41" s="82" t="s">
        <v>18</v>
      </c>
      <c r="B41" s="84" t="s">
        <v>88</v>
      </c>
      <c r="C41" s="84" t="s">
        <v>11</v>
      </c>
      <c r="D41" s="84" t="s">
        <v>20</v>
      </c>
      <c r="E41" s="84" t="s">
        <v>9</v>
      </c>
      <c r="F41" s="84" t="s">
        <v>1</v>
      </c>
      <c r="G41" s="78"/>
    </row>
    <row r="42" spans="1:8">
      <c r="A42" s="79" t="s">
        <v>96</v>
      </c>
      <c r="B42" s="110">
        <v>1</v>
      </c>
      <c r="C42" s="83">
        <v>0.3</v>
      </c>
      <c r="D42" s="83">
        <f>+SUM(C42:$C$42)</f>
        <v>0.3</v>
      </c>
      <c r="E42" s="83">
        <f>+E5</f>
        <v>3</v>
      </c>
      <c r="F42" s="83">
        <f>+E42*C42</f>
        <v>0.89999999999999991</v>
      </c>
      <c r="G42" s="62">
        <v>0</v>
      </c>
      <c r="H42" s="79" t="s">
        <v>94</v>
      </c>
    </row>
    <row r="43" spans="1:8">
      <c r="A43" s="79" t="s">
        <v>98</v>
      </c>
      <c r="B43" s="86" t="s">
        <v>6</v>
      </c>
      <c r="C43" s="86">
        <f>+SUM(C42:C42)</f>
        <v>0.3</v>
      </c>
      <c r="D43" s="86"/>
      <c r="E43" s="86"/>
      <c r="F43" s="91">
        <f>+SUM(F42:F42)</f>
        <v>0.89999999999999991</v>
      </c>
      <c r="G43" s="64"/>
    </row>
    <row r="44" spans="1:8">
      <c r="A44" s="79" t="s">
        <v>99</v>
      </c>
      <c r="G44" s="60"/>
    </row>
    <row r="45" spans="1:8">
      <c r="G45" s="60"/>
    </row>
    <row r="46" spans="1:8">
      <c r="A46" s="82" t="s">
        <v>19</v>
      </c>
      <c r="B46" s="84" t="s">
        <v>88</v>
      </c>
      <c r="C46" s="84" t="s">
        <v>11</v>
      </c>
      <c r="D46" s="84" t="s">
        <v>20</v>
      </c>
      <c r="E46" s="84" t="s">
        <v>9</v>
      </c>
      <c r="F46" s="84" t="s">
        <v>1</v>
      </c>
      <c r="G46" s="78"/>
    </row>
    <row r="47" spans="1:8">
      <c r="A47" s="79" t="s">
        <v>96</v>
      </c>
      <c r="B47" s="110">
        <v>2</v>
      </c>
      <c r="C47" s="83">
        <v>0.3</v>
      </c>
      <c r="D47" s="83">
        <f>+SUM(C$47:$C47)</f>
        <v>0.3</v>
      </c>
      <c r="E47" s="83">
        <f>+E6</f>
        <v>3</v>
      </c>
      <c r="F47" s="83">
        <f>+E47*C47</f>
        <v>0.89999999999999991</v>
      </c>
      <c r="G47" s="62">
        <v>0</v>
      </c>
      <c r="H47" s="79" t="s">
        <v>94</v>
      </c>
    </row>
    <row r="48" spans="1:8">
      <c r="A48" s="79" t="s">
        <v>97</v>
      </c>
      <c r="B48" s="86" t="s">
        <v>6</v>
      </c>
      <c r="C48" s="86">
        <f>+SUM(C47:C47)</f>
        <v>0.3</v>
      </c>
      <c r="D48" s="86"/>
      <c r="E48" s="86"/>
      <c r="F48" s="91">
        <f>+SUM(F47:F47)</f>
        <v>0.89999999999999991</v>
      </c>
      <c r="G48" s="64"/>
    </row>
    <row r="49" spans="1:7">
      <c r="A49" s="79" t="s">
        <v>99</v>
      </c>
      <c r="G49" s="61"/>
    </row>
    <row r="50" spans="1:7">
      <c r="G50" s="61"/>
    </row>
    <row r="51" spans="1:7">
      <c r="G51" s="61"/>
    </row>
    <row r="52" spans="1:7">
      <c r="G52" s="61"/>
    </row>
    <row r="53" spans="1:7">
      <c r="G53" s="61"/>
    </row>
    <row r="54" spans="1:7">
      <c r="G54" s="61"/>
    </row>
    <row r="55" spans="1:7">
      <c r="G55" s="61"/>
    </row>
    <row r="56" spans="1:7">
      <c r="G56" s="61"/>
    </row>
    <row r="57" spans="1:7">
      <c r="G57" s="61"/>
    </row>
    <row r="58" spans="1:7">
      <c r="G58" s="61"/>
    </row>
    <row r="59" spans="1:7">
      <c r="G59" s="61"/>
    </row>
    <row r="60" spans="1:7">
      <c r="G60" s="61"/>
    </row>
    <row r="61" spans="1:7">
      <c r="G61" s="61"/>
    </row>
    <row r="62" spans="1:7">
      <c r="G62" s="61"/>
    </row>
    <row r="63" spans="1:7">
      <c r="G63" s="61"/>
    </row>
    <row r="64" spans="1:7">
      <c r="G64" s="61"/>
    </row>
    <row r="65" spans="7:7">
      <c r="G65" s="61"/>
    </row>
    <row r="66" spans="7:7">
      <c r="G66" s="61"/>
    </row>
    <row r="67" spans="7:7">
      <c r="G67" s="61"/>
    </row>
    <row r="68" spans="7:7">
      <c r="G68" s="61"/>
    </row>
    <row r="69" spans="7:7">
      <c r="G69" s="61"/>
    </row>
    <row r="70" spans="7:7">
      <c r="G70" s="61"/>
    </row>
    <row r="71" spans="7:7">
      <c r="G71" s="60"/>
    </row>
    <row r="72" spans="7:7">
      <c r="G72" s="60"/>
    </row>
    <row r="73" spans="7:7">
      <c r="G73" s="60"/>
    </row>
    <row r="74" spans="7:7">
      <c r="G74" s="60"/>
    </row>
    <row r="75" spans="7:7">
      <c r="G75" s="60"/>
    </row>
    <row r="76" spans="7:7">
      <c r="G76" s="60"/>
    </row>
    <row r="77" spans="7:7">
      <c r="G77" s="60"/>
    </row>
    <row r="78" spans="7:7">
      <c r="G78" s="60"/>
    </row>
    <row r="79" spans="7:7">
      <c r="G79" s="60"/>
    </row>
    <row r="80" spans="7:7">
      <c r="G80" s="60"/>
    </row>
    <row r="81" spans="7:7">
      <c r="G81" s="60"/>
    </row>
    <row r="82" spans="7:7">
      <c r="G82" s="60"/>
    </row>
    <row r="83" spans="7:7">
      <c r="G83" s="60"/>
    </row>
    <row r="84" spans="7:7">
      <c r="G84" s="60"/>
    </row>
    <row r="85" spans="7:7">
      <c r="G85" s="60"/>
    </row>
    <row r="86" spans="7:7">
      <c r="G86" s="60"/>
    </row>
    <row r="87" spans="7:7">
      <c r="G87" s="60"/>
    </row>
    <row r="88" spans="7:7">
      <c r="G88" s="60"/>
    </row>
    <row r="89" spans="7:7">
      <c r="G89" s="60"/>
    </row>
    <row r="90" spans="7:7">
      <c r="G90" s="60"/>
    </row>
    <row r="91" spans="7:7">
      <c r="G91" s="60"/>
    </row>
    <row r="92" spans="7:7">
      <c r="G92" s="60"/>
    </row>
    <row r="93" spans="7:7">
      <c r="G93" s="60"/>
    </row>
    <row r="94" spans="7:7">
      <c r="G94" s="60"/>
    </row>
    <row r="95" spans="7:7">
      <c r="G95" s="60"/>
    </row>
    <row r="96" spans="7:7">
      <c r="G96" s="60"/>
    </row>
    <row r="97" spans="7:7">
      <c r="G97" s="60"/>
    </row>
    <row r="98" spans="7:7">
      <c r="G98" s="60"/>
    </row>
    <row r="99" spans="7:7">
      <c r="G99" s="60"/>
    </row>
    <row r="100" spans="7:7">
      <c r="G100" s="60"/>
    </row>
    <row r="101" spans="7:7">
      <c r="G101" s="60"/>
    </row>
    <row r="102" spans="7:7">
      <c r="G102" s="60"/>
    </row>
    <row r="103" spans="7:7">
      <c r="G103" s="60"/>
    </row>
    <row r="104" spans="7:7">
      <c r="G104" s="60"/>
    </row>
    <row r="105" spans="7:7">
      <c r="G105" s="60"/>
    </row>
    <row r="106" spans="7:7">
      <c r="G106" s="60"/>
    </row>
    <row r="107" spans="7:7">
      <c r="G107" s="60"/>
    </row>
    <row r="108" spans="7:7">
      <c r="G108" s="60"/>
    </row>
    <row r="109" spans="7:7">
      <c r="G109" s="60"/>
    </row>
    <row r="110" spans="7:7">
      <c r="G110" s="60"/>
    </row>
    <row r="111" spans="7:7">
      <c r="G111" s="60"/>
    </row>
    <row r="112" spans="7:7">
      <c r="G112" s="60"/>
    </row>
    <row r="113" spans="7:7">
      <c r="G113" s="60"/>
    </row>
    <row r="114" spans="7:7">
      <c r="G114" s="60"/>
    </row>
    <row r="115" spans="7:7">
      <c r="G115" s="60"/>
    </row>
    <row r="116" spans="7:7">
      <c r="G116" s="60"/>
    </row>
    <row r="117" spans="7:7">
      <c r="G117" s="60"/>
    </row>
    <row r="118" spans="7:7">
      <c r="G118" s="60"/>
    </row>
    <row r="119" spans="7:7">
      <c r="G119" s="60"/>
    </row>
    <row r="120" spans="7:7">
      <c r="G120" s="60"/>
    </row>
    <row r="121" spans="7:7">
      <c r="G121" s="60"/>
    </row>
    <row r="122" spans="7:7">
      <c r="G122" s="60"/>
    </row>
    <row r="123" spans="7:7">
      <c r="G123" s="60"/>
    </row>
    <row r="124" spans="7:7">
      <c r="G124" s="60"/>
    </row>
    <row r="125" spans="7:7">
      <c r="G125" s="60"/>
    </row>
    <row r="126" spans="7:7">
      <c r="G126" s="60"/>
    </row>
  </sheetData>
  <mergeCells count="1">
    <mergeCell ref="A1:E1"/>
  </mergeCells>
  <pageMargins left="0.7" right="0.7" top="0.75" bottom="0.75" header="0.3" footer="0.3"/>
  <pageSetup paperSize="9" orientation="portrait" horizontalDpi="200" verticalDpi="200" r:id="rId1"/>
</worksheet>
</file>

<file path=xl/worksheets/sheet24.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79" customWidth="1"/>
    <col min="2" max="2" width="25.21875" style="79" bestFit="1" customWidth="1"/>
    <col min="3" max="3" width="11.5546875" style="79"/>
    <col min="4" max="4" width="15.5546875" style="79" bestFit="1" customWidth="1"/>
    <col min="5" max="5" width="11.5546875" style="79"/>
    <col min="6" max="6" width="13.33203125" style="79" customWidth="1"/>
    <col min="7" max="7" width="15.33203125" style="79" bestFit="1" customWidth="1"/>
    <col min="8" max="8" width="15.88671875" style="79" customWidth="1"/>
    <col min="9" max="9" width="12" style="79" customWidth="1"/>
    <col min="10" max="16384" width="11.5546875" style="79"/>
  </cols>
  <sheetData>
    <row r="1" spans="1:9" ht="18">
      <c r="A1" s="116" t="s">
        <v>122</v>
      </c>
      <c r="B1" s="116"/>
      <c r="C1" s="116"/>
      <c r="D1" s="116"/>
      <c r="E1" s="116"/>
    </row>
    <row r="2" spans="1:9">
      <c r="A2" s="89" t="s">
        <v>134</v>
      </c>
    </row>
    <row r="4" spans="1:9">
      <c r="A4" s="82" t="s">
        <v>10</v>
      </c>
      <c r="B4" s="84" t="s">
        <v>88</v>
      </c>
      <c r="C4" s="84" t="s">
        <v>11</v>
      </c>
      <c r="D4" s="84" t="s">
        <v>20</v>
      </c>
      <c r="E4" s="84" t="s">
        <v>9</v>
      </c>
      <c r="F4" s="84" t="s">
        <v>1</v>
      </c>
      <c r="G4" s="84" t="s">
        <v>52</v>
      </c>
    </row>
    <row r="5" spans="1:9">
      <c r="A5" s="79" t="s">
        <v>95</v>
      </c>
      <c r="B5" s="111">
        <v>1</v>
      </c>
      <c r="C5" s="52">
        <v>0.2</v>
      </c>
      <c r="D5" s="80">
        <f>+SUM($C$5:C5)</f>
        <v>0.2</v>
      </c>
      <c r="E5" s="80">
        <f>+Summary!B27</f>
        <v>2</v>
      </c>
      <c r="F5" s="80">
        <f>+C5*E5</f>
        <v>0.4</v>
      </c>
      <c r="G5" s="62"/>
    </row>
    <row r="6" spans="1:9">
      <c r="B6" s="111">
        <v>2</v>
      </c>
      <c r="C6" s="52">
        <v>0.1</v>
      </c>
      <c r="D6" s="80">
        <f>+SUM($C$5:C6)</f>
        <v>0.30000000000000004</v>
      </c>
      <c r="E6" s="80">
        <f>+Summary!B28</f>
        <v>3</v>
      </c>
      <c r="F6" s="80">
        <f t="shared" ref="F6:F7" si="0">+C6*E6</f>
        <v>0.30000000000000004</v>
      </c>
      <c r="G6" s="62"/>
    </row>
    <row r="7" spans="1:9">
      <c r="B7" s="111" t="s">
        <v>89</v>
      </c>
      <c r="C7" s="52">
        <v>0.04</v>
      </c>
      <c r="D7" s="80">
        <f>+SUM($C$5:C7)</f>
        <v>0.34</v>
      </c>
      <c r="E7" s="80">
        <f>+E5+E6</f>
        <v>5</v>
      </c>
      <c r="F7" s="80">
        <f t="shared" si="0"/>
        <v>0.2</v>
      </c>
      <c r="G7" s="62">
        <v>0</v>
      </c>
      <c r="H7" s="79" t="s">
        <v>94</v>
      </c>
      <c r="I7" s="113"/>
    </row>
    <row r="8" spans="1:9">
      <c r="B8" s="86" t="s">
        <v>12</v>
      </c>
      <c r="C8" s="86">
        <f>+SUM(C5:C7)</f>
        <v>0.34</v>
      </c>
      <c r="D8" s="86"/>
      <c r="E8" s="86"/>
      <c r="F8" s="72">
        <f>+SUM(F5:F7)</f>
        <v>0.90000000000000013</v>
      </c>
      <c r="G8" s="63"/>
    </row>
    <row r="9" spans="1:9">
      <c r="B9" s="87" t="s">
        <v>93</v>
      </c>
      <c r="G9" s="60"/>
    </row>
    <row r="10" spans="1:9">
      <c r="G10" s="60"/>
    </row>
    <row r="11" spans="1:9">
      <c r="G11" s="60"/>
    </row>
    <row r="12" spans="1:9">
      <c r="A12" s="82" t="s">
        <v>18</v>
      </c>
      <c r="B12" s="84" t="s">
        <v>88</v>
      </c>
      <c r="C12" s="84" t="s">
        <v>11</v>
      </c>
      <c r="D12" s="84" t="s">
        <v>20</v>
      </c>
      <c r="E12" s="84" t="s">
        <v>9</v>
      </c>
      <c r="F12" s="84" t="s">
        <v>1</v>
      </c>
      <c r="G12" s="84" t="s">
        <v>52</v>
      </c>
    </row>
    <row r="13" spans="1:9">
      <c r="A13" s="79" t="s">
        <v>96</v>
      </c>
      <c r="B13" s="110">
        <v>1</v>
      </c>
      <c r="C13" s="83">
        <v>0.45</v>
      </c>
      <c r="D13" s="83">
        <f>+SUM(C13:$C$13)</f>
        <v>0.45</v>
      </c>
      <c r="E13" s="83">
        <f>+E5</f>
        <v>2</v>
      </c>
      <c r="F13" s="83">
        <f>+E13*C13</f>
        <v>0.9</v>
      </c>
      <c r="G13" s="62">
        <v>0</v>
      </c>
      <c r="H13" s="79" t="s">
        <v>94</v>
      </c>
    </row>
    <row r="14" spans="1:9">
      <c r="A14" s="79" t="s">
        <v>98</v>
      </c>
      <c r="B14" s="86" t="s">
        <v>6</v>
      </c>
      <c r="C14" s="86">
        <f>+SUM(C13:C13)</f>
        <v>0.45</v>
      </c>
      <c r="D14" s="86"/>
      <c r="E14" s="86"/>
      <c r="F14" s="91">
        <f>+SUM(F13:F13)</f>
        <v>0.9</v>
      </c>
      <c r="G14" s="64"/>
    </row>
    <row r="15" spans="1:9">
      <c r="G15" s="60"/>
    </row>
    <row r="16" spans="1:9">
      <c r="G16" s="60"/>
    </row>
    <row r="17" spans="1:8">
      <c r="A17" s="82" t="s">
        <v>19</v>
      </c>
      <c r="B17" s="84" t="s">
        <v>88</v>
      </c>
      <c r="C17" s="84" t="s">
        <v>11</v>
      </c>
      <c r="D17" s="84" t="s">
        <v>20</v>
      </c>
      <c r="E17" s="84" t="s">
        <v>9</v>
      </c>
      <c r="F17" s="84" t="s">
        <v>1</v>
      </c>
      <c r="G17" s="84" t="s">
        <v>52</v>
      </c>
    </row>
    <row r="18" spans="1:8">
      <c r="A18" s="79" t="s">
        <v>96</v>
      </c>
      <c r="B18" s="110">
        <v>2</v>
      </c>
      <c r="C18" s="83">
        <v>0.3</v>
      </c>
      <c r="D18" s="83">
        <f>+SUM(C$18:$C18)</f>
        <v>0.3</v>
      </c>
      <c r="E18" s="83">
        <f>+E6</f>
        <v>3</v>
      </c>
      <c r="F18" s="83">
        <f>+E18*C18</f>
        <v>0.89999999999999991</v>
      </c>
      <c r="G18" s="62">
        <v>0</v>
      </c>
      <c r="H18" s="79" t="s">
        <v>94</v>
      </c>
    </row>
    <row r="19" spans="1:8">
      <c r="A19" s="79" t="s">
        <v>97</v>
      </c>
      <c r="B19" s="86" t="s">
        <v>6</v>
      </c>
      <c r="C19" s="86">
        <f>+SUM(C18:C18)</f>
        <v>0.3</v>
      </c>
      <c r="D19" s="86"/>
      <c r="E19" s="86"/>
      <c r="F19" s="91">
        <f>+SUM(F18:F18)</f>
        <v>0.89999999999999991</v>
      </c>
      <c r="G19" s="64"/>
    </row>
    <row r="20" spans="1:8">
      <c r="G20" s="61"/>
    </row>
    <row r="21" spans="1:8">
      <c r="G21" s="61"/>
    </row>
    <row r="22" spans="1:8">
      <c r="G22" s="61"/>
    </row>
    <row r="23" spans="1:8">
      <c r="G23" s="61"/>
    </row>
    <row r="24" spans="1:8">
      <c r="G24" s="61"/>
    </row>
    <row r="25" spans="1:8">
      <c r="G25" s="61"/>
    </row>
    <row r="26" spans="1:8">
      <c r="G26" s="61"/>
    </row>
    <row r="27" spans="1:8">
      <c r="G27" s="61"/>
    </row>
    <row r="28" spans="1:8">
      <c r="G28" s="61"/>
    </row>
    <row r="29" spans="1:8">
      <c r="G29" s="61"/>
    </row>
    <row r="30" spans="1:8">
      <c r="G30" s="61"/>
    </row>
    <row r="31" spans="1:8">
      <c r="G31" s="61"/>
    </row>
    <row r="32" spans="1:8">
      <c r="G32" s="61"/>
    </row>
    <row r="33" spans="7:7">
      <c r="G33" s="61"/>
    </row>
    <row r="34" spans="7:7">
      <c r="G34" s="61"/>
    </row>
    <row r="35" spans="7:7">
      <c r="G35" s="61"/>
    </row>
    <row r="36" spans="7:7">
      <c r="G36" s="61"/>
    </row>
    <row r="37" spans="7:7">
      <c r="G37" s="61"/>
    </row>
    <row r="38" spans="7:7">
      <c r="G38" s="61"/>
    </row>
    <row r="39" spans="7:7">
      <c r="G39" s="61"/>
    </row>
    <row r="40" spans="7:7">
      <c r="G40" s="61"/>
    </row>
    <row r="41" spans="7:7">
      <c r="G41" s="61"/>
    </row>
    <row r="42" spans="7:7">
      <c r="G42" s="60"/>
    </row>
    <row r="43" spans="7:7">
      <c r="G43" s="60"/>
    </row>
    <row r="44" spans="7:7">
      <c r="G44" s="60"/>
    </row>
    <row r="45" spans="7:7">
      <c r="G45" s="60"/>
    </row>
    <row r="46" spans="7:7">
      <c r="G46" s="60"/>
    </row>
    <row r="47" spans="7:7">
      <c r="G47" s="60"/>
    </row>
    <row r="48" spans="7:7">
      <c r="G48" s="60"/>
    </row>
    <row r="49" spans="7:7">
      <c r="G49" s="60"/>
    </row>
    <row r="50" spans="7:7">
      <c r="G50" s="60"/>
    </row>
    <row r="51" spans="7:7">
      <c r="G51" s="60"/>
    </row>
    <row r="52" spans="7:7">
      <c r="G52" s="60"/>
    </row>
    <row r="53" spans="7:7">
      <c r="G53" s="60"/>
    </row>
    <row r="54" spans="7:7">
      <c r="G54" s="60"/>
    </row>
    <row r="55" spans="7:7">
      <c r="G55" s="60"/>
    </row>
    <row r="56" spans="7:7">
      <c r="G56" s="60"/>
    </row>
    <row r="57" spans="7:7">
      <c r="G57" s="60"/>
    </row>
    <row r="58" spans="7:7">
      <c r="G58" s="60"/>
    </row>
    <row r="59" spans="7:7">
      <c r="G59" s="60"/>
    </row>
    <row r="60" spans="7:7">
      <c r="G60" s="60"/>
    </row>
    <row r="61" spans="7:7">
      <c r="G61" s="60"/>
    </row>
    <row r="62" spans="7:7">
      <c r="G62" s="60"/>
    </row>
    <row r="63" spans="7:7">
      <c r="G63" s="60"/>
    </row>
    <row r="64" spans="7:7">
      <c r="G64" s="60"/>
    </row>
    <row r="65" spans="7:7">
      <c r="G65" s="60"/>
    </row>
    <row r="66" spans="7:7">
      <c r="G66" s="60"/>
    </row>
    <row r="67" spans="7:7">
      <c r="G67" s="60"/>
    </row>
    <row r="68" spans="7:7">
      <c r="G68" s="60"/>
    </row>
    <row r="69" spans="7:7">
      <c r="G69" s="60"/>
    </row>
    <row r="70" spans="7:7">
      <c r="G70" s="60"/>
    </row>
    <row r="71" spans="7:7">
      <c r="G71" s="60"/>
    </row>
    <row r="72" spans="7:7">
      <c r="G72" s="60"/>
    </row>
    <row r="73" spans="7:7">
      <c r="G73" s="60"/>
    </row>
    <row r="74" spans="7:7">
      <c r="G74" s="60"/>
    </row>
    <row r="75" spans="7:7">
      <c r="G75" s="60"/>
    </row>
    <row r="76" spans="7:7">
      <c r="G76" s="60"/>
    </row>
    <row r="77" spans="7:7">
      <c r="G77" s="60"/>
    </row>
    <row r="78" spans="7:7">
      <c r="G78" s="60"/>
    </row>
    <row r="79" spans="7:7">
      <c r="G79" s="60"/>
    </row>
    <row r="80" spans="7:7">
      <c r="G80" s="60"/>
    </row>
    <row r="81" spans="7:7">
      <c r="G81" s="60"/>
    </row>
    <row r="82" spans="7:7">
      <c r="G82" s="60"/>
    </row>
    <row r="83" spans="7:7">
      <c r="G83" s="60"/>
    </row>
    <row r="84" spans="7:7">
      <c r="G84" s="60"/>
    </row>
    <row r="85" spans="7:7">
      <c r="G85" s="60"/>
    </row>
    <row r="86" spans="7:7">
      <c r="G86" s="60"/>
    </row>
    <row r="87" spans="7:7">
      <c r="G87" s="60"/>
    </row>
    <row r="88" spans="7:7">
      <c r="G88" s="60"/>
    </row>
    <row r="89" spans="7:7">
      <c r="G89" s="60"/>
    </row>
    <row r="90" spans="7:7">
      <c r="G90" s="60"/>
    </row>
    <row r="91" spans="7:7">
      <c r="G91" s="60"/>
    </row>
    <row r="92" spans="7:7">
      <c r="G92" s="60"/>
    </row>
    <row r="93" spans="7:7">
      <c r="G93" s="60"/>
    </row>
    <row r="94" spans="7:7">
      <c r="G94" s="60"/>
    </row>
    <row r="95" spans="7:7">
      <c r="G95" s="60"/>
    </row>
    <row r="96" spans="7:7">
      <c r="G96" s="60"/>
    </row>
    <row r="97" spans="7:7">
      <c r="G97" s="60"/>
    </row>
  </sheetData>
  <mergeCells count="1">
    <mergeCell ref="A1:E1"/>
  </mergeCells>
  <pageMargins left="0.7" right="0.7" top="0.75" bottom="0.75" header="0.3" footer="0.3"/>
  <pageSetup paperSize="9" orientation="portrait" horizontalDpi="200" verticalDpi="200" r:id="rId1"/>
</worksheet>
</file>

<file path=xl/worksheets/sheet25.xml><?xml version="1.0" encoding="utf-8"?>
<worksheet xmlns="http://schemas.openxmlformats.org/spreadsheetml/2006/main" xmlns:r="http://schemas.openxmlformats.org/officeDocument/2006/relationships">
  <dimension ref="A1:H89"/>
  <sheetViews>
    <sheetView workbookViewId="0">
      <selection sqref="A1:E1"/>
    </sheetView>
  </sheetViews>
  <sheetFormatPr baseColWidth="10" defaultRowHeight="14.4"/>
  <cols>
    <col min="1" max="1" width="40.6640625" style="79" customWidth="1"/>
    <col min="2" max="2" width="25.21875" style="79" bestFit="1" customWidth="1"/>
    <col min="3" max="3" width="11.5546875" style="79"/>
    <col min="4" max="4" width="15.5546875" style="79" bestFit="1" customWidth="1"/>
    <col min="5" max="5" width="11.5546875" style="79"/>
    <col min="6" max="6" width="13.33203125" style="79" customWidth="1"/>
    <col min="7" max="7" width="15.33203125" style="79" bestFit="1" customWidth="1"/>
    <col min="8" max="8" width="15.109375" style="79" customWidth="1"/>
    <col min="9" max="9" width="11.5546875" style="79"/>
    <col min="10" max="10" width="12.5546875" style="79" bestFit="1" customWidth="1"/>
    <col min="11" max="16384" width="11.5546875" style="79"/>
  </cols>
  <sheetData>
    <row r="1" spans="1:8" ht="18">
      <c r="A1" s="116" t="s">
        <v>120</v>
      </c>
      <c r="B1" s="116"/>
      <c r="C1" s="116"/>
      <c r="D1" s="116"/>
      <c r="E1" s="116"/>
    </row>
    <row r="2" spans="1:8">
      <c r="A2" s="89"/>
    </row>
    <row r="4" spans="1:8">
      <c r="A4" s="82" t="s">
        <v>77</v>
      </c>
      <c r="B4" s="84" t="s">
        <v>88</v>
      </c>
      <c r="C4" s="84" t="s">
        <v>11</v>
      </c>
      <c r="D4" s="84" t="s">
        <v>20</v>
      </c>
      <c r="E4" s="84" t="s">
        <v>9</v>
      </c>
      <c r="F4" s="84" t="s">
        <v>1</v>
      </c>
      <c r="G4" s="84" t="s">
        <v>52</v>
      </c>
    </row>
    <row r="5" spans="1:8">
      <c r="B5" s="110">
        <v>1</v>
      </c>
      <c r="C5" s="83">
        <v>0.45</v>
      </c>
      <c r="D5" s="83">
        <f>+SUM(C5:$C$5)</f>
        <v>0.45</v>
      </c>
      <c r="E5" s="83">
        <f>+Summary!B21</f>
        <v>2</v>
      </c>
      <c r="F5" s="83">
        <f>+E5*C5</f>
        <v>0.9</v>
      </c>
      <c r="G5" s="62">
        <v>0</v>
      </c>
      <c r="H5" s="79" t="s">
        <v>94</v>
      </c>
    </row>
    <row r="6" spans="1:8">
      <c r="B6" s="86" t="s">
        <v>6</v>
      </c>
      <c r="C6" s="86">
        <f>+SUM(C5:C5)</f>
        <v>0.45</v>
      </c>
      <c r="D6" s="86"/>
      <c r="E6" s="86"/>
      <c r="F6" s="91">
        <f>+SUM(F5:F5)</f>
        <v>0.9</v>
      </c>
      <c r="G6" s="64"/>
    </row>
    <row r="7" spans="1:8">
      <c r="G7" s="60"/>
    </row>
    <row r="8" spans="1:8">
      <c r="G8" s="60"/>
    </row>
    <row r="9" spans="1:8">
      <c r="A9" s="82" t="s">
        <v>78</v>
      </c>
      <c r="B9" s="84" t="s">
        <v>88</v>
      </c>
      <c r="C9" s="84" t="s">
        <v>11</v>
      </c>
      <c r="D9" s="84" t="s">
        <v>20</v>
      </c>
      <c r="E9" s="84" t="s">
        <v>9</v>
      </c>
      <c r="F9" s="84" t="s">
        <v>1</v>
      </c>
      <c r="G9" s="84" t="s">
        <v>52</v>
      </c>
    </row>
    <row r="10" spans="1:8">
      <c r="B10" s="110">
        <v>1</v>
      </c>
      <c r="C10" s="83">
        <v>0.3</v>
      </c>
      <c r="D10" s="83">
        <f>1/6</f>
        <v>0.16666666666666666</v>
      </c>
      <c r="E10" s="83">
        <f>+Summary!E21</f>
        <v>3</v>
      </c>
      <c r="F10" s="83">
        <f>+E10*C10</f>
        <v>0.89999999999999991</v>
      </c>
      <c r="G10" s="62">
        <v>0</v>
      </c>
      <c r="H10" s="79" t="s">
        <v>94</v>
      </c>
    </row>
    <row r="11" spans="1:8">
      <c r="B11" s="86" t="s">
        <v>6</v>
      </c>
      <c r="C11" s="86">
        <f>+SUM(C10:C10)</f>
        <v>0.3</v>
      </c>
      <c r="D11" s="86"/>
      <c r="E11" s="86"/>
      <c r="F11" s="91">
        <f>+SUM(F10:F10)</f>
        <v>0.89999999999999991</v>
      </c>
      <c r="G11" s="64"/>
    </row>
    <row r="12" spans="1:8">
      <c r="G12" s="61"/>
    </row>
    <row r="13" spans="1:8">
      <c r="G13" s="61"/>
    </row>
    <row r="14" spans="1:8">
      <c r="A14" s="82" t="s">
        <v>79</v>
      </c>
      <c r="B14" s="84" t="s">
        <v>88</v>
      </c>
      <c r="C14" s="84" t="s">
        <v>11</v>
      </c>
      <c r="D14" s="84" t="s">
        <v>20</v>
      </c>
      <c r="E14" s="84" t="s">
        <v>9</v>
      </c>
      <c r="F14" s="84" t="s">
        <v>1</v>
      </c>
      <c r="G14" s="84" t="s">
        <v>52</v>
      </c>
    </row>
    <row r="15" spans="1:8">
      <c r="B15" s="110">
        <v>1</v>
      </c>
      <c r="C15" s="83">
        <v>0.22500000000000001</v>
      </c>
      <c r="D15" s="83">
        <f>+SUM(C$15:$C15)</f>
        <v>0.22500000000000001</v>
      </c>
      <c r="E15" s="83">
        <f>+Summary!H21</f>
        <v>4</v>
      </c>
      <c r="F15" s="83">
        <f>+E15*C15</f>
        <v>0.9</v>
      </c>
      <c r="G15" s="62">
        <v>0</v>
      </c>
      <c r="H15" s="79" t="s">
        <v>94</v>
      </c>
    </row>
    <row r="16" spans="1:8">
      <c r="B16" s="86" t="s">
        <v>6</v>
      </c>
      <c r="C16" s="86">
        <f>+SUM(C15:C15)</f>
        <v>0.22500000000000001</v>
      </c>
      <c r="D16" s="86"/>
      <c r="E16" s="86"/>
      <c r="F16" s="91">
        <f>+SUM(F15:F15)</f>
        <v>0.9</v>
      </c>
      <c r="G16" s="64"/>
    </row>
    <row r="17" spans="7:7">
      <c r="G17" s="61"/>
    </row>
    <row r="18" spans="7:7">
      <c r="G18" s="61"/>
    </row>
    <row r="19" spans="7:7">
      <c r="G19" s="61"/>
    </row>
    <row r="20" spans="7:7">
      <c r="G20" s="61"/>
    </row>
    <row r="21" spans="7:7">
      <c r="G21" s="61"/>
    </row>
    <row r="22" spans="7:7">
      <c r="G22" s="61"/>
    </row>
    <row r="23" spans="7:7">
      <c r="G23" s="61"/>
    </row>
    <row r="24" spans="7:7">
      <c r="G24" s="61"/>
    </row>
    <row r="25" spans="7:7">
      <c r="G25" s="61"/>
    </row>
    <row r="26" spans="7:7">
      <c r="G26" s="61"/>
    </row>
    <row r="27" spans="7:7">
      <c r="G27" s="61"/>
    </row>
    <row r="28" spans="7:7">
      <c r="G28" s="61"/>
    </row>
    <row r="29" spans="7:7">
      <c r="G29" s="61"/>
    </row>
    <row r="30" spans="7:7">
      <c r="G30" s="61"/>
    </row>
    <row r="31" spans="7:7">
      <c r="G31" s="61"/>
    </row>
    <row r="32" spans="7:7">
      <c r="G32" s="61"/>
    </row>
    <row r="33" spans="7:7">
      <c r="G33" s="61"/>
    </row>
    <row r="34" spans="7:7">
      <c r="G34" s="60"/>
    </row>
    <row r="35" spans="7:7">
      <c r="G35" s="60"/>
    </row>
    <row r="36" spans="7:7">
      <c r="G36" s="60"/>
    </row>
    <row r="37" spans="7:7">
      <c r="G37" s="60"/>
    </row>
    <row r="38" spans="7:7">
      <c r="G38" s="60"/>
    </row>
    <row r="39" spans="7:7">
      <c r="G39" s="60"/>
    </row>
    <row r="40" spans="7:7">
      <c r="G40" s="60"/>
    </row>
    <row r="41" spans="7:7">
      <c r="G41" s="60"/>
    </row>
    <row r="42" spans="7:7">
      <c r="G42" s="60"/>
    </row>
    <row r="43" spans="7:7">
      <c r="G43" s="60"/>
    </row>
    <row r="44" spans="7:7">
      <c r="G44" s="60"/>
    </row>
    <row r="45" spans="7:7">
      <c r="G45" s="60"/>
    </row>
    <row r="46" spans="7:7">
      <c r="G46" s="60"/>
    </row>
    <row r="47" spans="7:7">
      <c r="G47" s="60"/>
    </row>
    <row r="48" spans="7:7">
      <c r="G48" s="60"/>
    </row>
    <row r="49" spans="7:7">
      <c r="G49" s="60"/>
    </row>
    <row r="50" spans="7:7">
      <c r="G50" s="60"/>
    </row>
    <row r="51" spans="7:7">
      <c r="G51" s="60"/>
    </row>
    <row r="52" spans="7:7">
      <c r="G52" s="60"/>
    </row>
    <row r="53" spans="7:7">
      <c r="G53" s="60"/>
    </row>
    <row r="54" spans="7:7">
      <c r="G54" s="60"/>
    </row>
    <row r="55" spans="7:7">
      <c r="G55" s="60"/>
    </row>
    <row r="56" spans="7:7">
      <c r="G56" s="60"/>
    </row>
    <row r="57" spans="7:7">
      <c r="G57" s="60"/>
    </row>
    <row r="58" spans="7:7">
      <c r="G58" s="60"/>
    </row>
    <row r="59" spans="7:7">
      <c r="G59" s="60"/>
    </row>
    <row r="60" spans="7:7">
      <c r="G60" s="60"/>
    </row>
    <row r="61" spans="7:7">
      <c r="G61" s="60"/>
    </row>
    <row r="62" spans="7:7">
      <c r="G62" s="60"/>
    </row>
    <row r="63" spans="7:7">
      <c r="G63" s="60"/>
    </row>
    <row r="64" spans="7:7">
      <c r="G64" s="60"/>
    </row>
    <row r="65" spans="7:7">
      <c r="G65" s="60"/>
    </row>
    <row r="66" spans="7:7">
      <c r="G66" s="60"/>
    </row>
    <row r="67" spans="7:7">
      <c r="G67" s="60"/>
    </row>
    <row r="68" spans="7:7">
      <c r="G68" s="60"/>
    </row>
    <row r="69" spans="7:7">
      <c r="G69" s="60"/>
    </row>
    <row r="70" spans="7:7">
      <c r="G70" s="60"/>
    </row>
    <row r="71" spans="7:7">
      <c r="G71" s="60"/>
    </row>
    <row r="72" spans="7:7">
      <c r="G72" s="60"/>
    </row>
    <row r="73" spans="7:7">
      <c r="G73" s="60"/>
    </row>
    <row r="74" spans="7:7">
      <c r="G74" s="60"/>
    </row>
    <row r="75" spans="7:7">
      <c r="G75" s="60"/>
    </row>
    <row r="76" spans="7:7">
      <c r="G76" s="60"/>
    </row>
    <row r="77" spans="7:7">
      <c r="G77" s="60"/>
    </row>
    <row r="78" spans="7:7">
      <c r="G78" s="60"/>
    </row>
    <row r="79" spans="7:7">
      <c r="G79" s="60"/>
    </row>
    <row r="80" spans="7:7">
      <c r="G80" s="60"/>
    </row>
    <row r="81" spans="7:7">
      <c r="G81" s="60"/>
    </row>
    <row r="82" spans="7:7">
      <c r="G82" s="60"/>
    </row>
    <row r="83" spans="7:7">
      <c r="G83" s="60"/>
    </row>
    <row r="84" spans="7:7">
      <c r="G84" s="60"/>
    </row>
    <row r="85" spans="7:7">
      <c r="G85" s="60"/>
    </row>
    <row r="86" spans="7:7">
      <c r="G86" s="60"/>
    </row>
    <row r="87" spans="7:7">
      <c r="G87" s="60"/>
    </row>
    <row r="88" spans="7:7">
      <c r="G88" s="60"/>
    </row>
    <row r="89" spans="7:7">
      <c r="G89" s="60"/>
    </row>
  </sheetData>
  <mergeCells count="1">
    <mergeCell ref="A1:E1"/>
  </mergeCells>
  <pageMargins left="0.7" right="0.7" top="0.75" bottom="0.75" header="0.3" footer="0.3"/>
  <pageSetup paperSize="9" orientation="portrait" horizontalDpi="200" verticalDpi="200" r:id="rId1"/>
</worksheet>
</file>

<file path=xl/worksheets/sheet26.xml><?xml version="1.0" encoding="utf-8"?>
<worksheet xmlns="http://schemas.openxmlformats.org/spreadsheetml/2006/main" xmlns:r="http://schemas.openxmlformats.org/officeDocument/2006/relationships">
  <dimension ref="A1:I126"/>
  <sheetViews>
    <sheetView workbookViewId="0">
      <selection sqref="A1:E1"/>
    </sheetView>
  </sheetViews>
  <sheetFormatPr baseColWidth="10" defaultRowHeight="14.4"/>
  <cols>
    <col min="1" max="1" width="40.6640625" style="79" customWidth="1"/>
    <col min="2" max="2" width="25.21875" style="79" bestFit="1" customWidth="1"/>
    <col min="3" max="3" width="11.5546875" style="79"/>
    <col min="4" max="4" width="15.5546875" style="79" bestFit="1" customWidth="1"/>
    <col min="5" max="5" width="11.5546875" style="79"/>
    <col min="6" max="6" width="13.33203125" style="79" customWidth="1"/>
    <col min="7" max="7" width="15.33203125" style="79" bestFit="1" customWidth="1"/>
    <col min="8" max="8" width="15.88671875" style="79" customWidth="1"/>
    <col min="9" max="9" width="12" style="79" customWidth="1"/>
    <col min="10" max="16384" width="11.5546875" style="79"/>
  </cols>
  <sheetData>
    <row r="1" spans="1:9" ht="18">
      <c r="A1" s="116" t="s">
        <v>123</v>
      </c>
      <c r="B1" s="116"/>
      <c r="C1" s="116"/>
      <c r="D1" s="116"/>
      <c r="E1" s="116"/>
    </row>
    <row r="2" spans="1:9">
      <c r="A2" s="89" t="s">
        <v>134</v>
      </c>
    </row>
    <row r="4" spans="1:9">
      <c r="A4" s="82" t="s">
        <v>10</v>
      </c>
      <c r="B4" s="84" t="s">
        <v>88</v>
      </c>
      <c r="C4" s="84" t="s">
        <v>11</v>
      </c>
      <c r="D4" s="84" t="s">
        <v>20</v>
      </c>
      <c r="E4" s="84" t="s">
        <v>9</v>
      </c>
      <c r="F4" s="84" t="s">
        <v>1</v>
      </c>
      <c r="G4" s="84" t="s">
        <v>52</v>
      </c>
    </row>
    <row r="5" spans="1:9">
      <c r="A5" s="79" t="s">
        <v>95</v>
      </c>
      <c r="B5" s="111">
        <v>1</v>
      </c>
      <c r="C5" s="40">
        <v>9.5000000000000001E-2</v>
      </c>
      <c r="D5" s="80">
        <f>+SUM($C$5:C5)</f>
        <v>9.5000000000000001E-2</v>
      </c>
      <c r="E5" s="80">
        <f>+Summary!B36</f>
        <v>2</v>
      </c>
      <c r="F5" s="80">
        <f>+C5*E5</f>
        <v>0.19</v>
      </c>
      <c r="G5" s="62"/>
    </row>
    <row r="6" spans="1:9">
      <c r="B6" s="111">
        <v>2</v>
      </c>
      <c r="C6" s="114">
        <v>0.01</v>
      </c>
      <c r="D6" s="80">
        <f>+SUM($C$5:C6)</f>
        <v>0.105</v>
      </c>
      <c r="E6" s="80">
        <f>+Summary!B37</f>
        <v>5</v>
      </c>
      <c r="F6" s="80">
        <f t="shared" ref="F6:F11" si="0">+C6*E6</f>
        <v>0.05</v>
      </c>
      <c r="G6" s="62"/>
    </row>
    <row r="7" spans="1:9">
      <c r="B7" s="111">
        <v>3</v>
      </c>
      <c r="C7" s="114">
        <v>0.01</v>
      </c>
      <c r="D7" s="80">
        <f>+SUM($C$5:C7)</f>
        <v>0.11499999999999999</v>
      </c>
      <c r="E7" s="80">
        <f>+Summary!B38</f>
        <v>8</v>
      </c>
      <c r="F7" s="80">
        <f t="shared" si="0"/>
        <v>0.08</v>
      </c>
      <c r="G7" s="62"/>
      <c r="I7" s="36"/>
    </row>
    <row r="8" spans="1:9">
      <c r="B8" s="111" t="s">
        <v>89</v>
      </c>
      <c r="C8" s="114">
        <v>0.01</v>
      </c>
      <c r="D8" s="80">
        <f>+SUM($C$5:C8)</f>
        <v>0.12499999999999999</v>
      </c>
      <c r="E8" s="80">
        <f>+E5+E6</f>
        <v>7</v>
      </c>
      <c r="F8" s="80">
        <f t="shared" si="0"/>
        <v>7.0000000000000007E-2</v>
      </c>
      <c r="G8" s="62"/>
      <c r="I8" s="113"/>
    </row>
    <row r="9" spans="1:9">
      <c r="B9" s="111" t="s">
        <v>90</v>
      </c>
      <c r="C9" s="114">
        <v>0.01</v>
      </c>
      <c r="D9" s="80">
        <f>+SUM($C$5:C9)</f>
        <v>0.13499999999999998</v>
      </c>
      <c r="E9" s="80">
        <f>+E5+E7</f>
        <v>10</v>
      </c>
      <c r="F9" s="80">
        <f t="shared" si="0"/>
        <v>0.1</v>
      </c>
      <c r="G9" s="62"/>
    </row>
    <row r="10" spans="1:9">
      <c r="B10" s="111" t="s">
        <v>91</v>
      </c>
      <c r="C10" s="114">
        <v>0.02</v>
      </c>
      <c r="D10" s="80">
        <f>+SUM($C$5:C10)</f>
        <v>0.15499999999999997</v>
      </c>
      <c r="E10" s="80">
        <f>+E6+E7</f>
        <v>13</v>
      </c>
      <c r="F10" s="80">
        <f t="shared" si="0"/>
        <v>0.26</v>
      </c>
      <c r="G10" s="62"/>
    </row>
    <row r="11" spans="1:9">
      <c r="B11" s="111" t="s">
        <v>92</v>
      </c>
      <c r="C11" s="114">
        <v>0.01</v>
      </c>
      <c r="D11" s="80">
        <f>+SUM($C$5:C11)</f>
        <v>0.16499999999999998</v>
      </c>
      <c r="E11" s="80">
        <f>+E5+E6+E7</f>
        <v>15</v>
      </c>
      <c r="F11" s="80">
        <f t="shared" si="0"/>
        <v>0.15</v>
      </c>
      <c r="G11" s="62">
        <v>0</v>
      </c>
      <c r="H11" s="79" t="s">
        <v>94</v>
      </c>
    </row>
    <row r="12" spans="1:9">
      <c r="B12" s="86" t="s">
        <v>12</v>
      </c>
      <c r="C12" s="86">
        <f>+SUM(C5:C11)</f>
        <v>0.16499999999999998</v>
      </c>
      <c r="D12" s="86"/>
      <c r="E12" s="86"/>
      <c r="F12" s="72">
        <f>+SUM(F5:F11)</f>
        <v>0.9</v>
      </c>
      <c r="G12" s="63"/>
    </row>
    <row r="13" spans="1:9">
      <c r="B13" s="87" t="s">
        <v>93</v>
      </c>
      <c r="G13" s="60"/>
    </row>
    <row r="14" spans="1:9">
      <c r="G14" s="60"/>
    </row>
    <row r="15" spans="1:9">
      <c r="A15" s="82" t="s">
        <v>14</v>
      </c>
      <c r="B15" s="84" t="s">
        <v>88</v>
      </c>
      <c r="C15" s="84" t="s">
        <v>11</v>
      </c>
      <c r="D15" s="84" t="s">
        <v>20</v>
      </c>
      <c r="E15" s="84" t="s">
        <v>9</v>
      </c>
      <c r="F15" s="84" t="s">
        <v>1</v>
      </c>
      <c r="G15" s="84" t="s">
        <v>52</v>
      </c>
    </row>
    <row r="16" spans="1:9">
      <c r="A16" s="79" t="s">
        <v>96</v>
      </c>
      <c r="B16" s="110">
        <v>2</v>
      </c>
      <c r="C16" s="83">
        <v>0.08</v>
      </c>
      <c r="D16" s="83">
        <f>+SUM(C16:$C$16)</f>
        <v>0.08</v>
      </c>
      <c r="E16" s="83">
        <f>+E6</f>
        <v>5</v>
      </c>
      <c r="F16" s="83">
        <f>+C16*E16</f>
        <v>0.4</v>
      </c>
      <c r="G16" s="62"/>
    </row>
    <row r="17" spans="1:9">
      <c r="A17" s="79" t="s">
        <v>97</v>
      </c>
      <c r="B17" s="110">
        <v>3</v>
      </c>
      <c r="C17" s="83">
        <v>0.03</v>
      </c>
      <c r="D17" s="83">
        <f>+SUM(C$16:$C17)</f>
        <v>0.11</v>
      </c>
      <c r="E17" s="83">
        <f>+E7</f>
        <v>8</v>
      </c>
      <c r="F17" s="83">
        <f t="shared" ref="F17:F18" si="1">+C17*E17</f>
        <v>0.24</v>
      </c>
      <c r="G17" s="62"/>
      <c r="I17" s="112"/>
    </row>
    <row r="18" spans="1:9">
      <c r="B18" s="110" t="s">
        <v>91</v>
      </c>
      <c r="C18" s="83">
        <v>0.02</v>
      </c>
      <c r="D18" s="83">
        <f>+SUM(C$16:$C18)</f>
        <v>0.13</v>
      </c>
      <c r="E18" s="83">
        <f>+E16+E17</f>
        <v>13</v>
      </c>
      <c r="F18" s="83">
        <f t="shared" si="1"/>
        <v>0.26</v>
      </c>
      <c r="G18" s="62">
        <v>0</v>
      </c>
      <c r="H18" s="79" t="s">
        <v>94</v>
      </c>
    </row>
    <row r="19" spans="1:9">
      <c r="B19" s="86" t="s">
        <v>6</v>
      </c>
      <c r="C19" s="86">
        <f>+SUM(C16:C18)</f>
        <v>0.13</v>
      </c>
      <c r="D19" s="86"/>
      <c r="E19" s="86"/>
      <c r="F19" s="91">
        <f>+SUM(F16:F18)</f>
        <v>0.9</v>
      </c>
      <c r="G19" s="64"/>
    </row>
    <row r="20" spans="1:9">
      <c r="B20" s="90"/>
      <c r="C20" s="90"/>
      <c r="D20" s="90"/>
      <c r="E20" s="90"/>
      <c r="F20" s="85"/>
      <c r="G20" s="65"/>
    </row>
    <row r="21" spans="1:9">
      <c r="B21" s="90"/>
      <c r="C21" s="90"/>
      <c r="D21" s="90"/>
      <c r="E21" s="90"/>
      <c r="F21" s="85"/>
      <c r="G21" s="65"/>
    </row>
    <row r="22" spans="1:9">
      <c r="A22" s="82" t="s">
        <v>15</v>
      </c>
      <c r="B22" s="84" t="s">
        <v>88</v>
      </c>
      <c r="C22" s="84" t="s">
        <v>11</v>
      </c>
      <c r="D22" s="84" t="s">
        <v>20</v>
      </c>
      <c r="E22" s="84" t="s">
        <v>9</v>
      </c>
      <c r="F22" s="84" t="s">
        <v>1</v>
      </c>
      <c r="G22" s="84" t="s">
        <v>52</v>
      </c>
    </row>
    <row r="23" spans="1:9">
      <c r="A23" s="79" t="s">
        <v>96</v>
      </c>
      <c r="B23" s="110">
        <v>1</v>
      </c>
      <c r="C23" s="83">
        <v>0.09</v>
      </c>
      <c r="D23" s="83">
        <f>+SUM(C23:$C$23)</f>
        <v>0.09</v>
      </c>
      <c r="E23" s="83">
        <f>+E5</f>
        <v>2</v>
      </c>
      <c r="F23" s="83">
        <f>+C23*E23</f>
        <v>0.18</v>
      </c>
      <c r="G23" s="62"/>
    </row>
    <row r="24" spans="1:9">
      <c r="A24" s="79" t="s">
        <v>98</v>
      </c>
      <c r="B24" s="110">
        <v>3</v>
      </c>
      <c r="C24" s="83">
        <v>0.04</v>
      </c>
      <c r="D24" s="83">
        <f>+SUM(C$23:$C24)</f>
        <v>0.13</v>
      </c>
      <c r="E24" s="83">
        <f>+E7</f>
        <v>8</v>
      </c>
      <c r="F24" s="83">
        <f t="shared" ref="F24:F25" si="2">+C24*E24</f>
        <v>0.32</v>
      </c>
      <c r="G24" s="62"/>
    </row>
    <row r="25" spans="1:9">
      <c r="B25" s="110" t="s">
        <v>90</v>
      </c>
      <c r="C25" s="83">
        <v>0.04</v>
      </c>
      <c r="D25" s="83">
        <f>+SUM(C$23:$C25)</f>
        <v>0.17</v>
      </c>
      <c r="E25" s="83">
        <f>+E23+E24</f>
        <v>10</v>
      </c>
      <c r="F25" s="83">
        <f t="shared" si="2"/>
        <v>0.4</v>
      </c>
      <c r="G25" s="62">
        <v>0</v>
      </c>
      <c r="H25" s="79" t="s">
        <v>94</v>
      </c>
    </row>
    <row r="26" spans="1:9">
      <c r="B26" s="86" t="s">
        <v>6</v>
      </c>
      <c r="C26" s="86">
        <f>+SUM(C23:C25)</f>
        <v>0.17</v>
      </c>
      <c r="D26" s="86"/>
      <c r="E26" s="86"/>
      <c r="F26" s="91">
        <f>+SUM(F23:F25)</f>
        <v>0.9</v>
      </c>
      <c r="G26" s="64"/>
    </row>
    <row r="27" spans="1:9">
      <c r="B27" s="90"/>
      <c r="C27" s="90"/>
      <c r="D27" s="90"/>
      <c r="E27" s="90"/>
      <c r="F27" s="85"/>
      <c r="G27" s="65"/>
    </row>
    <row r="28" spans="1:9">
      <c r="G28" s="60"/>
    </row>
    <row r="29" spans="1:9">
      <c r="A29" s="82" t="s">
        <v>16</v>
      </c>
      <c r="B29" s="84" t="s">
        <v>88</v>
      </c>
      <c r="C29" s="84" t="s">
        <v>11</v>
      </c>
      <c r="D29" s="84" t="s">
        <v>20</v>
      </c>
      <c r="E29" s="84" t="s">
        <v>9</v>
      </c>
      <c r="F29" s="84" t="s">
        <v>1</v>
      </c>
      <c r="G29" s="84" t="s">
        <v>52</v>
      </c>
    </row>
    <row r="30" spans="1:9">
      <c r="A30" s="79" t="s">
        <v>96</v>
      </c>
      <c r="B30" s="110">
        <v>3</v>
      </c>
      <c r="C30" s="83">
        <v>0.1125</v>
      </c>
      <c r="D30" s="83">
        <f>+SUM(C30:$C$30)</f>
        <v>0.1125</v>
      </c>
      <c r="E30" s="83">
        <f>+E7</f>
        <v>8</v>
      </c>
      <c r="F30" s="83">
        <f>+C30*E30</f>
        <v>0.9</v>
      </c>
      <c r="G30" s="62">
        <v>0</v>
      </c>
      <c r="H30" s="79" t="s">
        <v>94</v>
      </c>
    </row>
    <row r="31" spans="1:9">
      <c r="A31" s="79" t="s">
        <v>97</v>
      </c>
      <c r="B31" s="86" t="s">
        <v>6</v>
      </c>
      <c r="C31" s="86">
        <f>+SUM(C30:C30)</f>
        <v>0.1125</v>
      </c>
      <c r="D31" s="86"/>
      <c r="E31" s="86"/>
      <c r="F31" s="91">
        <f>+SUM(F30:F30)</f>
        <v>0.9</v>
      </c>
      <c r="G31" s="64"/>
    </row>
    <row r="32" spans="1:9">
      <c r="A32" s="79" t="s">
        <v>98</v>
      </c>
      <c r="G32" s="60"/>
    </row>
    <row r="33" spans="1:8">
      <c r="G33" s="60"/>
    </row>
    <row r="34" spans="1:8">
      <c r="A34" s="82" t="s">
        <v>17</v>
      </c>
      <c r="B34" s="84" t="s">
        <v>88</v>
      </c>
      <c r="C34" s="84" t="s">
        <v>11</v>
      </c>
      <c r="D34" s="84" t="s">
        <v>20</v>
      </c>
      <c r="E34" s="84" t="s">
        <v>9</v>
      </c>
      <c r="F34" s="84" t="s">
        <v>1</v>
      </c>
      <c r="G34" s="84" t="s">
        <v>52</v>
      </c>
    </row>
    <row r="35" spans="1:8">
      <c r="A35" s="79" t="s">
        <v>96</v>
      </c>
      <c r="B35" s="110">
        <v>1</v>
      </c>
      <c r="C35" s="83">
        <v>0.1</v>
      </c>
      <c r="D35" s="83">
        <f>+SUM(C35:$C$35)</f>
        <v>0.1</v>
      </c>
      <c r="E35" s="83">
        <f>+E5</f>
        <v>2</v>
      </c>
      <c r="F35" s="83">
        <f>+C35*E35</f>
        <v>0.2</v>
      </c>
      <c r="G35" s="62"/>
    </row>
    <row r="36" spans="1:8">
      <c r="A36" s="79" t="s">
        <v>99</v>
      </c>
      <c r="B36" s="110">
        <v>2</v>
      </c>
      <c r="C36" s="83">
        <v>7.0000000000000007E-2</v>
      </c>
      <c r="D36" s="83">
        <f>+SUM(C$35:$C36)</f>
        <v>0.17</v>
      </c>
      <c r="E36" s="83">
        <f>+E6</f>
        <v>5</v>
      </c>
      <c r="F36" s="83">
        <f t="shared" ref="F36:F37" si="3">+C36*E36</f>
        <v>0.35000000000000003</v>
      </c>
      <c r="G36" s="62"/>
    </row>
    <row r="37" spans="1:8">
      <c r="B37" s="110" t="s">
        <v>89</v>
      </c>
      <c r="C37" s="83">
        <v>0.05</v>
      </c>
      <c r="D37" s="83">
        <f>+SUM(C$35:$C37)</f>
        <v>0.22000000000000003</v>
      </c>
      <c r="E37" s="83">
        <f>+E35+E36</f>
        <v>7</v>
      </c>
      <c r="F37" s="83">
        <f t="shared" si="3"/>
        <v>0.35000000000000003</v>
      </c>
      <c r="G37" s="62">
        <v>0</v>
      </c>
      <c r="H37" s="79" t="s">
        <v>94</v>
      </c>
    </row>
    <row r="38" spans="1:8">
      <c r="A38" s="88"/>
      <c r="B38" s="86" t="s">
        <v>6</v>
      </c>
      <c r="C38" s="86">
        <f>+SUM(C35:C37)</f>
        <v>0.22000000000000003</v>
      </c>
      <c r="D38" s="86"/>
      <c r="E38" s="86"/>
      <c r="F38" s="91">
        <f>+SUM(F35:F37)</f>
        <v>0.90000000000000013</v>
      </c>
      <c r="G38" s="64"/>
    </row>
    <row r="39" spans="1:8">
      <c r="A39" s="88"/>
      <c r="G39" s="60"/>
    </row>
    <row r="40" spans="1:8">
      <c r="G40" s="60"/>
    </row>
    <row r="41" spans="1:8">
      <c r="A41" s="82" t="s">
        <v>18</v>
      </c>
      <c r="B41" s="84" t="s">
        <v>88</v>
      </c>
      <c r="C41" s="84" t="s">
        <v>11</v>
      </c>
      <c r="D41" s="84" t="s">
        <v>20</v>
      </c>
      <c r="E41" s="84" t="s">
        <v>9</v>
      </c>
      <c r="F41" s="84" t="s">
        <v>1</v>
      </c>
      <c r="G41" s="84" t="s">
        <v>52</v>
      </c>
    </row>
    <row r="42" spans="1:8">
      <c r="A42" s="79" t="s">
        <v>96</v>
      </c>
      <c r="B42" s="110">
        <v>1</v>
      </c>
      <c r="C42" s="83">
        <v>0.45</v>
      </c>
      <c r="D42" s="83">
        <f>+SUM(C42:$C$42)</f>
        <v>0.45</v>
      </c>
      <c r="E42" s="83">
        <f>+E5</f>
        <v>2</v>
      </c>
      <c r="F42" s="83">
        <f>+E42*C42</f>
        <v>0.9</v>
      </c>
      <c r="G42" s="62">
        <v>0</v>
      </c>
      <c r="H42" s="79" t="s">
        <v>94</v>
      </c>
    </row>
    <row r="43" spans="1:8">
      <c r="A43" s="79" t="s">
        <v>98</v>
      </c>
      <c r="B43" s="86" t="s">
        <v>6</v>
      </c>
      <c r="C43" s="86">
        <f>+SUM(C42:C42)</f>
        <v>0.45</v>
      </c>
      <c r="D43" s="86"/>
      <c r="E43" s="86"/>
      <c r="F43" s="91">
        <f>+SUM(F42:F42)</f>
        <v>0.9</v>
      </c>
      <c r="G43" s="64"/>
    </row>
    <row r="44" spans="1:8">
      <c r="A44" s="79" t="s">
        <v>99</v>
      </c>
      <c r="G44" s="60"/>
    </row>
    <row r="45" spans="1:8">
      <c r="G45" s="60"/>
    </row>
    <row r="46" spans="1:8">
      <c r="A46" s="82" t="s">
        <v>19</v>
      </c>
      <c r="B46" s="84" t="s">
        <v>88</v>
      </c>
      <c r="C46" s="84" t="s">
        <v>11</v>
      </c>
      <c r="D46" s="84" t="s">
        <v>20</v>
      </c>
      <c r="E46" s="84" t="s">
        <v>9</v>
      </c>
      <c r="F46" s="84" t="s">
        <v>1</v>
      </c>
      <c r="G46" s="84" t="s">
        <v>52</v>
      </c>
    </row>
    <row r="47" spans="1:8">
      <c r="A47" s="79" t="s">
        <v>96</v>
      </c>
      <c r="B47" s="110">
        <v>2</v>
      </c>
      <c r="C47" s="83">
        <v>0.18</v>
      </c>
      <c r="D47" s="83">
        <f>+SUM(C$47:$C47)</f>
        <v>0.18</v>
      </c>
      <c r="E47" s="83">
        <f>+E6</f>
        <v>5</v>
      </c>
      <c r="F47" s="83">
        <f>+E47*C47</f>
        <v>0.89999999999999991</v>
      </c>
      <c r="G47" s="62">
        <v>0</v>
      </c>
      <c r="H47" s="79" t="s">
        <v>94</v>
      </c>
    </row>
    <row r="48" spans="1:8">
      <c r="A48" s="79" t="s">
        <v>97</v>
      </c>
      <c r="B48" s="86" t="s">
        <v>6</v>
      </c>
      <c r="C48" s="86">
        <f>+SUM(C47:C47)</f>
        <v>0.18</v>
      </c>
      <c r="D48" s="86"/>
      <c r="E48" s="86"/>
      <c r="F48" s="91">
        <f>+SUM(F47:F47)</f>
        <v>0.89999999999999991</v>
      </c>
      <c r="G48" s="64"/>
    </row>
    <row r="49" spans="1:7">
      <c r="A49" s="79" t="s">
        <v>99</v>
      </c>
      <c r="G49" s="61"/>
    </row>
    <row r="50" spans="1:7">
      <c r="G50" s="61"/>
    </row>
    <row r="51" spans="1:7">
      <c r="G51" s="61"/>
    </row>
    <row r="52" spans="1:7">
      <c r="G52" s="61"/>
    </row>
    <row r="53" spans="1:7">
      <c r="G53" s="61"/>
    </row>
    <row r="54" spans="1:7">
      <c r="G54" s="61"/>
    </row>
    <row r="55" spans="1:7">
      <c r="G55" s="61"/>
    </row>
    <row r="56" spans="1:7">
      <c r="G56" s="61"/>
    </row>
    <row r="57" spans="1:7">
      <c r="G57" s="61"/>
    </row>
    <row r="58" spans="1:7">
      <c r="G58" s="61"/>
    </row>
    <row r="59" spans="1:7">
      <c r="G59" s="61"/>
    </row>
    <row r="60" spans="1:7">
      <c r="G60" s="61"/>
    </row>
    <row r="61" spans="1:7">
      <c r="G61" s="61"/>
    </row>
    <row r="62" spans="1:7">
      <c r="G62" s="61"/>
    </row>
    <row r="63" spans="1:7">
      <c r="G63" s="61"/>
    </row>
    <row r="64" spans="1:7">
      <c r="G64" s="61"/>
    </row>
    <row r="65" spans="7:7">
      <c r="G65" s="61"/>
    </row>
    <row r="66" spans="7:7">
      <c r="G66" s="61"/>
    </row>
    <row r="67" spans="7:7">
      <c r="G67" s="61"/>
    </row>
    <row r="68" spans="7:7">
      <c r="G68" s="61"/>
    </row>
    <row r="69" spans="7:7">
      <c r="G69" s="61"/>
    </row>
    <row r="70" spans="7:7">
      <c r="G70" s="61"/>
    </row>
    <row r="71" spans="7:7">
      <c r="G71" s="60"/>
    </row>
    <row r="72" spans="7:7">
      <c r="G72" s="60"/>
    </row>
    <row r="73" spans="7:7">
      <c r="G73" s="60"/>
    </row>
    <row r="74" spans="7:7">
      <c r="G74" s="60"/>
    </row>
    <row r="75" spans="7:7">
      <c r="G75" s="60"/>
    </row>
    <row r="76" spans="7:7">
      <c r="G76" s="60"/>
    </row>
    <row r="77" spans="7:7">
      <c r="G77" s="60"/>
    </row>
    <row r="78" spans="7:7">
      <c r="G78" s="60"/>
    </row>
    <row r="79" spans="7:7">
      <c r="G79" s="60"/>
    </row>
    <row r="80" spans="7:7">
      <c r="G80" s="60"/>
    </row>
    <row r="81" spans="7:7">
      <c r="G81" s="60"/>
    </row>
    <row r="82" spans="7:7">
      <c r="G82" s="60"/>
    </row>
    <row r="83" spans="7:7">
      <c r="G83" s="60"/>
    </row>
    <row r="84" spans="7:7">
      <c r="G84" s="60"/>
    </row>
    <row r="85" spans="7:7">
      <c r="G85" s="60"/>
    </row>
    <row r="86" spans="7:7">
      <c r="G86" s="60"/>
    </row>
    <row r="87" spans="7:7">
      <c r="G87" s="60"/>
    </row>
    <row r="88" spans="7:7">
      <c r="G88" s="60"/>
    </row>
    <row r="89" spans="7:7">
      <c r="G89" s="60"/>
    </row>
    <row r="90" spans="7:7">
      <c r="G90" s="60"/>
    </row>
    <row r="91" spans="7:7">
      <c r="G91" s="60"/>
    </row>
    <row r="92" spans="7:7">
      <c r="G92" s="60"/>
    </row>
    <row r="93" spans="7:7">
      <c r="G93" s="60"/>
    </row>
    <row r="94" spans="7:7">
      <c r="G94" s="60"/>
    </row>
    <row r="95" spans="7:7">
      <c r="G95" s="60"/>
    </row>
    <row r="96" spans="7:7">
      <c r="G96" s="60"/>
    </row>
    <row r="97" spans="7:7">
      <c r="G97" s="60"/>
    </row>
    <row r="98" spans="7:7">
      <c r="G98" s="60"/>
    </row>
    <row r="99" spans="7:7">
      <c r="G99" s="60"/>
    </row>
    <row r="100" spans="7:7">
      <c r="G100" s="60"/>
    </row>
    <row r="101" spans="7:7">
      <c r="G101" s="60"/>
    </row>
    <row r="102" spans="7:7">
      <c r="G102" s="60"/>
    </row>
    <row r="103" spans="7:7">
      <c r="G103" s="60"/>
    </row>
    <row r="104" spans="7:7">
      <c r="G104" s="60"/>
    </row>
    <row r="105" spans="7:7">
      <c r="G105" s="60"/>
    </row>
    <row r="106" spans="7:7">
      <c r="G106" s="60"/>
    </row>
    <row r="107" spans="7:7">
      <c r="G107" s="60"/>
    </row>
    <row r="108" spans="7:7">
      <c r="G108" s="60"/>
    </row>
    <row r="109" spans="7:7">
      <c r="G109" s="60"/>
    </row>
    <row r="110" spans="7:7">
      <c r="G110" s="60"/>
    </row>
    <row r="111" spans="7:7">
      <c r="G111" s="60"/>
    </row>
    <row r="112" spans="7:7">
      <c r="G112" s="60"/>
    </row>
    <row r="113" spans="7:7">
      <c r="G113" s="60"/>
    </row>
    <row r="114" spans="7:7">
      <c r="G114" s="60"/>
    </row>
    <row r="115" spans="7:7">
      <c r="G115" s="60"/>
    </row>
    <row r="116" spans="7:7">
      <c r="G116" s="60"/>
    </row>
    <row r="117" spans="7:7">
      <c r="G117" s="60"/>
    </row>
    <row r="118" spans="7:7">
      <c r="G118" s="60"/>
    </row>
    <row r="119" spans="7:7">
      <c r="G119" s="60"/>
    </row>
    <row r="120" spans="7:7">
      <c r="G120" s="60"/>
    </row>
    <row r="121" spans="7:7">
      <c r="G121" s="60"/>
    </row>
    <row r="122" spans="7:7">
      <c r="G122" s="60"/>
    </row>
    <row r="123" spans="7:7">
      <c r="G123" s="60"/>
    </row>
    <row r="124" spans="7:7">
      <c r="G124" s="60"/>
    </row>
    <row r="125" spans="7:7">
      <c r="G125" s="60"/>
    </row>
    <row r="126" spans="7:7">
      <c r="G126" s="60"/>
    </row>
  </sheetData>
  <mergeCells count="1">
    <mergeCell ref="A1:E1"/>
  </mergeCells>
  <pageMargins left="0.7" right="0.7" top="0.75" bottom="0.75" header="0.3" footer="0.3"/>
  <pageSetup paperSize="9" orientation="portrait" horizontalDpi="200" verticalDpi="200" r:id="rId1"/>
</worksheet>
</file>

<file path=xl/worksheets/sheet27.xml><?xml version="1.0" encoding="utf-8"?>
<worksheet xmlns="http://schemas.openxmlformats.org/spreadsheetml/2006/main" xmlns:r="http://schemas.openxmlformats.org/officeDocument/2006/relationships">
  <sheetPr codeName="Hoja5"/>
  <dimension ref="A1:F70"/>
  <sheetViews>
    <sheetView workbookViewId="0">
      <selection activeCell="A26" sqref="A26"/>
    </sheetView>
  </sheetViews>
  <sheetFormatPr baseColWidth="10" defaultRowHeight="14.4"/>
  <cols>
    <col min="1" max="1" width="13.109375" customWidth="1"/>
    <col min="2" max="2" width="14.109375" customWidth="1"/>
    <col min="3" max="3" width="18.77734375" bestFit="1" customWidth="1"/>
    <col min="4" max="4" width="15.5546875" bestFit="1" customWidth="1"/>
    <col min="5" max="5" width="19.33203125" customWidth="1"/>
  </cols>
  <sheetData>
    <row r="1" spans="1:5" ht="18">
      <c r="A1" s="116" t="s">
        <v>23</v>
      </c>
      <c r="B1" s="116"/>
      <c r="C1" s="116"/>
      <c r="D1" s="116"/>
      <c r="E1" s="116"/>
    </row>
    <row r="2" spans="1:5">
      <c r="A2" s="18" t="s">
        <v>22</v>
      </c>
    </row>
    <row r="3" spans="1:5" s="18" customFormat="1">
      <c r="A3" s="79" t="s">
        <v>71</v>
      </c>
    </row>
    <row r="4" spans="1:5" s="18" customFormat="1">
      <c r="A4" s="18" t="s">
        <v>25</v>
      </c>
    </row>
    <row r="5" spans="1:5" s="18" customFormat="1">
      <c r="A5" s="18" t="s">
        <v>26</v>
      </c>
    </row>
    <row r="6" spans="1:5" s="18" customFormat="1">
      <c r="A6" s="30" t="s">
        <v>49</v>
      </c>
    </row>
    <row r="7" spans="1:5" s="18" customFormat="1">
      <c r="A7" s="79" t="s">
        <v>124</v>
      </c>
    </row>
    <row r="8" spans="1:5" s="18" customFormat="1" ht="18">
      <c r="A8" s="117" t="s">
        <v>21</v>
      </c>
      <c r="B8" s="117"/>
      <c r="C8" s="117"/>
      <c r="D8" s="117"/>
      <c r="E8" s="117"/>
    </row>
    <row r="9" spans="1:5" s="18" customFormat="1"/>
    <row r="10" spans="1:5">
      <c r="A10" s="19" t="s">
        <v>10</v>
      </c>
      <c r="B10" s="22" t="s">
        <v>21</v>
      </c>
      <c r="C10" s="22" t="s">
        <v>11</v>
      </c>
      <c r="D10" s="22" t="s">
        <v>20</v>
      </c>
      <c r="E10" s="22" t="s">
        <v>1</v>
      </c>
    </row>
    <row r="11" spans="1:5">
      <c r="A11" s="18"/>
      <c r="B11" s="107">
        <v>1</v>
      </c>
      <c r="C11" s="20">
        <v>0.5</v>
      </c>
      <c r="D11" s="20">
        <f>+SUM(C11:$C$11)</f>
        <v>0.5</v>
      </c>
      <c r="E11" s="20">
        <v>0.5</v>
      </c>
    </row>
    <row r="12" spans="1:5">
      <c r="A12" s="18"/>
      <c r="B12" s="107">
        <v>2</v>
      </c>
      <c r="C12" s="20">
        <v>0.2</v>
      </c>
      <c r="D12" s="20">
        <f>+SUM(C$11:$C12)</f>
        <v>0.7</v>
      </c>
      <c r="E12" s="20">
        <v>0.4</v>
      </c>
    </row>
    <row r="13" spans="1:5">
      <c r="A13" s="18"/>
      <c r="B13" s="107">
        <v>3</v>
      </c>
      <c r="C13" s="20">
        <v>0.01</v>
      </c>
      <c r="D13" s="20">
        <f>+SUM(C$11:$C13)</f>
        <v>0.71</v>
      </c>
      <c r="E13" s="20">
        <v>0.03</v>
      </c>
    </row>
    <row r="14" spans="1:5">
      <c r="A14" s="18"/>
      <c r="B14" s="107">
        <v>4</v>
      </c>
      <c r="C14" s="20">
        <v>5.0000000000000001E-3</v>
      </c>
      <c r="D14" s="20">
        <f>+SUM(C$11:$C14)</f>
        <v>0.71499999999999997</v>
      </c>
      <c r="E14" s="20">
        <v>0.02</v>
      </c>
    </row>
    <row r="15" spans="1:5">
      <c r="A15" s="18"/>
      <c r="B15" s="21" t="s">
        <v>12</v>
      </c>
      <c r="C15" s="21">
        <v>0.71499999999999997</v>
      </c>
      <c r="D15" s="21"/>
      <c r="E15" s="23">
        <v>0.95000000000000007</v>
      </c>
    </row>
    <row r="16" spans="1:5">
      <c r="A16" s="18"/>
      <c r="B16" s="24" t="s">
        <v>13</v>
      </c>
      <c r="C16" s="18"/>
      <c r="D16" s="18"/>
    </row>
    <row r="19" spans="1:5" ht="18">
      <c r="A19" s="117" t="s">
        <v>27</v>
      </c>
      <c r="B19" s="117"/>
      <c r="C19" s="117"/>
      <c r="D19" s="117"/>
      <c r="E19" s="117"/>
    </row>
    <row r="20" spans="1:5" ht="15" thickBot="1"/>
    <row r="21" spans="1:5" ht="15" thickBot="1">
      <c r="A21" s="25" t="s">
        <v>24</v>
      </c>
      <c r="B21" s="26">
        <f>+Summary!E7</f>
        <v>50</v>
      </c>
    </row>
    <row r="22" spans="1:5" s="29" customFormat="1">
      <c r="A22" s="33" t="s">
        <v>51</v>
      </c>
      <c r="B22" s="27"/>
    </row>
    <row r="23" spans="1:5">
      <c r="A23" s="18" t="s">
        <v>29</v>
      </c>
    </row>
    <row r="24" spans="1:5">
      <c r="A24" s="18" t="s">
        <v>28</v>
      </c>
    </row>
    <row r="25" spans="1:5">
      <c r="A25" s="2" t="s">
        <v>30</v>
      </c>
    </row>
    <row r="26" spans="1:5" s="29" customFormat="1">
      <c r="A26" s="2" t="s">
        <v>40</v>
      </c>
    </row>
    <row r="28" spans="1:5">
      <c r="A28" s="30" t="s">
        <v>14</v>
      </c>
      <c r="B28" s="34" t="s">
        <v>31</v>
      </c>
      <c r="C28" s="34" t="s">
        <v>33</v>
      </c>
      <c r="D28" s="34" t="s">
        <v>1</v>
      </c>
      <c r="E28" s="29"/>
    </row>
    <row r="29" spans="1:5">
      <c r="B29" s="31">
        <v>1</v>
      </c>
      <c r="C29" s="31">
        <v>0.2</v>
      </c>
      <c r="D29" s="31">
        <f>+B29*C29</f>
        <v>0.2</v>
      </c>
    </row>
    <row r="30" spans="1:5">
      <c r="B30" s="31">
        <v>2</v>
      </c>
      <c r="C30" s="31">
        <v>7.0000000000000007E-2</v>
      </c>
      <c r="D30" s="31">
        <f t="shared" ref="D30:D33" si="0">+B30*C30</f>
        <v>0.14000000000000001</v>
      </c>
    </row>
    <row r="31" spans="1:5">
      <c r="B31" s="31">
        <v>3</v>
      </c>
      <c r="C31" s="31">
        <v>0.05</v>
      </c>
      <c r="D31" s="31">
        <f t="shared" si="0"/>
        <v>0.15000000000000002</v>
      </c>
    </row>
    <row r="32" spans="1:5">
      <c r="B32" s="31">
        <v>4</v>
      </c>
      <c r="C32" s="31">
        <v>0.02</v>
      </c>
      <c r="D32" s="31">
        <f t="shared" si="0"/>
        <v>0.08</v>
      </c>
    </row>
    <row r="33" spans="1:5">
      <c r="B33" s="31">
        <v>5</v>
      </c>
      <c r="C33" s="31">
        <v>0.01</v>
      </c>
      <c r="D33" s="31">
        <f t="shared" si="0"/>
        <v>0.05</v>
      </c>
    </row>
    <row r="34" spans="1:5">
      <c r="B34" s="32" t="s">
        <v>6</v>
      </c>
      <c r="C34" s="32">
        <f>+SUM(C29:C33)</f>
        <v>0.35000000000000003</v>
      </c>
      <c r="D34" s="32">
        <f>+SUM(D29:D33)</f>
        <v>0.62000000000000011</v>
      </c>
      <c r="E34" s="29" t="s">
        <v>48</v>
      </c>
    </row>
    <row r="36" spans="1:5">
      <c r="A36" s="29" t="s">
        <v>32</v>
      </c>
    </row>
    <row r="38" spans="1:5">
      <c r="A38" s="30" t="s">
        <v>15</v>
      </c>
      <c r="B38" s="34" t="s">
        <v>31</v>
      </c>
      <c r="C38" s="34" t="s">
        <v>33</v>
      </c>
      <c r="D38" s="34" t="s">
        <v>1</v>
      </c>
    </row>
    <row r="39" spans="1:5">
      <c r="B39" s="31">
        <v>1</v>
      </c>
      <c r="C39" s="31">
        <v>0.62</v>
      </c>
      <c r="D39" s="31">
        <v>0.2</v>
      </c>
    </row>
    <row r="40" spans="1:5">
      <c r="B40" s="32" t="s">
        <v>6</v>
      </c>
      <c r="C40" s="32">
        <f>+SUM(C39)</f>
        <v>0.62</v>
      </c>
      <c r="D40" s="32">
        <v>0.62000000000000011</v>
      </c>
    </row>
    <row r="42" spans="1:5">
      <c r="A42" s="30" t="s">
        <v>34</v>
      </c>
    </row>
    <row r="43" spans="1:5">
      <c r="A43" s="29" t="s">
        <v>35</v>
      </c>
    </row>
    <row r="44" spans="1:5">
      <c r="A44" s="29" t="s">
        <v>36</v>
      </c>
    </row>
    <row r="45" spans="1:5">
      <c r="A45" s="2" t="s">
        <v>37</v>
      </c>
    </row>
    <row r="47" spans="1:5">
      <c r="A47" s="29" t="s">
        <v>50</v>
      </c>
    </row>
    <row r="49" spans="2:6" s="29" customFormat="1">
      <c r="B49" s="30" t="s">
        <v>38</v>
      </c>
      <c r="C49" s="30" t="s">
        <v>41</v>
      </c>
    </row>
    <row r="50" spans="2:6">
      <c r="B50" s="34" t="s">
        <v>31</v>
      </c>
      <c r="C50" s="34" t="s">
        <v>33</v>
      </c>
      <c r="D50" s="28" t="s">
        <v>42</v>
      </c>
      <c r="E50" s="34" t="s">
        <v>43</v>
      </c>
      <c r="F50" s="34" t="s">
        <v>1</v>
      </c>
    </row>
    <row r="51" spans="2:6">
      <c r="B51" s="31">
        <v>1</v>
      </c>
      <c r="C51" s="31">
        <v>0.2</v>
      </c>
      <c r="D51" s="31">
        <f>25/75</f>
        <v>0.33333333333333331</v>
      </c>
      <c r="E51" s="31">
        <f>+C51*D51</f>
        <v>6.6666666666666666E-2</v>
      </c>
      <c r="F51" s="31">
        <f>+E51*B51</f>
        <v>6.6666666666666666E-2</v>
      </c>
    </row>
    <row r="52" spans="2:6">
      <c r="B52" s="31">
        <v>2</v>
      </c>
      <c r="C52" s="31">
        <v>7.0000000000000007E-2</v>
      </c>
      <c r="D52" s="31">
        <f t="shared" ref="D52:D55" si="1">25/75</f>
        <v>0.33333333333333331</v>
      </c>
      <c r="E52" s="31">
        <f t="shared" ref="E52:E55" si="2">+C52*D52</f>
        <v>2.3333333333333334E-2</v>
      </c>
      <c r="F52" s="31">
        <f t="shared" ref="F52:F55" si="3">+E52*B52</f>
        <v>4.6666666666666669E-2</v>
      </c>
    </row>
    <row r="53" spans="2:6">
      <c r="B53" s="31">
        <v>3</v>
      </c>
      <c r="C53" s="31">
        <v>0.05</v>
      </c>
      <c r="D53" s="31">
        <f t="shared" si="1"/>
        <v>0.33333333333333331</v>
      </c>
      <c r="E53" s="31">
        <f t="shared" si="2"/>
        <v>1.6666666666666666E-2</v>
      </c>
      <c r="F53" s="31">
        <f t="shared" si="3"/>
        <v>0.05</v>
      </c>
    </row>
    <row r="54" spans="2:6">
      <c r="B54" s="31">
        <v>4</v>
      </c>
      <c r="C54" s="31">
        <v>0.02</v>
      </c>
      <c r="D54" s="31">
        <f t="shared" si="1"/>
        <v>0.33333333333333331</v>
      </c>
      <c r="E54" s="31">
        <f t="shared" si="2"/>
        <v>6.6666666666666662E-3</v>
      </c>
      <c r="F54" s="31">
        <f t="shared" si="3"/>
        <v>2.6666666666666665E-2</v>
      </c>
    </row>
    <row r="55" spans="2:6">
      <c r="B55" s="31">
        <v>5</v>
      </c>
      <c r="C55" s="31">
        <v>0.01</v>
      </c>
      <c r="D55" s="31">
        <f t="shared" si="1"/>
        <v>0.33333333333333331</v>
      </c>
      <c r="E55" s="31">
        <f t="shared" si="2"/>
        <v>3.3333333333333331E-3</v>
      </c>
      <c r="F55" s="31">
        <f t="shared" si="3"/>
        <v>1.6666666666666666E-2</v>
      </c>
    </row>
    <row r="56" spans="2:6">
      <c r="B56" s="32" t="s">
        <v>6</v>
      </c>
      <c r="C56" s="32">
        <f>+SUM(C51:C55)</f>
        <v>0.35000000000000003</v>
      </c>
      <c r="D56" s="32"/>
      <c r="E56" s="32">
        <f>+SUM(E51:E55)</f>
        <v>0.11666666666666665</v>
      </c>
      <c r="F56" s="32">
        <f>+SUM(F51:F55)</f>
        <v>0.20666666666666667</v>
      </c>
    </row>
    <row r="57" spans="2:6" s="29" customFormat="1">
      <c r="B57" s="33"/>
      <c r="C57" s="33"/>
      <c r="D57" s="33"/>
      <c r="E57" s="33"/>
      <c r="F57" s="33"/>
    </row>
    <row r="58" spans="2:6">
      <c r="B58" s="30" t="s">
        <v>39</v>
      </c>
      <c r="C58" s="30" t="s">
        <v>44</v>
      </c>
      <c r="D58" s="29"/>
      <c r="E58" s="29"/>
    </row>
    <row r="59" spans="2:6">
      <c r="B59" s="34" t="s">
        <v>31</v>
      </c>
      <c r="C59" s="34" t="s">
        <v>33</v>
      </c>
      <c r="D59" s="28" t="s">
        <v>42</v>
      </c>
      <c r="E59" s="34" t="s">
        <v>43</v>
      </c>
      <c r="F59" s="34" t="s">
        <v>1</v>
      </c>
    </row>
    <row r="60" spans="2:6">
      <c r="B60" s="31">
        <v>1</v>
      </c>
      <c r="C60" s="31">
        <v>0.2</v>
      </c>
      <c r="D60" s="31">
        <f>50/75</f>
        <v>0.66666666666666663</v>
      </c>
      <c r="E60" s="31">
        <f>+C60*D60</f>
        <v>0.13333333333333333</v>
      </c>
      <c r="F60" s="31">
        <f>+E60*B60</f>
        <v>0.13333333333333333</v>
      </c>
    </row>
    <row r="61" spans="2:6">
      <c r="B61" s="31">
        <v>2</v>
      </c>
      <c r="C61" s="31">
        <v>7.0000000000000007E-2</v>
      </c>
      <c r="D61" s="31">
        <f t="shared" ref="D61:D64" si="4">50/75</f>
        <v>0.66666666666666663</v>
      </c>
      <c r="E61" s="31">
        <f t="shared" ref="E61:E64" si="5">+C61*D61</f>
        <v>4.6666666666666669E-2</v>
      </c>
      <c r="F61" s="31">
        <f t="shared" ref="F61:F64" si="6">+E61*B61</f>
        <v>9.3333333333333338E-2</v>
      </c>
    </row>
    <row r="62" spans="2:6">
      <c r="B62" s="31">
        <v>3</v>
      </c>
      <c r="C62" s="31">
        <v>0.05</v>
      </c>
      <c r="D62" s="31">
        <f t="shared" si="4"/>
        <v>0.66666666666666663</v>
      </c>
      <c r="E62" s="31">
        <f t="shared" si="5"/>
        <v>3.3333333333333333E-2</v>
      </c>
      <c r="F62" s="31">
        <f t="shared" si="6"/>
        <v>0.1</v>
      </c>
    </row>
    <row r="63" spans="2:6">
      <c r="B63" s="31">
        <v>4</v>
      </c>
      <c r="C63" s="31">
        <v>0.02</v>
      </c>
      <c r="D63" s="31">
        <f t="shared" si="4"/>
        <v>0.66666666666666663</v>
      </c>
      <c r="E63" s="31">
        <f t="shared" si="5"/>
        <v>1.3333333333333332E-2</v>
      </c>
      <c r="F63" s="31">
        <f t="shared" si="6"/>
        <v>5.333333333333333E-2</v>
      </c>
    </row>
    <row r="64" spans="2:6">
      <c r="B64" s="31">
        <v>5</v>
      </c>
      <c r="C64" s="31">
        <v>0.01</v>
      </c>
      <c r="D64" s="31">
        <f t="shared" si="4"/>
        <v>0.66666666666666663</v>
      </c>
      <c r="E64" s="31">
        <f t="shared" si="5"/>
        <v>6.6666666666666662E-3</v>
      </c>
      <c r="F64" s="31">
        <f t="shared" si="6"/>
        <v>3.3333333333333333E-2</v>
      </c>
    </row>
    <row r="65" spans="1:6">
      <c r="B65" s="32" t="s">
        <v>6</v>
      </c>
      <c r="C65" s="32">
        <f>+SUM(C60:C64)</f>
        <v>0.35000000000000003</v>
      </c>
      <c r="D65" s="32"/>
      <c r="E65" s="32">
        <f>+SUM(E60:E64)</f>
        <v>0.23333333333333331</v>
      </c>
      <c r="F65" s="32">
        <f>+SUM(F60:F64)</f>
        <v>0.41333333333333333</v>
      </c>
    </row>
    <row r="68" spans="1:6">
      <c r="A68" s="29" t="s">
        <v>45</v>
      </c>
    </row>
    <row r="69" spans="1:6">
      <c r="A69" s="29" t="s">
        <v>46</v>
      </c>
    </row>
    <row r="70" spans="1:6">
      <c r="A70" s="29" t="s">
        <v>47</v>
      </c>
    </row>
  </sheetData>
  <mergeCells count="3">
    <mergeCell ref="A1:E1"/>
    <mergeCell ref="A19:E19"/>
    <mergeCell ref="A8:E8"/>
  </mergeCells>
  <pageMargins left="0.7" right="0.7" top="0.75" bottom="0.75" header="0.3" footer="0.3"/>
  <pageSetup orientation="portrait" horizontalDpi="360" verticalDpi="360" r:id="rId1"/>
  <ignoredErrors>
    <ignoredError sqref="D12:D14" formulaRange="1"/>
  </ignoredErrors>
</worksheet>
</file>

<file path=xl/worksheets/sheet28.xml><?xml version="1.0" encoding="utf-8"?>
<worksheet xmlns="http://schemas.openxmlformats.org/spreadsheetml/2006/main" xmlns:r="http://schemas.openxmlformats.org/officeDocument/2006/relationships">
  <sheetPr codeName="Hoja7"/>
  <dimension ref="A1:F70"/>
  <sheetViews>
    <sheetView workbookViewId="0">
      <selection sqref="A1:E1"/>
    </sheetView>
  </sheetViews>
  <sheetFormatPr baseColWidth="10" defaultRowHeight="14.4"/>
  <cols>
    <col min="2" max="2" width="25.21875" bestFit="1" customWidth="1"/>
    <col min="3" max="3" width="18" bestFit="1" customWidth="1"/>
    <col min="4" max="4" width="15.5546875" bestFit="1" customWidth="1"/>
    <col min="5" max="5" width="25.5546875" customWidth="1"/>
  </cols>
  <sheetData>
    <row r="1" spans="1:5" ht="18">
      <c r="A1" s="116" t="s">
        <v>72</v>
      </c>
      <c r="B1" s="116"/>
      <c r="C1" s="116"/>
      <c r="D1" s="116"/>
      <c r="E1" s="116"/>
    </row>
    <row r="2" spans="1:5">
      <c r="A2" s="66" t="s">
        <v>22</v>
      </c>
      <c r="B2" s="66"/>
      <c r="C2" s="66"/>
      <c r="D2" s="66"/>
      <c r="E2" s="66"/>
    </row>
    <row r="3" spans="1:5">
      <c r="A3" s="79" t="s">
        <v>71</v>
      </c>
      <c r="B3" s="66"/>
      <c r="C3" s="66"/>
      <c r="D3" s="66"/>
      <c r="E3" s="66"/>
    </row>
    <row r="4" spans="1:5">
      <c r="A4" s="66" t="s">
        <v>25</v>
      </c>
      <c r="B4" s="66"/>
      <c r="C4" s="66"/>
      <c r="D4" s="66"/>
      <c r="E4" s="66"/>
    </row>
    <row r="5" spans="1:5">
      <c r="A5" s="66" t="s">
        <v>26</v>
      </c>
      <c r="B5" s="66"/>
      <c r="C5" s="66"/>
      <c r="D5" s="66"/>
      <c r="E5" s="66"/>
    </row>
    <row r="6" spans="1:5">
      <c r="A6" s="68" t="s">
        <v>49</v>
      </c>
      <c r="B6" s="66"/>
      <c r="C6" s="66"/>
      <c r="D6" s="66"/>
      <c r="E6" s="66"/>
    </row>
    <row r="8" spans="1:5" ht="18">
      <c r="A8" s="117" t="s">
        <v>21</v>
      </c>
      <c r="B8" s="117"/>
      <c r="C8" s="117"/>
      <c r="D8" s="117"/>
      <c r="E8" s="117"/>
    </row>
    <row r="10" spans="1:5">
      <c r="A10" s="68" t="s">
        <v>10</v>
      </c>
      <c r="B10" s="70" t="s">
        <v>21</v>
      </c>
      <c r="C10" s="70" t="s">
        <v>11</v>
      </c>
      <c r="D10" s="70" t="s">
        <v>20</v>
      </c>
      <c r="E10" s="70" t="s">
        <v>1</v>
      </c>
    </row>
    <row r="11" spans="1:5">
      <c r="A11" s="66"/>
      <c r="B11" s="107">
        <v>1</v>
      </c>
      <c r="C11" s="69">
        <v>0.5</v>
      </c>
      <c r="D11" s="69">
        <v>0.5</v>
      </c>
      <c r="E11" s="69">
        <v>0.5</v>
      </c>
    </row>
    <row r="12" spans="1:5">
      <c r="A12" s="66"/>
      <c r="B12" s="107">
        <v>2</v>
      </c>
      <c r="C12" s="69">
        <v>0.2</v>
      </c>
      <c r="D12" s="69">
        <v>0.7</v>
      </c>
      <c r="E12" s="69">
        <v>0.4</v>
      </c>
    </row>
    <row r="13" spans="1:5">
      <c r="A13" s="66"/>
      <c r="B13" s="107">
        <v>3</v>
      </c>
      <c r="C13" s="69">
        <v>0.01</v>
      </c>
      <c r="D13" s="69">
        <v>0.71</v>
      </c>
      <c r="E13" s="69">
        <v>0.03</v>
      </c>
    </row>
    <row r="14" spans="1:5">
      <c r="A14" s="66"/>
      <c r="B14" s="107">
        <v>4</v>
      </c>
      <c r="C14" s="69">
        <v>5.0000000000000001E-3</v>
      </c>
      <c r="D14" s="69">
        <v>0.71499999999999997</v>
      </c>
      <c r="E14" s="69">
        <v>0.02</v>
      </c>
    </row>
    <row r="15" spans="1:5">
      <c r="A15" s="66"/>
      <c r="B15" s="71" t="s">
        <v>12</v>
      </c>
      <c r="C15" s="71">
        <v>0.71499999999999997</v>
      </c>
      <c r="D15" s="71"/>
      <c r="E15" s="72">
        <v>0.95000000000000007</v>
      </c>
    </row>
    <row r="16" spans="1:5">
      <c r="A16" s="66"/>
      <c r="B16" s="73" t="s">
        <v>13</v>
      </c>
      <c r="C16" s="66"/>
      <c r="D16" s="66"/>
      <c r="E16" s="66"/>
    </row>
    <row r="19" spans="1:5" ht="18">
      <c r="A19" s="117" t="s">
        <v>27</v>
      </c>
      <c r="B19" s="117"/>
      <c r="C19" s="117"/>
      <c r="D19" s="117"/>
      <c r="E19" s="117"/>
    </row>
    <row r="20" spans="1:5" ht="15" thickBot="1">
      <c r="A20" s="66"/>
      <c r="B20" s="66"/>
      <c r="C20" s="66"/>
      <c r="D20" s="66"/>
      <c r="E20" s="66"/>
    </row>
    <row r="21" spans="1:5" ht="15" thickBot="1">
      <c r="A21" s="75" t="s">
        <v>24</v>
      </c>
      <c r="B21" s="76">
        <v>50</v>
      </c>
      <c r="C21" s="66"/>
      <c r="D21" s="66"/>
      <c r="E21" s="66"/>
    </row>
    <row r="22" spans="1:5">
      <c r="A22" s="74" t="s">
        <v>51</v>
      </c>
      <c r="B22" s="77"/>
      <c r="C22" s="66"/>
      <c r="D22" s="66"/>
      <c r="E22" s="66"/>
    </row>
    <row r="23" spans="1:5">
      <c r="A23" s="66" t="s">
        <v>29</v>
      </c>
      <c r="B23" s="66"/>
      <c r="C23" s="66"/>
      <c r="D23" s="66"/>
      <c r="E23" s="66"/>
    </row>
    <row r="24" spans="1:5">
      <c r="A24" s="66" t="s">
        <v>28</v>
      </c>
      <c r="B24" s="66"/>
      <c r="C24" s="66"/>
      <c r="D24" s="66"/>
      <c r="E24" s="66"/>
    </row>
    <row r="25" spans="1:5">
      <c r="A25" s="67" t="s">
        <v>30</v>
      </c>
      <c r="B25" s="66"/>
      <c r="C25" s="66"/>
      <c r="D25" s="66"/>
      <c r="E25" s="66"/>
    </row>
    <row r="26" spans="1:5">
      <c r="A26" s="67" t="s">
        <v>40</v>
      </c>
      <c r="B26" s="66"/>
      <c r="C26" s="66"/>
      <c r="D26" s="66"/>
      <c r="E26" s="66"/>
    </row>
    <row r="28" spans="1:5">
      <c r="A28" s="68" t="s">
        <v>14</v>
      </c>
      <c r="B28" s="70" t="s">
        <v>31</v>
      </c>
      <c r="C28" s="70" t="s">
        <v>33</v>
      </c>
      <c r="D28" s="70" t="s">
        <v>1</v>
      </c>
      <c r="E28" s="66"/>
    </row>
    <row r="29" spans="1:5">
      <c r="A29" s="66"/>
      <c r="B29" s="69">
        <v>1</v>
      </c>
      <c r="C29" s="69">
        <v>0.16</v>
      </c>
      <c r="D29" s="69">
        <v>0.16</v>
      </c>
      <c r="E29" s="66"/>
    </row>
    <row r="30" spans="1:5">
      <c r="A30" s="66"/>
      <c r="B30" s="69">
        <v>2</v>
      </c>
      <c r="C30" s="69">
        <v>7.0000000000000007E-2</v>
      </c>
      <c r="D30" s="69">
        <v>0.14000000000000001</v>
      </c>
      <c r="E30" s="66"/>
    </row>
    <row r="31" spans="1:5">
      <c r="A31" s="66"/>
      <c r="B31" s="69">
        <v>3</v>
      </c>
      <c r="C31" s="69">
        <v>7.0000000000000007E-2</v>
      </c>
      <c r="D31" s="69">
        <v>0.21000000000000002</v>
      </c>
      <c r="E31" s="66"/>
    </row>
    <row r="32" spans="1:5">
      <c r="A32" s="66"/>
      <c r="B32" s="69">
        <v>4</v>
      </c>
      <c r="C32" s="69">
        <v>0.06</v>
      </c>
      <c r="D32" s="69">
        <v>0.24</v>
      </c>
      <c r="E32" s="66"/>
    </row>
    <row r="33" spans="1:5">
      <c r="A33" s="66"/>
      <c r="B33" s="69">
        <v>5</v>
      </c>
      <c r="C33" s="69">
        <v>0.04</v>
      </c>
      <c r="D33" s="69">
        <v>0.2</v>
      </c>
      <c r="E33" s="66"/>
    </row>
    <row r="34" spans="1:5">
      <c r="A34" s="66"/>
      <c r="B34" s="71" t="s">
        <v>6</v>
      </c>
      <c r="C34" s="71">
        <v>0.4</v>
      </c>
      <c r="D34" s="71">
        <v>0.95</v>
      </c>
      <c r="E34" s="66" t="s">
        <v>48</v>
      </c>
    </row>
    <row r="36" spans="1:5">
      <c r="A36" s="66" t="s">
        <v>32</v>
      </c>
      <c r="B36" s="66"/>
      <c r="C36" s="66"/>
      <c r="D36" s="66"/>
      <c r="E36" s="66"/>
    </row>
    <row r="38" spans="1:5">
      <c r="A38" s="68" t="s">
        <v>15</v>
      </c>
      <c r="B38" s="70" t="s">
        <v>31</v>
      </c>
      <c r="C38" s="70" t="s">
        <v>33</v>
      </c>
      <c r="D38" s="70" t="s">
        <v>1</v>
      </c>
      <c r="E38" s="66"/>
    </row>
    <row r="39" spans="1:5">
      <c r="A39" s="66"/>
      <c r="B39" s="69">
        <v>1</v>
      </c>
      <c r="C39" s="69">
        <v>0.95</v>
      </c>
      <c r="D39" s="69">
        <v>0.95</v>
      </c>
      <c r="E39" s="66"/>
    </row>
    <row r="40" spans="1:5">
      <c r="A40" s="66"/>
      <c r="B40" s="71" t="s">
        <v>6</v>
      </c>
      <c r="C40" s="71">
        <v>0.95</v>
      </c>
      <c r="D40" s="71">
        <v>0.95</v>
      </c>
      <c r="E40" s="66"/>
    </row>
    <row r="42" spans="1:5">
      <c r="A42" s="68" t="s">
        <v>34</v>
      </c>
      <c r="B42" s="66"/>
      <c r="C42" s="66"/>
      <c r="D42" s="66"/>
      <c r="E42" s="66"/>
    </row>
    <row r="43" spans="1:5">
      <c r="A43" s="66" t="s">
        <v>35</v>
      </c>
      <c r="B43" s="66"/>
      <c r="C43" s="66"/>
      <c r="D43" s="66"/>
      <c r="E43" s="66"/>
    </row>
    <row r="44" spans="1:5">
      <c r="A44" s="66" t="s">
        <v>36</v>
      </c>
      <c r="B44" s="66"/>
      <c r="C44" s="66"/>
      <c r="D44" s="66"/>
      <c r="E44" s="66"/>
    </row>
    <row r="45" spans="1:5">
      <c r="A45" s="67" t="s">
        <v>37</v>
      </c>
      <c r="B45" s="66"/>
      <c r="C45" s="66"/>
      <c r="D45" s="66"/>
      <c r="E45" s="66"/>
    </row>
    <row r="47" spans="1:5">
      <c r="A47" s="66" t="s">
        <v>50</v>
      </c>
      <c r="B47" s="66"/>
      <c r="C47" s="66"/>
      <c r="D47" s="66"/>
      <c r="E47" s="66"/>
    </row>
    <row r="49" spans="2:6">
      <c r="B49" s="68" t="s">
        <v>38</v>
      </c>
      <c r="C49" s="68" t="s">
        <v>41</v>
      </c>
      <c r="D49" s="66"/>
      <c r="E49" s="66"/>
      <c r="F49" s="66"/>
    </row>
    <row r="50" spans="2:6">
      <c r="B50" s="70" t="s">
        <v>31</v>
      </c>
      <c r="C50" s="70" t="s">
        <v>33</v>
      </c>
      <c r="D50" s="78" t="s">
        <v>42</v>
      </c>
      <c r="E50" s="70" t="s">
        <v>43</v>
      </c>
      <c r="F50" s="70" t="s">
        <v>1</v>
      </c>
    </row>
    <row r="51" spans="2:6">
      <c r="B51" s="69">
        <v>1</v>
      </c>
      <c r="C51" s="69">
        <v>0.16</v>
      </c>
      <c r="D51" s="69">
        <v>0.33333333333333331</v>
      </c>
      <c r="E51" s="69">
        <v>5.333333333333333E-2</v>
      </c>
      <c r="F51" s="69">
        <v>5.333333333333333E-2</v>
      </c>
    </row>
    <row r="52" spans="2:6">
      <c r="B52" s="69">
        <v>2</v>
      </c>
      <c r="C52" s="69">
        <v>7.0000000000000007E-2</v>
      </c>
      <c r="D52" s="69">
        <v>0.33333333333333331</v>
      </c>
      <c r="E52" s="69">
        <v>2.3333333333333334E-2</v>
      </c>
      <c r="F52" s="69">
        <v>4.6666666666666669E-2</v>
      </c>
    </row>
    <row r="53" spans="2:6">
      <c r="B53" s="69">
        <v>3</v>
      </c>
      <c r="C53" s="69">
        <v>7.0000000000000007E-2</v>
      </c>
      <c r="D53" s="69">
        <v>0.33333333333333331</v>
      </c>
      <c r="E53" s="69">
        <v>2.3333333333333334E-2</v>
      </c>
      <c r="F53" s="69">
        <v>7.0000000000000007E-2</v>
      </c>
    </row>
    <row r="54" spans="2:6">
      <c r="B54" s="69">
        <v>4</v>
      </c>
      <c r="C54" s="69">
        <v>0.06</v>
      </c>
      <c r="D54" s="69">
        <v>0.33333333333333331</v>
      </c>
      <c r="E54" s="69">
        <v>1.9999999999999997E-2</v>
      </c>
      <c r="F54" s="69">
        <v>7.9999999999999988E-2</v>
      </c>
    </row>
    <row r="55" spans="2:6">
      <c r="B55" s="69">
        <v>5</v>
      </c>
      <c r="C55" s="69">
        <v>0.04</v>
      </c>
      <c r="D55" s="69">
        <v>0.33333333333333331</v>
      </c>
      <c r="E55" s="69">
        <v>1.3333333333333332E-2</v>
      </c>
      <c r="F55" s="69">
        <v>6.6666666666666666E-2</v>
      </c>
    </row>
    <row r="56" spans="2:6">
      <c r="B56" s="71" t="s">
        <v>6</v>
      </c>
      <c r="C56" s="71">
        <v>0.4</v>
      </c>
      <c r="D56" s="71"/>
      <c r="E56" s="71">
        <v>0.13333333333333333</v>
      </c>
      <c r="F56" s="71">
        <v>0.31666666666666665</v>
      </c>
    </row>
    <row r="57" spans="2:6">
      <c r="B57" s="74"/>
      <c r="C57" s="74"/>
      <c r="D57" s="74"/>
      <c r="E57" s="74"/>
      <c r="F57" s="74"/>
    </row>
    <row r="58" spans="2:6">
      <c r="B58" s="68" t="s">
        <v>39</v>
      </c>
      <c r="C58" s="68" t="s">
        <v>44</v>
      </c>
      <c r="D58" s="66"/>
      <c r="E58" s="66"/>
      <c r="F58" s="66"/>
    </row>
    <row r="59" spans="2:6">
      <c r="B59" s="70" t="s">
        <v>31</v>
      </c>
      <c r="C59" s="70" t="s">
        <v>33</v>
      </c>
      <c r="D59" s="78" t="s">
        <v>42</v>
      </c>
      <c r="E59" s="70" t="s">
        <v>43</v>
      </c>
      <c r="F59" s="70" t="s">
        <v>1</v>
      </c>
    </row>
    <row r="60" spans="2:6">
      <c r="B60" s="69">
        <v>1</v>
      </c>
      <c r="C60" s="69">
        <v>0.16</v>
      </c>
      <c r="D60" s="69">
        <v>0.66666666666666663</v>
      </c>
      <c r="E60" s="69">
        <v>0.10666666666666666</v>
      </c>
      <c r="F60" s="69">
        <v>0.10666666666666666</v>
      </c>
    </row>
    <row r="61" spans="2:6">
      <c r="B61" s="69">
        <v>2</v>
      </c>
      <c r="C61" s="69">
        <v>7.0000000000000007E-2</v>
      </c>
      <c r="D61" s="69">
        <v>0.66666666666666663</v>
      </c>
      <c r="E61" s="69">
        <v>4.6666666666666669E-2</v>
      </c>
      <c r="F61" s="69">
        <v>9.3333333333333338E-2</v>
      </c>
    </row>
    <row r="62" spans="2:6">
      <c r="B62" s="69">
        <v>3</v>
      </c>
      <c r="C62" s="69">
        <v>7.0000000000000007E-2</v>
      </c>
      <c r="D62" s="69">
        <v>0.66666666666666663</v>
      </c>
      <c r="E62" s="69">
        <v>4.6666666666666669E-2</v>
      </c>
      <c r="F62" s="69">
        <v>0.14000000000000001</v>
      </c>
    </row>
    <row r="63" spans="2:6">
      <c r="B63" s="69">
        <v>4</v>
      </c>
      <c r="C63" s="69">
        <v>0.06</v>
      </c>
      <c r="D63" s="69">
        <v>0.66666666666666663</v>
      </c>
      <c r="E63" s="69">
        <v>3.9999999999999994E-2</v>
      </c>
      <c r="F63" s="69">
        <v>0.15999999999999998</v>
      </c>
    </row>
    <row r="64" spans="2:6">
      <c r="B64" s="69">
        <v>5</v>
      </c>
      <c r="C64" s="69">
        <v>0.04</v>
      </c>
      <c r="D64" s="69">
        <v>0.66666666666666663</v>
      </c>
      <c r="E64" s="69">
        <v>2.6666666666666665E-2</v>
      </c>
      <c r="F64" s="69">
        <v>0.13333333333333333</v>
      </c>
    </row>
    <row r="65" spans="1:6">
      <c r="A65" s="66"/>
      <c r="B65" s="71" t="s">
        <v>6</v>
      </c>
      <c r="C65" s="71">
        <v>0.4</v>
      </c>
      <c r="D65" s="71"/>
      <c r="E65" s="71">
        <v>0.26666666666666666</v>
      </c>
      <c r="F65" s="71">
        <v>0.6333333333333333</v>
      </c>
    </row>
    <row r="68" spans="1:6">
      <c r="A68" s="66" t="s">
        <v>45</v>
      </c>
      <c r="B68" s="66"/>
      <c r="C68" s="66"/>
      <c r="D68" s="66"/>
      <c r="E68" s="66"/>
      <c r="F68" s="66"/>
    </row>
    <row r="69" spans="1:6">
      <c r="A69" s="66" t="s">
        <v>46</v>
      </c>
      <c r="B69" s="66"/>
      <c r="C69" s="66"/>
      <c r="D69" s="66"/>
      <c r="E69" s="66"/>
      <c r="F69" s="66"/>
    </row>
    <row r="70" spans="1:6">
      <c r="A70" s="66" t="s">
        <v>47</v>
      </c>
      <c r="B70" s="66"/>
      <c r="C70" s="66"/>
      <c r="D70" s="66"/>
      <c r="E70" s="66"/>
      <c r="F70" s="66"/>
    </row>
  </sheetData>
  <mergeCells count="3">
    <mergeCell ref="A1:E1"/>
    <mergeCell ref="A8:E8"/>
    <mergeCell ref="A19:E19"/>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H19"/>
  <sheetViews>
    <sheetView workbookViewId="0">
      <selection sqref="A1:E1"/>
    </sheetView>
  </sheetViews>
  <sheetFormatPr baseColWidth="10" defaultRowHeight="14.4"/>
  <cols>
    <col min="1" max="1" width="40.6640625" style="79" customWidth="1"/>
    <col min="2" max="2" width="25.21875" style="79" bestFit="1" customWidth="1"/>
    <col min="3" max="3" width="11.5546875" style="79"/>
    <col min="4" max="4" width="15.5546875" style="79" bestFit="1" customWidth="1"/>
    <col min="5" max="5" width="11.5546875" style="79"/>
    <col min="6" max="6" width="13.33203125" style="79" customWidth="1"/>
    <col min="7" max="7" width="15.88671875" style="79" customWidth="1"/>
    <col min="8" max="8" width="12" style="79" customWidth="1"/>
    <col min="9" max="16384" width="11.5546875" style="79"/>
  </cols>
  <sheetData>
    <row r="1" spans="1:8" ht="18">
      <c r="A1" s="116" t="s">
        <v>104</v>
      </c>
      <c r="B1" s="116"/>
      <c r="C1" s="116"/>
      <c r="D1" s="116"/>
      <c r="E1" s="116"/>
    </row>
    <row r="2" spans="1:8">
      <c r="A2" s="89" t="s">
        <v>101</v>
      </c>
    </row>
    <row r="4" spans="1:8">
      <c r="A4" s="82" t="s">
        <v>10</v>
      </c>
      <c r="B4" s="84" t="s">
        <v>88</v>
      </c>
      <c r="C4" s="84" t="s">
        <v>11</v>
      </c>
      <c r="D4" s="84" t="s">
        <v>20</v>
      </c>
      <c r="E4" s="84" t="s">
        <v>9</v>
      </c>
      <c r="F4" s="84" t="s">
        <v>1</v>
      </c>
    </row>
    <row r="5" spans="1:8">
      <c r="A5" s="79" t="s">
        <v>95</v>
      </c>
      <c r="B5" s="111">
        <v>1</v>
      </c>
      <c r="C5" s="52">
        <v>0.32</v>
      </c>
      <c r="D5" s="80">
        <f>+SUM($C$5:C5)</f>
        <v>0.32</v>
      </c>
      <c r="E5" s="80">
        <f>+Summary!E27</f>
        <v>2</v>
      </c>
      <c r="F5" s="80">
        <f>+C5*E5</f>
        <v>0.64</v>
      </c>
    </row>
    <row r="6" spans="1:8">
      <c r="B6" s="111">
        <v>2</v>
      </c>
      <c r="C6" s="52">
        <v>6.9999999999999993E-2</v>
      </c>
      <c r="D6" s="80">
        <f>+SUM($C$5:C6)</f>
        <v>0.39</v>
      </c>
      <c r="E6" s="80">
        <f>+Summary!E28</f>
        <v>3</v>
      </c>
      <c r="F6" s="80">
        <f t="shared" ref="F6:F7" si="0">+C6*E6</f>
        <v>0.20999999999999996</v>
      </c>
    </row>
    <row r="7" spans="1:8">
      <c r="B7" s="111" t="s">
        <v>89</v>
      </c>
      <c r="C7" s="52">
        <v>0.02</v>
      </c>
      <c r="D7" s="80">
        <f>+SUM($C$5:C7)</f>
        <v>0.41000000000000003</v>
      </c>
      <c r="E7" s="80">
        <f>+E5+E6</f>
        <v>5</v>
      </c>
      <c r="F7" s="80">
        <f t="shared" si="0"/>
        <v>0.1</v>
      </c>
      <c r="G7" s="79" t="s">
        <v>94</v>
      </c>
      <c r="H7" s="113"/>
    </row>
    <row r="8" spans="1:8">
      <c r="B8" s="86" t="s">
        <v>12</v>
      </c>
      <c r="C8" s="86">
        <f>+SUM(C5:C7)</f>
        <v>0.41000000000000003</v>
      </c>
      <c r="D8" s="86"/>
      <c r="E8" s="86"/>
      <c r="F8" s="72">
        <f>+SUM(F5:F7)</f>
        <v>0.95</v>
      </c>
    </row>
    <row r="9" spans="1:8">
      <c r="B9" s="87" t="s">
        <v>93</v>
      </c>
    </row>
    <row r="12" spans="1:8">
      <c r="A12" s="82" t="s">
        <v>18</v>
      </c>
      <c r="B12" s="84" t="s">
        <v>88</v>
      </c>
      <c r="C12" s="84" t="s">
        <v>11</v>
      </c>
      <c r="D12" s="84" t="s">
        <v>20</v>
      </c>
      <c r="E12" s="84" t="s">
        <v>9</v>
      </c>
      <c r="F12" s="84" t="s">
        <v>1</v>
      </c>
    </row>
    <row r="13" spans="1:8">
      <c r="A13" s="79" t="s">
        <v>96</v>
      </c>
      <c r="B13" s="110">
        <v>1</v>
      </c>
      <c r="C13" s="83">
        <v>0.47499999999999998</v>
      </c>
      <c r="D13" s="83">
        <f>+SUM(C13:$C$13)</f>
        <v>0.47499999999999998</v>
      </c>
      <c r="E13" s="83">
        <f>+E5</f>
        <v>2</v>
      </c>
      <c r="F13" s="83">
        <f>+E13*C13</f>
        <v>0.95</v>
      </c>
      <c r="G13" s="79" t="s">
        <v>94</v>
      </c>
    </row>
    <row r="14" spans="1:8">
      <c r="A14" s="79" t="s">
        <v>98</v>
      </c>
      <c r="B14" s="86" t="s">
        <v>6</v>
      </c>
      <c r="C14" s="86">
        <f>+SUM(C13:C13)</f>
        <v>0.47499999999999998</v>
      </c>
      <c r="D14" s="86"/>
      <c r="E14" s="86"/>
      <c r="F14" s="91">
        <f>+SUM(F13:F13)</f>
        <v>0.95</v>
      </c>
    </row>
    <row r="17" spans="1:7">
      <c r="A17" s="82" t="s">
        <v>19</v>
      </c>
      <c r="B17" s="84" t="s">
        <v>88</v>
      </c>
      <c r="C17" s="84" t="s">
        <v>11</v>
      </c>
      <c r="D17" s="84" t="s">
        <v>20</v>
      </c>
      <c r="E17" s="84" t="s">
        <v>9</v>
      </c>
      <c r="F17" s="84" t="s">
        <v>1</v>
      </c>
    </row>
    <row r="18" spans="1:7">
      <c r="A18" s="79" t="s">
        <v>96</v>
      </c>
      <c r="B18" s="110">
        <v>2</v>
      </c>
      <c r="C18" s="83">
        <v>0.31666666666666599</v>
      </c>
      <c r="D18" s="83">
        <f>+SUM(C$18:$C18)</f>
        <v>0.31666666666666599</v>
      </c>
      <c r="E18" s="83">
        <f>+E6</f>
        <v>3</v>
      </c>
      <c r="F18" s="83">
        <f>+E18*C18</f>
        <v>0.94999999999999796</v>
      </c>
      <c r="G18" s="79" t="s">
        <v>94</v>
      </c>
    </row>
    <row r="19" spans="1:7">
      <c r="A19" s="79" t="s">
        <v>97</v>
      </c>
      <c r="B19" s="86" t="s">
        <v>6</v>
      </c>
      <c r="C19" s="86">
        <f>+SUM(C18:C18)</f>
        <v>0.31666666666666599</v>
      </c>
      <c r="D19" s="86"/>
      <c r="E19" s="86"/>
      <c r="F19" s="91">
        <f>+SUM(F18:F18)</f>
        <v>0.94999999999999796</v>
      </c>
    </row>
  </sheetData>
  <mergeCells count="1">
    <mergeCell ref="A1:E1"/>
  </mergeCells>
  <pageMargins left="0.7" right="0.7" top="0.75" bottom="0.75" header="0.3" footer="0.3"/>
  <pageSetup paperSize="9" orientation="portrait" horizontalDpi="200" verticalDpi="200" r:id="rId1"/>
</worksheet>
</file>

<file path=xl/worksheets/sheet30.xml><?xml version="1.0" encoding="utf-8"?>
<worksheet xmlns="http://schemas.openxmlformats.org/spreadsheetml/2006/main" xmlns:r="http://schemas.openxmlformats.org/officeDocument/2006/relationships">
  <sheetPr codeName="Hoja6"/>
  <dimension ref="A1:I49"/>
  <sheetViews>
    <sheetView workbookViewId="0">
      <selection sqref="A1:E1"/>
    </sheetView>
  </sheetViews>
  <sheetFormatPr baseColWidth="10" defaultRowHeight="14.4"/>
  <cols>
    <col min="1" max="1" width="40.6640625" style="79" customWidth="1"/>
    <col min="2" max="2" width="25.21875" style="79" bestFit="1" customWidth="1"/>
    <col min="3" max="3" width="11.5546875" style="79"/>
    <col min="4" max="4" width="15.5546875" style="79" bestFit="1" customWidth="1"/>
    <col min="5" max="5" width="11.5546875" style="79"/>
    <col min="6" max="6" width="13.33203125" style="79" customWidth="1"/>
    <col min="7" max="7" width="15.109375" style="79" customWidth="1"/>
    <col min="8" max="8" width="11.5546875" style="79"/>
    <col min="9" max="9" width="12.5546875" style="79" bestFit="1" customWidth="1"/>
    <col min="10" max="16384" width="11.5546875" style="79"/>
  </cols>
  <sheetData>
    <row r="1" spans="1:7" ht="18">
      <c r="A1" s="116" t="s">
        <v>109</v>
      </c>
      <c r="B1" s="116"/>
      <c r="C1" s="116"/>
      <c r="D1" s="116"/>
      <c r="E1" s="116"/>
    </row>
    <row r="2" spans="1:7">
      <c r="A2" s="89" t="s">
        <v>101</v>
      </c>
    </row>
    <row r="4" spans="1:7">
      <c r="A4" s="82" t="s">
        <v>10</v>
      </c>
      <c r="B4" s="84" t="s">
        <v>88</v>
      </c>
      <c r="C4" s="84" t="s">
        <v>11</v>
      </c>
      <c r="D4" s="84" t="s">
        <v>20</v>
      </c>
      <c r="E4" s="84" t="s">
        <v>9</v>
      </c>
      <c r="F4" s="84" t="s">
        <v>1</v>
      </c>
    </row>
    <row r="5" spans="1:7">
      <c r="A5" s="79" t="s">
        <v>95</v>
      </c>
      <c r="B5" s="111">
        <v>1</v>
      </c>
      <c r="C5" s="80">
        <v>0.17499999999999999</v>
      </c>
      <c r="D5" s="80">
        <f>+SUM($C$5:C5)</f>
        <v>0.17499999999999999</v>
      </c>
      <c r="E5" s="80">
        <f>+Summary!H27</f>
        <v>2</v>
      </c>
      <c r="F5" s="80">
        <f>+C5*E5</f>
        <v>0.35</v>
      </c>
    </row>
    <row r="6" spans="1:7">
      <c r="B6" s="111">
        <v>2</v>
      </c>
      <c r="C6" s="80">
        <v>0.17499999999999999</v>
      </c>
      <c r="D6" s="80">
        <f>+SUM($C$5:C6)</f>
        <v>0.35</v>
      </c>
      <c r="E6" s="80">
        <f>+Summary!H28</f>
        <v>2</v>
      </c>
      <c r="F6" s="80">
        <f t="shared" ref="F6:F11" si="0">+C6*E6</f>
        <v>0.35</v>
      </c>
    </row>
    <row r="7" spans="1:7">
      <c r="B7" s="111">
        <v>3</v>
      </c>
      <c r="C7" s="80">
        <v>1.0500000000000001E-2</v>
      </c>
      <c r="D7" s="80">
        <f>+SUM($C$5:C7)</f>
        <v>0.36049999999999999</v>
      </c>
      <c r="E7" s="80">
        <f>+Summary!H29</f>
        <v>4</v>
      </c>
      <c r="F7" s="80">
        <f t="shared" si="0"/>
        <v>4.2000000000000003E-2</v>
      </c>
    </row>
    <row r="8" spans="1:7">
      <c r="B8" s="111" t="s">
        <v>89</v>
      </c>
      <c r="C8" s="80">
        <v>0.02</v>
      </c>
      <c r="D8" s="80">
        <f>+SUM($C$5:C8)</f>
        <v>0.3805</v>
      </c>
      <c r="E8" s="80">
        <f>+E5+E6</f>
        <v>4</v>
      </c>
      <c r="F8" s="80">
        <f t="shared" si="0"/>
        <v>0.08</v>
      </c>
    </row>
    <row r="9" spans="1:7">
      <c r="B9" s="111" t="s">
        <v>90</v>
      </c>
      <c r="C9" s="80">
        <v>4.0000000000000001E-3</v>
      </c>
      <c r="D9" s="80">
        <f>+SUM($C$5:C9)</f>
        <v>0.38450000000000001</v>
      </c>
      <c r="E9" s="80">
        <f>+E5+E7</f>
        <v>6</v>
      </c>
      <c r="F9" s="80">
        <f t="shared" si="0"/>
        <v>2.4E-2</v>
      </c>
    </row>
    <row r="10" spans="1:7">
      <c r="B10" s="111" t="s">
        <v>91</v>
      </c>
      <c r="C10" s="80">
        <v>4.0000000000000001E-3</v>
      </c>
      <c r="D10" s="80">
        <f>+SUM($C$5:C10)</f>
        <v>0.38850000000000001</v>
      </c>
      <c r="E10" s="80">
        <f>+E6+E7</f>
        <v>6</v>
      </c>
      <c r="F10" s="80">
        <f t="shared" si="0"/>
        <v>2.4E-2</v>
      </c>
    </row>
    <row r="11" spans="1:7">
      <c r="B11" s="111" t="s">
        <v>92</v>
      </c>
      <c r="C11" s="80">
        <v>0.01</v>
      </c>
      <c r="D11" s="80">
        <f>+SUM($C$5:C11)</f>
        <v>0.39850000000000002</v>
      </c>
      <c r="E11" s="80">
        <f>+E5+E6+E7</f>
        <v>8</v>
      </c>
      <c r="F11" s="80">
        <f t="shared" si="0"/>
        <v>0.08</v>
      </c>
      <c r="G11" s="79" t="s">
        <v>94</v>
      </c>
    </row>
    <row r="12" spans="1:7">
      <c r="B12" s="86" t="s">
        <v>12</v>
      </c>
      <c r="C12" s="86">
        <f>+SUM(C5:C11)</f>
        <v>0.39850000000000002</v>
      </c>
      <c r="D12" s="86"/>
      <c r="E12" s="86"/>
      <c r="F12" s="93">
        <f>+SUM(F5:F11)</f>
        <v>0.95</v>
      </c>
    </row>
    <row r="13" spans="1:7">
      <c r="B13" s="87" t="s">
        <v>93</v>
      </c>
    </row>
    <row r="15" spans="1:7">
      <c r="A15" s="82" t="s">
        <v>14</v>
      </c>
      <c r="B15" s="84" t="s">
        <v>88</v>
      </c>
      <c r="C15" s="84" t="s">
        <v>11</v>
      </c>
      <c r="D15" s="84" t="s">
        <v>20</v>
      </c>
      <c r="E15" s="84" t="s">
        <v>9</v>
      </c>
      <c r="F15" s="84" t="s">
        <v>1</v>
      </c>
    </row>
    <row r="16" spans="1:7">
      <c r="A16" s="79" t="s">
        <v>96</v>
      </c>
      <c r="B16" s="110">
        <v>2</v>
      </c>
      <c r="C16" s="83">
        <v>0.40500000000000003</v>
      </c>
      <c r="D16" s="83">
        <f>+SUM(C16:$C$16)</f>
        <v>0.40500000000000003</v>
      </c>
      <c r="E16" s="83">
        <f>+E6</f>
        <v>2</v>
      </c>
      <c r="F16" s="83">
        <f>+C16*E16</f>
        <v>0.81</v>
      </c>
    </row>
    <row r="17" spans="1:9">
      <c r="A17" s="79" t="s">
        <v>97</v>
      </c>
      <c r="B17" s="110">
        <v>3</v>
      </c>
      <c r="C17" s="83">
        <v>0.02</v>
      </c>
      <c r="D17" s="83">
        <f>+SUM(C$16:$C17)</f>
        <v>0.42500000000000004</v>
      </c>
      <c r="E17" s="83">
        <f>+E7</f>
        <v>4</v>
      </c>
      <c r="F17" s="83">
        <f t="shared" ref="F17:F18" si="1">+C17*E17</f>
        <v>0.08</v>
      </c>
    </row>
    <row r="18" spans="1:9">
      <c r="B18" s="110" t="s">
        <v>91</v>
      </c>
      <c r="C18" s="83">
        <v>0.01</v>
      </c>
      <c r="D18" s="83">
        <f>+SUM(C$16:$C18)</f>
        <v>0.43500000000000005</v>
      </c>
      <c r="E18" s="83">
        <f>+E16+E17</f>
        <v>6</v>
      </c>
      <c r="F18" s="83">
        <f t="shared" si="1"/>
        <v>0.06</v>
      </c>
      <c r="G18" s="79" t="s">
        <v>94</v>
      </c>
    </row>
    <row r="19" spans="1:9">
      <c r="B19" s="86" t="s">
        <v>6</v>
      </c>
      <c r="C19" s="86">
        <f>+SUM(C16:C18)</f>
        <v>0.43500000000000005</v>
      </c>
      <c r="D19" s="86"/>
      <c r="E19" s="86"/>
      <c r="F19" s="91">
        <f>+SUM(F16:F18)</f>
        <v>0.95</v>
      </c>
    </row>
    <row r="20" spans="1:9">
      <c r="B20" s="90"/>
      <c r="C20" s="90"/>
      <c r="D20" s="90"/>
      <c r="E20" s="90"/>
      <c r="F20" s="85"/>
    </row>
    <row r="21" spans="1:9">
      <c r="B21" s="90"/>
      <c r="C21" s="90"/>
      <c r="D21" s="90"/>
      <c r="E21" s="90"/>
      <c r="F21" s="85"/>
    </row>
    <row r="22" spans="1:9">
      <c r="A22" s="82" t="s">
        <v>15</v>
      </c>
      <c r="B22" s="84" t="s">
        <v>88</v>
      </c>
      <c r="C22" s="84" t="s">
        <v>11</v>
      </c>
      <c r="D22" s="84" t="s">
        <v>20</v>
      </c>
      <c r="E22" s="84" t="s">
        <v>9</v>
      </c>
      <c r="F22" s="84" t="s">
        <v>1</v>
      </c>
    </row>
    <row r="23" spans="1:9">
      <c r="A23" s="79" t="s">
        <v>96</v>
      </c>
      <c r="B23" s="110">
        <v>1</v>
      </c>
      <c r="C23" s="83">
        <v>0.40500000000000003</v>
      </c>
      <c r="D23" s="83">
        <f>+SUM(C23:$C$23)</f>
        <v>0.40500000000000003</v>
      </c>
      <c r="E23" s="83">
        <f>+E5</f>
        <v>2</v>
      </c>
      <c r="F23" s="83">
        <f>+C23*E23</f>
        <v>0.81</v>
      </c>
    </row>
    <row r="24" spans="1:9">
      <c r="A24" s="79" t="s">
        <v>98</v>
      </c>
      <c r="B24" s="110">
        <v>3</v>
      </c>
      <c r="C24" s="83">
        <v>0.02</v>
      </c>
      <c r="D24" s="83">
        <f>+SUM(C$23:$C24)</f>
        <v>0.42500000000000004</v>
      </c>
      <c r="E24" s="83">
        <f>+E7</f>
        <v>4</v>
      </c>
      <c r="F24" s="83">
        <f t="shared" ref="F24:F25" si="2">+C24*E24</f>
        <v>0.08</v>
      </c>
    </row>
    <row r="25" spans="1:9">
      <c r="B25" s="110" t="s">
        <v>90</v>
      </c>
      <c r="C25" s="83">
        <v>0.01</v>
      </c>
      <c r="D25" s="83">
        <f>+SUM(C$23:$C25)</f>
        <v>0.43500000000000005</v>
      </c>
      <c r="E25" s="83">
        <f>+E23+E24</f>
        <v>6</v>
      </c>
      <c r="F25" s="83">
        <f t="shared" si="2"/>
        <v>0.06</v>
      </c>
      <c r="G25" s="79" t="s">
        <v>94</v>
      </c>
      <c r="I25" s="92"/>
    </row>
    <row r="26" spans="1:9">
      <c r="B26" s="86" t="s">
        <v>6</v>
      </c>
      <c r="C26" s="86">
        <f>+SUM(C23:C25)</f>
        <v>0.43500000000000005</v>
      </c>
      <c r="D26" s="86"/>
      <c r="E26" s="86"/>
      <c r="F26" s="91">
        <f>+SUM(F23:F25)</f>
        <v>0.95</v>
      </c>
    </row>
    <row r="27" spans="1:9">
      <c r="B27" s="90"/>
      <c r="C27" s="90"/>
      <c r="D27" s="90"/>
      <c r="E27" s="90"/>
      <c r="F27" s="85"/>
    </row>
    <row r="29" spans="1:9">
      <c r="A29" s="82" t="s">
        <v>16</v>
      </c>
      <c r="B29" s="84" t="s">
        <v>88</v>
      </c>
      <c r="C29" s="84" t="s">
        <v>11</v>
      </c>
      <c r="D29" s="84" t="s">
        <v>20</v>
      </c>
      <c r="E29" s="84" t="s">
        <v>9</v>
      </c>
      <c r="F29" s="84" t="s">
        <v>1</v>
      </c>
    </row>
    <row r="30" spans="1:9">
      <c r="A30" s="79" t="s">
        <v>96</v>
      </c>
      <c r="B30" s="110">
        <v>3</v>
      </c>
      <c r="C30" s="83">
        <v>0.23749999999999999</v>
      </c>
      <c r="D30" s="83">
        <f>+SUM(C30:$C$30)</f>
        <v>0.23749999999999999</v>
      </c>
      <c r="E30" s="83">
        <f>+E7</f>
        <v>4</v>
      </c>
      <c r="F30" s="83">
        <f>+C30*E30</f>
        <v>0.95</v>
      </c>
      <c r="G30" s="79" t="s">
        <v>94</v>
      </c>
    </row>
    <row r="31" spans="1:9">
      <c r="A31" s="79" t="s">
        <v>97</v>
      </c>
      <c r="B31" s="86" t="s">
        <v>6</v>
      </c>
      <c r="C31" s="86">
        <f>+SUM(C30:C30)</f>
        <v>0.23749999999999999</v>
      </c>
      <c r="D31" s="86"/>
      <c r="E31" s="86"/>
      <c r="F31" s="91">
        <f>+SUM(F30:F30)</f>
        <v>0.95</v>
      </c>
    </row>
    <row r="32" spans="1:9">
      <c r="A32" s="79" t="s">
        <v>98</v>
      </c>
    </row>
    <row r="34" spans="1:7">
      <c r="A34" s="82" t="s">
        <v>17</v>
      </c>
      <c r="B34" s="84" t="s">
        <v>88</v>
      </c>
      <c r="C34" s="84" t="s">
        <v>11</v>
      </c>
      <c r="D34" s="84" t="s">
        <v>20</v>
      </c>
      <c r="E34" s="84" t="s">
        <v>9</v>
      </c>
      <c r="F34" s="84" t="s">
        <v>1</v>
      </c>
    </row>
    <row r="35" spans="1:7">
      <c r="A35" s="79" t="s">
        <v>96</v>
      </c>
      <c r="B35" s="110">
        <v>1</v>
      </c>
      <c r="C35" s="83">
        <v>0.2</v>
      </c>
      <c r="D35" s="83">
        <f>+SUM(C35:$C$35)</f>
        <v>0.2</v>
      </c>
      <c r="E35" s="83">
        <f>+E5</f>
        <v>2</v>
      </c>
      <c r="F35" s="83">
        <f>+C35*E35</f>
        <v>0.4</v>
      </c>
    </row>
    <row r="36" spans="1:7">
      <c r="A36" s="79" t="s">
        <v>99</v>
      </c>
      <c r="B36" s="110">
        <v>2</v>
      </c>
      <c r="C36" s="83">
        <v>0.2</v>
      </c>
      <c r="D36" s="83">
        <f>+SUM(C$35:$C36)</f>
        <v>0.4</v>
      </c>
      <c r="E36" s="83">
        <f>+E6</f>
        <v>2</v>
      </c>
      <c r="F36" s="83">
        <f t="shared" ref="F36:F37" si="3">+C36*E36</f>
        <v>0.4</v>
      </c>
    </row>
    <row r="37" spans="1:7">
      <c r="B37" s="110" t="s">
        <v>89</v>
      </c>
      <c r="C37" s="83">
        <v>3.7499999999999999E-2</v>
      </c>
      <c r="D37" s="83">
        <f>+SUM(C$35:$C37)</f>
        <v>0.4375</v>
      </c>
      <c r="E37" s="83">
        <f>+E35+E36</f>
        <v>4</v>
      </c>
      <c r="F37" s="83">
        <f t="shared" si="3"/>
        <v>0.15</v>
      </c>
      <c r="G37" s="79" t="s">
        <v>94</v>
      </c>
    </row>
    <row r="38" spans="1:7">
      <c r="A38" s="88"/>
      <c r="B38" s="86" t="s">
        <v>6</v>
      </c>
      <c r="C38" s="86">
        <f>+SUM(C35:C37)</f>
        <v>0.4375</v>
      </c>
      <c r="D38" s="86"/>
      <c r="E38" s="86"/>
      <c r="F38" s="91">
        <f>+SUM(F35:F37)</f>
        <v>0.95000000000000007</v>
      </c>
    </row>
    <row r="39" spans="1:7">
      <c r="A39" s="88"/>
    </row>
    <row r="41" spans="1:7">
      <c r="A41" s="82" t="s">
        <v>18</v>
      </c>
      <c r="B41" s="84" t="s">
        <v>88</v>
      </c>
      <c r="C41" s="84" t="s">
        <v>11</v>
      </c>
      <c r="D41" s="84" t="s">
        <v>20</v>
      </c>
      <c r="E41" s="84" t="s">
        <v>9</v>
      </c>
      <c r="F41" s="84" t="s">
        <v>1</v>
      </c>
    </row>
    <row r="42" spans="1:7">
      <c r="A42" s="79" t="s">
        <v>96</v>
      </c>
      <c r="B42" s="110">
        <v>1</v>
      </c>
      <c r="C42" s="83">
        <v>0.47499999999999998</v>
      </c>
      <c r="D42" s="83">
        <f>+SUM(C42:$C$42)</f>
        <v>0.47499999999999998</v>
      </c>
      <c r="E42" s="83">
        <f>+E5</f>
        <v>2</v>
      </c>
      <c r="F42" s="83">
        <f>+E42*C42</f>
        <v>0.95</v>
      </c>
      <c r="G42" s="79" t="s">
        <v>94</v>
      </c>
    </row>
    <row r="43" spans="1:7">
      <c r="A43" s="79" t="s">
        <v>98</v>
      </c>
      <c r="B43" s="86" t="s">
        <v>6</v>
      </c>
      <c r="C43" s="86">
        <f>+SUM(C42:C42)</f>
        <v>0.47499999999999998</v>
      </c>
      <c r="D43" s="86"/>
      <c r="E43" s="86"/>
      <c r="F43" s="91">
        <f>+SUM(F42:F42)</f>
        <v>0.95</v>
      </c>
    </row>
    <row r="44" spans="1:7">
      <c r="A44" s="79" t="s">
        <v>99</v>
      </c>
    </row>
    <row r="46" spans="1:7">
      <c r="A46" s="82" t="s">
        <v>19</v>
      </c>
      <c r="B46" s="84" t="s">
        <v>88</v>
      </c>
      <c r="C46" s="84" t="s">
        <v>11</v>
      </c>
      <c r="D46" s="84" t="s">
        <v>20</v>
      </c>
      <c r="E46" s="84" t="s">
        <v>9</v>
      </c>
      <c r="F46" s="84" t="s">
        <v>1</v>
      </c>
    </row>
    <row r="47" spans="1:7">
      <c r="A47" s="79" t="s">
        <v>96</v>
      </c>
      <c r="B47" s="110">
        <v>2</v>
      </c>
      <c r="C47" s="83">
        <v>0.47499999999999998</v>
      </c>
      <c r="D47" s="83">
        <f>+SUM(C$47:$C47)</f>
        <v>0.47499999999999998</v>
      </c>
      <c r="E47" s="83">
        <f>+E6</f>
        <v>2</v>
      </c>
      <c r="F47" s="83">
        <f>+E47*C47</f>
        <v>0.95</v>
      </c>
      <c r="G47" s="79" t="s">
        <v>94</v>
      </c>
    </row>
    <row r="48" spans="1:7">
      <c r="A48" s="79" t="s">
        <v>97</v>
      </c>
      <c r="B48" s="86" t="s">
        <v>6</v>
      </c>
      <c r="C48" s="86">
        <f>+SUM(C47:C47)</f>
        <v>0.47499999999999998</v>
      </c>
      <c r="D48" s="86"/>
      <c r="E48" s="86"/>
      <c r="F48" s="91">
        <f>+SUM(F47:F47)</f>
        <v>0.95</v>
      </c>
    </row>
    <row r="49" spans="1:1">
      <c r="A49" s="79" t="s">
        <v>99</v>
      </c>
    </row>
  </sheetData>
  <mergeCells count="1">
    <mergeCell ref="A1:E1"/>
  </mergeCells>
  <pageMargins left="0.7" right="0.7" top="0.75" bottom="0.75" header="0.3" footer="0.3"/>
  <pageSetup paperSize="9" orientation="portrait" horizontalDpi="200" verticalDpi="200" r:id="rId1"/>
</worksheet>
</file>

<file path=xl/worksheets/sheet31.xml><?xml version="1.0" encoding="utf-8"?>
<worksheet xmlns="http://schemas.openxmlformats.org/spreadsheetml/2006/main" xmlns:r="http://schemas.openxmlformats.org/officeDocument/2006/relationships">
  <sheetPr codeName="Hoja19"/>
  <dimension ref="A1:I49"/>
  <sheetViews>
    <sheetView workbookViewId="0">
      <selection sqref="A1:E1"/>
    </sheetView>
  </sheetViews>
  <sheetFormatPr baseColWidth="10" defaultRowHeight="14.4"/>
  <cols>
    <col min="1" max="1" width="40.6640625" style="79" customWidth="1"/>
    <col min="2" max="2" width="25.21875" style="79" bestFit="1" customWidth="1"/>
    <col min="3" max="3" width="11.5546875" style="79"/>
    <col min="4" max="4" width="15.5546875" style="79" bestFit="1" customWidth="1"/>
    <col min="5" max="5" width="11.5546875" style="79"/>
    <col min="6" max="6" width="13.33203125" style="79" customWidth="1"/>
    <col min="7" max="7" width="15.109375" style="79" customWidth="1"/>
    <col min="8" max="8" width="11.5546875" style="79"/>
    <col min="9" max="9" width="12.5546875" style="79" bestFit="1" customWidth="1"/>
    <col min="10" max="16384" width="11.5546875" style="79"/>
  </cols>
  <sheetData>
    <row r="1" spans="1:7" ht="18">
      <c r="A1" s="116" t="s">
        <v>113</v>
      </c>
      <c r="B1" s="116"/>
      <c r="C1" s="116"/>
      <c r="D1" s="116"/>
      <c r="E1" s="116"/>
    </row>
    <row r="2" spans="1:7">
      <c r="A2" s="89" t="s">
        <v>101</v>
      </c>
    </row>
    <row r="4" spans="1:7">
      <c r="A4" s="82" t="s">
        <v>10</v>
      </c>
      <c r="B4" s="84" t="s">
        <v>88</v>
      </c>
      <c r="C4" s="84" t="s">
        <v>11</v>
      </c>
      <c r="D4" s="84" t="s">
        <v>20</v>
      </c>
      <c r="E4" s="84" t="s">
        <v>9</v>
      </c>
      <c r="F4" s="84" t="s">
        <v>1</v>
      </c>
    </row>
    <row r="5" spans="1:7">
      <c r="A5" s="79" t="s">
        <v>95</v>
      </c>
      <c r="B5" s="111">
        <v>1</v>
      </c>
      <c r="C5" s="80">
        <v>0.103333333333333</v>
      </c>
      <c r="D5" s="80">
        <f>+SUM($C$5:C5)</f>
        <v>0.103333333333333</v>
      </c>
      <c r="E5" s="80">
        <f>+Summary!K27</f>
        <v>3</v>
      </c>
      <c r="F5" s="80">
        <f>+C5*E5</f>
        <v>0.309999999999999</v>
      </c>
    </row>
    <row r="6" spans="1:7">
      <c r="B6" s="111">
        <v>2</v>
      </c>
      <c r="C6" s="80">
        <v>0.103333333333333</v>
      </c>
      <c r="D6" s="80">
        <f>+SUM($C$5:C6)</f>
        <v>0.206666666666666</v>
      </c>
      <c r="E6" s="80">
        <f>+Summary!K28</f>
        <v>3</v>
      </c>
      <c r="F6" s="80">
        <f t="shared" ref="F6:F11" si="0">+C6*E6</f>
        <v>0.309999999999999</v>
      </c>
    </row>
    <row r="7" spans="1:7">
      <c r="B7" s="111">
        <v>3</v>
      </c>
      <c r="C7" s="80">
        <v>0.01</v>
      </c>
      <c r="D7" s="80">
        <f>+SUM($C$5:C7)</f>
        <v>0.21666666666666601</v>
      </c>
      <c r="E7" s="80">
        <f>+Summary!K29</f>
        <v>6</v>
      </c>
      <c r="F7" s="80">
        <f t="shared" si="0"/>
        <v>0.06</v>
      </c>
    </row>
    <row r="8" spans="1:7">
      <c r="B8" s="111" t="s">
        <v>89</v>
      </c>
      <c r="C8" s="80">
        <v>0.01</v>
      </c>
      <c r="D8" s="80">
        <f>+SUM($C$5:C8)</f>
        <v>0.22666666666666602</v>
      </c>
      <c r="E8" s="80">
        <f>+E5+E6</f>
        <v>6</v>
      </c>
      <c r="F8" s="80">
        <f t="shared" si="0"/>
        <v>0.06</v>
      </c>
    </row>
    <row r="9" spans="1:7">
      <c r="B9" s="111" t="s">
        <v>90</v>
      </c>
      <c r="C9" s="80">
        <v>5.0000000000000001E-3</v>
      </c>
      <c r="D9" s="80">
        <f>+SUM($C$5:C9)</f>
        <v>0.23166666666666602</v>
      </c>
      <c r="E9" s="80">
        <f>+E5+E7</f>
        <v>9</v>
      </c>
      <c r="F9" s="80">
        <f t="shared" si="0"/>
        <v>4.4999999999999998E-2</v>
      </c>
    </row>
    <row r="10" spans="1:7">
      <c r="B10" s="111" t="s">
        <v>91</v>
      </c>
      <c r="C10" s="80">
        <v>5.0000000000000001E-3</v>
      </c>
      <c r="D10" s="80">
        <f>+SUM($C$5:C10)</f>
        <v>0.23666666666666603</v>
      </c>
      <c r="E10" s="80">
        <f>+E6+E7</f>
        <v>9</v>
      </c>
      <c r="F10" s="80">
        <f t="shared" si="0"/>
        <v>4.4999999999999998E-2</v>
      </c>
    </row>
    <row r="11" spans="1:7">
      <c r="B11" s="111" t="s">
        <v>92</v>
      </c>
      <c r="C11" s="80">
        <v>0.01</v>
      </c>
      <c r="D11" s="80">
        <f>+SUM($C$5:C11)</f>
        <v>0.24666666666666603</v>
      </c>
      <c r="E11" s="80">
        <f>+E5+E6+E7</f>
        <v>12</v>
      </c>
      <c r="F11" s="80">
        <f t="shared" si="0"/>
        <v>0.12</v>
      </c>
      <c r="G11" s="79" t="s">
        <v>94</v>
      </c>
    </row>
    <row r="12" spans="1:7">
      <c r="B12" s="86" t="s">
        <v>12</v>
      </c>
      <c r="C12" s="86">
        <f>+SUM(C5:C11)</f>
        <v>0.24666666666666603</v>
      </c>
      <c r="D12" s="86"/>
      <c r="E12" s="86"/>
      <c r="F12" s="93">
        <f>+SUM(F5:F11)</f>
        <v>0.94999999999999807</v>
      </c>
    </row>
    <row r="13" spans="1:7">
      <c r="B13" s="87" t="s">
        <v>93</v>
      </c>
    </row>
    <row r="15" spans="1:7">
      <c r="A15" s="82" t="s">
        <v>14</v>
      </c>
      <c r="B15" s="84" t="s">
        <v>88</v>
      </c>
      <c r="C15" s="84" t="s">
        <v>11</v>
      </c>
      <c r="D15" s="84" t="s">
        <v>20</v>
      </c>
      <c r="E15" s="84" t="s">
        <v>9</v>
      </c>
      <c r="F15" s="84" t="s">
        <v>1</v>
      </c>
    </row>
    <row r="16" spans="1:7">
      <c r="A16" s="79" t="s">
        <v>96</v>
      </c>
      <c r="B16" s="110">
        <v>2</v>
      </c>
      <c r="C16" s="83">
        <v>0.24666666666666601</v>
      </c>
      <c r="D16" s="83">
        <f>+SUM(C16:$C$16)</f>
        <v>0.24666666666666601</v>
      </c>
      <c r="E16" s="83">
        <f>+E6</f>
        <v>3</v>
      </c>
      <c r="F16" s="83">
        <f>+C16*E16</f>
        <v>0.73999999999999799</v>
      </c>
    </row>
    <row r="17" spans="1:9">
      <c r="A17" s="79" t="s">
        <v>97</v>
      </c>
      <c r="B17" s="110">
        <v>3</v>
      </c>
      <c r="C17" s="83">
        <v>0.02</v>
      </c>
      <c r="D17" s="83">
        <f>+SUM(C$16:$C17)</f>
        <v>0.266666666666666</v>
      </c>
      <c r="E17" s="83">
        <f>+E7</f>
        <v>6</v>
      </c>
      <c r="F17" s="83">
        <f t="shared" ref="F17:F18" si="1">+C17*E17</f>
        <v>0.12</v>
      </c>
    </row>
    <row r="18" spans="1:9">
      <c r="B18" s="110" t="s">
        <v>91</v>
      </c>
      <c r="C18" s="83">
        <v>0.01</v>
      </c>
      <c r="D18" s="83">
        <f>+SUM(C$16:$C18)</f>
        <v>0.27666666666666601</v>
      </c>
      <c r="E18" s="83">
        <f>+E16+E17</f>
        <v>9</v>
      </c>
      <c r="F18" s="83">
        <f t="shared" si="1"/>
        <v>0.09</v>
      </c>
      <c r="G18" s="79" t="s">
        <v>94</v>
      </c>
    </row>
    <row r="19" spans="1:9">
      <c r="B19" s="86" t="s">
        <v>6</v>
      </c>
      <c r="C19" s="86">
        <f>+SUM(C16:C18)</f>
        <v>0.27666666666666601</v>
      </c>
      <c r="D19" s="86"/>
      <c r="E19" s="86"/>
      <c r="F19" s="91">
        <f>+SUM(F16:F18)</f>
        <v>0.94999999999999796</v>
      </c>
    </row>
    <row r="20" spans="1:9">
      <c r="B20" s="90"/>
      <c r="C20" s="90"/>
      <c r="D20" s="90"/>
      <c r="E20" s="90"/>
      <c r="F20" s="85"/>
    </row>
    <row r="21" spans="1:9">
      <c r="B21" s="90"/>
      <c r="C21" s="90"/>
      <c r="D21" s="90"/>
      <c r="E21" s="90"/>
      <c r="F21" s="85"/>
    </row>
    <row r="22" spans="1:9">
      <c r="A22" s="82" t="s">
        <v>15</v>
      </c>
      <c r="B22" s="84" t="s">
        <v>88</v>
      </c>
      <c r="C22" s="84" t="s">
        <v>11</v>
      </c>
      <c r="D22" s="84" t="s">
        <v>20</v>
      </c>
      <c r="E22" s="84" t="s">
        <v>9</v>
      </c>
      <c r="F22" s="84" t="s">
        <v>1</v>
      </c>
    </row>
    <row r="23" spans="1:9">
      <c r="A23" s="79" t="s">
        <v>96</v>
      </c>
      <c r="B23" s="110">
        <v>1</v>
      </c>
      <c r="C23" s="83">
        <v>0.24666666666666601</v>
      </c>
      <c r="D23" s="83">
        <f>+SUM(C23:$C$23)</f>
        <v>0.24666666666666601</v>
      </c>
      <c r="E23" s="83">
        <f>+E5</f>
        <v>3</v>
      </c>
      <c r="F23" s="83">
        <f>+C23*E23</f>
        <v>0.73999999999999799</v>
      </c>
    </row>
    <row r="24" spans="1:9">
      <c r="A24" s="79" t="s">
        <v>98</v>
      </c>
      <c r="B24" s="110">
        <v>3</v>
      </c>
      <c r="C24" s="83">
        <v>0.02</v>
      </c>
      <c r="D24" s="83">
        <f>+SUM(C$23:$C24)</f>
        <v>0.266666666666666</v>
      </c>
      <c r="E24" s="83">
        <f>+E7</f>
        <v>6</v>
      </c>
      <c r="F24" s="83">
        <f t="shared" ref="F24:F25" si="2">+C24*E24</f>
        <v>0.12</v>
      </c>
    </row>
    <row r="25" spans="1:9">
      <c r="B25" s="110" t="s">
        <v>90</v>
      </c>
      <c r="C25" s="83">
        <v>0.01</v>
      </c>
      <c r="D25" s="83">
        <f>+SUM(C$23:$C25)</f>
        <v>0.27666666666666601</v>
      </c>
      <c r="E25" s="83">
        <f>+E23+E24</f>
        <v>9</v>
      </c>
      <c r="F25" s="83">
        <f t="shared" si="2"/>
        <v>0.09</v>
      </c>
      <c r="G25" s="79" t="s">
        <v>94</v>
      </c>
      <c r="I25" s="92"/>
    </row>
    <row r="26" spans="1:9">
      <c r="B26" s="86" t="s">
        <v>6</v>
      </c>
      <c r="C26" s="86">
        <f>+SUM(C23:C25)</f>
        <v>0.27666666666666601</v>
      </c>
      <c r="D26" s="86"/>
      <c r="E26" s="86"/>
      <c r="F26" s="91">
        <f>+SUM(F23:F25)</f>
        <v>0.94999999999999796</v>
      </c>
    </row>
    <row r="27" spans="1:9">
      <c r="B27" s="90"/>
      <c r="C27" s="90"/>
      <c r="D27" s="90"/>
      <c r="E27" s="90"/>
      <c r="F27" s="85"/>
    </row>
    <row r="29" spans="1:9">
      <c r="A29" s="82" t="s">
        <v>16</v>
      </c>
      <c r="B29" s="84" t="s">
        <v>88</v>
      </c>
      <c r="C29" s="84" t="s">
        <v>11</v>
      </c>
      <c r="D29" s="84" t="s">
        <v>20</v>
      </c>
      <c r="E29" s="84" t="s">
        <v>9</v>
      </c>
      <c r="F29" s="84" t="s">
        <v>1</v>
      </c>
    </row>
    <row r="30" spans="1:9">
      <c r="A30" s="79" t="s">
        <v>96</v>
      </c>
      <c r="B30" s="110">
        <v>3</v>
      </c>
      <c r="C30" s="83">
        <v>0.15833333333333333</v>
      </c>
      <c r="D30" s="83">
        <f>+SUM(C30:$C$30)</f>
        <v>0.15833333333333333</v>
      </c>
      <c r="E30" s="83">
        <f>+E7</f>
        <v>6</v>
      </c>
      <c r="F30" s="83">
        <f>+C30*E30</f>
        <v>0.95</v>
      </c>
      <c r="G30" s="79" t="s">
        <v>94</v>
      </c>
    </row>
    <row r="31" spans="1:9">
      <c r="A31" s="79" t="s">
        <v>97</v>
      </c>
      <c r="B31" s="86" t="s">
        <v>6</v>
      </c>
      <c r="C31" s="86">
        <f>+SUM(C30:C30)</f>
        <v>0.15833333333333333</v>
      </c>
      <c r="D31" s="86"/>
      <c r="E31" s="86"/>
      <c r="F31" s="91">
        <f>+SUM(F30:F30)</f>
        <v>0.95</v>
      </c>
    </row>
    <row r="32" spans="1:9">
      <c r="A32" s="79" t="s">
        <v>98</v>
      </c>
    </row>
    <row r="34" spans="1:7">
      <c r="A34" s="82" t="s">
        <v>17</v>
      </c>
      <c r="B34" s="84" t="s">
        <v>88</v>
      </c>
      <c r="C34" s="84" t="s">
        <v>11</v>
      </c>
      <c r="D34" s="84" t="s">
        <v>20</v>
      </c>
      <c r="E34" s="84" t="s">
        <v>9</v>
      </c>
      <c r="F34" s="84" t="s">
        <v>1</v>
      </c>
    </row>
    <row r="35" spans="1:7">
      <c r="A35" s="79" t="s">
        <v>96</v>
      </c>
      <c r="B35" s="110">
        <v>1</v>
      </c>
      <c r="C35" s="83">
        <v>0.12833333333333299</v>
      </c>
      <c r="D35" s="83">
        <f>+SUM(C35:$C$35)</f>
        <v>0.12833333333333299</v>
      </c>
      <c r="E35" s="83">
        <f>+E5</f>
        <v>3</v>
      </c>
      <c r="F35" s="83">
        <f>+C35*E35</f>
        <v>0.38499999999999901</v>
      </c>
    </row>
    <row r="36" spans="1:7">
      <c r="A36" s="79" t="s">
        <v>99</v>
      </c>
      <c r="B36" s="110">
        <v>2</v>
      </c>
      <c r="C36" s="83">
        <v>0.12833333333333299</v>
      </c>
      <c r="D36" s="83">
        <f>+SUM(C$35:$C36)</f>
        <v>0.25666666666666599</v>
      </c>
      <c r="E36" s="83">
        <f>+E6</f>
        <v>3</v>
      </c>
      <c r="F36" s="83">
        <f t="shared" ref="F36:F37" si="3">+C36*E36</f>
        <v>0.38499999999999901</v>
      </c>
    </row>
    <row r="37" spans="1:7">
      <c r="B37" s="110" t="s">
        <v>89</v>
      </c>
      <c r="C37" s="83">
        <v>0.03</v>
      </c>
      <c r="D37" s="83">
        <f>+SUM(C$35:$C37)</f>
        <v>0.28666666666666596</v>
      </c>
      <c r="E37" s="83">
        <f>+E35+E36</f>
        <v>6</v>
      </c>
      <c r="F37" s="83">
        <f t="shared" si="3"/>
        <v>0.18</v>
      </c>
      <c r="G37" s="79" t="s">
        <v>94</v>
      </c>
    </row>
    <row r="38" spans="1:7">
      <c r="A38" s="88"/>
      <c r="B38" s="86" t="s">
        <v>6</v>
      </c>
      <c r="C38" s="86">
        <f>+SUM(C35:C37)</f>
        <v>0.28666666666666596</v>
      </c>
      <c r="D38" s="86"/>
      <c r="E38" s="86"/>
      <c r="F38" s="91">
        <f>+SUM(F35:F37)</f>
        <v>0.94999999999999796</v>
      </c>
    </row>
    <row r="39" spans="1:7">
      <c r="A39" s="88"/>
    </row>
    <row r="41" spans="1:7">
      <c r="A41" s="82" t="s">
        <v>18</v>
      </c>
      <c r="B41" s="84" t="s">
        <v>88</v>
      </c>
      <c r="C41" s="84" t="s">
        <v>11</v>
      </c>
      <c r="D41" s="84" t="s">
        <v>20</v>
      </c>
      <c r="E41" s="84" t="s">
        <v>9</v>
      </c>
      <c r="F41" s="84" t="s">
        <v>1</v>
      </c>
    </row>
    <row r="42" spans="1:7">
      <c r="A42" s="79" t="s">
        <v>96</v>
      </c>
      <c r="B42" s="110">
        <v>1</v>
      </c>
      <c r="C42" s="83">
        <v>0.31666666666666665</v>
      </c>
      <c r="D42" s="83">
        <f>+SUM(C42:$C$42)</f>
        <v>0.31666666666666665</v>
      </c>
      <c r="E42" s="83">
        <f>+E5</f>
        <v>3</v>
      </c>
      <c r="F42" s="83">
        <f>+E42*C42</f>
        <v>0.95</v>
      </c>
      <c r="G42" s="79" t="s">
        <v>94</v>
      </c>
    </row>
    <row r="43" spans="1:7">
      <c r="A43" s="79" t="s">
        <v>98</v>
      </c>
      <c r="B43" s="86" t="s">
        <v>6</v>
      </c>
      <c r="C43" s="86">
        <f>+SUM(C42:C42)</f>
        <v>0.31666666666666665</v>
      </c>
      <c r="D43" s="86"/>
      <c r="E43" s="86"/>
      <c r="F43" s="91">
        <f>+SUM(F42:F42)</f>
        <v>0.95</v>
      </c>
    </row>
    <row r="44" spans="1:7">
      <c r="A44" s="79" t="s">
        <v>99</v>
      </c>
    </row>
    <row r="46" spans="1:7">
      <c r="A46" s="82" t="s">
        <v>19</v>
      </c>
      <c r="B46" s="84" t="s">
        <v>88</v>
      </c>
      <c r="C46" s="84" t="s">
        <v>11</v>
      </c>
      <c r="D46" s="84" t="s">
        <v>20</v>
      </c>
      <c r="E46" s="84" t="s">
        <v>9</v>
      </c>
      <c r="F46" s="84" t="s">
        <v>1</v>
      </c>
    </row>
    <row r="47" spans="1:7">
      <c r="A47" s="79" t="s">
        <v>96</v>
      </c>
      <c r="B47" s="110">
        <v>2</v>
      </c>
      <c r="C47" s="83">
        <v>0.31666666666666665</v>
      </c>
      <c r="D47" s="83">
        <f>+SUM(C$47:$C47)</f>
        <v>0.31666666666666665</v>
      </c>
      <c r="E47" s="83">
        <f>+E6</f>
        <v>3</v>
      </c>
      <c r="F47" s="83">
        <f>+E47*C47</f>
        <v>0.95</v>
      </c>
      <c r="G47" s="79" t="s">
        <v>94</v>
      </c>
    </row>
    <row r="48" spans="1:7">
      <c r="A48" s="79" t="s">
        <v>97</v>
      </c>
      <c r="B48" s="86" t="s">
        <v>6</v>
      </c>
      <c r="C48" s="86">
        <f>+SUM(C47:C47)</f>
        <v>0.31666666666666665</v>
      </c>
      <c r="D48" s="86"/>
      <c r="E48" s="86"/>
      <c r="F48" s="91">
        <f>+SUM(F47:F47)</f>
        <v>0.95</v>
      </c>
    </row>
    <row r="49" spans="1:1">
      <c r="A49" s="79" t="s">
        <v>99</v>
      </c>
    </row>
  </sheetData>
  <mergeCells count="1">
    <mergeCell ref="A1:E1"/>
  </mergeCells>
  <pageMargins left="0.7" right="0.7" top="0.75" bottom="0.75" header="0.3" footer="0.3"/>
  <pageSetup paperSize="9" orientation="portrait" horizontalDpi="200" verticalDpi="200" r:id="rId1"/>
</worksheet>
</file>

<file path=xl/worksheets/sheet32.xml><?xml version="1.0" encoding="utf-8"?>
<worksheet xmlns="http://schemas.openxmlformats.org/spreadsheetml/2006/main" xmlns:r="http://schemas.openxmlformats.org/officeDocument/2006/relationships">
  <dimension ref="A1:H19"/>
  <sheetViews>
    <sheetView workbookViewId="0">
      <selection sqref="A1:E1"/>
    </sheetView>
  </sheetViews>
  <sheetFormatPr baseColWidth="10" defaultRowHeight="14.4"/>
  <cols>
    <col min="1" max="1" width="40.6640625" style="79" customWidth="1"/>
    <col min="2" max="2" width="25.21875" style="79" bestFit="1" customWidth="1"/>
    <col min="3" max="3" width="11.5546875" style="79"/>
    <col min="4" max="4" width="15.5546875" style="79" bestFit="1" customWidth="1"/>
    <col min="5" max="5" width="11.5546875" style="79"/>
    <col min="6" max="6" width="13.33203125" style="79" customWidth="1"/>
    <col min="7" max="7" width="15.88671875" style="79" customWidth="1"/>
    <col min="8" max="8" width="12" style="79" customWidth="1"/>
    <col min="9" max="16384" width="11.5546875" style="79"/>
  </cols>
  <sheetData>
    <row r="1" spans="1:8" ht="18">
      <c r="A1" s="116" t="s">
        <v>125</v>
      </c>
      <c r="B1" s="116"/>
      <c r="C1" s="116"/>
      <c r="D1" s="116"/>
      <c r="E1" s="116"/>
    </row>
    <row r="2" spans="1:8">
      <c r="A2" s="89" t="s">
        <v>101</v>
      </c>
    </row>
    <row r="4" spans="1:8">
      <c r="A4" s="82" t="s">
        <v>10</v>
      </c>
      <c r="B4" s="84" t="s">
        <v>88</v>
      </c>
      <c r="C4" s="84" t="s">
        <v>11</v>
      </c>
      <c r="D4" s="84" t="s">
        <v>20</v>
      </c>
      <c r="E4" s="84" t="s">
        <v>9</v>
      </c>
      <c r="F4" s="84" t="s">
        <v>1</v>
      </c>
    </row>
    <row r="5" spans="1:8">
      <c r="A5" s="79" t="s">
        <v>95</v>
      </c>
      <c r="B5" s="111">
        <v>1</v>
      </c>
      <c r="C5" s="52">
        <v>0.25</v>
      </c>
      <c r="D5" s="80">
        <f>+SUM($C$5:C5)</f>
        <v>0.25</v>
      </c>
      <c r="E5" s="80">
        <f>+Summary!B27</f>
        <v>2</v>
      </c>
      <c r="F5" s="80">
        <f>+C5*E5</f>
        <v>0.5</v>
      </c>
    </row>
    <row r="6" spans="1:8">
      <c r="B6" s="111">
        <v>2</v>
      </c>
      <c r="C6" s="52">
        <v>0.1</v>
      </c>
      <c r="D6" s="80">
        <f>+SUM($C$5:C6)</f>
        <v>0.35</v>
      </c>
      <c r="E6" s="80">
        <f>+Summary!B28</f>
        <v>3</v>
      </c>
      <c r="F6" s="80">
        <f t="shared" ref="F6:F7" si="0">+C6*E6</f>
        <v>0.30000000000000004</v>
      </c>
    </row>
    <row r="7" spans="1:8">
      <c r="B7" s="111" t="s">
        <v>89</v>
      </c>
      <c r="C7" s="52">
        <v>0.03</v>
      </c>
      <c r="D7" s="80">
        <f>+SUM($C$5:C7)</f>
        <v>0.38</v>
      </c>
      <c r="E7" s="80">
        <f>+E5+E6</f>
        <v>5</v>
      </c>
      <c r="F7" s="80">
        <f t="shared" si="0"/>
        <v>0.15</v>
      </c>
      <c r="G7" s="79" t="s">
        <v>94</v>
      </c>
      <c r="H7" s="113"/>
    </row>
    <row r="8" spans="1:8">
      <c r="B8" s="86" t="s">
        <v>12</v>
      </c>
      <c r="C8" s="86">
        <f>+SUM(C5:C7)</f>
        <v>0.38</v>
      </c>
      <c r="D8" s="86"/>
      <c r="E8" s="86"/>
      <c r="F8" s="72">
        <f>+SUM(F5:F7)</f>
        <v>0.95000000000000007</v>
      </c>
    </row>
    <row r="9" spans="1:8">
      <c r="B9" s="87" t="s">
        <v>93</v>
      </c>
    </row>
    <row r="12" spans="1:8">
      <c r="A12" s="82" t="s">
        <v>18</v>
      </c>
      <c r="B12" s="84" t="s">
        <v>88</v>
      </c>
      <c r="C12" s="84" t="s">
        <v>11</v>
      </c>
      <c r="D12" s="84" t="s">
        <v>20</v>
      </c>
      <c r="E12" s="84" t="s">
        <v>9</v>
      </c>
      <c r="F12" s="84" t="s">
        <v>1</v>
      </c>
    </row>
    <row r="13" spans="1:8">
      <c r="A13" s="79" t="s">
        <v>96</v>
      </c>
      <c r="B13" s="110">
        <v>1</v>
      </c>
      <c r="C13" s="83">
        <v>0.47499999999999998</v>
      </c>
      <c r="D13" s="83">
        <f>+SUM(C13:$C$13)</f>
        <v>0.47499999999999998</v>
      </c>
      <c r="E13" s="83">
        <f>+E5</f>
        <v>2</v>
      </c>
      <c r="F13" s="83">
        <f>+E13*C13</f>
        <v>0.95</v>
      </c>
      <c r="G13" s="79" t="s">
        <v>94</v>
      </c>
    </row>
    <row r="14" spans="1:8">
      <c r="A14" s="79" t="s">
        <v>98</v>
      </c>
      <c r="B14" s="86" t="s">
        <v>6</v>
      </c>
      <c r="C14" s="86">
        <f>+SUM(C13:C13)</f>
        <v>0.47499999999999998</v>
      </c>
      <c r="D14" s="86"/>
      <c r="E14" s="86"/>
      <c r="F14" s="91">
        <f>+SUM(F13:F13)</f>
        <v>0.95</v>
      </c>
    </row>
    <row r="17" spans="1:7">
      <c r="A17" s="82" t="s">
        <v>19</v>
      </c>
      <c r="B17" s="84" t="s">
        <v>88</v>
      </c>
      <c r="C17" s="84" t="s">
        <v>11</v>
      </c>
      <c r="D17" s="84" t="s">
        <v>20</v>
      </c>
      <c r="E17" s="84" t="s">
        <v>9</v>
      </c>
      <c r="F17" s="84" t="s">
        <v>1</v>
      </c>
    </row>
    <row r="18" spans="1:7">
      <c r="A18" s="79" t="s">
        <v>96</v>
      </c>
      <c r="B18" s="110">
        <v>2</v>
      </c>
      <c r="C18" s="83">
        <v>0.31666666666666599</v>
      </c>
      <c r="D18" s="83">
        <f>+SUM(C$18:$C18)</f>
        <v>0.31666666666666599</v>
      </c>
      <c r="E18" s="83">
        <f>+E6</f>
        <v>3</v>
      </c>
      <c r="F18" s="83">
        <f>+E18*C18</f>
        <v>0.94999999999999796</v>
      </c>
      <c r="G18" s="79" t="s">
        <v>94</v>
      </c>
    </row>
    <row r="19" spans="1:7">
      <c r="A19" s="79" t="s">
        <v>97</v>
      </c>
      <c r="B19" s="86" t="s">
        <v>6</v>
      </c>
      <c r="C19" s="86">
        <f>+SUM(C18:C18)</f>
        <v>0.31666666666666599</v>
      </c>
      <c r="D19" s="86"/>
      <c r="E19" s="86"/>
      <c r="F19" s="91">
        <f>+SUM(F18:F18)</f>
        <v>0.94999999999999796</v>
      </c>
    </row>
  </sheetData>
  <mergeCells count="1">
    <mergeCell ref="A1:E1"/>
  </mergeCells>
  <pageMargins left="0.7" right="0.7" top="0.75" bottom="0.75" header="0.3" footer="0.3"/>
  <pageSetup paperSize="9" orientation="portrait" horizontalDpi="200" verticalDpi="200" r:id="rId1"/>
</worksheet>
</file>

<file path=xl/worksheets/sheet33.xml><?xml version="1.0" encoding="utf-8"?>
<worksheet xmlns="http://schemas.openxmlformats.org/spreadsheetml/2006/main" xmlns:r="http://schemas.openxmlformats.org/officeDocument/2006/relationships">
  <dimension ref="A1:H89"/>
  <sheetViews>
    <sheetView workbookViewId="0">
      <selection sqref="A1:E1"/>
    </sheetView>
  </sheetViews>
  <sheetFormatPr baseColWidth="10" defaultRowHeight="14.4"/>
  <cols>
    <col min="1" max="1" width="40.6640625" style="79" customWidth="1"/>
    <col min="2" max="2" width="25.21875" style="79" bestFit="1" customWidth="1"/>
    <col min="3" max="3" width="11.5546875" style="79"/>
    <col min="4" max="4" width="15.5546875" style="79" bestFit="1" customWidth="1"/>
    <col min="5" max="5" width="11.5546875" style="79"/>
    <col min="6" max="6" width="13.33203125" style="79" customWidth="1"/>
    <col min="7" max="7" width="15.33203125" style="79" bestFit="1" customWidth="1"/>
    <col min="8" max="8" width="15.109375" style="79" customWidth="1"/>
    <col min="9" max="9" width="11.5546875" style="79"/>
    <col min="10" max="10" width="12.5546875" style="79" bestFit="1" customWidth="1"/>
    <col min="11" max="16384" width="11.5546875" style="79"/>
  </cols>
  <sheetData>
    <row r="1" spans="1:8" ht="18">
      <c r="A1" s="116" t="s">
        <v>126</v>
      </c>
      <c r="B1" s="116"/>
      <c r="C1" s="116"/>
      <c r="D1" s="116"/>
      <c r="E1" s="116"/>
    </row>
    <row r="2" spans="1:8">
      <c r="A2" s="89"/>
    </row>
    <row r="4" spans="1:8">
      <c r="A4" s="82" t="s">
        <v>77</v>
      </c>
      <c r="B4" s="84" t="s">
        <v>88</v>
      </c>
      <c r="C4" s="84" t="s">
        <v>11</v>
      </c>
      <c r="D4" s="84" t="s">
        <v>20</v>
      </c>
      <c r="E4" s="84" t="s">
        <v>9</v>
      </c>
      <c r="F4" s="84" t="s">
        <v>1</v>
      </c>
      <c r="G4" s="84" t="s">
        <v>52</v>
      </c>
    </row>
    <row r="5" spans="1:8">
      <c r="B5" s="110">
        <v>1</v>
      </c>
      <c r="C5" s="83">
        <v>0.47499999999999998</v>
      </c>
      <c r="D5" s="83">
        <f>+SUM(C5:$C$5)</f>
        <v>0.47499999999999998</v>
      </c>
      <c r="E5" s="83">
        <f>+Summary!B21</f>
        <v>2</v>
      </c>
      <c r="F5" s="83">
        <f>+E5*C5</f>
        <v>0.95</v>
      </c>
      <c r="G5" s="62">
        <v>0.02</v>
      </c>
      <c r="H5" s="79" t="s">
        <v>94</v>
      </c>
    </row>
    <row r="6" spans="1:8">
      <c r="B6" s="86" t="s">
        <v>6</v>
      </c>
      <c r="C6" s="86">
        <f>+SUM(C5:C5)</f>
        <v>0.47499999999999998</v>
      </c>
      <c r="D6" s="86"/>
      <c r="E6" s="86"/>
      <c r="F6" s="91">
        <f>+SUM(F5:F5)</f>
        <v>0.95</v>
      </c>
      <c r="G6" s="64"/>
    </row>
    <row r="7" spans="1:8">
      <c r="G7" s="60"/>
    </row>
    <row r="8" spans="1:8">
      <c r="G8" s="60"/>
    </row>
    <row r="9" spans="1:8">
      <c r="A9" s="82" t="s">
        <v>78</v>
      </c>
      <c r="B9" s="84" t="s">
        <v>88</v>
      </c>
      <c r="C9" s="84" t="s">
        <v>11</v>
      </c>
      <c r="D9" s="84" t="s">
        <v>20</v>
      </c>
      <c r="E9" s="84" t="s">
        <v>9</v>
      </c>
      <c r="F9" s="84" t="s">
        <v>1</v>
      </c>
      <c r="G9" s="84" t="s">
        <v>52</v>
      </c>
    </row>
    <row r="10" spans="1:8">
      <c r="B10" s="110">
        <v>1</v>
      </c>
      <c r="C10" s="83">
        <v>0.31666666666666599</v>
      </c>
      <c r="D10" s="83">
        <f>1/6</f>
        <v>0.16666666666666666</v>
      </c>
      <c r="E10" s="83">
        <f>+Summary!E21</f>
        <v>3</v>
      </c>
      <c r="F10" s="83">
        <f>+E10*C10</f>
        <v>0.94999999999999796</v>
      </c>
      <c r="G10" s="62">
        <v>0.03</v>
      </c>
      <c r="H10" s="79" t="s">
        <v>94</v>
      </c>
    </row>
    <row r="11" spans="1:8">
      <c r="B11" s="86" t="s">
        <v>6</v>
      </c>
      <c r="C11" s="86">
        <f>+SUM(C10:C10)</f>
        <v>0.31666666666666599</v>
      </c>
      <c r="D11" s="86"/>
      <c r="E11" s="86"/>
      <c r="F11" s="91">
        <f>+SUM(F10:F10)</f>
        <v>0.94999999999999796</v>
      </c>
      <c r="G11" s="64"/>
    </row>
    <row r="12" spans="1:8">
      <c r="G12" s="61"/>
    </row>
    <row r="13" spans="1:8">
      <c r="G13" s="61"/>
    </row>
    <row r="14" spans="1:8">
      <c r="A14" s="82" t="s">
        <v>79</v>
      </c>
      <c r="B14" s="84" t="s">
        <v>88</v>
      </c>
      <c r="C14" s="84" t="s">
        <v>11</v>
      </c>
      <c r="D14" s="84" t="s">
        <v>20</v>
      </c>
      <c r="E14" s="84" t="s">
        <v>9</v>
      </c>
      <c r="F14" s="84" t="s">
        <v>1</v>
      </c>
      <c r="G14" s="84" t="s">
        <v>52</v>
      </c>
    </row>
    <row r="15" spans="1:8">
      <c r="B15" s="110">
        <v>1</v>
      </c>
      <c r="C15" s="83">
        <v>0.23749999999999999</v>
      </c>
      <c r="D15" s="83">
        <f>+SUM(C$15:$C15)</f>
        <v>0.23749999999999999</v>
      </c>
      <c r="E15" s="83">
        <f>+Summary!H21</f>
        <v>4</v>
      </c>
      <c r="F15" s="83">
        <f>+E15*C15</f>
        <v>0.95</v>
      </c>
      <c r="G15" s="62">
        <v>0.04</v>
      </c>
      <c r="H15" s="79" t="s">
        <v>94</v>
      </c>
    </row>
    <row r="16" spans="1:8">
      <c r="B16" s="86" t="s">
        <v>6</v>
      </c>
      <c r="C16" s="86">
        <f>+SUM(C15:C15)</f>
        <v>0.23749999999999999</v>
      </c>
      <c r="D16" s="86"/>
      <c r="E16" s="86"/>
      <c r="F16" s="91">
        <f>+SUM(F15:F15)</f>
        <v>0.95</v>
      </c>
      <c r="G16" s="64"/>
    </row>
    <row r="17" spans="7:7">
      <c r="G17" s="61"/>
    </row>
    <row r="18" spans="7:7">
      <c r="G18" s="61"/>
    </row>
    <row r="19" spans="7:7">
      <c r="G19" s="61"/>
    </row>
    <row r="20" spans="7:7">
      <c r="G20" s="61"/>
    </row>
    <row r="21" spans="7:7">
      <c r="G21" s="61"/>
    </row>
    <row r="22" spans="7:7">
      <c r="G22" s="61"/>
    </row>
    <row r="23" spans="7:7">
      <c r="G23" s="61"/>
    </row>
    <row r="24" spans="7:7">
      <c r="G24" s="61"/>
    </row>
    <row r="25" spans="7:7">
      <c r="G25" s="61"/>
    </row>
    <row r="26" spans="7:7">
      <c r="G26" s="61"/>
    </row>
    <row r="27" spans="7:7">
      <c r="G27" s="61"/>
    </row>
    <row r="28" spans="7:7">
      <c r="G28" s="61"/>
    </row>
    <row r="29" spans="7:7">
      <c r="G29" s="61"/>
    </row>
    <row r="30" spans="7:7">
      <c r="G30" s="61"/>
    </row>
    <row r="31" spans="7:7">
      <c r="G31" s="61"/>
    </row>
    <row r="32" spans="7:7">
      <c r="G32" s="61"/>
    </row>
    <row r="33" spans="7:7">
      <c r="G33" s="61"/>
    </row>
    <row r="34" spans="7:7">
      <c r="G34" s="60"/>
    </row>
    <row r="35" spans="7:7">
      <c r="G35" s="60"/>
    </row>
    <row r="36" spans="7:7">
      <c r="G36" s="60"/>
    </row>
    <row r="37" spans="7:7">
      <c r="G37" s="60"/>
    </row>
    <row r="38" spans="7:7">
      <c r="G38" s="60"/>
    </row>
    <row r="39" spans="7:7">
      <c r="G39" s="60"/>
    </row>
    <row r="40" spans="7:7">
      <c r="G40" s="60"/>
    </row>
    <row r="41" spans="7:7">
      <c r="G41" s="60"/>
    </row>
    <row r="42" spans="7:7">
      <c r="G42" s="60"/>
    </row>
    <row r="43" spans="7:7">
      <c r="G43" s="60"/>
    </row>
    <row r="44" spans="7:7">
      <c r="G44" s="60"/>
    </row>
    <row r="45" spans="7:7">
      <c r="G45" s="60"/>
    </row>
    <row r="46" spans="7:7">
      <c r="G46" s="60"/>
    </row>
    <row r="47" spans="7:7">
      <c r="G47" s="60"/>
    </row>
    <row r="48" spans="7:7">
      <c r="G48" s="60"/>
    </row>
    <row r="49" spans="7:7">
      <c r="G49" s="60"/>
    </row>
    <row r="50" spans="7:7">
      <c r="G50" s="60"/>
    </row>
    <row r="51" spans="7:7">
      <c r="G51" s="60"/>
    </row>
    <row r="52" spans="7:7">
      <c r="G52" s="60"/>
    </row>
    <row r="53" spans="7:7">
      <c r="G53" s="60"/>
    </row>
    <row r="54" spans="7:7">
      <c r="G54" s="60"/>
    </row>
    <row r="55" spans="7:7">
      <c r="G55" s="60"/>
    </row>
    <row r="56" spans="7:7">
      <c r="G56" s="60"/>
    </row>
    <row r="57" spans="7:7">
      <c r="G57" s="60"/>
    </row>
    <row r="58" spans="7:7">
      <c r="G58" s="60"/>
    </row>
    <row r="59" spans="7:7">
      <c r="G59" s="60"/>
    </row>
    <row r="60" spans="7:7">
      <c r="G60" s="60"/>
    </row>
    <row r="61" spans="7:7">
      <c r="G61" s="60"/>
    </row>
    <row r="62" spans="7:7">
      <c r="G62" s="60"/>
    </row>
    <row r="63" spans="7:7">
      <c r="G63" s="60"/>
    </row>
    <row r="64" spans="7:7">
      <c r="G64" s="60"/>
    </row>
    <row r="65" spans="7:7">
      <c r="G65" s="60"/>
    </row>
    <row r="66" spans="7:7">
      <c r="G66" s="60"/>
    </row>
    <row r="67" spans="7:7">
      <c r="G67" s="60"/>
    </row>
    <row r="68" spans="7:7">
      <c r="G68" s="60"/>
    </row>
    <row r="69" spans="7:7">
      <c r="G69" s="60"/>
    </row>
    <row r="70" spans="7:7">
      <c r="G70" s="60"/>
    </row>
    <row r="71" spans="7:7">
      <c r="G71" s="60"/>
    </row>
    <row r="72" spans="7:7">
      <c r="G72" s="60"/>
    </row>
    <row r="73" spans="7:7">
      <c r="G73" s="60"/>
    </row>
    <row r="74" spans="7:7">
      <c r="G74" s="60"/>
    </row>
    <row r="75" spans="7:7">
      <c r="G75" s="60"/>
    </row>
    <row r="76" spans="7:7">
      <c r="G76" s="60"/>
    </row>
    <row r="77" spans="7:7">
      <c r="G77" s="60"/>
    </row>
    <row r="78" spans="7:7">
      <c r="G78" s="60"/>
    </row>
    <row r="79" spans="7:7">
      <c r="G79" s="60"/>
    </row>
    <row r="80" spans="7:7">
      <c r="G80" s="60"/>
    </row>
    <row r="81" spans="7:7">
      <c r="G81" s="60"/>
    </row>
    <row r="82" spans="7:7">
      <c r="G82" s="60"/>
    </row>
    <row r="83" spans="7:7">
      <c r="G83" s="60"/>
    </row>
    <row r="84" spans="7:7">
      <c r="G84" s="60"/>
    </row>
    <row r="85" spans="7:7">
      <c r="G85" s="60"/>
    </row>
    <row r="86" spans="7:7">
      <c r="G86" s="60"/>
    </row>
    <row r="87" spans="7:7">
      <c r="G87" s="60"/>
    </row>
    <row r="88" spans="7:7">
      <c r="G88" s="60"/>
    </row>
    <row r="89" spans="7:7">
      <c r="G89" s="60"/>
    </row>
  </sheetData>
  <mergeCells count="1">
    <mergeCell ref="A1:E1"/>
  </mergeCells>
  <pageMargins left="0.7" right="0.7" top="0.75" bottom="0.75"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33</vt:i4>
      </vt:variant>
    </vt:vector>
  </HeadingPairs>
  <TitlesOfParts>
    <vt:vector size="33" baseType="lpstr">
      <vt:lpstr>Summary</vt:lpstr>
      <vt:lpstr>Special weapon</vt:lpstr>
      <vt:lpstr>Base game (Mummy A)</vt:lpstr>
      <vt:lpstr>Base game (Mummy B)</vt:lpstr>
      <vt:lpstr>Base game (Mummy C)</vt:lpstr>
      <vt:lpstr>Base game (Standard Mummy)</vt:lpstr>
      <vt:lpstr>Base game (Scarabs)</vt:lpstr>
      <vt:lpstr>Base game (Pharaoh A &amp; B)</vt:lpstr>
      <vt:lpstr>Special weapon 1 (Mummy A)</vt:lpstr>
      <vt:lpstr>Special weapon 1 (Mummy B)</vt:lpstr>
      <vt:lpstr>Special weapon 1 (Mummy C)</vt:lpstr>
      <vt:lpstr>Special weapon 1 (Std Mummy)</vt:lpstr>
      <vt:lpstr>Special weapon 1 (Scarabs)</vt:lpstr>
      <vt:lpstr>Special weapon 1 (Pharaoh A&amp;B)</vt:lpstr>
      <vt:lpstr>Special weapon 2 (Mummy A)</vt:lpstr>
      <vt:lpstr>Special weapon 2 (Mummy B)</vt:lpstr>
      <vt:lpstr>Special weapon 2 (Mummy C)</vt:lpstr>
      <vt:lpstr>Special weapon 2 (Std Mummy)</vt:lpstr>
      <vt:lpstr>Special weapon 2 (Scarabs)</vt:lpstr>
      <vt:lpstr>Special weapon 2 (Pharaoh A&amp;B)</vt:lpstr>
      <vt:lpstr>Special weapon 3 (Mummy A)</vt:lpstr>
      <vt:lpstr>Special weapon 3 (Mummy B)</vt:lpstr>
      <vt:lpstr>Special weapon 3 (Mummy C)</vt:lpstr>
      <vt:lpstr>Special weapon 3 (Std Mummy)</vt:lpstr>
      <vt:lpstr>Special weapon 3 (Scarabs)</vt:lpstr>
      <vt:lpstr>Special weapon 3 (Pharaoh A&amp;B)</vt:lpstr>
      <vt:lpstr>Boss round</vt:lpstr>
      <vt:lpstr>Boss (Hoard)</vt:lpstr>
      <vt:lpstr>Hord (Mummy A)</vt:lpstr>
      <vt:lpstr>Hoard (Mummy B)</vt:lpstr>
      <vt:lpstr>Hoard (Mummy C)</vt:lpstr>
      <vt:lpstr>Hord (Standard Mummy)</vt:lpstr>
      <vt:lpstr>Hoard (Scarabs)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2006-09-12T12:46:56Z</dcterms:created>
  <dcterms:modified xsi:type="dcterms:W3CDTF">2018-02-19T03:28:06Z</dcterms:modified>
</cp:coreProperties>
</file>