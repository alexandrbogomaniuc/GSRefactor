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bookViews>
  <sheets>
    <sheet name="Summary" sheetId="2" r:id="rId1"/>
    <sheet name="Boss round" sheetId="6" r:id="rId2"/>
    <sheet name="Special weapon" sheetId="22" r:id="rId3"/>
    <sheet name="Prices Special weapon" sheetId="43" r:id="rId4"/>
    <sheet name="Base game (HV enemy)" sheetId="44" r:id="rId5"/>
    <sheet name="Special weapon 1 (HV enemy)" sheetId="45" r:id="rId6"/>
    <sheet name="Special weapon 2 (HV enemy)" sheetId="46" r:id="rId7"/>
    <sheet name="Special weapon 3 (HV enemy)" sheetId="47" r:id="rId8"/>
    <sheet name="Plasma Gun (HV enemy)" sheetId="48" r:id="rId9"/>
    <sheet name="Base game (Mummy A)" sheetId="39" r:id="rId10"/>
    <sheet name="Base game (Mummy B)" sheetId="4" r:id="rId11"/>
    <sheet name="Base game (Mummy C)" sheetId="5" r:id="rId12"/>
    <sheet name="Base game (Standard Mummy)" sheetId="24" r:id="rId13"/>
    <sheet name="Base game (Scarabs)" sheetId="23" r:id="rId14"/>
    <sheet name="Base game (Pharaoh A &amp; B)" sheetId="25" r:id="rId15"/>
    <sheet name="Special weapon 1 (Mummy A)" sheetId="40" r:id="rId16"/>
    <sheet name="Special weapon 1 (Mummy B)" sheetId="14" r:id="rId17"/>
    <sheet name="Special weapon 1 (Mummy C)" sheetId="15" r:id="rId18"/>
    <sheet name="Special weapon 1 (Std Mummy)" sheetId="27" r:id="rId19"/>
    <sheet name="Special weapon 1 (Scarabs)" sheetId="28" r:id="rId20"/>
    <sheet name="Special weapon 1 (Pharaoh A&amp;B)" sheetId="29" r:id="rId21"/>
    <sheet name="Special weapon 2 (Mummy A)" sheetId="41" r:id="rId22"/>
    <sheet name="Special weapon 2 (Mummy B)" sheetId="17" r:id="rId23"/>
    <sheet name="Special weapon 2 (Mummy C)" sheetId="18" r:id="rId24"/>
    <sheet name="Special weapon 2 (Std Mummy)" sheetId="31" r:id="rId25"/>
    <sheet name="Special weapon 2 (Scarabs)" sheetId="32" r:id="rId26"/>
    <sheet name="Special weapon 2 (Pharaoh A&amp;B)" sheetId="33" r:id="rId27"/>
    <sheet name="Special weapon 3 (Mummy A)" sheetId="42" r:id="rId28"/>
    <sheet name="Special weapon 3 (Mummy B)" sheetId="20" r:id="rId29"/>
    <sheet name="Special weapon 3 (Mummy C)" sheetId="21" r:id="rId30"/>
    <sheet name="Special weapon 3 (Std Mummy)" sheetId="34" r:id="rId31"/>
    <sheet name="Special weapon 3 (Scarabs)" sheetId="35" r:id="rId32"/>
    <sheet name="Special weapon 3 (Pharaoh A&amp;B)" sheetId="36" r:id="rId33"/>
    <sheet name="Plasma Gun (Mummy B)" sheetId="49" r:id="rId34"/>
    <sheet name="Plasma Gun (Mummy C)" sheetId="50" r:id="rId35"/>
    <sheet name="Plasma Gun (Pharaoh A)" sheetId="51" r:id="rId36"/>
  </sheets>
  <calcPr calcId="124519"/>
</workbook>
</file>

<file path=xl/calcChain.xml><?xml version="1.0" encoding="utf-8"?>
<calcChain xmlns="http://schemas.openxmlformats.org/spreadsheetml/2006/main">
  <c r="C43" i="51"/>
  <c r="D30"/>
  <c r="C48"/>
  <c r="D47"/>
  <c r="C38"/>
  <c r="D37"/>
  <c r="D36"/>
  <c r="D35"/>
  <c r="E30"/>
  <c r="C26"/>
  <c r="D25"/>
  <c r="E24"/>
  <c r="F24" s="1"/>
  <c r="D24"/>
  <c r="D23"/>
  <c r="C19"/>
  <c r="D18"/>
  <c r="D17"/>
  <c r="D16"/>
  <c r="C12"/>
  <c r="D11"/>
  <c r="D10"/>
  <c r="D9"/>
  <c r="D8"/>
  <c r="F7"/>
  <c r="E7"/>
  <c r="E17" s="1"/>
  <c r="F17" s="1"/>
  <c r="D7"/>
  <c r="F6"/>
  <c r="E6"/>
  <c r="E47" s="1"/>
  <c r="F47" s="1"/>
  <c r="F48" s="1"/>
  <c r="D6"/>
  <c r="E5"/>
  <c r="E35" s="1"/>
  <c r="D5"/>
  <c r="C30" i="50"/>
  <c r="C31" s="1"/>
  <c r="C48"/>
  <c r="E47"/>
  <c r="F47" s="1"/>
  <c r="F48" s="1"/>
  <c r="D47"/>
  <c r="C43"/>
  <c r="D42"/>
  <c r="C38"/>
  <c r="D37"/>
  <c r="D36"/>
  <c r="E35"/>
  <c r="F35" s="1"/>
  <c r="D35"/>
  <c r="C26"/>
  <c r="D25"/>
  <c r="D24"/>
  <c r="E23"/>
  <c r="F23" s="1"/>
  <c r="D23"/>
  <c r="C19"/>
  <c r="D18"/>
  <c r="D17"/>
  <c r="D16"/>
  <c r="C12"/>
  <c r="D11"/>
  <c r="D10"/>
  <c r="D9"/>
  <c r="D8"/>
  <c r="E7"/>
  <c r="F7" s="1"/>
  <c r="D7"/>
  <c r="E6"/>
  <c r="E16" s="1"/>
  <c r="D6"/>
  <c r="E5"/>
  <c r="E9" s="1"/>
  <c r="F9" s="1"/>
  <c r="D5"/>
  <c r="F18" i="49"/>
  <c r="F17"/>
  <c r="F16"/>
  <c r="C48"/>
  <c r="D47"/>
  <c r="C43"/>
  <c r="D42"/>
  <c r="C38"/>
  <c r="D37"/>
  <c r="D36"/>
  <c r="D35"/>
  <c r="C31"/>
  <c r="D30"/>
  <c r="C26"/>
  <c r="D25"/>
  <c r="D24"/>
  <c r="D23"/>
  <c r="C19"/>
  <c r="D18"/>
  <c r="D17"/>
  <c r="D16"/>
  <c r="C12"/>
  <c r="D11"/>
  <c r="D10"/>
  <c r="D9"/>
  <c r="D8"/>
  <c r="E7"/>
  <c r="E17" s="1"/>
  <c r="D7"/>
  <c r="F6"/>
  <c r="E6"/>
  <c r="E47" s="1"/>
  <c r="F47" s="1"/>
  <c r="F48" s="1"/>
  <c r="D6"/>
  <c r="E5"/>
  <c r="E35" s="1"/>
  <c r="D5"/>
  <c r="D40" i="6"/>
  <c r="D41" s="1"/>
  <c r="D34"/>
  <c r="E14"/>
  <c r="D14"/>
  <c r="D15"/>
  <c r="D13"/>
  <c r="C17"/>
  <c r="E16"/>
  <c r="D16"/>
  <c r="E15"/>
  <c r="E13"/>
  <c r="E12"/>
  <c r="D12"/>
  <c r="E11"/>
  <c r="D11"/>
  <c r="D42" i="51" l="1"/>
  <c r="C31"/>
  <c r="F30"/>
  <c r="F31" s="1"/>
  <c r="F35"/>
  <c r="E37"/>
  <c r="F37" s="1"/>
  <c r="F5"/>
  <c r="E8"/>
  <c r="F8" s="1"/>
  <c r="E36"/>
  <c r="F36" s="1"/>
  <c r="E42"/>
  <c r="F42" s="1"/>
  <c r="F43" s="1"/>
  <c r="E9"/>
  <c r="F9" s="1"/>
  <c r="E10"/>
  <c r="F10" s="1"/>
  <c r="E16"/>
  <c r="E11"/>
  <c r="F11" s="1"/>
  <c r="E23"/>
  <c r="D30" i="50"/>
  <c r="F16"/>
  <c r="E11"/>
  <c r="F11" s="1"/>
  <c r="F5"/>
  <c r="E8"/>
  <c r="F8" s="1"/>
  <c r="E24"/>
  <c r="F24" s="1"/>
  <c r="E30"/>
  <c r="F30" s="1"/>
  <c r="F31" s="1"/>
  <c r="E36"/>
  <c r="F36" s="1"/>
  <c r="E42"/>
  <c r="F42" s="1"/>
  <c r="F43" s="1"/>
  <c r="F6"/>
  <c r="E25"/>
  <c r="F25" s="1"/>
  <c r="E37"/>
  <c r="F37" s="1"/>
  <c r="E17"/>
  <c r="F17" s="1"/>
  <c r="E10"/>
  <c r="F10" s="1"/>
  <c r="F35" i="49"/>
  <c r="E11"/>
  <c r="F11" s="1"/>
  <c r="F5"/>
  <c r="E8"/>
  <c r="F8" s="1"/>
  <c r="E24"/>
  <c r="F24" s="1"/>
  <c r="E30"/>
  <c r="F30" s="1"/>
  <c r="F31" s="1"/>
  <c r="E36"/>
  <c r="F36" s="1"/>
  <c r="E42"/>
  <c r="F42" s="1"/>
  <c r="F43" s="1"/>
  <c r="F7"/>
  <c r="E10"/>
  <c r="F10" s="1"/>
  <c r="E16"/>
  <c r="E9"/>
  <c r="F9" s="1"/>
  <c r="E23"/>
  <c r="E17" i="6"/>
  <c r="F16" i="51" l="1"/>
  <c r="E18"/>
  <c r="F18" s="1"/>
  <c r="F38"/>
  <c r="F23"/>
  <c r="E25"/>
  <c r="F25" s="1"/>
  <c r="F12"/>
  <c r="F26" i="50"/>
  <c r="F38"/>
  <c r="F12"/>
  <c r="E18"/>
  <c r="F18" s="1"/>
  <c r="F19" s="1"/>
  <c r="F12" i="49"/>
  <c r="F19"/>
  <c r="E18"/>
  <c r="F23"/>
  <c r="E25"/>
  <c r="F25" s="1"/>
  <c r="E37"/>
  <c r="F37" s="1"/>
  <c r="F38" s="1"/>
  <c r="C38" i="33"/>
  <c r="G11" i="4"/>
  <c r="G18"/>
  <c r="G25"/>
  <c r="C8" i="31"/>
  <c r="G47" i="25"/>
  <c r="E51" i="48"/>
  <c r="E50"/>
  <c r="E49"/>
  <c r="E48"/>
  <c r="E47"/>
  <c r="E46"/>
  <c r="E45"/>
  <c r="E39"/>
  <c r="E38"/>
  <c r="E37"/>
  <c r="E36"/>
  <c r="E35"/>
  <c r="E34"/>
  <c r="E33"/>
  <c r="E27"/>
  <c r="E26"/>
  <c r="E25"/>
  <c r="E24"/>
  <c r="E23"/>
  <c r="E22"/>
  <c r="E21"/>
  <c r="E15"/>
  <c r="E14"/>
  <c r="E13"/>
  <c r="E12"/>
  <c r="E11"/>
  <c r="E10"/>
  <c r="E9"/>
  <c r="E51" i="47"/>
  <c r="E50"/>
  <c r="E49"/>
  <c r="E48"/>
  <c r="E47"/>
  <c r="E46"/>
  <c r="E45"/>
  <c r="E39"/>
  <c r="E38"/>
  <c r="E37"/>
  <c r="E36"/>
  <c r="E35"/>
  <c r="E34"/>
  <c r="E33"/>
  <c r="E27"/>
  <c r="E26"/>
  <c r="E25"/>
  <c r="E24"/>
  <c r="E23"/>
  <c r="E22"/>
  <c r="E21"/>
  <c r="E15"/>
  <c r="E14"/>
  <c r="E13"/>
  <c r="E12"/>
  <c r="E11"/>
  <c r="E10"/>
  <c r="E9"/>
  <c r="E51" i="46"/>
  <c r="E50"/>
  <c r="E49"/>
  <c r="E48"/>
  <c r="E47"/>
  <c r="E46"/>
  <c r="E45"/>
  <c r="E39"/>
  <c r="E38"/>
  <c r="E37"/>
  <c r="E36"/>
  <c r="E35"/>
  <c r="E34"/>
  <c r="E33"/>
  <c r="E27"/>
  <c r="E26"/>
  <c r="E25"/>
  <c r="E24"/>
  <c r="E23"/>
  <c r="E22"/>
  <c r="E21"/>
  <c r="E15"/>
  <c r="E14"/>
  <c r="E13"/>
  <c r="E12"/>
  <c r="E11"/>
  <c r="E10"/>
  <c r="E9"/>
  <c r="E51" i="45"/>
  <c r="E50"/>
  <c r="E49"/>
  <c r="E48"/>
  <c r="E47"/>
  <c r="E46"/>
  <c r="E45"/>
  <c r="E39"/>
  <c r="E38"/>
  <c r="E37"/>
  <c r="E36"/>
  <c r="E35"/>
  <c r="E34"/>
  <c r="E33"/>
  <c r="E27"/>
  <c r="E26"/>
  <c r="E25"/>
  <c r="E24"/>
  <c r="E23"/>
  <c r="E22"/>
  <c r="E21"/>
  <c r="E15"/>
  <c r="E14"/>
  <c r="E13"/>
  <c r="E12"/>
  <c r="E11"/>
  <c r="E10"/>
  <c r="E9"/>
  <c r="E46" i="44"/>
  <c r="E47"/>
  <c r="E48"/>
  <c r="E49"/>
  <c r="E50"/>
  <c r="E51"/>
  <c r="E45"/>
  <c r="E34"/>
  <c r="E35"/>
  <c r="E36"/>
  <c r="E37"/>
  <c r="E38"/>
  <c r="E39"/>
  <c r="E33"/>
  <c r="E22"/>
  <c r="E23"/>
  <c r="E24"/>
  <c r="E25"/>
  <c r="E26"/>
  <c r="E27"/>
  <c r="E21"/>
  <c r="E9"/>
  <c r="E10"/>
  <c r="E11"/>
  <c r="E12"/>
  <c r="E13"/>
  <c r="E14"/>
  <c r="E15"/>
  <c r="F26" i="51" l="1"/>
  <c r="F19"/>
  <c r="F26" i="49"/>
  <c r="E48" i="22"/>
  <c r="D48"/>
  <c r="E47"/>
  <c r="D47"/>
  <c r="E46"/>
  <c r="D46"/>
  <c r="E45"/>
  <c r="D45"/>
  <c r="E44"/>
  <c r="D50" s="1"/>
  <c r="F8" i="2" s="1"/>
  <c r="G8" s="1"/>
  <c r="G11" s="1"/>
  <c r="D44" i="22"/>
  <c r="D23"/>
  <c r="E8" i="2" s="1"/>
  <c r="B8" s="1"/>
  <c r="B11" s="1"/>
  <c r="D21" i="22"/>
  <c r="D20"/>
  <c r="D19"/>
  <c r="D18"/>
  <c r="D10"/>
  <c r="D9"/>
  <c r="D8"/>
  <c r="D7"/>
  <c r="D12" s="1"/>
  <c r="D8" i="2"/>
  <c r="E7"/>
  <c r="D7"/>
  <c r="C52" i="48" l="1"/>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D42" i="43"/>
  <c r="D31"/>
  <c r="D32"/>
  <c r="D33"/>
  <c r="D34"/>
  <c r="D35"/>
  <c r="D36"/>
  <c r="D37"/>
  <c r="D38"/>
  <c r="D39"/>
  <c r="D40"/>
  <c r="D41"/>
  <c r="D43"/>
  <c r="D44"/>
  <c r="D45"/>
  <c r="B47"/>
  <c r="F43"/>
  <c r="F42"/>
  <c r="F41"/>
  <c r="E45"/>
  <c r="F44"/>
  <c r="F40"/>
  <c r="F39"/>
  <c r="F38"/>
  <c r="F37"/>
  <c r="F36"/>
  <c r="F35"/>
  <c r="F34"/>
  <c r="F33"/>
  <c r="F32"/>
  <c r="F31"/>
  <c r="D30"/>
  <c r="F30"/>
  <c r="D10"/>
  <c r="F10"/>
  <c r="D11"/>
  <c r="F11"/>
  <c r="D12"/>
  <c r="F12"/>
  <c r="D13"/>
  <c r="F13"/>
  <c r="D14"/>
  <c r="F14"/>
  <c r="D15"/>
  <c r="F15"/>
  <c r="D16"/>
  <c r="F16"/>
  <c r="D17"/>
  <c r="F17"/>
  <c r="D18"/>
  <c r="F18"/>
  <c r="D19"/>
  <c r="F19"/>
  <c r="D20"/>
  <c r="F20"/>
  <c r="D21"/>
  <c r="F21"/>
  <c r="D22"/>
  <c r="B24"/>
  <c r="E22"/>
  <c r="F28" i="48" l="1"/>
  <c r="F52"/>
  <c r="F40"/>
  <c r="F16"/>
  <c r="C48" i="36"/>
  <c r="D47"/>
  <c r="C43"/>
  <c r="D42"/>
  <c r="C38"/>
  <c r="D37"/>
  <c r="D36"/>
  <c r="D35"/>
  <c r="C31"/>
  <c r="D30"/>
  <c r="C26"/>
  <c r="D25"/>
  <c r="D24"/>
  <c r="D23"/>
  <c r="C19"/>
  <c r="D18"/>
  <c r="D17"/>
  <c r="D16"/>
  <c r="C12"/>
  <c r="D11"/>
  <c r="D10"/>
  <c r="D9"/>
  <c r="D8"/>
  <c r="E7"/>
  <c r="E17" s="1"/>
  <c r="F17" s="1"/>
  <c r="D7"/>
  <c r="E6"/>
  <c r="E47" s="1"/>
  <c r="F47" s="1"/>
  <c r="F48" s="1"/>
  <c r="D6"/>
  <c r="E5"/>
  <c r="E35" s="1"/>
  <c r="D5"/>
  <c r="C16" i="35"/>
  <c r="E15"/>
  <c r="F15" s="1"/>
  <c r="F16" s="1"/>
  <c r="D15"/>
  <c r="C11"/>
  <c r="E10"/>
  <c r="F10" s="1"/>
  <c r="F11" s="1"/>
  <c r="D10"/>
  <c r="C6"/>
  <c r="E5"/>
  <c r="F5" s="1"/>
  <c r="F6" s="1"/>
  <c r="D5"/>
  <c r="C19" i="34"/>
  <c r="D18"/>
  <c r="C14"/>
  <c r="D13"/>
  <c r="C8"/>
  <c r="D7"/>
  <c r="F6"/>
  <c r="E6"/>
  <c r="E18" s="1"/>
  <c r="F18" s="1"/>
  <c r="F19" s="1"/>
  <c r="D6"/>
  <c r="E5"/>
  <c r="E13" s="1"/>
  <c r="F13" s="1"/>
  <c r="F14" s="1"/>
  <c r="D5"/>
  <c r="C48" i="21"/>
  <c r="D47"/>
  <c r="C43"/>
  <c r="D42"/>
  <c r="C38"/>
  <c r="D37"/>
  <c r="D36"/>
  <c r="D35"/>
  <c r="C31"/>
  <c r="D30"/>
  <c r="C26"/>
  <c r="D25"/>
  <c r="D24"/>
  <c r="D23"/>
  <c r="C19"/>
  <c r="D18"/>
  <c r="D17"/>
  <c r="D16"/>
  <c r="C12"/>
  <c r="D11"/>
  <c r="D10"/>
  <c r="D9"/>
  <c r="D8"/>
  <c r="F7"/>
  <c r="E7"/>
  <c r="E24" s="1"/>
  <c r="F24" s="1"/>
  <c r="D7"/>
  <c r="E6"/>
  <c r="E47" s="1"/>
  <c r="F47" s="1"/>
  <c r="F48" s="1"/>
  <c r="D6"/>
  <c r="E5"/>
  <c r="E42" s="1"/>
  <c r="F42" s="1"/>
  <c r="F43" s="1"/>
  <c r="D5"/>
  <c r="C48" i="20"/>
  <c r="D47"/>
  <c r="C43"/>
  <c r="D42"/>
  <c r="C38"/>
  <c r="D37"/>
  <c r="D36"/>
  <c r="D35"/>
  <c r="C31"/>
  <c r="D30"/>
  <c r="C26"/>
  <c r="D25"/>
  <c r="D24"/>
  <c r="D23"/>
  <c r="C19"/>
  <c r="D18"/>
  <c r="D17"/>
  <c r="D16"/>
  <c r="C12"/>
  <c r="D11"/>
  <c r="D10"/>
  <c r="D9"/>
  <c r="D8"/>
  <c r="E7"/>
  <c r="E24" s="1"/>
  <c r="F24" s="1"/>
  <c r="D7"/>
  <c r="E6"/>
  <c r="E36" s="1"/>
  <c r="F36" s="1"/>
  <c r="D6"/>
  <c r="E5"/>
  <c r="E9" s="1"/>
  <c r="F9" s="1"/>
  <c r="D5"/>
  <c r="C19" i="42"/>
  <c r="D18"/>
  <c r="C14"/>
  <c r="D13"/>
  <c r="C8"/>
  <c r="D7"/>
  <c r="E6"/>
  <c r="F6" s="1"/>
  <c r="D6"/>
  <c r="E5"/>
  <c r="E13" s="1"/>
  <c r="F13" s="1"/>
  <c r="F14" s="1"/>
  <c r="D5"/>
  <c r="C48" i="33"/>
  <c r="D47"/>
  <c r="C43"/>
  <c r="D42"/>
  <c r="D37"/>
  <c r="D36"/>
  <c r="D35"/>
  <c r="C31"/>
  <c r="D30"/>
  <c r="C26"/>
  <c r="D25"/>
  <c r="D24"/>
  <c r="D23"/>
  <c r="C19"/>
  <c r="D18"/>
  <c r="D17"/>
  <c r="D16"/>
  <c r="C12"/>
  <c r="D11"/>
  <c r="D10"/>
  <c r="D9"/>
  <c r="D8"/>
  <c r="E7"/>
  <c r="E30" s="1"/>
  <c r="F30" s="1"/>
  <c r="F31" s="1"/>
  <c r="D7"/>
  <c r="E6"/>
  <c r="F6" s="1"/>
  <c r="D6"/>
  <c r="E5"/>
  <c r="E42" s="1"/>
  <c r="F42" s="1"/>
  <c r="F43" s="1"/>
  <c r="D5"/>
  <c r="C16" i="32"/>
  <c r="E15"/>
  <c r="F15" s="1"/>
  <c r="F16" s="1"/>
  <c r="D15"/>
  <c r="C11"/>
  <c r="E10"/>
  <c r="F10" s="1"/>
  <c r="F11" s="1"/>
  <c r="D10"/>
  <c r="C6"/>
  <c r="E5"/>
  <c r="F5" s="1"/>
  <c r="F6" s="1"/>
  <c r="D5"/>
  <c r="C19" i="31"/>
  <c r="D18"/>
  <c r="C14"/>
  <c r="D13"/>
  <c r="D7"/>
  <c r="E6"/>
  <c r="E18" s="1"/>
  <c r="F18" s="1"/>
  <c r="F19" s="1"/>
  <c r="D6"/>
  <c r="E5"/>
  <c r="E13" s="1"/>
  <c r="F13" s="1"/>
  <c r="F14" s="1"/>
  <c r="D5"/>
  <c r="C48" i="18"/>
  <c r="D47"/>
  <c r="C43"/>
  <c r="D42"/>
  <c r="C38"/>
  <c r="D37"/>
  <c r="D36"/>
  <c r="D35"/>
  <c r="C31"/>
  <c r="D30"/>
  <c r="C26"/>
  <c r="D25"/>
  <c r="D24"/>
  <c r="D23"/>
  <c r="C19"/>
  <c r="D18"/>
  <c r="D17"/>
  <c r="D16"/>
  <c r="C12"/>
  <c r="D11"/>
  <c r="D10"/>
  <c r="D9"/>
  <c r="D8"/>
  <c r="E7"/>
  <c r="E24" s="1"/>
  <c r="F24" s="1"/>
  <c r="D7"/>
  <c r="E6"/>
  <c r="E16" s="1"/>
  <c r="D6"/>
  <c r="E5"/>
  <c r="D5"/>
  <c r="C48" i="17"/>
  <c r="D47"/>
  <c r="C43"/>
  <c r="D42"/>
  <c r="C38"/>
  <c r="D37"/>
  <c r="D36"/>
  <c r="D35"/>
  <c r="C31"/>
  <c r="D30"/>
  <c r="C26"/>
  <c r="D25"/>
  <c r="D24"/>
  <c r="D23"/>
  <c r="C19"/>
  <c r="D18"/>
  <c r="D17"/>
  <c r="D16"/>
  <c r="C12"/>
  <c r="D11"/>
  <c r="D10"/>
  <c r="D9"/>
  <c r="D8"/>
  <c r="E7"/>
  <c r="E17" s="1"/>
  <c r="F17" s="1"/>
  <c r="D7"/>
  <c r="E6"/>
  <c r="E47" s="1"/>
  <c r="F47" s="1"/>
  <c r="F48" s="1"/>
  <c r="D6"/>
  <c r="E5"/>
  <c r="E35" s="1"/>
  <c r="D5"/>
  <c r="C19" i="41"/>
  <c r="D18"/>
  <c r="C14"/>
  <c r="D13"/>
  <c r="C8"/>
  <c r="D7"/>
  <c r="E6"/>
  <c r="E18" s="1"/>
  <c r="F18" s="1"/>
  <c r="F19" s="1"/>
  <c r="D6"/>
  <c r="E5"/>
  <c r="E13" s="1"/>
  <c r="F13" s="1"/>
  <c r="F14" s="1"/>
  <c r="D5"/>
  <c r="C48" i="29"/>
  <c r="D47"/>
  <c r="C43"/>
  <c r="D42"/>
  <c r="C38"/>
  <c r="D37"/>
  <c r="D36"/>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F5"/>
  <c r="F6" s="1"/>
  <c r="C6"/>
  <c r="E5"/>
  <c r="D5"/>
  <c r="C19" i="27"/>
  <c r="D18"/>
  <c r="C14"/>
  <c r="D13"/>
  <c r="C8"/>
  <c r="D7"/>
  <c r="E6"/>
  <c r="E18" s="1"/>
  <c r="F18" s="1"/>
  <c r="F19" s="1"/>
  <c r="D6"/>
  <c r="E5"/>
  <c r="E13" s="1"/>
  <c r="F13" s="1"/>
  <c r="F14" s="1"/>
  <c r="D5"/>
  <c r="C48" i="15"/>
  <c r="D47"/>
  <c r="C43"/>
  <c r="D42"/>
  <c r="C38"/>
  <c r="D37"/>
  <c r="D36"/>
  <c r="D35"/>
  <c r="C31"/>
  <c r="D30"/>
  <c r="C26"/>
  <c r="D25"/>
  <c r="D24"/>
  <c r="D23"/>
  <c r="C19"/>
  <c r="D18"/>
  <c r="D17"/>
  <c r="D16"/>
  <c r="C12"/>
  <c r="D11"/>
  <c r="D10"/>
  <c r="D9"/>
  <c r="D8"/>
  <c r="E7"/>
  <c r="E30" s="1"/>
  <c r="F30" s="1"/>
  <c r="F31" s="1"/>
  <c r="D7"/>
  <c r="E6"/>
  <c r="E47" s="1"/>
  <c r="F47" s="1"/>
  <c r="F48" s="1"/>
  <c r="D6"/>
  <c r="F5"/>
  <c r="E5"/>
  <c r="E42" s="1"/>
  <c r="F42" s="1"/>
  <c r="F43" s="1"/>
  <c r="D5"/>
  <c r="C48" i="14"/>
  <c r="D47"/>
  <c r="C43"/>
  <c r="D42"/>
  <c r="C38"/>
  <c r="D37"/>
  <c r="D36"/>
  <c r="D35"/>
  <c r="C31"/>
  <c r="D30"/>
  <c r="C26"/>
  <c r="D25"/>
  <c r="D24"/>
  <c r="D23"/>
  <c r="C19"/>
  <c r="D18"/>
  <c r="D17"/>
  <c r="D16"/>
  <c r="C12"/>
  <c r="D11"/>
  <c r="D10"/>
  <c r="D9"/>
  <c r="D8"/>
  <c r="F7"/>
  <c r="E7"/>
  <c r="E30" s="1"/>
  <c r="F30" s="1"/>
  <c r="F31" s="1"/>
  <c r="D7"/>
  <c r="E6"/>
  <c r="F6" s="1"/>
  <c r="D6"/>
  <c r="E5"/>
  <c r="E42" s="1"/>
  <c r="F42" s="1"/>
  <c r="F43" s="1"/>
  <c r="D5"/>
  <c r="C19" i="40"/>
  <c r="D18"/>
  <c r="C14"/>
  <c r="D13"/>
  <c r="C8"/>
  <c r="D7"/>
  <c r="E6"/>
  <c r="F6" s="1"/>
  <c r="D6"/>
  <c r="E5"/>
  <c r="F5" s="1"/>
  <c r="D5"/>
  <c r="C48" i="25"/>
  <c r="D47"/>
  <c r="C43"/>
  <c r="D42"/>
  <c r="C38"/>
  <c r="D37"/>
  <c r="D36"/>
  <c r="D35"/>
  <c r="C31"/>
  <c r="D30"/>
  <c r="C26"/>
  <c r="D25"/>
  <c r="D24"/>
  <c r="D23"/>
  <c r="C19"/>
  <c r="D18"/>
  <c r="D17"/>
  <c r="D16"/>
  <c r="C12"/>
  <c r="D11"/>
  <c r="D10"/>
  <c r="D9"/>
  <c r="D8"/>
  <c r="E7"/>
  <c r="E30" s="1"/>
  <c r="F30" s="1"/>
  <c r="F31" s="1"/>
  <c r="D7"/>
  <c r="E6"/>
  <c r="F6" s="1"/>
  <c r="D6"/>
  <c r="E5"/>
  <c r="E9" s="1"/>
  <c r="F9" s="1"/>
  <c r="D5"/>
  <c r="C16" i="23"/>
  <c r="E15"/>
  <c r="F15" s="1"/>
  <c r="F16" s="1"/>
  <c r="D15"/>
  <c r="C11"/>
  <c r="E10"/>
  <c r="F10" s="1"/>
  <c r="F11" s="1"/>
  <c r="D10"/>
  <c r="C6"/>
  <c r="E5"/>
  <c r="F5" s="1"/>
  <c r="F6" s="1"/>
  <c r="D5"/>
  <c r="C19" i="24"/>
  <c r="D18"/>
  <c r="C14"/>
  <c r="D13"/>
  <c r="C8"/>
  <c r="D7"/>
  <c r="E6"/>
  <c r="F6" s="1"/>
  <c r="D6"/>
  <c r="F5"/>
  <c r="E5"/>
  <c r="E13" s="1"/>
  <c r="F13" s="1"/>
  <c r="F14" s="1"/>
  <c r="D5"/>
  <c r="C48" i="5"/>
  <c r="D47"/>
  <c r="C43"/>
  <c r="D42"/>
  <c r="C38"/>
  <c r="D37"/>
  <c r="D36"/>
  <c r="D35"/>
  <c r="C31"/>
  <c r="D30"/>
  <c r="C26"/>
  <c r="D25"/>
  <c r="D24"/>
  <c r="D23"/>
  <c r="C19"/>
  <c r="D18"/>
  <c r="D17"/>
  <c r="D16"/>
  <c r="C12"/>
  <c r="D11"/>
  <c r="D10"/>
  <c r="D9"/>
  <c r="D8"/>
  <c r="E7"/>
  <c r="F7" s="1"/>
  <c r="D7"/>
  <c r="E6"/>
  <c r="E16" s="1"/>
  <c r="D6"/>
  <c r="F5"/>
  <c r="E5"/>
  <c r="E42" s="1"/>
  <c r="F42" s="1"/>
  <c r="F43" s="1"/>
  <c r="D5"/>
  <c r="C48" i="4"/>
  <c r="D47"/>
  <c r="C43"/>
  <c r="D42"/>
  <c r="C38"/>
  <c r="D37"/>
  <c r="D36"/>
  <c r="D35"/>
  <c r="C31"/>
  <c r="D30"/>
  <c r="C26"/>
  <c r="D25"/>
  <c r="D24"/>
  <c r="D23"/>
  <c r="C19"/>
  <c r="D18"/>
  <c r="D17"/>
  <c r="D16"/>
  <c r="C12"/>
  <c r="D11"/>
  <c r="D10"/>
  <c r="D9"/>
  <c r="D8"/>
  <c r="E7"/>
  <c r="E17" s="1"/>
  <c r="F17" s="1"/>
  <c r="D7"/>
  <c r="E6"/>
  <c r="E47" s="1"/>
  <c r="F47" s="1"/>
  <c r="F48" s="1"/>
  <c r="D6"/>
  <c r="E5"/>
  <c r="E35" s="1"/>
  <c r="D5"/>
  <c r="C19" i="39"/>
  <c r="D18"/>
  <c r="C14"/>
  <c r="D13"/>
  <c r="C8"/>
  <c r="D7"/>
  <c r="E6"/>
  <c r="E18" s="1"/>
  <c r="F18" s="1"/>
  <c r="F19" s="1"/>
  <c r="D6"/>
  <c r="E5"/>
  <c r="E13" s="1"/>
  <c r="F13" s="1"/>
  <c r="F14" s="1"/>
  <c r="D5"/>
  <c r="C52" i="47"/>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6"/>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F16" s="1"/>
  <c r="D9"/>
  <c r="C52" i="45"/>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4"/>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66" i="6"/>
  <c r="D65"/>
  <c r="E65" s="1"/>
  <c r="F65" s="1"/>
  <c r="D64"/>
  <c r="E64" s="1"/>
  <c r="F64" s="1"/>
  <c r="D63"/>
  <c r="E63" s="1"/>
  <c r="F63" s="1"/>
  <c r="D62"/>
  <c r="E62" s="1"/>
  <c r="F62" s="1"/>
  <c r="D61"/>
  <c r="E61" s="1"/>
  <c r="C57"/>
  <c r="D56"/>
  <c r="E56" s="1"/>
  <c r="F56" s="1"/>
  <c r="D55"/>
  <c r="E55" s="1"/>
  <c r="F55" s="1"/>
  <c r="D54"/>
  <c r="E54" s="1"/>
  <c r="F54" s="1"/>
  <c r="E53"/>
  <c r="F53" s="1"/>
  <c r="D53"/>
  <c r="D52"/>
  <c r="E52" s="1"/>
  <c r="C41"/>
  <c r="C35"/>
  <c r="D33"/>
  <c r="D32"/>
  <c r="D31"/>
  <c r="D30"/>
  <c r="B22"/>
  <c r="E39" i="2"/>
  <c r="B39"/>
  <c r="K30"/>
  <c r="H30"/>
  <c r="E29"/>
  <c r="B29"/>
  <c r="D35" i="6" l="1"/>
  <c r="F52"/>
  <c r="F57" s="1"/>
  <c r="E57"/>
  <c r="E66"/>
  <c r="F61"/>
  <c r="F66" s="1"/>
  <c r="F7" i="17"/>
  <c r="F6" i="4"/>
  <c r="F6" i="31"/>
  <c r="E7"/>
  <c r="F7" s="1"/>
  <c r="F5" i="42"/>
  <c r="F7" i="25"/>
  <c r="E9" i="18"/>
  <c r="F9" s="1"/>
  <c r="F6"/>
  <c r="F5" i="31"/>
  <c r="F52" i="46"/>
  <c r="F5" i="39"/>
  <c r="E7" i="40"/>
  <c r="F7" s="1"/>
  <c r="F8" s="1"/>
  <c r="F5" i="14"/>
  <c r="F7" i="15"/>
  <c r="F6" i="27"/>
  <c r="F7" i="29"/>
  <c r="F6" i="41"/>
  <c r="F7" i="18"/>
  <c r="E30"/>
  <c r="F30" s="1"/>
  <c r="F31" s="1"/>
  <c r="E7" i="34"/>
  <c r="F7" s="1"/>
  <c r="F40" i="46"/>
  <c r="F28"/>
  <c r="F52" i="45"/>
  <c r="F40"/>
  <c r="F52" i="47"/>
  <c r="F40"/>
  <c r="F28"/>
  <c r="F16"/>
  <c r="F16" i="45"/>
  <c r="F28"/>
  <c r="F40" i="44"/>
  <c r="F28"/>
  <c r="F16"/>
  <c r="F52"/>
  <c r="F16" i="5"/>
  <c r="F35" i="29"/>
  <c r="F35" i="4"/>
  <c r="F35" i="17"/>
  <c r="F16" i="18"/>
  <c r="F35" i="36"/>
  <c r="E7" i="39"/>
  <c r="F7" s="1"/>
  <c r="F5" i="4"/>
  <c r="F7"/>
  <c r="E30"/>
  <c r="F30" s="1"/>
  <c r="F31" s="1"/>
  <c r="E42"/>
  <c r="F42" s="1"/>
  <c r="F43" s="1"/>
  <c r="E11" i="5"/>
  <c r="F11" s="1"/>
  <c r="E17"/>
  <c r="F17" s="1"/>
  <c r="E23"/>
  <c r="E35"/>
  <c r="E47"/>
  <c r="F47" s="1"/>
  <c r="F48" s="1"/>
  <c r="E18" i="24"/>
  <c r="F18" s="1"/>
  <c r="F19" s="1"/>
  <c r="E10" i="25"/>
  <c r="F10" s="1"/>
  <c r="E16"/>
  <c r="E18" i="40"/>
  <c r="F18" s="1"/>
  <c r="F19" s="1"/>
  <c r="E9" i="14"/>
  <c r="F9" s="1"/>
  <c r="E11"/>
  <c r="F11" s="1"/>
  <c r="E16"/>
  <c r="F6" i="15"/>
  <c r="E9"/>
  <c r="F9" s="1"/>
  <c r="E7" i="27"/>
  <c r="F7" s="1"/>
  <c r="F5"/>
  <c r="F5" i="29"/>
  <c r="E8"/>
  <c r="F8" s="1"/>
  <c r="E30"/>
  <c r="F30" s="1"/>
  <c r="F31" s="1"/>
  <c r="E36"/>
  <c r="F36" s="1"/>
  <c r="E42"/>
  <c r="F42" s="1"/>
  <c r="F43" s="1"/>
  <c r="E7" i="41"/>
  <c r="F7" s="1"/>
  <c r="F5" i="17"/>
  <c r="E8"/>
  <c r="F8" s="1"/>
  <c r="E30"/>
  <c r="F30" s="1"/>
  <c r="F31" s="1"/>
  <c r="E42"/>
  <c r="F42" s="1"/>
  <c r="F43" s="1"/>
  <c r="E11" i="18"/>
  <c r="F11" s="1"/>
  <c r="E17"/>
  <c r="F17" s="1"/>
  <c r="E23"/>
  <c r="E35"/>
  <c r="E47"/>
  <c r="F47" s="1"/>
  <c r="F48" s="1"/>
  <c r="F7" i="33"/>
  <c r="E10"/>
  <c r="F10" s="1"/>
  <c r="E16"/>
  <c r="E7" i="42"/>
  <c r="F7" s="1"/>
  <c r="F8" s="1"/>
  <c r="E18"/>
  <c r="F18" s="1"/>
  <c r="F19" s="1"/>
  <c r="F7" i="20"/>
  <c r="E10"/>
  <c r="F10" s="1"/>
  <c r="E16"/>
  <c r="F6" i="21"/>
  <c r="E9"/>
  <c r="F9" s="1"/>
  <c r="E30"/>
  <c r="F30" s="1"/>
  <c r="F31" s="1"/>
  <c r="E36"/>
  <c r="F36" s="1"/>
  <c r="F5" i="34"/>
  <c r="F5" i="36"/>
  <c r="E8"/>
  <c r="F8" s="1"/>
  <c r="E24"/>
  <c r="F24" s="1"/>
  <c r="E30"/>
  <c r="F30" s="1"/>
  <c r="F31" s="1"/>
  <c r="E36"/>
  <c r="F36" s="1"/>
  <c r="E8" i="4"/>
  <c r="F8" s="1"/>
  <c r="E10"/>
  <c r="F10" s="1"/>
  <c r="E24"/>
  <c r="F24" s="1"/>
  <c r="E36"/>
  <c r="F36" s="1"/>
  <c r="E8" i="5"/>
  <c r="F8" s="1"/>
  <c r="E24"/>
  <c r="F24" s="1"/>
  <c r="E36"/>
  <c r="F36" s="1"/>
  <c r="E7" i="24"/>
  <c r="F7" s="1"/>
  <c r="F8" s="1"/>
  <c r="E11" i="25"/>
  <c r="F11" s="1"/>
  <c r="E17"/>
  <c r="F17" s="1"/>
  <c r="E23"/>
  <c r="E35"/>
  <c r="E47"/>
  <c r="F47" s="1"/>
  <c r="F48" s="1"/>
  <c r="E13" i="40"/>
  <c r="F13" s="1"/>
  <c r="F14" s="1"/>
  <c r="E17" i="14"/>
  <c r="F17" s="1"/>
  <c r="E23"/>
  <c r="E35"/>
  <c r="E47"/>
  <c r="F47" s="1"/>
  <c r="F48" s="1"/>
  <c r="E10" i="15"/>
  <c r="F10" s="1"/>
  <c r="E16"/>
  <c r="F6" i="29"/>
  <c r="E9"/>
  <c r="F9" s="1"/>
  <c r="E24"/>
  <c r="F24" s="1"/>
  <c r="F5" i="41"/>
  <c r="F6" i="17"/>
  <c r="E9"/>
  <c r="F9" s="1"/>
  <c r="E24"/>
  <c r="F24" s="1"/>
  <c r="E36"/>
  <c r="F36" s="1"/>
  <c r="F5" i="18"/>
  <c r="E8"/>
  <c r="F8" s="1"/>
  <c r="E36"/>
  <c r="F36" s="1"/>
  <c r="E42"/>
  <c r="F42" s="1"/>
  <c r="F43" s="1"/>
  <c r="E11" i="33"/>
  <c r="F11" s="1"/>
  <c r="E17"/>
  <c r="F17" s="1"/>
  <c r="E23"/>
  <c r="E35"/>
  <c r="E47"/>
  <c r="F47" s="1"/>
  <c r="F48" s="1"/>
  <c r="E11" i="20"/>
  <c r="F11" s="1"/>
  <c r="E17"/>
  <c r="F17" s="1"/>
  <c r="E23"/>
  <c r="E35"/>
  <c r="E47"/>
  <c r="F47" s="1"/>
  <c r="F48" s="1"/>
  <c r="E10" i="21"/>
  <c r="F10" s="1"/>
  <c r="E16"/>
  <c r="F6" i="36"/>
  <c r="E9"/>
  <c r="F9" s="1"/>
  <c r="E42"/>
  <c r="F42" s="1"/>
  <c r="F43" s="1"/>
  <c r="F6" i="39"/>
  <c r="E16" i="4"/>
  <c r="F6" i="5"/>
  <c r="E9"/>
  <c r="F9" s="1"/>
  <c r="E30"/>
  <c r="F30" s="1"/>
  <c r="F31" s="1"/>
  <c r="F5" i="25"/>
  <c r="E8"/>
  <c r="F8" s="1"/>
  <c r="E24"/>
  <c r="F24" s="1"/>
  <c r="E36"/>
  <c r="F36" s="1"/>
  <c r="E42"/>
  <c r="F42" s="1"/>
  <c r="F43" s="1"/>
  <c r="E8" i="14"/>
  <c r="F8" s="1"/>
  <c r="E10"/>
  <c r="F10" s="1"/>
  <c r="E24"/>
  <c r="F24" s="1"/>
  <c r="E36"/>
  <c r="F36" s="1"/>
  <c r="E11" i="15"/>
  <c r="F11" s="1"/>
  <c r="E17"/>
  <c r="F17" s="1"/>
  <c r="E23"/>
  <c r="E35"/>
  <c r="E10" i="29"/>
  <c r="F10" s="1"/>
  <c r="E16"/>
  <c r="E10" i="17"/>
  <c r="F10" s="1"/>
  <c r="E16"/>
  <c r="F5" i="33"/>
  <c r="E8"/>
  <c r="F8" s="1"/>
  <c r="E24"/>
  <c r="F24" s="1"/>
  <c r="E36"/>
  <c r="F36" s="1"/>
  <c r="F5" i="20"/>
  <c r="E8"/>
  <c r="F8" s="1"/>
  <c r="E30"/>
  <c r="F30" s="1"/>
  <c r="F31" s="1"/>
  <c r="E42"/>
  <c r="F42" s="1"/>
  <c r="F43" s="1"/>
  <c r="E11" i="21"/>
  <c r="F11" s="1"/>
  <c r="E17"/>
  <c r="F17" s="1"/>
  <c r="E23"/>
  <c r="E35"/>
  <c r="F7" i="36"/>
  <c r="E10"/>
  <c r="F10" s="1"/>
  <c r="E16"/>
  <c r="E9" i="4"/>
  <c r="F9" s="1"/>
  <c r="E11"/>
  <c r="F11" s="1"/>
  <c r="E23"/>
  <c r="E10" i="5"/>
  <c r="F10" s="1"/>
  <c r="E8" i="15"/>
  <c r="F8" s="1"/>
  <c r="E24"/>
  <c r="F24" s="1"/>
  <c r="E36"/>
  <c r="F36" s="1"/>
  <c r="E11" i="29"/>
  <c r="F11" s="1"/>
  <c r="E23"/>
  <c r="E11" i="17"/>
  <c r="F11" s="1"/>
  <c r="E23"/>
  <c r="E10" i="18"/>
  <c r="F10" s="1"/>
  <c r="E9" i="33"/>
  <c r="F9" s="1"/>
  <c r="F6" i="20"/>
  <c r="F5" i="21"/>
  <c r="E8"/>
  <c r="F8" s="1"/>
  <c r="E11" i="36"/>
  <c r="F11" s="1"/>
  <c r="E23"/>
  <c r="F8" i="31" l="1"/>
  <c r="F8" i="34"/>
  <c r="F8" i="27"/>
  <c r="F8" i="41"/>
  <c r="F12" i="15"/>
  <c r="F8" i="39"/>
  <c r="F12" i="14"/>
  <c r="F12" i="5"/>
  <c r="E25" i="17"/>
  <c r="F25" s="1"/>
  <c r="F23"/>
  <c r="E25" i="4"/>
  <c r="F25" s="1"/>
  <c r="F23"/>
  <c r="E18" i="29"/>
  <c r="F18" s="1"/>
  <c r="F16"/>
  <c r="E25" i="33"/>
  <c r="F25" s="1"/>
  <c r="F23"/>
  <c r="E25" i="25"/>
  <c r="F25" s="1"/>
  <c r="F23"/>
  <c r="F16" i="14"/>
  <c r="E18"/>
  <c r="F18" s="1"/>
  <c r="F16" i="25"/>
  <c r="E18"/>
  <c r="F18" s="1"/>
  <c r="F35" i="5"/>
  <c r="E37"/>
  <c r="F37" s="1"/>
  <c r="F12" i="21"/>
  <c r="E37" i="17"/>
  <c r="F37" s="1"/>
  <c r="F38" s="1"/>
  <c r="F16" i="36"/>
  <c r="E18"/>
  <c r="F18" s="1"/>
  <c r="F23" i="21"/>
  <c r="E25"/>
  <c r="F25" s="1"/>
  <c r="F23" i="15"/>
  <c r="E25"/>
  <c r="F25" s="1"/>
  <c r="E18" i="21"/>
  <c r="F18" s="1"/>
  <c r="F16"/>
  <c r="E25" i="20"/>
  <c r="F25" s="1"/>
  <c r="F23"/>
  <c r="E37" i="33"/>
  <c r="F37" s="1"/>
  <c r="F35"/>
  <c r="E18" i="15"/>
  <c r="F18" s="1"/>
  <c r="F16"/>
  <c r="E25" i="14"/>
  <c r="F25" s="1"/>
  <c r="F23"/>
  <c r="E37" i="25"/>
  <c r="F37" s="1"/>
  <c r="F35"/>
  <c r="E25" i="18"/>
  <c r="F25" s="1"/>
  <c r="F23"/>
  <c r="F12" i="36"/>
  <c r="F12" i="29"/>
  <c r="F12" i="4"/>
  <c r="E37" i="36"/>
  <c r="F37" s="1"/>
  <c r="F38" s="1"/>
  <c r="E18" i="5"/>
  <c r="F18" s="1"/>
  <c r="F19" s="1"/>
  <c r="E25" i="29"/>
  <c r="F25" s="1"/>
  <c r="F23"/>
  <c r="E37" i="21"/>
  <c r="F37" s="1"/>
  <c r="F35"/>
  <c r="E18" i="17"/>
  <c r="F18" s="1"/>
  <c r="F16"/>
  <c r="E37" i="15"/>
  <c r="F37" s="1"/>
  <c r="F35"/>
  <c r="F16" i="4"/>
  <c r="E18"/>
  <c r="F18" s="1"/>
  <c r="E37" i="20"/>
  <c r="F37" s="1"/>
  <c r="F35"/>
  <c r="E37" i="14"/>
  <c r="F37" s="1"/>
  <c r="F35"/>
  <c r="F16" i="33"/>
  <c r="E18"/>
  <c r="F18" s="1"/>
  <c r="F35" i="18"/>
  <c r="E37"/>
  <c r="F37" s="1"/>
  <c r="F12" i="25"/>
  <c r="F12" i="18"/>
  <c r="E37" i="4"/>
  <c r="F37" s="1"/>
  <c r="E37" i="29"/>
  <c r="F37" s="1"/>
  <c r="F38" s="1"/>
  <c r="F23" i="36"/>
  <c r="E25"/>
  <c r="F25" s="1"/>
  <c r="E18" i="20"/>
  <c r="F18" s="1"/>
  <c r="F16"/>
  <c r="E25" i="5"/>
  <c r="F25" s="1"/>
  <c r="F23"/>
  <c r="F12" i="20"/>
  <c r="F12" i="33"/>
  <c r="F12" i="17"/>
  <c r="E18" i="18"/>
  <c r="F18" s="1"/>
  <c r="F19" s="1"/>
  <c r="F38" i="4"/>
  <c r="F26" i="21" l="1"/>
  <c r="F26" i="5"/>
  <c r="F38" i="18"/>
  <c r="F19" i="25"/>
  <c r="F19" i="20"/>
  <c r="F19" i="33"/>
  <c r="F26" i="15"/>
  <c r="F19" i="36"/>
  <c r="F38" i="5"/>
  <c r="F19" i="14"/>
  <c r="F26" i="36"/>
  <c r="F38" i="20"/>
  <c r="F38" i="15"/>
  <c r="F38" i="21"/>
  <c r="F38" i="25"/>
  <c r="F19" i="15"/>
  <c r="F26" i="20"/>
  <c r="F26" i="25"/>
  <c r="F19" i="29"/>
  <c r="F26" i="17"/>
  <c r="F19" i="4"/>
  <c r="F38" i="14"/>
  <c r="F19" i="17"/>
  <c r="F26" i="29"/>
  <c r="F26" i="18"/>
  <c r="F26" i="14"/>
  <c r="F38" i="33"/>
  <c r="F19" i="21"/>
  <c r="F26" i="33"/>
  <c r="F26" i="4"/>
</calcChain>
</file>

<file path=xl/sharedStrings.xml><?xml version="1.0" encoding="utf-8"?>
<sst xmlns="http://schemas.openxmlformats.org/spreadsheetml/2006/main" count="2141" uniqueCount="164">
  <si>
    <t>Feature</t>
  </si>
  <si>
    <t>RTP</t>
  </si>
  <si>
    <t>Freq</t>
  </si>
  <si>
    <t>Boss round</t>
  </si>
  <si>
    <t>Leaderboard</t>
  </si>
  <si>
    <t>Total</t>
  </si>
  <si>
    <t>Base game</t>
  </si>
  <si>
    <t>Special weapon (*)</t>
  </si>
  <si>
    <t>Award</t>
  </si>
  <si>
    <t>Table 1</t>
  </si>
  <si>
    <t>Probability</t>
  </si>
  <si>
    <t>Total (*)</t>
  </si>
  <si>
    <t>Table 2</t>
  </si>
  <si>
    <t>Table 3</t>
  </si>
  <si>
    <t>Table 4</t>
  </si>
  <si>
    <t>Table 5</t>
  </si>
  <si>
    <t>Table 6</t>
  </si>
  <si>
    <t>Table 7</t>
  </si>
  <si>
    <t>Cumulative prob.</t>
  </si>
  <si>
    <t>Extra prize</t>
  </si>
  <si>
    <t>Environmental Boss round</t>
  </si>
  <si>
    <t>Boss energy:</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</si>
  <si>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</si>
  <si>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</si>
  <si>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</si>
  <si>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</si>
  <si>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</si>
  <si>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</si>
  <si>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</si>
  <si>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</si>
  <si>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</si>
  <si>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</si>
  <si>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</si>
  <si>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</si>
  <si>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</si>
  <si>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</si>
  <si>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</si>
  <si>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</si>
  <si>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</si>
  <si>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</si>
  <si>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</si>
  <si>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</si>
  <si>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</si>
  <si>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</si>
  <si>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</si>
  <si>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</si>
  <si>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</si>
  <si>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</si>
  <si>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</si>
  <si>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</si>
  <si>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</si>
  <si>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</si>
  <si>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</si>
  <si>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</si>
  <si>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</si>
  <si>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</si>
  <si>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</si>
  <si>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</si>
  <si>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</si>
  <si>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</si>
  <si>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</si>
  <si>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</si>
  <si>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</si>
  <si>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</si>
  <si>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</si>
  <si>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</si>
  <si>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</si>
  <si>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</si>
  <si>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</si>
  <si>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</si>
  <si>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</si>
  <si>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</si>
  <si>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</si>
  <si>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</si>
  <si>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</si>
  <si>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</si>
  <si>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</si>
  <si>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</si>
  <si>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</si>
  <si>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</si>
  <si>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</si>
  <si>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</si>
  <si>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</si>
  <si>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</si>
  <si>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</si>
  <si>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</si>
  <si>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</si>
  <si>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</si>
  <si>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</si>
  <si>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</si>
  <si>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</si>
  <si>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</si>
  <si>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</si>
  <si>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</si>
  <si>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</si>
  <si>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</si>
  <si>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</si>
  <si>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</si>
  <si>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</si>
  <si>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</si>
  <si>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</si>
  <si>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</si>
  <si>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</si>
  <si>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</si>
  <si>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</si>
  <si>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</si>
  <si>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</si>
  <si>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</si>
  <si>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</si>
  <si>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</si>
  <si>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</si>
  <si>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</si>
  <si>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</si>
  <si>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</si>
  <si>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</si>
  <si>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</si>
  <si>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</si>
  <si>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</si>
  <si>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</si>
  <si>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</si>
  <si>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</si>
  <si>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</si>
  <si>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</si>
  <si>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</si>
  <si>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</si>
  <si>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</si>
  <si>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</si>
  <si>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</si>
  <si>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</si>
  <si>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</si>
  <si>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</si>
  <si>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</si>
  <si>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</si>
  <si>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</si>
  <si>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</si>
  <si>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HIGH-Volatility Enemy (Jackpot)</t>
  </si>
  <si>
    <t>Avg payout</t>
  </si>
  <si>
    <t>Special weapon 1: double barrelled shotgun</t>
  </si>
  <si>
    <t>Weight</t>
  </si>
  <si>
    <t>Total RTP:</t>
  </si>
  <si>
    <t>Crate price (credits)</t>
  </si>
  <si>
    <t>Avg pay/price</t>
  </si>
  <si>
    <t>Crate content (random):</t>
  </si>
  <si>
    <t>Crate content including Guaranteed knockout (random):</t>
  </si>
  <si>
    <t>Guaranteed knockout</t>
  </si>
  <si>
    <t>In case of including Guranteed knockout in game please use the table below.</t>
  </si>
  <si>
    <t>Max avg pay</t>
  </si>
  <si>
    <t>Min RTP</t>
  </si>
  <si>
    <t>Prize: 48x to be distributed between players according to total bet during triggering round</t>
  </si>
  <si>
    <t>Worst strategy</t>
  </si>
  <si>
    <t>(*) worst strategy is to shoot when there is only one enemy on screen. In this case 4 shots are wasted.</t>
  </si>
  <si>
    <t>Special weapon 3 (Chain gun)</t>
  </si>
  <si>
    <t>Special weapon 3 (Ricochet) (**)</t>
  </si>
  <si>
    <t>(**) worst strategy is to shoot when there is only one enemy on screen. In this case every shot wastes the bounce shot.</t>
  </si>
  <si>
    <t>Guarantee knockout (***)</t>
  </si>
  <si>
    <t>(***) worst strategy is to use it agains an enemy paying only x2 (for example an scarab).</t>
  </si>
  <si>
    <t>When a player gets a GUARANTEE KNOCKOUT he/she can use it only in base game and optimal strategy is to kill a Powerful Pharaoh Mummy with no damage or a HV enemy. The prize is x15 (see table below)</t>
  </si>
  <si>
    <t>If player uses the special weapon in other case (imperfect play) then he/she will get a prize lower than x15.</t>
  </si>
  <si>
    <t xml:space="preserve">As each shot to boss is a bet, the RTP for this bet should be the same as base game (94%) to avoid player's strategies. </t>
  </si>
  <si>
    <t>But players are also competing by the Boss prize (48x) which will be distributed according to damage done by each player (or bot).</t>
  </si>
  <si>
    <t>So, each shot can grant an extra prize (Table 1) and cause a damage. The RTP of these shots will be 94% plus the RTP from Boss prize.</t>
  </si>
  <si>
    <t>RTP for player 2 is 94% due "extra prizes" plus 0.05% due Boss damage.</t>
  </si>
  <si>
    <t>With this numbers the RTP for player 1 is 94% due "extra prizes" plus 0.1% due Boss damage.</t>
  </si>
  <si>
    <t>Non optimal strategy</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</si>
</sst>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0" fillId="0" borderId="0" xfId="0"/>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164" fontId="0" fillId="0" borderId="1" xfId="0" applyNumberFormat="1" applyFill="1" applyBorder="1"/>
    <xf numFmtId="0" fontId="7" fillId="0" borderId="0" xfId="0" applyFont="1"/>
    <xf numFmtId="0" fontId="0" fillId="0" borderId="0" xfId="0" applyNumberFormat="1"/>
    <xf numFmtId="0" fontId="3" fillId="0" borderId="13" xfId="0" applyFont="1" applyFill="1" applyBorder="1" applyAlignment="1">
      <alignment horizontal="center"/>
    </xf>
    <xf numFmtId="164" fontId="8" fillId="0" borderId="1" xfId="1" applyNumberFormat="1" applyFont="1" applyFill="1" applyBorder="1"/>
    <xf numFmtId="169" fontId="0" fillId="0" borderId="1" xfId="0" applyNumberFormat="1" applyFill="1" applyBorder="1"/>
    <xf numFmtId="0" fontId="8" fillId="0" borderId="1" xfId="0" applyFont="1" applyBorder="1"/>
    <xf numFmtId="0" fontId="8" fillId="0" borderId="1" xfId="0" applyFont="1" applyBorder="1" applyAlignment="1">
      <alignment horizontal="center"/>
    </xf>
    <xf numFmtId="0" fontId="8" fillId="0" borderId="1" xfId="0" applyFont="1" applyFill="1" applyBorder="1"/>
    <xf numFmtId="0" fontId="0" fillId="0" borderId="11" xfId="0" applyFill="1" applyBorder="1"/>
    <xf numFmtId="0" fontId="0" fillId="0" borderId="14" xfId="0" applyBorder="1"/>
    <xf numFmtId="0" fontId="0" fillId="0" borderId="15" xfId="0" applyBorder="1"/>
    <xf numFmtId="0" fontId="3" fillId="0" borderId="3" xfId="0" applyFont="1" applyFill="1" applyBorder="1"/>
    <xf numFmtId="0" fontId="3" fillId="0" borderId="17" xfId="0" applyFont="1" applyBorder="1"/>
    <xf numFmtId="167" fontId="3" fillId="0" borderId="17" xfId="1" applyNumberFormat="1" applyFont="1" applyBorder="1"/>
    <xf numFmtId="0" fontId="3" fillId="0" borderId="16" xfId="0" applyFont="1" applyBorder="1"/>
    <xf numFmtId="0" fontId="3" fillId="0" borderId="4" xfId="0" applyFont="1" applyBorder="1"/>
    <xf numFmtId="0" fontId="3" fillId="0" borderId="0" xfId="0" applyFont="1" applyFill="1" applyBorder="1"/>
    <xf numFmtId="10" fontId="3" fillId="0" borderId="0" xfId="1" applyNumberFormat="1" applyFont="1"/>
    <xf numFmtId="173" fontId="0" fillId="0" borderId="14" xfId="1" applyNumberFormat="1" applyFont="1" applyBorder="1"/>
    <xf numFmtId="173" fontId="0" fillId="0" borderId="15" xfId="1"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173" fontId="0" fillId="0" borderId="13" xfId="1" applyNumberFormat="1" applyFont="1" applyBorder="1"/>
    <xf numFmtId="0" fontId="0" fillId="0" borderId="6" xfId="0" applyFill="1" applyBorder="1"/>
    <xf numFmtId="0" fontId="0" fillId="0" borderId="0" xfId="0" applyAlignment="1">
      <alignment horizontal="right"/>
    </xf>
    <xf numFmtId="0" fontId="8" fillId="0" borderId="0" xfId="0" applyFont="1" applyBorder="1"/>
    <xf numFmtId="0" fontId="8" fillId="0" borderId="9" xfId="0" applyFont="1" applyBorder="1"/>
    <xf numFmtId="0" fontId="8" fillId="0" borderId="12" xfId="0" applyFont="1" applyBorder="1"/>
    <xf numFmtId="0" fontId="8" fillId="0" borderId="0" xfId="0" applyFont="1"/>
    <xf numFmtId="166" fontId="8" fillId="0" borderId="1" xfId="1" applyNumberFormat="1" applyFont="1" applyBorder="1"/>
    <xf numFmtId="2" fontId="0" fillId="0" borderId="1" xfId="0" applyNumberFormat="1" applyBorder="1"/>
    <xf numFmtId="10" fontId="2" fillId="2" borderId="1" xfId="0" applyNumberFormat="1" applyFont="1" applyFill="1" applyBorder="1"/>
    <xf numFmtId="0" fontId="8" fillId="0" borderId="0" xfId="0" applyFont="1" applyFill="1" applyBorder="1"/>
    <xf numFmtId="0" fontId="8" fillId="0" borderId="11" xfId="0" applyFont="1" applyBorder="1"/>
    <xf numFmtId="172" fontId="0" fillId="0" borderId="1" xfId="1" applyNumberFormat="1" applyFont="1" applyFill="1" applyBorder="1"/>
    <xf numFmtId="165" fontId="0" fillId="0" borderId="1" xfId="1" applyNumberFormat="1" applyFont="1" applyFill="1" applyBorder="1"/>
    <xf numFmtId="0" fontId="9" fillId="0" borderId="0" xfId="0" applyFont="1"/>
    <xf numFmtId="0" fontId="5" fillId="3" borderId="0" xfId="0" applyFont="1" applyFill="1" applyAlignment="1">
      <alignment horizontal="center"/>
    </xf>
    <xf numFmtId="0" fontId="6" fillId="4" borderId="0" xfId="0" applyFont="1" applyFill="1" applyAlignment="1">
      <alignment horizontal="center"/>
    </xf>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sheetPr codeName="Hoja1"/>
  <dimension ref="A1:K42"/>
  <sheetViews>
    <sheetView tabSelected="1" workbookViewId="0">
      <selection activeCell="A5" sqref="A5"/>
    </sheetView>
  </sheetViews>
  <sheetFormatPr baseColWidth="10" defaultRowHeight="14.4"/>
  <cols>
    <col min="1" max="1" width="18" customWidth="1"/>
    <col min="4" max="4" width="11.5546875" style="21"/>
    <col min="5" max="5" width="14.88671875" customWidth="1"/>
    <col min="7" max="7" width="13.5546875" customWidth="1"/>
    <col min="8" max="8" width="15" customWidth="1"/>
  </cols>
  <sheetData>
    <row r="1" spans="1:9" s="55" customFormat="1">
      <c r="A1" s="55" t="s">
        <v>62</v>
      </c>
    </row>
    <row r="2" spans="1:9" s="55" customFormat="1">
      <c r="A2" s="55" t="s">
        <v>63</v>
      </c>
    </row>
    <row r="3" spans="1:9" s="55" customFormat="1"/>
    <row r="4" spans="1:9" s="55" customFormat="1"/>
    <row r="5" spans="1:9">
      <c r="A5" s="60" t="s">
        <v>0</v>
      </c>
      <c r="B5" s="60" t="s">
        <v>1</v>
      </c>
      <c r="C5" s="60" t="s">
        <v>2</v>
      </c>
      <c r="D5" s="60" t="s">
        <v>10</v>
      </c>
      <c r="E5" s="60" t="s">
        <v>146</v>
      </c>
      <c r="F5" s="60" t="s">
        <v>146</v>
      </c>
      <c r="G5" s="60" t="s">
        <v>147</v>
      </c>
      <c r="H5" s="55"/>
      <c r="I5" s="55"/>
    </row>
    <row r="6" spans="1:9">
      <c r="A6" s="59" t="s">
        <v>6</v>
      </c>
      <c r="B6" s="6">
        <v>0.6</v>
      </c>
      <c r="C6" s="59"/>
      <c r="D6" s="59"/>
      <c r="E6" s="59"/>
      <c r="F6" s="59"/>
      <c r="G6" s="6">
        <v>0.6</v>
      </c>
      <c r="H6" s="55"/>
      <c r="I6" s="55"/>
    </row>
    <row r="7" spans="1:9">
      <c r="A7" s="59" t="s">
        <v>3</v>
      </c>
      <c r="B7" s="122">
        <v>0.24</v>
      </c>
      <c r="C7" s="59">
        <v>200</v>
      </c>
      <c r="D7" s="59">
        <f>1/C7</f>
        <v>5.0000000000000001E-3</v>
      </c>
      <c r="E7" s="59">
        <f>+C7*B7</f>
        <v>48</v>
      </c>
      <c r="F7" s="59">
        <v>48</v>
      </c>
      <c r="G7" s="122">
        <v>0.24</v>
      </c>
      <c r="H7" s="65" t="s">
        <v>148</v>
      </c>
      <c r="I7" s="55"/>
    </row>
    <row r="8" spans="1:9">
      <c r="A8" s="59" t="s">
        <v>7</v>
      </c>
      <c r="B8" s="122">
        <f>1/C8*E8</f>
        <v>0.1</v>
      </c>
      <c r="C8" s="59">
        <v>60</v>
      </c>
      <c r="D8" s="59">
        <f t="shared" ref="D8" si="0">1/C8</f>
        <v>1.6666666666666666E-2</v>
      </c>
      <c r="E8" s="123">
        <f>+'Special weapon'!D23</f>
        <v>6</v>
      </c>
      <c r="F8" s="123">
        <f>+'Special weapon'!D50</f>
        <v>3.8163043478260872</v>
      </c>
      <c r="G8" s="122">
        <f>1/C8*F8</f>
        <v>6.360507246376812E-2</v>
      </c>
      <c r="H8" s="55"/>
      <c r="I8" s="55"/>
    </row>
    <row r="9" spans="1:9" s="55" customFormat="1">
      <c r="A9" s="59" t="s">
        <v>4</v>
      </c>
      <c r="B9" s="122">
        <v>0.02</v>
      </c>
      <c r="C9" s="59"/>
      <c r="D9" s="59"/>
      <c r="E9" s="59"/>
      <c r="F9" s="59"/>
      <c r="G9" s="122">
        <v>0.02</v>
      </c>
    </row>
    <row r="10" spans="1:9">
      <c r="A10" s="59" t="s">
        <v>134</v>
      </c>
      <c r="B10" s="122">
        <v>0</v>
      </c>
      <c r="C10" s="59"/>
      <c r="D10" s="59"/>
      <c r="E10" s="59"/>
      <c r="F10" s="59"/>
      <c r="G10" s="122">
        <v>0</v>
      </c>
      <c r="H10" s="55"/>
      <c r="I10" s="55"/>
    </row>
    <row r="11" spans="1:9">
      <c r="A11" s="60" t="s">
        <v>5</v>
      </c>
      <c r="B11" s="30">
        <f>+SUM(B6:B10)</f>
        <v>0.96</v>
      </c>
      <c r="C11" s="60"/>
      <c r="D11" s="60"/>
      <c r="E11" s="60"/>
      <c r="F11" s="60"/>
      <c r="G11" s="124">
        <f>+SUM(G6:G10)</f>
        <v>0.92360507246376811</v>
      </c>
      <c r="H11" s="55"/>
      <c r="I11" s="55"/>
    </row>
    <row r="12" spans="1:9">
      <c r="A12" s="63" t="s">
        <v>58</v>
      </c>
    </row>
    <row r="13" spans="1:9">
      <c r="A13" s="63" t="s">
        <v>156</v>
      </c>
    </row>
    <row r="14" spans="1:9" s="21" customFormat="1">
      <c r="A14" s="63" t="s">
        <v>157</v>
      </c>
    </row>
    <row r="15" spans="1:9" s="21" customFormat="1"/>
    <row r="16" spans="1:9">
      <c r="A16" s="57" t="s">
        <v>113</v>
      </c>
    </row>
    <row r="17" spans="1:11" s="55" customFormat="1">
      <c r="A17" s="57"/>
    </row>
    <row r="18" spans="1:11" s="55" customFormat="1">
      <c r="A18" s="57"/>
    </row>
    <row r="19" spans="1:11">
      <c r="A19" s="58" t="s">
        <v>65</v>
      </c>
      <c r="B19" s="55"/>
      <c r="D19" s="58" t="s">
        <v>66</v>
      </c>
      <c r="E19" s="55"/>
      <c r="G19" s="58" t="s">
        <v>67</v>
      </c>
      <c r="H19" s="55"/>
    </row>
    <row r="20" spans="1:11">
      <c r="A20" s="60" t="s">
        <v>76</v>
      </c>
      <c r="B20" s="60" t="s">
        <v>75</v>
      </c>
      <c r="D20" s="60" t="s">
        <v>76</v>
      </c>
      <c r="E20" s="60" t="s">
        <v>75</v>
      </c>
      <c r="G20" s="60" t="s">
        <v>76</v>
      </c>
      <c r="H20" s="60" t="s">
        <v>75</v>
      </c>
    </row>
    <row r="21" spans="1:11">
      <c r="A21" s="59">
        <v>1</v>
      </c>
      <c r="B21" s="85">
        <v>2</v>
      </c>
      <c r="D21" s="59">
        <v>1</v>
      </c>
      <c r="E21" s="85">
        <v>5</v>
      </c>
      <c r="G21" s="59">
        <v>1</v>
      </c>
      <c r="H21" s="85">
        <v>8</v>
      </c>
    </row>
    <row r="22" spans="1:11" s="55" customFormat="1">
      <c r="A22" s="57"/>
    </row>
    <row r="23" spans="1:11" s="55" customFormat="1">
      <c r="A23" s="57"/>
    </row>
    <row r="24" spans="1:11" s="3" customFormat="1">
      <c r="A24" s="2"/>
      <c r="D24" s="21"/>
    </row>
    <row r="25" spans="1:11">
      <c r="A25" s="58" t="s">
        <v>69</v>
      </c>
      <c r="B25" s="55"/>
      <c r="D25" s="4" t="s">
        <v>72</v>
      </c>
      <c r="G25" s="4" t="s">
        <v>73</v>
      </c>
      <c r="H25" s="3"/>
      <c r="J25" s="4" t="s">
        <v>74</v>
      </c>
      <c r="K25" s="3"/>
    </row>
    <row r="26" spans="1:11">
      <c r="A26" s="60" t="s">
        <v>68</v>
      </c>
      <c r="B26" s="60" t="s">
        <v>75</v>
      </c>
      <c r="D26" s="60" t="s">
        <v>76</v>
      </c>
      <c r="E26" s="60" t="s">
        <v>75</v>
      </c>
      <c r="G26" s="60" t="s">
        <v>76</v>
      </c>
      <c r="H26" s="60" t="s">
        <v>75</v>
      </c>
      <c r="J26" s="60" t="s">
        <v>76</v>
      </c>
      <c r="K26" s="60" t="s">
        <v>75</v>
      </c>
    </row>
    <row r="27" spans="1:11">
      <c r="A27" s="59">
        <v>1</v>
      </c>
      <c r="B27" s="84">
        <v>3</v>
      </c>
      <c r="D27" s="5">
        <v>2</v>
      </c>
      <c r="E27" s="84">
        <v>5</v>
      </c>
      <c r="G27" s="59">
        <v>1</v>
      </c>
      <c r="H27" s="84">
        <v>5</v>
      </c>
      <c r="J27" s="59">
        <v>1</v>
      </c>
      <c r="K27" s="84">
        <v>8</v>
      </c>
    </row>
    <row r="28" spans="1:11">
      <c r="A28" s="59">
        <v>2</v>
      </c>
      <c r="B28" s="84">
        <v>5</v>
      </c>
      <c r="D28" s="1">
        <v>3</v>
      </c>
      <c r="E28" s="84">
        <v>10</v>
      </c>
      <c r="G28" s="59">
        <v>2</v>
      </c>
      <c r="H28" s="84">
        <v>10</v>
      </c>
      <c r="J28" s="59">
        <v>2</v>
      </c>
      <c r="K28" s="84">
        <v>12</v>
      </c>
    </row>
    <row r="29" spans="1:11">
      <c r="A29" s="82" t="s">
        <v>5</v>
      </c>
      <c r="B29" s="85">
        <f>+SUM(B27:B28)</f>
        <v>8</v>
      </c>
      <c r="D29" s="82" t="s">
        <v>5</v>
      </c>
      <c r="E29" s="85">
        <f>+SUM(E27:E28)</f>
        <v>15</v>
      </c>
      <c r="G29" s="56">
        <v>3</v>
      </c>
      <c r="H29" s="84">
        <v>15</v>
      </c>
      <c r="J29" s="56">
        <v>3</v>
      </c>
      <c r="K29" s="84">
        <v>18</v>
      </c>
    </row>
    <row r="30" spans="1:11" s="55" customFormat="1">
      <c r="D30" s="21"/>
      <c r="E30"/>
      <c r="F30" s="58"/>
      <c r="G30" s="82" t="s">
        <v>5</v>
      </c>
      <c r="H30" s="85">
        <f>+SUM(H27:H29)</f>
        <v>30</v>
      </c>
      <c r="I30" s="58"/>
      <c r="J30" s="82" t="s">
        <v>5</v>
      </c>
      <c r="K30" s="85">
        <f>+SUM(K27:K29)</f>
        <v>38</v>
      </c>
    </row>
    <row r="34" spans="1:8">
      <c r="A34" s="58" t="s">
        <v>70</v>
      </c>
      <c r="B34" s="55"/>
      <c r="D34" s="58" t="s">
        <v>71</v>
      </c>
      <c r="E34" s="55"/>
      <c r="G34" s="58" t="s">
        <v>132</v>
      </c>
      <c r="H34" s="55"/>
    </row>
    <row r="35" spans="1:8">
      <c r="A35" s="60" t="s">
        <v>76</v>
      </c>
      <c r="B35" s="60" t="s">
        <v>75</v>
      </c>
      <c r="D35" s="60" t="s">
        <v>76</v>
      </c>
      <c r="E35" s="60" t="s">
        <v>75</v>
      </c>
      <c r="G35" s="60" t="s">
        <v>76</v>
      </c>
      <c r="H35" s="60" t="s">
        <v>75</v>
      </c>
    </row>
    <row r="36" spans="1:8">
      <c r="A36" s="59">
        <v>1</v>
      </c>
      <c r="B36" s="84">
        <v>12</v>
      </c>
      <c r="D36" s="59">
        <v>1</v>
      </c>
      <c r="E36" s="84">
        <v>12</v>
      </c>
      <c r="G36" s="59">
        <v>1</v>
      </c>
      <c r="H36" s="84">
        <v>2</v>
      </c>
    </row>
    <row r="37" spans="1:8">
      <c r="A37" s="59">
        <v>2</v>
      </c>
      <c r="B37" s="84">
        <v>15</v>
      </c>
      <c r="D37" s="59">
        <v>2</v>
      </c>
      <c r="E37" s="84">
        <v>15</v>
      </c>
      <c r="G37" s="59">
        <v>2</v>
      </c>
      <c r="H37" s="84">
        <v>5</v>
      </c>
    </row>
    <row r="38" spans="1:8">
      <c r="A38" s="59">
        <v>3</v>
      </c>
      <c r="B38" s="84">
        <v>20</v>
      </c>
      <c r="D38" s="59">
        <v>3</v>
      </c>
      <c r="E38" s="84">
        <v>20</v>
      </c>
      <c r="G38" s="59">
        <v>3</v>
      </c>
      <c r="H38" s="84">
        <v>10</v>
      </c>
    </row>
    <row r="39" spans="1:8">
      <c r="A39" s="82" t="s">
        <v>5</v>
      </c>
      <c r="B39" s="85">
        <f>+SUM(B36:B38)</f>
        <v>47</v>
      </c>
      <c r="D39" s="82" t="s">
        <v>5</v>
      </c>
      <c r="E39" s="85">
        <f>+SUM(E36:E38)</f>
        <v>47</v>
      </c>
      <c r="G39" s="59">
        <v>4</v>
      </c>
      <c r="H39" s="84">
        <v>20</v>
      </c>
    </row>
    <row r="40" spans="1:8">
      <c r="G40" s="59">
        <v>5</v>
      </c>
      <c r="H40" s="84">
        <v>50</v>
      </c>
    </row>
    <row r="41" spans="1:8">
      <c r="B41" s="55"/>
      <c r="E41" s="55"/>
      <c r="G41" s="59">
        <v>6</v>
      </c>
      <c r="H41" s="84">
        <v>100</v>
      </c>
    </row>
    <row r="42" spans="1:8">
      <c r="G42" s="59">
        <v>7</v>
      </c>
      <c r="H42" s="84">
        <v>500</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5"/>
  <dimension ref="A1:F71"/>
  <sheetViews>
    <sheetView workbookViewId="0">
      <selection sqref="A1:E1"/>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5" ht="18">
      <c r="A1" s="130" t="s">
        <v>20</v>
      </c>
      <c r="B1" s="130"/>
      <c r="C1" s="130"/>
      <c r="D1" s="130"/>
      <c r="E1" s="130"/>
    </row>
    <row r="2" spans="1:5">
      <c r="A2" s="55" t="s">
        <v>158</v>
      </c>
    </row>
    <row r="3" spans="1:5" s="16" customFormat="1">
      <c r="A3" s="55" t="s">
        <v>159</v>
      </c>
    </row>
    <row r="4" spans="1:5" s="16" customFormat="1">
      <c r="A4" s="55" t="s">
        <v>160</v>
      </c>
    </row>
    <row r="5" spans="1:5" s="16" customFormat="1">
      <c r="A5" s="16" t="s">
        <v>22</v>
      </c>
    </row>
    <row r="6" spans="1:5" s="16" customFormat="1">
      <c r="A6" s="22" t="s">
        <v>43</v>
      </c>
    </row>
    <row r="7" spans="1:5" s="16" customFormat="1">
      <c r="A7" s="55"/>
    </row>
    <row r="8" spans="1:5" s="16" customFormat="1" ht="18">
      <c r="A8" s="131" t="s">
        <v>19</v>
      </c>
      <c r="B8" s="131"/>
      <c r="C8" s="131"/>
      <c r="D8" s="131"/>
      <c r="E8" s="131"/>
    </row>
    <row r="9" spans="1:5" s="16" customFormat="1"/>
    <row r="10" spans="1:5">
      <c r="A10" s="58" t="s">
        <v>9</v>
      </c>
      <c r="B10" s="60" t="s">
        <v>68</v>
      </c>
      <c r="C10" s="60" t="s">
        <v>10</v>
      </c>
      <c r="D10" s="60" t="s">
        <v>18</v>
      </c>
      <c r="E10" s="60" t="s">
        <v>1</v>
      </c>
    </row>
    <row r="11" spans="1:5">
      <c r="A11" s="55"/>
      <c r="B11" s="83">
        <v>5</v>
      </c>
      <c r="C11" s="59">
        <v>7.0000000000000007E-2</v>
      </c>
      <c r="D11" s="59">
        <f>+SUM(C$10:$C11)</f>
        <v>7.0000000000000007E-2</v>
      </c>
      <c r="E11" s="59">
        <f t="shared" ref="E11:E16" si="0">+B11*C11</f>
        <v>0.35000000000000003</v>
      </c>
    </row>
    <row r="12" spans="1:5">
      <c r="A12" s="55"/>
      <c r="B12" s="83">
        <v>10</v>
      </c>
      <c r="C12" s="59">
        <v>8.9999999999999993E-3</v>
      </c>
      <c r="D12" s="59">
        <f>+SUM(C$10:$C12)</f>
        <v>7.9000000000000001E-2</v>
      </c>
      <c r="E12" s="59">
        <f t="shared" si="0"/>
        <v>0.09</v>
      </c>
    </row>
    <row r="13" spans="1:5">
      <c r="A13" s="55"/>
      <c r="B13" s="83">
        <v>15</v>
      </c>
      <c r="C13" s="59">
        <v>0.01</v>
      </c>
      <c r="D13" s="59">
        <f>+SUM(C$10:$C13)</f>
        <v>8.8999999999999996E-2</v>
      </c>
      <c r="E13" s="59">
        <f t="shared" si="0"/>
        <v>0.15</v>
      </c>
    </row>
    <row r="14" spans="1:5" s="55" customFormat="1">
      <c r="B14" s="83">
        <v>20</v>
      </c>
      <c r="C14" s="59">
        <v>0.01</v>
      </c>
      <c r="D14" s="59">
        <f>+SUM(C$10:$C14)</f>
        <v>9.8999999999999991E-2</v>
      </c>
      <c r="E14" s="59">
        <f t="shared" si="0"/>
        <v>0.2</v>
      </c>
    </row>
    <row r="15" spans="1:5">
      <c r="A15" s="55"/>
      <c r="B15" s="83">
        <v>50</v>
      </c>
      <c r="C15" s="59">
        <v>1E-3</v>
      </c>
      <c r="D15" s="59">
        <f>+SUM(C$10:$C15)</f>
        <v>9.9999999999999992E-2</v>
      </c>
      <c r="E15" s="59">
        <f t="shared" si="0"/>
        <v>0.05</v>
      </c>
    </row>
    <row r="16" spans="1:5">
      <c r="A16" s="55"/>
      <c r="B16" s="83">
        <v>100</v>
      </c>
      <c r="C16" s="59">
        <v>1E-3</v>
      </c>
      <c r="D16" s="59">
        <f>+SUM(C$10:$C16)</f>
        <v>0.10099999999999999</v>
      </c>
      <c r="E16" s="59">
        <f t="shared" si="0"/>
        <v>0.1</v>
      </c>
    </row>
    <row r="17" spans="1:5" s="55" customFormat="1">
      <c r="B17" s="62" t="s">
        <v>11</v>
      </c>
      <c r="C17" s="62">
        <f>+SUM(C11:C16)</f>
        <v>0.10099999999999999</v>
      </c>
      <c r="D17" s="62"/>
      <c r="E17" s="53">
        <f>+SUM(E11:E16)</f>
        <v>0.94000000000000006</v>
      </c>
    </row>
    <row r="18" spans="1:5" s="55" customFormat="1">
      <c r="B18" s="57"/>
    </row>
    <row r="20" spans="1:5" ht="18">
      <c r="A20" s="131" t="s">
        <v>23</v>
      </c>
      <c r="B20" s="131"/>
      <c r="C20" s="131"/>
      <c r="D20" s="131"/>
      <c r="E20" s="131"/>
    </row>
    <row r="21" spans="1:5" ht="15" thickBot="1"/>
    <row r="22" spans="1:5" ht="15" thickBot="1">
      <c r="A22" s="17" t="s">
        <v>21</v>
      </c>
      <c r="B22" s="18">
        <f>+Summary!E7</f>
        <v>48</v>
      </c>
    </row>
    <row r="23" spans="1:5" s="21" customFormat="1">
      <c r="A23" s="25" t="s">
        <v>45</v>
      </c>
      <c r="B23" s="19"/>
    </row>
    <row r="24" spans="1:5">
      <c r="A24" s="16" t="s">
        <v>25</v>
      </c>
    </row>
    <row r="25" spans="1:5">
      <c r="A25" s="16" t="s">
        <v>24</v>
      </c>
    </row>
    <row r="26" spans="1:5">
      <c r="A26" s="2" t="s">
        <v>26</v>
      </c>
    </row>
    <row r="27" spans="1:5" s="21" customFormat="1">
      <c r="A27" s="2" t="s">
        <v>36</v>
      </c>
    </row>
    <row r="29" spans="1:5">
      <c r="A29" s="22" t="s">
        <v>12</v>
      </c>
      <c r="B29" s="26" t="s">
        <v>27</v>
      </c>
      <c r="C29" s="26" t="s">
        <v>29</v>
      </c>
      <c r="D29" s="26" t="s">
        <v>1</v>
      </c>
      <c r="E29" s="21"/>
    </row>
    <row r="30" spans="1:5">
      <c r="B30" s="23">
        <v>1</v>
      </c>
      <c r="C30" s="23">
        <v>0.01</v>
      </c>
      <c r="D30" s="23">
        <f>+B30*C30</f>
        <v>0.01</v>
      </c>
    </row>
    <row r="31" spans="1:5">
      <c r="B31" s="23">
        <v>2</v>
      </c>
      <c r="C31" s="23">
        <v>0.01</v>
      </c>
      <c r="D31" s="23">
        <f t="shared" ref="D31:D33" si="1">+B31*C31</f>
        <v>0.02</v>
      </c>
    </row>
    <row r="32" spans="1:5">
      <c r="B32" s="23">
        <v>3</v>
      </c>
      <c r="C32" s="23">
        <v>0.01</v>
      </c>
      <c r="D32" s="23">
        <f t="shared" si="1"/>
        <v>0.03</v>
      </c>
    </row>
    <row r="33" spans="1:5">
      <c r="B33" s="23">
        <v>4</v>
      </c>
      <c r="C33" s="23">
        <v>0.01</v>
      </c>
      <c r="D33" s="23">
        <f t="shared" si="1"/>
        <v>0.04</v>
      </c>
    </row>
    <row r="34" spans="1:5">
      <c r="B34" s="23">
        <v>5</v>
      </c>
      <c r="C34" s="23">
        <v>0.01</v>
      </c>
      <c r="D34" s="23">
        <f>+B34*C34</f>
        <v>0.05</v>
      </c>
    </row>
    <row r="35" spans="1:5">
      <c r="B35" s="24" t="s">
        <v>5</v>
      </c>
      <c r="C35" s="24">
        <f>+SUM(C30:C34)</f>
        <v>0.05</v>
      </c>
      <c r="D35" s="24">
        <f>+SUM(D30:D34)</f>
        <v>0.15000000000000002</v>
      </c>
      <c r="E35" s="21" t="s">
        <v>42</v>
      </c>
    </row>
    <row r="37" spans="1:5">
      <c r="A37" s="21" t="s">
        <v>28</v>
      </c>
    </row>
    <row r="39" spans="1:5">
      <c r="A39" s="22" t="s">
        <v>13</v>
      </c>
      <c r="B39" s="26" t="s">
        <v>27</v>
      </c>
      <c r="C39" s="26" t="s">
        <v>29</v>
      </c>
      <c r="D39" s="26" t="s">
        <v>1</v>
      </c>
    </row>
    <row r="40" spans="1:5">
      <c r="B40" s="23">
        <v>1</v>
      </c>
      <c r="C40" s="23">
        <v>0.15</v>
      </c>
      <c r="D40" s="23">
        <f>+C40*B40</f>
        <v>0.15</v>
      </c>
    </row>
    <row r="41" spans="1:5">
      <c r="B41" s="24" t="s">
        <v>5</v>
      </c>
      <c r="C41" s="24">
        <f>+SUM(C40)</f>
        <v>0.15</v>
      </c>
      <c r="D41" s="24">
        <f>+D40</f>
        <v>0.15</v>
      </c>
    </row>
    <row r="43" spans="1:5">
      <c r="A43" s="22" t="s">
        <v>30</v>
      </c>
    </row>
    <row r="44" spans="1:5">
      <c r="A44" s="21" t="s">
        <v>31</v>
      </c>
    </row>
    <row r="45" spans="1:5">
      <c r="A45" s="21" t="s">
        <v>32</v>
      </c>
    </row>
    <row r="46" spans="1:5">
      <c r="A46" s="2" t="s">
        <v>33</v>
      </c>
    </row>
    <row r="48" spans="1:5">
      <c r="A48" s="21" t="s">
        <v>44</v>
      </c>
    </row>
    <row r="50" spans="2:6" s="21" customFormat="1">
      <c r="B50" s="22" t="s">
        <v>34</v>
      </c>
      <c r="C50" s="22" t="s">
        <v>37</v>
      </c>
    </row>
    <row r="51" spans="2:6">
      <c r="B51" s="26" t="s">
        <v>27</v>
      </c>
      <c r="C51" s="26" t="s">
        <v>29</v>
      </c>
      <c r="D51" s="20" t="s">
        <v>38</v>
      </c>
      <c r="E51" s="26" t="s">
        <v>39</v>
      </c>
      <c r="F51" s="26" t="s">
        <v>1</v>
      </c>
    </row>
    <row r="52" spans="2:6">
      <c r="B52" s="23">
        <v>1</v>
      </c>
      <c r="C52" s="59">
        <v>0.01</v>
      </c>
      <c r="D52" s="23">
        <f>25/75</f>
        <v>0.33333333333333331</v>
      </c>
      <c r="E52" s="23">
        <f>+C52*D52</f>
        <v>3.3333333333333331E-3</v>
      </c>
      <c r="F52" s="23">
        <f>+E52*B52</f>
        <v>3.3333333333333331E-3</v>
      </c>
    </row>
    <row r="53" spans="2:6">
      <c r="B53" s="23">
        <v>2</v>
      </c>
      <c r="C53" s="59">
        <v>0.01</v>
      </c>
      <c r="D53" s="23">
        <f t="shared" ref="D53:D56" si="2">25/75</f>
        <v>0.33333333333333331</v>
      </c>
      <c r="E53" s="23">
        <f t="shared" ref="E53:E56" si="3">+C53*D53</f>
        <v>3.3333333333333331E-3</v>
      </c>
      <c r="F53" s="23">
        <f t="shared" ref="F53:F56" si="4">+E53*B53</f>
        <v>6.6666666666666662E-3</v>
      </c>
    </row>
    <row r="54" spans="2:6">
      <c r="B54" s="23">
        <v>3</v>
      </c>
      <c r="C54" s="59">
        <v>0.01</v>
      </c>
      <c r="D54" s="23">
        <f t="shared" si="2"/>
        <v>0.33333333333333331</v>
      </c>
      <c r="E54" s="23">
        <f t="shared" si="3"/>
        <v>3.3333333333333331E-3</v>
      </c>
      <c r="F54" s="23">
        <f t="shared" si="4"/>
        <v>9.9999999999999985E-3</v>
      </c>
    </row>
    <row r="55" spans="2:6">
      <c r="B55" s="23">
        <v>4</v>
      </c>
      <c r="C55" s="59">
        <v>0.01</v>
      </c>
      <c r="D55" s="23">
        <f t="shared" si="2"/>
        <v>0.33333333333333331</v>
      </c>
      <c r="E55" s="23">
        <f t="shared" si="3"/>
        <v>3.3333333333333331E-3</v>
      </c>
      <c r="F55" s="23">
        <f t="shared" si="4"/>
        <v>1.3333333333333332E-2</v>
      </c>
    </row>
    <row r="56" spans="2:6">
      <c r="B56" s="23">
        <v>5</v>
      </c>
      <c r="C56" s="59">
        <v>0.01</v>
      </c>
      <c r="D56" s="23">
        <f t="shared" si="2"/>
        <v>0.33333333333333331</v>
      </c>
      <c r="E56" s="23">
        <f t="shared" si="3"/>
        <v>3.3333333333333331E-3</v>
      </c>
      <c r="F56" s="23">
        <f t="shared" si="4"/>
        <v>1.6666666666666666E-2</v>
      </c>
    </row>
    <row r="57" spans="2:6">
      <c r="B57" s="24" t="s">
        <v>5</v>
      </c>
      <c r="C57" s="24">
        <f>+SUM(C52:C56)</f>
        <v>0.05</v>
      </c>
      <c r="D57" s="24"/>
      <c r="E57" s="24">
        <f>+SUM(E52:E56)</f>
        <v>1.6666666666666666E-2</v>
      </c>
      <c r="F57" s="24">
        <f>+SUM(F52:F56)</f>
        <v>4.9999999999999989E-2</v>
      </c>
    </row>
    <row r="58" spans="2:6" s="21" customFormat="1">
      <c r="B58" s="25"/>
      <c r="C58" s="25"/>
      <c r="D58" s="25"/>
      <c r="E58" s="25"/>
      <c r="F58" s="25"/>
    </row>
    <row r="59" spans="2:6">
      <c r="B59" s="22" t="s">
        <v>35</v>
      </c>
      <c r="C59" s="22" t="s">
        <v>40</v>
      </c>
      <c r="D59" s="21"/>
      <c r="E59" s="21"/>
    </row>
    <row r="60" spans="2:6">
      <c r="B60" s="26" t="s">
        <v>27</v>
      </c>
      <c r="C60" s="26" t="s">
        <v>29</v>
      </c>
      <c r="D60" s="20" t="s">
        <v>38</v>
      </c>
      <c r="E60" s="26" t="s">
        <v>39</v>
      </c>
      <c r="F60" s="26" t="s">
        <v>1</v>
      </c>
    </row>
    <row r="61" spans="2:6">
      <c r="B61" s="23">
        <v>1</v>
      </c>
      <c r="C61" s="59">
        <v>0.01</v>
      </c>
      <c r="D61" s="23">
        <f>50/75</f>
        <v>0.66666666666666663</v>
      </c>
      <c r="E61" s="23">
        <f>+C61*D61</f>
        <v>6.6666666666666662E-3</v>
      </c>
      <c r="F61" s="23">
        <f>+E61*B61</f>
        <v>6.6666666666666662E-3</v>
      </c>
    </row>
    <row r="62" spans="2:6">
      <c r="B62" s="23">
        <v>2</v>
      </c>
      <c r="C62" s="59">
        <v>0.01</v>
      </c>
      <c r="D62" s="23">
        <f t="shared" ref="D62:D65" si="5">50/75</f>
        <v>0.66666666666666663</v>
      </c>
      <c r="E62" s="23">
        <f t="shared" ref="E62:E65" si="6">+C62*D62</f>
        <v>6.6666666666666662E-3</v>
      </c>
      <c r="F62" s="23">
        <f t="shared" ref="F62:F65" si="7">+E62*B62</f>
        <v>1.3333333333333332E-2</v>
      </c>
    </row>
    <row r="63" spans="2:6">
      <c r="B63" s="23">
        <v>3</v>
      </c>
      <c r="C63" s="59">
        <v>0.01</v>
      </c>
      <c r="D63" s="23">
        <f t="shared" si="5"/>
        <v>0.66666666666666663</v>
      </c>
      <c r="E63" s="23">
        <f t="shared" si="6"/>
        <v>6.6666666666666662E-3</v>
      </c>
      <c r="F63" s="23">
        <f t="shared" si="7"/>
        <v>1.9999999999999997E-2</v>
      </c>
    </row>
    <row r="64" spans="2:6">
      <c r="B64" s="23">
        <v>4</v>
      </c>
      <c r="C64" s="59">
        <v>0.01</v>
      </c>
      <c r="D64" s="23">
        <f t="shared" si="5"/>
        <v>0.66666666666666663</v>
      </c>
      <c r="E64" s="23">
        <f t="shared" si="6"/>
        <v>6.6666666666666662E-3</v>
      </c>
      <c r="F64" s="23">
        <f t="shared" si="7"/>
        <v>2.6666666666666665E-2</v>
      </c>
    </row>
    <row r="65" spans="1:6">
      <c r="B65" s="23">
        <v>5</v>
      </c>
      <c r="C65" s="59">
        <v>0.01</v>
      </c>
      <c r="D65" s="23">
        <f t="shared" si="5"/>
        <v>0.66666666666666663</v>
      </c>
      <c r="E65" s="23">
        <f t="shared" si="6"/>
        <v>6.6666666666666662E-3</v>
      </c>
      <c r="F65" s="23">
        <f t="shared" si="7"/>
        <v>3.3333333333333333E-2</v>
      </c>
    </row>
    <row r="66" spans="1:6">
      <c r="B66" s="24" t="s">
        <v>5</v>
      </c>
      <c r="C66" s="24">
        <f>+SUM(C61:C65)</f>
        <v>0.05</v>
      </c>
      <c r="D66" s="24"/>
      <c r="E66" s="24">
        <f>+SUM(E61:E65)</f>
        <v>3.3333333333333333E-2</v>
      </c>
      <c r="F66" s="24">
        <f>+SUM(F61:F65)</f>
        <v>9.9999999999999978E-2</v>
      </c>
    </row>
    <row r="69" spans="1:6">
      <c r="A69" s="55" t="s">
        <v>162</v>
      </c>
    </row>
    <row r="70" spans="1:6">
      <c r="A70" s="55" t="s">
        <v>161</v>
      </c>
    </row>
    <row r="71" spans="1:6">
      <c r="A71" s="21" t="s">
        <v>41</v>
      </c>
    </row>
  </sheetData>
  <mergeCells count="3">
    <mergeCell ref="A1:E1"/>
    <mergeCell ref="A20:E20"/>
    <mergeCell ref="A8:E8"/>
  </mergeCell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sheetPr codeName="Hoja8"/>
  <dimension ref="A1:F50"/>
  <sheetViews>
    <sheetView topLeftCell="A25" workbookViewId="0">
      <selection activeCell="A25" sqref="A25"/>
    </sheetView>
  </sheetViews>
  <sheetFormatPr baseColWidth="10" defaultRowHeight="14.4"/>
  <cols>
    <col min="1" max="1" width="28.33203125" style="55" customWidth="1"/>
    <col min="2" max="2" width="11.5546875" style="55"/>
    <col min="3" max="3" width="17" style="55" customWidth="1"/>
    <col min="4" max="4" width="13.5546875" style="55" bestFit="1" customWidth="1"/>
    <col min="5" max="16384" width="11.5546875" style="55"/>
  </cols>
  <sheetData>
    <row r="1" spans="1:6">
      <c r="A1" s="55" t="s">
        <v>131</v>
      </c>
    </row>
    <row r="2" spans="1:6">
      <c r="A2" s="55" t="s">
        <v>60</v>
      </c>
    </row>
    <row r="3" spans="1:6">
      <c r="A3" s="55" t="s">
        <v>64</v>
      </c>
    </row>
    <row r="5" spans="1:6" ht="15" thickBot="1"/>
    <row r="6" spans="1:6">
      <c r="A6" s="71" t="s">
        <v>47</v>
      </c>
      <c r="B6" s="72" t="s">
        <v>48</v>
      </c>
      <c r="C6" s="72" t="s">
        <v>49</v>
      </c>
      <c r="D6" s="72" t="s">
        <v>50</v>
      </c>
      <c r="E6" s="73" t="s">
        <v>51</v>
      </c>
    </row>
    <row r="7" spans="1:6">
      <c r="A7" s="74" t="s">
        <v>52</v>
      </c>
      <c r="B7" s="118">
        <v>4</v>
      </c>
      <c r="C7" s="118">
        <v>1.2</v>
      </c>
      <c r="D7" s="118">
        <f>+B7*C7</f>
        <v>4.8</v>
      </c>
      <c r="E7" s="119">
        <v>350</v>
      </c>
    </row>
    <row r="8" spans="1:6">
      <c r="A8" s="74" t="s">
        <v>53</v>
      </c>
      <c r="B8" s="118">
        <v>5</v>
      </c>
      <c r="C8" s="118">
        <v>1.05</v>
      </c>
      <c r="D8" s="118">
        <f t="shared" ref="D8:D9" si="0">+B8*C8</f>
        <v>5.25</v>
      </c>
      <c r="E8" s="119">
        <v>240</v>
      </c>
    </row>
    <row r="9" spans="1:6">
      <c r="A9" s="74" t="s">
        <v>54</v>
      </c>
      <c r="B9" s="118">
        <v>10</v>
      </c>
      <c r="C9" s="118">
        <v>0.9</v>
      </c>
      <c r="D9" s="118">
        <f t="shared" si="0"/>
        <v>9</v>
      </c>
      <c r="E9" s="119">
        <v>200</v>
      </c>
    </row>
    <row r="10" spans="1:6" ht="15" thickBot="1">
      <c r="A10" s="77" t="s">
        <v>55</v>
      </c>
      <c r="B10" s="78">
        <v>0</v>
      </c>
      <c r="C10" s="78">
        <v>15</v>
      </c>
      <c r="D10" s="78">
        <f>+B10*C10</f>
        <v>0</v>
      </c>
      <c r="E10" s="79">
        <v>0</v>
      </c>
      <c r="F10" s="55" t="s">
        <v>109</v>
      </c>
    </row>
    <row r="11" spans="1:6" ht="15" thickBot="1">
      <c r="F11" s="55" t="s">
        <v>110</v>
      </c>
    </row>
    <row r="12" spans="1:6" ht="15" thickBot="1">
      <c r="C12" s="80" t="s">
        <v>59</v>
      </c>
      <c r="D12" s="81">
        <f>+SUMPRODUCT(D7:D9,E7:E9)/SUM(E7:E9)</f>
        <v>6</v>
      </c>
    </row>
    <row r="15" spans="1:6">
      <c r="A15" s="55" t="s">
        <v>57</v>
      </c>
    </row>
    <row r="16" spans="1:6" ht="15" thickBot="1"/>
    <row r="17" spans="1:6">
      <c r="A17" s="71" t="s">
        <v>47</v>
      </c>
      <c r="B17" s="72" t="s">
        <v>48</v>
      </c>
      <c r="C17" s="72" t="s">
        <v>49</v>
      </c>
      <c r="D17" s="72" t="s">
        <v>50</v>
      </c>
      <c r="E17" s="73" t="s">
        <v>51</v>
      </c>
    </row>
    <row r="18" spans="1:6">
      <c r="A18" s="74" t="s">
        <v>52</v>
      </c>
      <c r="B18" s="118">
        <v>4</v>
      </c>
      <c r="C18" s="75">
        <v>1.2</v>
      </c>
      <c r="D18" s="75">
        <f>+B18*C18</f>
        <v>4.8</v>
      </c>
      <c r="E18" s="119">
        <v>20</v>
      </c>
    </row>
    <row r="19" spans="1:6">
      <c r="A19" s="74" t="s">
        <v>53</v>
      </c>
      <c r="B19" s="75">
        <v>5</v>
      </c>
      <c r="C19" s="75">
        <v>1.05</v>
      </c>
      <c r="D19" s="75">
        <f t="shared" ref="D19:D20" si="1">+B19*C19</f>
        <v>5.25</v>
      </c>
      <c r="E19" s="119">
        <v>16</v>
      </c>
    </row>
    <row r="20" spans="1:6">
      <c r="A20" s="74" t="s">
        <v>54</v>
      </c>
      <c r="B20" s="75">
        <v>10</v>
      </c>
      <c r="C20" s="75">
        <v>0.9</v>
      </c>
      <c r="D20" s="75">
        <f t="shared" si="1"/>
        <v>9</v>
      </c>
      <c r="E20" s="119">
        <v>9</v>
      </c>
    </row>
    <row r="21" spans="1:6" ht="15" thickBot="1">
      <c r="A21" s="77" t="s">
        <v>55</v>
      </c>
      <c r="B21" s="78">
        <v>1</v>
      </c>
      <c r="C21" s="78">
        <v>15</v>
      </c>
      <c r="D21" s="78">
        <f>+B21*C21</f>
        <v>15</v>
      </c>
      <c r="E21" s="120">
        <v>1</v>
      </c>
      <c r="F21" s="55" t="s">
        <v>111</v>
      </c>
    </row>
    <row r="22" spans="1:6" ht="15" thickBot="1">
      <c r="A22" s="57" t="s">
        <v>56</v>
      </c>
    </row>
    <row r="23" spans="1:6" ht="15" thickBot="1">
      <c r="C23" s="80" t="s">
        <v>59</v>
      </c>
      <c r="D23" s="81">
        <f>+SUMPRODUCT(D18:D21,E18:E21)/SUM(E18:E21)</f>
        <v>6</v>
      </c>
    </row>
    <row r="25" spans="1:6">
      <c r="A25" s="55" t="s">
        <v>112</v>
      </c>
    </row>
    <row r="26" spans="1:6">
      <c r="A26" s="55" t="s">
        <v>61</v>
      </c>
    </row>
    <row r="29" spans="1:6" ht="15.6">
      <c r="A29" s="91" t="s">
        <v>117</v>
      </c>
    </row>
    <row r="30" spans="1:6">
      <c r="A30" s="121" t="s">
        <v>137</v>
      </c>
    </row>
    <row r="32" spans="1:6">
      <c r="A32" s="55" t="s">
        <v>118</v>
      </c>
    </row>
    <row r="33" spans="1:6">
      <c r="A33" s="92" t="s">
        <v>119</v>
      </c>
    </row>
    <row r="34" spans="1:6">
      <c r="A34" s="55" t="s">
        <v>120</v>
      </c>
    </row>
    <row r="35" spans="1:6">
      <c r="A35" s="55" t="s">
        <v>124</v>
      </c>
    </row>
    <row r="37" spans="1:6">
      <c r="A37" s="55" t="s">
        <v>121</v>
      </c>
    </row>
    <row r="38" spans="1:6">
      <c r="A38" s="55" t="s">
        <v>122</v>
      </c>
    </row>
    <row r="39" spans="1:6">
      <c r="A39" s="55" t="s">
        <v>123</v>
      </c>
    </row>
    <row r="42" spans="1:6" ht="15" thickBot="1">
      <c r="A42" s="58" t="s">
        <v>149</v>
      </c>
    </row>
    <row r="43" spans="1:6">
      <c r="A43" s="71" t="s">
        <v>47</v>
      </c>
      <c r="B43" s="72" t="s">
        <v>48</v>
      </c>
      <c r="C43" s="72" t="s">
        <v>49</v>
      </c>
      <c r="D43" s="72" t="s">
        <v>50</v>
      </c>
      <c r="E43" s="73" t="s">
        <v>10</v>
      </c>
    </row>
    <row r="44" spans="1:6">
      <c r="A44" s="74" t="s">
        <v>52</v>
      </c>
      <c r="B44" s="118">
        <v>4</v>
      </c>
      <c r="C44" s="118">
        <v>1.2</v>
      </c>
      <c r="D44" s="118">
        <f>+B44*C44</f>
        <v>4.8</v>
      </c>
      <c r="E44" s="119">
        <f>+E18/SUM($E$18:$E$21)</f>
        <v>0.43478260869565216</v>
      </c>
    </row>
    <row r="45" spans="1:6">
      <c r="A45" s="74" t="s">
        <v>53</v>
      </c>
      <c r="B45" s="118">
        <v>1</v>
      </c>
      <c r="C45" s="118">
        <v>1.05</v>
      </c>
      <c r="D45" s="118">
        <f t="shared" ref="D45:D47" si="2">+B45*C45</f>
        <v>1.05</v>
      </c>
      <c r="E45" s="119">
        <f t="shared" ref="E45" si="3">+E19/SUM($E$18:$E$21)</f>
        <v>0.34782608695652173</v>
      </c>
      <c r="F45" s="55" t="s">
        <v>150</v>
      </c>
    </row>
    <row r="46" spans="1:6">
      <c r="A46" s="74" t="s">
        <v>151</v>
      </c>
      <c r="B46" s="118">
        <v>10</v>
      </c>
      <c r="C46" s="118">
        <v>0.9</v>
      </c>
      <c r="D46" s="118">
        <f t="shared" si="2"/>
        <v>9</v>
      </c>
      <c r="E46" s="119">
        <f>+E20/SUM($E$18:$E$21)*1/2</f>
        <v>9.7826086956521743E-2</v>
      </c>
    </row>
    <row r="47" spans="1:6">
      <c r="A47" s="74" t="s">
        <v>152</v>
      </c>
      <c r="B47" s="125">
        <v>5</v>
      </c>
      <c r="C47" s="125">
        <v>0.9</v>
      </c>
      <c r="D47" s="118">
        <f t="shared" si="2"/>
        <v>4.5</v>
      </c>
      <c r="E47" s="119">
        <f>+E20/SUM($E$18:$E$21)*1/2</f>
        <v>9.7826086956521743E-2</v>
      </c>
      <c r="F47" s="55" t="s">
        <v>153</v>
      </c>
    </row>
    <row r="48" spans="1:6" ht="15" thickBot="1">
      <c r="A48" s="77" t="s">
        <v>154</v>
      </c>
      <c r="B48" s="126">
        <v>1</v>
      </c>
      <c r="C48" s="126">
        <v>2</v>
      </c>
      <c r="D48" s="126">
        <f>+B48*C48</f>
        <v>2</v>
      </c>
      <c r="E48" s="120">
        <f>+E21/SUM($E$18:$E$21)</f>
        <v>2.1739130434782608E-2</v>
      </c>
      <c r="F48" s="55" t="s">
        <v>155</v>
      </c>
    </row>
    <row r="49" spans="1:4" ht="15" thickBot="1">
      <c r="A49" s="57"/>
    </row>
    <row r="50" spans="1:4" ht="15" thickBot="1">
      <c r="C50" s="80" t="s">
        <v>59</v>
      </c>
      <c r="D50" s="81">
        <f>+SUMPRODUCT(D44:D48,E44:E48)</f>
        <v>3.8163043478260872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G47"/>
  <sheetViews>
    <sheetView topLeftCell="A4" workbookViewId="0">
      <selection activeCell="A4" sqref="A4"/>
    </sheetView>
  </sheetViews>
  <sheetFormatPr baseColWidth="10" defaultRowHeight="14.4"/>
  <cols>
    <col min="1" max="1" width="19.5546875" style="55" customWidth="1"/>
    <col min="2" max="2" width="11.5546875" style="55"/>
    <col min="3" max="3" width="17" style="55" customWidth="1"/>
    <col min="4" max="4" width="13.5546875" style="55" bestFit="1" customWidth="1"/>
    <col min="5" max="5" width="11.5546875" style="55"/>
    <col min="6" max="6" width="14" style="55" customWidth="1"/>
    <col min="7" max="16384" width="11.5546875" style="55"/>
  </cols>
  <sheetData>
    <row r="1" spans="1:7">
      <c r="A1" s="55" t="s">
        <v>125</v>
      </c>
    </row>
    <row r="2" spans="1:7">
      <c r="A2" s="55" t="s">
        <v>57</v>
      </c>
    </row>
    <row r="3" spans="1:7" ht="15" thickBot="1"/>
    <row r="4" spans="1:7" ht="15" thickBot="1">
      <c r="A4" s="103" t="s">
        <v>140</v>
      </c>
      <c r="B4" s="106">
        <v>20</v>
      </c>
    </row>
    <row r="7" spans="1:7">
      <c r="A7" s="55" t="s">
        <v>142</v>
      </c>
    </row>
    <row r="8" spans="1:7" ht="15" thickBot="1"/>
    <row r="9" spans="1:7" ht="15" thickBot="1">
      <c r="A9" s="71" t="s">
        <v>47</v>
      </c>
      <c r="B9" s="72" t="s">
        <v>48</v>
      </c>
      <c r="C9" s="72" t="s">
        <v>49</v>
      </c>
      <c r="D9" s="73" t="s">
        <v>50</v>
      </c>
      <c r="E9" s="93" t="s">
        <v>138</v>
      </c>
      <c r="F9" s="93" t="s">
        <v>141</v>
      </c>
    </row>
    <row r="10" spans="1:7">
      <c r="A10" s="111" t="s">
        <v>52</v>
      </c>
      <c r="B10" s="112">
        <v>8</v>
      </c>
      <c r="C10" s="112">
        <v>1.2</v>
      </c>
      <c r="D10" s="113">
        <f>+B10*C10</f>
        <v>9.6</v>
      </c>
      <c r="E10" s="114">
        <v>9</v>
      </c>
      <c r="F10" s="115">
        <f t="shared" ref="F10:F21" si="0">+D10/$B$4</f>
        <v>0.48</v>
      </c>
    </row>
    <row r="11" spans="1:7">
      <c r="A11" s="74" t="s">
        <v>52</v>
      </c>
      <c r="B11" s="75">
        <v>12</v>
      </c>
      <c r="C11" s="75">
        <v>1.2</v>
      </c>
      <c r="D11" s="76">
        <f t="shared" ref="D11:D21" si="1">+B11*C11</f>
        <v>14.399999999999999</v>
      </c>
      <c r="E11" s="100">
        <v>16</v>
      </c>
      <c r="F11" s="109">
        <f t="shared" si="0"/>
        <v>0.72</v>
      </c>
    </row>
    <row r="12" spans="1:7">
      <c r="A12" s="74" t="s">
        <v>52</v>
      </c>
      <c r="B12" s="75">
        <v>16</v>
      </c>
      <c r="C12" s="75">
        <v>1.2</v>
      </c>
      <c r="D12" s="76">
        <f t="shared" si="1"/>
        <v>19.2</v>
      </c>
      <c r="E12" s="100">
        <v>8</v>
      </c>
      <c r="F12" s="109">
        <f t="shared" si="0"/>
        <v>0.96</v>
      </c>
    </row>
    <row r="13" spans="1:7">
      <c r="A13" s="74" t="s">
        <v>52</v>
      </c>
      <c r="B13" s="75">
        <v>20</v>
      </c>
      <c r="C13" s="75">
        <v>1.2</v>
      </c>
      <c r="D13" s="76">
        <f t="shared" si="1"/>
        <v>24</v>
      </c>
      <c r="E13" s="100">
        <v>10</v>
      </c>
      <c r="F13" s="109">
        <f t="shared" si="0"/>
        <v>1.2</v>
      </c>
    </row>
    <row r="14" spans="1:7" ht="15" thickBot="1">
      <c r="A14" s="77" t="s">
        <v>52</v>
      </c>
      <c r="B14" s="78">
        <v>80</v>
      </c>
      <c r="C14" s="78">
        <v>1.2</v>
      </c>
      <c r="D14" s="79">
        <f t="shared" si="1"/>
        <v>96</v>
      </c>
      <c r="E14" s="101">
        <v>1</v>
      </c>
      <c r="F14" s="110">
        <f t="shared" si="0"/>
        <v>4.8</v>
      </c>
    </row>
    <row r="15" spans="1:7">
      <c r="A15" s="111" t="s">
        <v>53</v>
      </c>
      <c r="B15" s="112">
        <v>10</v>
      </c>
      <c r="C15" s="116">
        <v>1.05</v>
      </c>
      <c r="D15" s="113">
        <f t="shared" si="1"/>
        <v>10.5</v>
      </c>
      <c r="E15" s="114">
        <v>20</v>
      </c>
      <c r="F15" s="115">
        <f t="shared" si="0"/>
        <v>0.52500000000000002</v>
      </c>
      <c r="G15" s="117"/>
    </row>
    <row r="16" spans="1:7">
      <c r="A16" s="74" t="s">
        <v>53</v>
      </c>
      <c r="B16" s="75">
        <v>15</v>
      </c>
      <c r="C16" s="57">
        <v>1.05</v>
      </c>
      <c r="D16" s="76">
        <f t="shared" si="1"/>
        <v>15.75</v>
      </c>
      <c r="E16" s="100">
        <v>17</v>
      </c>
      <c r="F16" s="109">
        <f t="shared" si="0"/>
        <v>0.78749999999999998</v>
      </c>
      <c r="G16" s="117"/>
    </row>
    <row r="17" spans="1:7" ht="15" thickBot="1">
      <c r="A17" s="77" t="s">
        <v>53</v>
      </c>
      <c r="B17" s="78">
        <v>50</v>
      </c>
      <c r="C17" s="99">
        <v>1.05</v>
      </c>
      <c r="D17" s="79">
        <f t="shared" si="1"/>
        <v>52.5</v>
      </c>
      <c r="E17" s="101">
        <v>2</v>
      </c>
      <c r="F17" s="110">
        <f t="shared" si="0"/>
        <v>2.625</v>
      </c>
      <c r="G17" s="117"/>
    </row>
    <row r="18" spans="1:7">
      <c r="A18" s="74" t="s">
        <v>54</v>
      </c>
      <c r="B18" s="75">
        <v>20</v>
      </c>
      <c r="C18" s="57">
        <v>0.9</v>
      </c>
      <c r="D18" s="76">
        <f t="shared" si="1"/>
        <v>18</v>
      </c>
      <c r="E18" s="100">
        <v>10</v>
      </c>
      <c r="F18" s="109">
        <f t="shared" si="0"/>
        <v>0.9</v>
      </c>
    </row>
    <row r="19" spans="1:7">
      <c r="A19" s="74" t="s">
        <v>54</v>
      </c>
      <c r="B19" s="75">
        <v>30</v>
      </c>
      <c r="C19" s="57">
        <v>0.9</v>
      </c>
      <c r="D19" s="76">
        <f t="shared" si="1"/>
        <v>27</v>
      </c>
      <c r="E19" s="100">
        <v>5</v>
      </c>
      <c r="F19" s="109">
        <f t="shared" si="0"/>
        <v>1.35</v>
      </c>
    </row>
    <row r="20" spans="1:7">
      <c r="A20" s="74" t="s">
        <v>54</v>
      </c>
      <c r="B20" s="75">
        <v>50</v>
      </c>
      <c r="C20" s="57">
        <v>0.9</v>
      </c>
      <c r="D20" s="76">
        <f t="shared" si="1"/>
        <v>45</v>
      </c>
      <c r="E20" s="100">
        <v>1</v>
      </c>
      <c r="F20" s="109">
        <f t="shared" si="0"/>
        <v>2.25</v>
      </c>
    </row>
    <row r="21" spans="1:7" ht="15" thickBot="1">
      <c r="A21" s="77" t="s">
        <v>54</v>
      </c>
      <c r="B21" s="78">
        <v>200</v>
      </c>
      <c r="C21" s="99">
        <v>0.9</v>
      </c>
      <c r="D21" s="79">
        <f t="shared" si="1"/>
        <v>180</v>
      </c>
      <c r="E21" s="101">
        <v>1</v>
      </c>
      <c r="F21" s="110">
        <f t="shared" si="0"/>
        <v>9</v>
      </c>
    </row>
    <row r="22" spans="1:7" ht="15" thickBot="1">
      <c r="A22" s="102" t="s">
        <v>5</v>
      </c>
      <c r="B22" s="103"/>
      <c r="C22" s="103"/>
      <c r="D22" s="104">
        <f>+SUMPRODUCT(D10:D21,E10:E21)/SUM(E10:E21)</f>
        <v>19.291499999999999</v>
      </c>
      <c r="E22" s="105">
        <f>+SUM(E10:E21)</f>
        <v>100</v>
      </c>
    </row>
    <row r="24" spans="1:7">
      <c r="A24" s="107" t="s">
        <v>139</v>
      </c>
      <c r="B24" s="108">
        <f>+D22/B4</f>
        <v>0.96457499999999996</v>
      </c>
    </row>
    <row r="25" spans="1:7">
      <c r="A25" s="107"/>
      <c r="B25" s="108"/>
    </row>
    <row r="26" spans="1:7">
      <c r="A26" s="65" t="s">
        <v>145</v>
      </c>
    </row>
    <row r="27" spans="1:7">
      <c r="A27" s="55" t="s">
        <v>143</v>
      </c>
    </row>
    <row r="28" spans="1:7" ht="15" thickBot="1"/>
    <row r="29" spans="1:7" ht="15" thickBot="1">
      <c r="A29" s="71" t="s">
        <v>47</v>
      </c>
      <c r="B29" s="72" t="s">
        <v>48</v>
      </c>
      <c r="C29" s="72" t="s">
        <v>49</v>
      </c>
      <c r="D29" s="73" t="s">
        <v>50</v>
      </c>
      <c r="E29" s="93" t="s">
        <v>138</v>
      </c>
      <c r="F29" s="93" t="s">
        <v>141</v>
      </c>
    </row>
    <row r="30" spans="1:7">
      <c r="A30" s="111" t="s">
        <v>52</v>
      </c>
      <c r="B30" s="112">
        <v>8</v>
      </c>
      <c r="C30" s="112">
        <v>1.2</v>
      </c>
      <c r="D30" s="113">
        <f>+B30*C30</f>
        <v>9.6</v>
      </c>
      <c r="E30" s="114">
        <v>10</v>
      </c>
      <c r="F30" s="115">
        <f t="shared" ref="F30:F44" si="2">+D30/$B$4</f>
        <v>0.48</v>
      </c>
    </row>
    <row r="31" spans="1:7">
      <c r="A31" s="74" t="s">
        <v>52</v>
      </c>
      <c r="B31" s="75">
        <v>12</v>
      </c>
      <c r="C31" s="75">
        <v>1.2</v>
      </c>
      <c r="D31" s="76">
        <f t="shared" ref="D31:D44" si="3">+B31*C31</f>
        <v>14.399999999999999</v>
      </c>
      <c r="E31" s="100">
        <v>21</v>
      </c>
      <c r="F31" s="109">
        <f t="shared" si="2"/>
        <v>0.72</v>
      </c>
    </row>
    <row r="32" spans="1:7">
      <c r="A32" s="74" t="s">
        <v>52</v>
      </c>
      <c r="B32" s="75">
        <v>16</v>
      </c>
      <c r="C32" s="75">
        <v>1.2</v>
      </c>
      <c r="D32" s="76">
        <f t="shared" si="3"/>
        <v>19.2</v>
      </c>
      <c r="E32" s="100">
        <v>9</v>
      </c>
      <c r="F32" s="109">
        <f t="shared" si="2"/>
        <v>0.96</v>
      </c>
    </row>
    <row r="33" spans="1:6">
      <c r="A33" s="74" t="s">
        <v>52</v>
      </c>
      <c r="B33" s="75">
        <v>20</v>
      </c>
      <c r="C33" s="75">
        <v>1.2</v>
      </c>
      <c r="D33" s="76">
        <f t="shared" si="3"/>
        <v>24</v>
      </c>
      <c r="E33" s="100">
        <v>10</v>
      </c>
      <c r="F33" s="109">
        <f t="shared" si="2"/>
        <v>1.2</v>
      </c>
    </row>
    <row r="34" spans="1:6" ht="15" thickBot="1">
      <c r="A34" s="77" t="s">
        <v>52</v>
      </c>
      <c r="B34" s="78">
        <v>80</v>
      </c>
      <c r="C34" s="78">
        <v>1.2</v>
      </c>
      <c r="D34" s="79">
        <f t="shared" si="3"/>
        <v>96</v>
      </c>
      <c r="E34" s="101">
        <v>1</v>
      </c>
      <c r="F34" s="110">
        <f t="shared" si="2"/>
        <v>4.8</v>
      </c>
    </row>
    <row r="35" spans="1:6">
      <c r="A35" s="111" t="s">
        <v>53</v>
      </c>
      <c r="B35" s="112">
        <v>10</v>
      </c>
      <c r="C35" s="116">
        <v>1.05</v>
      </c>
      <c r="D35" s="113">
        <f t="shared" si="3"/>
        <v>10.5</v>
      </c>
      <c r="E35" s="114">
        <v>25</v>
      </c>
      <c r="F35" s="115">
        <f t="shared" si="2"/>
        <v>0.52500000000000002</v>
      </c>
    </row>
    <row r="36" spans="1:6">
      <c r="A36" s="74" t="s">
        <v>53</v>
      </c>
      <c r="B36" s="75">
        <v>15</v>
      </c>
      <c r="C36" s="57">
        <v>1.05</v>
      </c>
      <c r="D36" s="76">
        <f t="shared" si="3"/>
        <v>15.75</v>
      </c>
      <c r="E36" s="100">
        <v>17</v>
      </c>
      <c r="F36" s="109">
        <f t="shared" si="2"/>
        <v>0.78749999999999998</v>
      </c>
    </row>
    <row r="37" spans="1:6" ht="15" thickBot="1">
      <c r="A37" s="77" t="s">
        <v>53</v>
      </c>
      <c r="B37" s="78">
        <v>50</v>
      </c>
      <c r="C37" s="99">
        <v>1.05</v>
      </c>
      <c r="D37" s="79">
        <f t="shared" si="3"/>
        <v>52.5</v>
      </c>
      <c r="E37" s="101">
        <v>1</v>
      </c>
      <c r="F37" s="110">
        <f t="shared" si="2"/>
        <v>2.625</v>
      </c>
    </row>
    <row r="38" spans="1:6">
      <c r="A38" s="74" t="s">
        <v>54</v>
      </c>
      <c r="B38" s="75">
        <v>20</v>
      </c>
      <c r="C38" s="57">
        <v>0.9</v>
      </c>
      <c r="D38" s="76">
        <f t="shared" si="3"/>
        <v>18</v>
      </c>
      <c r="E38" s="100">
        <v>15</v>
      </c>
      <c r="F38" s="109">
        <f t="shared" si="2"/>
        <v>0.9</v>
      </c>
    </row>
    <row r="39" spans="1:6">
      <c r="A39" s="74" t="s">
        <v>54</v>
      </c>
      <c r="B39" s="75">
        <v>30</v>
      </c>
      <c r="C39" s="57">
        <v>0.9</v>
      </c>
      <c r="D39" s="76">
        <f t="shared" si="3"/>
        <v>27</v>
      </c>
      <c r="E39" s="100">
        <v>4</v>
      </c>
      <c r="F39" s="109">
        <f t="shared" si="2"/>
        <v>1.35</v>
      </c>
    </row>
    <row r="40" spans="1:6">
      <c r="A40" s="74" t="s">
        <v>54</v>
      </c>
      <c r="B40" s="75">
        <v>50</v>
      </c>
      <c r="C40" s="57">
        <v>0.9</v>
      </c>
      <c r="D40" s="76">
        <f t="shared" si="3"/>
        <v>45</v>
      </c>
      <c r="E40" s="100">
        <v>1</v>
      </c>
      <c r="F40" s="109">
        <f t="shared" si="2"/>
        <v>2.25</v>
      </c>
    </row>
    <row r="41" spans="1:6" ht="15" thickBot="1">
      <c r="A41" s="77" t="s">
        <v>54</v>
      </c>
      <c r="B41" s="78">
        <v>200</v>
      </c>
      <c r="C41" s="99">
        <v>0.9</v>
      </c>
      <c r="D41" s="79">
        <f t="shared" si="3"/>
        <v>180</v>
      </c>
      <c r="E41" s="101">
        <v>1</v>
      </c>
      <c r="F41" s="110">
        <f t="shared" si="2"/>
        <v>9</v>
      </c>
    </row>
    <row r="42" spans="1:6">
      <c r="A42" s="74" t="s">
        <v>144</v>
      </c>
      <c r="B42" s="57">
        <v>2</v>
      </c>
      <c r="C42" s="57">
        <v>15</v>
      </c>
      <c r="D42" s="76">
        <f>+B42*C42</f>
        <v>30</v>
      </c>
      <c r="E42" s="100">
        <v>2</v>
      </c>
      <c r="F42" s="109">
        <f t="shared" si="2"/>
        <v>1.5</v>
      </c>
    </row>
    <row r="43" spans="1:6">
      <c r="A43" s="74" t="s">
        <v>144</v>
      </c>
      <c r="B43" s="57">
        <v>3</v>
      </c>
      <c r="C43" s="57">
        <v>15</v>
      </c>
      <c r="D43" s="76">
        <f t="shared" si="3"/>
        <v>45</v>
      </c>
      <c r="E43" s="100">
        <v>2</v>
      </c>
      <c r="F43" s="109">
        <f t="shared" si="2"/>
        <v>2.25</v>
      </c>
    </row>
    <row r="44" spans="1:6" ht="15" thickBot="1">
      <c r="A44" s="74" t="s">
        <v>144</v>
      </c>
      <c r="B44" s="78">
        <v>5</v>
      </c>
      <c r="C44" s="99">
        <v>15</v>
      </c>
      <c r="D44" s="79">
        <f t="shared" si="3"/>
        <v>75</v>
      </c>
      <c r="E44" s="101">
        <v>1</v>
      </c>
      <c r="F44" s="110">
        <f t="shared" si="2"/>
        <v>3.75</v>
      </c>
    </row>
    <row r="45" spans="1:6" ht="15" thickBot="1">
      <c r="A45" s="102" t="s">
        <v>5</v>
      </c>
      <c r="B45" s="103"/>
      <c r="C45" s="103"/>
      <c r="D45" s="104">
        <f>+SUMPRODUCT(D30:D44,E30:E44)/SUM(E30:E44)</f>
        <v>19.31625</v>
      </c>
      <c r="E45" s="105">
        <f>+SUM(E30:E44)</f>
        <v>120</v>
      </c>
    </row>
    <row r="47" spans="1:6">
      <c r="A47" s="107" t="s">
        <v>139</v>
      </c>
      <c r="B47" s="108">
        <f>+D45/B4</f>
        <v>0.96581249999999996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88671875" style="55" customWidth="1"/>
    <col min="8" max="8" width="12" style="55" customWidth="1"/>
    <col min="9" max="16384" width="11.5546875" style="55"/>
  </cols>
  <sheetData>
    <row r="1" spans="1:7" ht="18">
      <c r="A1" s="130" t="s">
        <v>135</v>
      </c>
      <c r="B1" s="130"/>
      <c r="C1" s="130"/>
      <c r="D1" s="130"/>
      <c r="E1" s="130"/>
    </row>
    <row r="2" spans="1:7">
      <c r="A2" s="65" t="s">
        <v>129</v>
      </c>
    </row>
    <row r="3" spans="1:7">
      <c r="A3" s="65" t="s">
        <v>130</v>
      </c>
    </row>
    <row r="4" spans="1:7">
      <c r="A4" s="65" t="s">
        <v>133</v>
      </c>
    </row>
    <row r="5" spans="1:7">
      <c r="A5" s="65"/>
    </row>
    <row r="6" spans="1:7">
      <c r="A6" s="65"/>
    </row>
    <row r="8" spans="1:7">
      <c r="A8" s="58" t="s">
        <v>9</v>
      </c>
      <c r="B8" s="60" t="s">
        <v>76</v>
      </c>
      <c r="C8" s="60" t="s">
        <v>10</v>
      </c>
      <c r="D8" s="60" t="s">
        <v>18</v>
      </c>
      <c r="E8" s="60" t="s">
        <v>8</v>
      </c>
      <c r="F8" s="60" t="s">
        <v>1</v>
      </c>
    </row>
    <row r="9" spans="1:7">
      <c r="B9" s="87">
        <v>1</v>
      </c>
      <c r="C9" s="94">
        <v>0.05</v>
      </c>
      <c r="D9" s="56">
        <f>+SUM($C$9:C9)</f>
        <v>0.05</v>
      </c>
      <c r="E9" s="56">
        <f>+Summary!H36</f>
        <v>2</v>
      </c>
      <c r="F9" s="56">
        <f>+C9*E9</f>
        <v>0.1</v>
      </c>
    </row>
    <row r="10" spans="1:7">
      <c r="B10" s="87">
        <v>2</v>
      </c>
      <c r="C10" s="94">
        <v>0.03</v>
      </c>
      <c r="D10" s="56">
        <f>+SUM($C$9:C10)</f>
        <v>0.08</v>
      </c>
      <c r="E10" s="56">
        <f>+Summary!H37</f>
        <v>5</v>
      </c>
      <c r="F10" s="56">
        <f t="shared" ref="F10:F15" si="0">+C10*E10</f>
        <v>0.15</v>
      </c>
    </row>
    <row r="11" spans="1:7">
      <c r="B11" s="87">
        <v>3</v>
      </c>
      <c r="C11" s="94">
        <v>8.9999999999999993E-3</v>
      </c>
      <c r="D11" s="56">
        <f>+SUM($C$9:C11)</f>
        <v>8.8999999999999996E-2</v>
      </c>
      <c r="E11" s="56">
        <f>+Summary!H38</f>
        <v>10</v>
      </c>
      <c r="F11" s="56">
        <f t="shared" si="0"/>
        <v>0.09</v>
      </c>
    </row>
    <row r="12" spans="1:7">
      <c r="B12" s="87">
        <v>4</v>
      </c>
      <c r="C12" s="94">
        <v>5.0000000000000001E-3</v>
      </c>
      <c r="D12" s="56">
        <f>+SUM($C$9:C12)</f>
        <v>9.4E-2</v>
      </c>
      <c r="E12" s="56">
        <f>+Summary!H39</f>
        <v>20</v>
      </c>
      <c r="F12" s="56">
        <f t="shared" si="0"/>
        <v>0.1</v>
      </c>
    </row>
    <row r="13" spans="1:7">
      <c r="B13" s="87">
        <v>5</v>
      </c>
      <c r="C13" s="94">
        <v>3.0000000000000001E-3</v>
      </c>
      <c r="D13" s="56">
        <f>+SUM($C$9:C13)</f>
        <v>9.7000000000000003E-2</v>
      </c>
      <c r="E13" s="56">
        <f>+Summary!H40</f>
        <v>50</v>
      </c>
      <c r="F13" s="56">
        <f t="shared" si="0"/>
        <v>0.15</v>
      </c>
    </row>
    <row r="14" spans="1:7">
      <c r="B14" s="87">
        <v>6</v>
      </c>
      <c r="C14" s="94">
        <v>1E-3</v>
      </c>
      <c r="D14" s="56">
        <f>+SUM($C$9:C14)</f>
        <v>9.8000000000000004E-2</v>
      </c>
      <c r="E14" s="56">
        <f>+Summary!H41</f>
        <v>100</v>
      </c>
      <c r="F14" s="56">
        <f t="shared" si="0"/>
        <v>0.1</v>
      </c>
    </row>
    <row r="15" spans="1:7">
      <c r="B15" s="87">
        <v>7</v>
      </c>
      <c r="C15" s="94">
        <v>5.0000000000000001E-4</v>
      </c>
      <c r="D15" s="56">
        <f>+SUM($C$9:C15)</f>
        <v>9.8500000000000004E-2</v>
      </c>
      <c r="E15" s="56">
        <f>+Summary!H42</f>
        <v>500</v>
      </c>
      <c r="F15" s="56">
        <f t="shared" si="0"/>
        <v>0.25</v>
      </c>
      <c r="G15" s="55" t="s">
        <v>82</v>
      </c>
    </row>
    <row r="16" spans="1:7">
      <c r="B16" s="62" t="s">
        <v>11</v>
      </c>
      <c r="C16" s="62">
        <f>+SUM(C9:C15)</f>
        <v>9.8500000000000004E-2</v>
      </c>
      <c r="D16" s="62"/>
      <c r="E16" s="62"/>
      <c r="F16" s="53">
        <f>+SUM(F9:F15)</f>
        <v>0.94</v>
      </c>
    </row>
    <row r="17" spans="1:7">
      <c r="B17" s="63" t="s">
        <v>81</v>
      </c>
    </row>
    <row r="20" spans="1:7">
      <c r="A20" s="58" t="s">
        <v>12</v>
      </c>
      <c r="B20" s="60" t="s">
        <v>76</v>
      </c>
      <c r="C20" s="60" t="s">
        <v>10</v>
      </c>
      <c r="D20" s="60" t="s">
        <v>18</v>
      </c>
      <c r="E20" s="60" t="s">
        <v>8</v>
      </c>
      <c r="F20" s="60" t="s">
        <v>1</v>
      </c>
    </row>
    <row r="21" spans="1:7">
      <c r="B21" s="87">
        <v>1</v>
      </c>
      <c r="C21" s="94">
        <v>0.05</v>
      </c>
      <c r="D21" s="95">
        <f>+SUM($C$21:C21)</f>
        <v>0.05</v>
      </c>
      <c r="E21" s="56">
        <f>+Summary!H36</f>
        <v>2</v>
      </c>
      <c r="F21" s="56">
        <f>+C21*E21</f>
        <v>0.1</v>
      </c>
    </row>
    <row r="22" spans="1:7">
      <c r="B22" s="87">
        <v>2</v>
      </c>
      <c r="C22" s="94">
        <v>3.3000000000000002E-2</v>
      </c>
      <c r="D22" s="95">
        <f>+SUM($C$21:C22)</f>
        <v>8.3000000000000004E-2</v>
      </c>
      <c r="E22" s="56">
        <f>+Summary!H37</f>
        <v>5</v>
      </c>
      <c r="F22" s="56">
        <f t="shared" ref="F22:F27" si="1">+C22*E22</f>
        <v>0.16500000000000001</v>
      </c>
    </row>
    <row r="23" spans="1:7">
      <c r="B23" s="87">
        <v>3</v>
      </c>
      <c r="C23" s="94">
        <v>5.0000000000000001E-3</v>
      </c>
      <c r="D23" s="95">
        <f>+SUM($C$21:C23)</f>
        <v>8.8000000000000009E-2</v>
      </c>
      <c r="E23" s="56">
        <f>+Summary!H38</f>
        <v>10</v>
      </c>
      <c r="F23" s="56">
        <f t="shared" si="1"/>
        <v>0.05</v>
      </c>
    </row>
    <row r="24" spans="1:7">
      <c r="B24" s="87">
        <v>4</v>
      </c>
      <c r="C24" s="94">
        <v>5.0000000000000001E-3</v>
      </c>
      <c r="D24" s="95">
        <f>+SUM($C$21:C24)</f>
        <v>9.3000000000000013E-2</v>
      </c>
      <c r="E24" s="56">
        <f>+Summary!H39</f>
        <v>20</v>
      </c>
      <c r="F24" s="56">
        <f t="shared" si="1"/>
        <v>0.1</v>
      </c>
    </row>
    <row r="25" spans="1:7">
      <c r="B25" s="87">
        <v>5</v>
      </c>
      <c r="C25" s="94">
        <v>2.5000000000000001E-3</v>
      </c>
      <c r="D25" s="95">
        <f>+SUM($C$21:C25)</f>
        <v>9.5500000000000015E-2</v>
      </c>
      <c r="E25" s="56">
        <f>+Summary!H40</f>
        <v>50</v>
      </c>
      <c r="F25" s="56">
        <f t="shared" si="1"/>
        <v>0.125</v>
      </c>
    </row>
    <row r="26" spans="1:7">
      <c r="B26" s="87">
        <v>6</v>
      </c>
      <c r="C26" s="94">
        <v>1E-3</v>
      </c>
      <c r="D26" s="95">
        <f>+SUM($C$21:C26)</f>
        <v>9.6500000000000016E-2</v>
      </c>
      <c r="E26" s="56">
        <f>+Summary!H41</f>
        <v>100</v>
      </c>
      <c r="F26" s="56">
        <f t="shared" si="1"/>
        <v>0.1</v>
      </c>
    </row>
    <row r="27" spans="1:7">
      <c r="B27" s="87">
        <v>7</v>
      </c>
      <c r="C27" s="94">
        <v>5.9999999999999995E-4</v>
      </c>
      <c r="D27" s="95">
        <f>+SUM($C$21:C27)</f>
        <v>9.710000000000002E-2</v>
      </c>
      <c r="E27" s="56">
        <f>+Summary!H42</f>
        <v>500</v>
      </c>
      <c r="F27" s="56">
        <f t="shared" si="1"/>
        <v>0.3</v>
      </c>
      <c r="G27" s="55" t="s">
        <v>82</v>
      </c>
    </row>
    <row r="28" spans="1:7">
      <c r="B28" s="62" t="s">
        <v>11</v>
      </c>
      <c r="C28" s="62">
        <f>+SUM(C21:C27)</f>
        <v>9.710000000000002E-2</v>
      </c>
      <c r="D28" s="62"/>
      <c r="E28" s="62"/>
      <c r="F28" s="53">
        <f>+SUM(F21:F27)</f>
        <v>0.94</v>
      </c>
    </row>
    <row r="29" spans="1:7">
      <c r="B29" s="63" t="s">
        <v>81</v>
      </c>
    </row>
    <row r="32" spans="1:7">
      <c r="A32" s="58" t="s">
        <v>13</v>
      </c>
      <c r="B32" s="60" t="s">
        <v>76</v>
      </c>
      <c r="C32" s="60" t="s">
        <v>10</v>
      </c>
      <c r="D32" s="60" t="s">
        <v>18</v>
      </c>
      <c r="E32" s="60" t="s">
        <v>8</v>
      </c>
      <c r="F32" s="60" t="s">
        <v>1</v>
      </c>
    </row>
    <row r="33" spans="1:7">
      <c r="B33" s="87">
        <v>1</v>
      </c>
      <c r="C33" s="94">
        <v>0.05</v>
      </c>
      <c r="D33" s="95">
        <f>+SUM($C$33:C33)</f>
        <v>0.05</v>
      </c>
      <c r="E33" s="56">
        <f>+Summary!H36</f>
        <v>2</v>
      </c>
      <c r="F33" s="56">
        <f>+C33*E33</f>
        <v>0.1</v>
      </c>
    </row>
    <row r="34" spans="1:7">
      <c r="B34" s="87">
        <v>2</v>
      </c>
      <c r="C34" s="94">
        <v>0.03</v>
      </c>
      <c r="D34" s="95">
        <f>+SUM($C$33:C34)</f>
        <v>0.08</v>
      </c>
      <c r="E34" s="56">
        <f>+Summary!H37</f>
        <v>5</v>
      </c>
      <c r="F34" s="56">
        <f t="shared" ref="F34:F39" si="2">+C34*E34</f>
        <v>0.15</v>
      </c>
    </row>
    <row r="35" spans="1:7">
      <c r="B35" s="87">
        <v>3</v>
      </c>
      <c r="C35" s="94">
        <v>6.0000000000000001E-3</v>
      </c>
      <c r="D35" s="95">
        <f>+SUM($C$33:C35)</f>
        <v>8.6000000000000007E-2</v>
      </c>
      <c r="E35" s="56">
        <f>+Summary!H38</f>
        <v>10</v>
      </c>
      <c r="F35" s="56">
        <f t="shared" si="2"/>
        <v>0.06</v>
      </c>
    </row>
    <row r="36" spans="1:7">
      <c r="B36" s="87">
        <v>4</v>
      </c>
      <c r="C36" s="94">
        <v>4.0000000000000001E-3</v>
      </c>
      <c r="D36" s="95">
        <f>+SUM($C$33:C36)</f>
        <v>9.0000000000000011E-2</v>
      </c>
      <c r="E36" s="56">
        <f>+Summary!H39</f>
        <v>20</v>
      </c>
      <c r="F36" s="56">
        <f t="shared" si="2"/>
        <v>0.08</v>
      </c>
    </row>
    <row r="37" spans="1:7">
      <c r="B37" s="87">
        <v>5</v>
      </c>
      <c r="C37" s="94">
        <v>1E-3</v>
      </c>
      <c r="D37" s="95">
        <f>+SUM($C$33:C37)</f>
        <v>9.1000000000000011E-2</v>
      </c>
      <c r="E37" s="56">
        <f>+Summary!H40</f>
        <v>50</v>
      </c>
      <c r="F37" s="56">
        <f t="shared" si="2"/>
        <v>0.05</v>
      </c>
    </row>
    <row r="38" spans="1:7">
      <c r="B38" s="87">
        <v>6</v>
      </c>
      <c r="C38" s="94">
        <v>5.0000000000000001E-4</v>
      </c>
      <c r="D38" s="95">
        <f>+SUM($C$33:C38)</f>
        <v>9.1500000000000012E-2</v>
      </c>
      <c r="E38" s="56">
        <f>+Summary!H41</f>
        <v>100</v>
      </c>
      <c r="F38" s="56">
        <f t="shared" si="2"/>
        <v>0.05</v>
      </c>
    </row>
    <row r="39" spans="1:7">
      <c r="B39" s="87">
        <v>7</v>
      </c>
      <c r="C39" s="94">
        <v>8.9999999999999998E-4</v>
      </c>
      <c r="D39" s="95">
        <f>+SUM($C$33:C39)</f>
        <v>9.240000000000001E-2</v>
      </c>
      <c r="E39" s="56">
        <f>+Summary!H42</f>
        <v>500</v>
      </c>
      <c r="F39" s="56">
        <f t="shared" si="2"/>
        <v>0.45</v>
      </c>
      <c r="G39" s="55" t="s">
        <v>82</v>
      </c>
    </row>
    <row r="40" spans="1:7">
      <c r="B40" s="62" t="s">
        <v>11</v>
      </c>
      <c r="C40" s="53">
        <f>+SUM(C33:C39)</f>
        <v>9.240000000000001E-2</v>
      </c>
      <c r="D40" s="62"/>
      <c r="E40" s="62"/>
      <c r="F40" s="53">
        <f>+SUM(F33:F39)</f>
        <v>0.94</v>
      </c>
    </row>
    <row r="41" spans="1:7">
      <c r="B41" s="63" t="s">
        <v>81</v>
      </c>
    </row>
    <row r="44" spans="1:7">
      <c r="A44" s="58" t="s">
        <v>14</v>
      </c>
      <c r="B44" s="60" t="s">
        <v>76</v>
      </c>
      <c r="C44" s="60" t="s">
        <v>10</v>
      </c>
      <c r="D44" s="60" t="s">
        <v>18</v>
      </c>
      <c r="E44" s="60" t="s">
        <v>8</v>
      </c>
      <c r="F44" s="60" t="s">
        <v>1</v>
      </c>
    </row>
    <row r="45" spans="1:7">
      <c r="B45" s="87">
        <v>1</v>
      </c>
      <c r="C45" s="94">
        <v>0.03</v>
      </c>
      <c r="D45" s="95">
        <f>+SUM($C$45:C45)</f>
        <v>0.03</v>
      </c>
      <c r="E45" s="56">
        <f>+Summary!H36</f>
        <v>2</v>
      </c>
      <c r="F45" s="56">
        <f>+C45*E45</f>
        <v>0.06</v>
      </c>
    </row>
    <row r="46" spans="1:7">
      <c r="B46" s="87">
        <v>2</v>
      </c>
      <c r="C46" s="94">
        <v>0.03</v>
      </c>
      <c r="D46" s="95">
        <f>+SUM($C$45:C46)</f>
        <v>0.06</v>
      </c>
      <c r="E46" s="56">
        <f>+Summary!H37</f>
        <v>5</v>
      </c>
      <c r="F46" s="56">
        <f t="shared" ref="F46:F51" si="3">+C46*E46</f>
        <v>0.15</v>
      </c>
    </row>
    <row r="47" spans="1:7">
      <c r="B47" s="87">
        <v>3</v>
      </c>
      <c r="C47" s="94">
        <v>5.0000000000000001E-3</v>
      </c>
      <c r="D47" s="95">
        <f>+SUM($C$45:C47)</f>
        <v>6.5000000000000002E-2</v>
      </c>
      <c r="E47" s="56">
        <f>+Summary!H38</f>
        <v>10</v>
      </c>
      <c r="F47" s="56">
        <f t="shared" si="3"/>
        <v>0.05</v>
      </c>
    </row>
    <row r="48" spans="1:7">
      <c r="B48" s="87">
        <v>4</v>
      </c>
      <c r="C48" s="94">
        <v>4.0000000000000001E-3</v>
      </c>
      <c r="D48" s="95">
        <f>+SUM($C$45:C48)</f>
        <v>6.9000000000000006E-2</v>
      </c>
      <c r="E48" s="56">
        <f>+Summary!H39</f>
        <v>20</v>
      </c>
      <c r="F48" s="56">
        <f t="shared" si="3"/>
        <v>0.08</v>
      </c>
    </row>
    <row r="49" spans="2:7">
      <c r="B49" s="87">
        <v>5</v>
      </c>
      <c r="C49" s="94">
        <v>1E-3</v>
      </c>
      <c r="D49" s="95">
        <f>+SUM($C$45:C49)</f>
        <v>7.0000000000000007E-2</v>
      </c>
      <c r="E49" s="56">
        <f>+Summary!H40</f>
        <v>50</v>
      </c>
      <c r="F49" s="56">
        <f t="shared" si="3"/>
        <v>0.05</v>
      </c>
    </row>
    <row r="50" spans="2:7">
      <c r="B50" s="87">
        <v>6</v>
      </c>
      <c r="C50" s="94">
        <v>5.0000000000000001E-4</v>
      </c>
      <c r="D50" s="95">
        <f>+SUM($C$45:C50)</f>
        <v>7.0500000000000007E-2</v>
      </c>
      <c r="E50" s="56">
        <f>+Summary!H41</f>
        <v>100</v>
      </c>
      <c r="F50" s="56">
        <f t="shared" si="3"/>
        <v>0.05</v>
      </c>
    </row>
    <row r="51" spans="2:7">
      <c r="B51" s="87">
        <v>7</v>
      </c>
      <c r="C51" s="94">
        <v>1E-3</v>
      </c>
      <c r="D51" s="95">
        <f>+SUM($C$45:C51)</f>
        <v>7.1500000000000008E-2</v>
      </c>
      <c r="E51" s="56">
        <f>+Summary!H42</f>
        <v>500</v>
      </c>
      <c r="F51" s="56">
        <f t="shared" si="3"/>
        <v>0.5</v>
      </c>
      <c r="G51" s="55" t="s">
        <v>82</v>
      </c>
    </row>
    <row r="52" spans="2:7">
      <c r="B52" s="62" t="s">
        <v>11</v>
      </c>
      <c r="C52" s="62">
        <f>+SUM(C45:C51)</f>
        <v>7.1500000000000008E-2</v>
      </c>
      <c r="D52" s="62"/>
      <c r="E52" s="62"/>
      <c r="F52" s="53">
        <f>+SUM(F45:F51)</f>
        <v>0.94</v>
      </c>
    </row>
    <row r="53" spans="2:7">
      <c r="B53" s="63" t="s">
        <v>81</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88671875" style="55" customWidth="1"/>
    <col min="8" max="8" width="12" style="55" customWidth="1"/>
    <col min="9" max="16384" width="11.5546875" style="55"/>
  </cols>
  <sheetData>
    <row r="1" spans="1:7" ht="18">
      <c r="A1" s="130" t="s">
        <v>128</v>
      </c>
      <c r="B1" s="130"/>
      <c r="C1" s="130"/>
      <c r="D1" s="130"/>
      <c r="E1" s="130"/>
    </row>
    <row r="2" spans="1:7">
      <c r="A2" s="65" t="s">
        <v>129</v>
      </c>
    </row>
    <row r="3" spans="1:7">
      <c r="A3" s="65" t="s">
        <v>130</v>
      </c>
    </row>
    <row r="4" spans="1:7">
      <c r="A4" s="65" t="s">
        <v>133</v>
      </c>
    </row>
    <row r="5" spans="1:7">
      <c r="A5" s="65"/>
    </row>
    <row r="8" spans="1:7">
      <c r="A8" s="58" t="s">
        <v>9</v>
      </c>
      <c r="B8" s="60" t="s">
        <v>76</v>
      </c>
      <c r="C8" s="60" t="s">
        <v>10</v>
      </c>
      <c r="D8" s="60" t="s">
        <v>18</v>
      </c>
      <c r="E8" s="60" t="s">
        <v>8</v>
      </c>
      <c r="F8" s="60" t="s">
        <v>136</v>
      </c>
    </row>
    <row r="9" spans="1:7">
      <c r="B9" s="87">
        <v>1</v>
      </c>
      <c r="C9" s="94">
        <v>0.1</v>
      </c>
      <c r="D9" s="56">
        <f>+SUM($C$9:C9)</f>
        <v>0.1</v>
      </c>
      <c r="E9" s="56">
        <f>+Summary!H36</f>
        <v>2</v>
      </c>
      <c r="F9" s="56">
        <f>+C9*E9</f>
        <v>0.2</v>
      </c>
    </row>
    <row r="10" spans="1:7">
      <c r="B10" s="87">
        <v>2</v>
      </c>
      <c r="C10" s="94">
        <v>0.05</v>
      </c>
      <c r="D10" s="56">
        <f>+SUM($C$9:C10)</f>
        <v>0.15000000000000002</v>
      </c>
      <c r="E10" s="56">
        <f>+Summary!H37</f>
        <v>5</v>
      </c>
      <c r="F10" s="56">
        <f t="shared" ref="F10:F15" si="0">+C10*E10</f>
        <v>0.25</v>
      </c>
    </row>
    <row r="11" spans="1:7">
      <c r="B11" s="87">
        <v>3</v>
      </c>
      <c r="C11" s="94">
        <v>0.01</v>
      </c>
      <c r="D11" s="56">
        <f>+SUM($C$9:C11)</f>
        <v>0.16000000000000003</v>
      </c>
      <c r="E11" s="56">
        <f>+Summary!H38</f>
        <v>10</v>
      </c>
      <c r="F11" s="56">
        <f t="shared" si="0"/>
        <v>0.1</v>
      </c>
    </row>
    <row r="12" spans="1:7">
      <c r="B12" s="87">
        <v>4</v>
      </c>
      <c r="C12" s="94">
        <v>5.0000000000000001E-3</v>
      </c>
      <c r="D12" s="56">
        <f>+SUM($C$9:C12)</f>
        <v>0.16500000000000004</v>
      </c>
      <c r="E12" s="56">
        <f>+Summary!H39</f>
        <v>20</v>
      </c>
      <c r="F12" s="56">
        <f t="shared" si="0"/>
        <v>0.1</v>
      </c>
    </row>
    <row r="13" spans="1:7">
      <c r="B13" s="87">
        <v>5</v>
      </c>
      <c r="C13" s="94">
        <v>3.0000000000000001E-3</v>
      </c>
      <c r="D13" s="56">
        <f>+SUM($C$9:C13)</f>
        <v>0.16800000000000004</v>
      </c>
      <c r="E13" s="56">
        <f>+Summary!H40</f>
        <v>50</v>
      </c>
      <c r="F13" s="56">
        <f t="shared" si="0"/>
        <v>0.15</v>
      </c>
    </row>
    <row r="14" spans="1:7">
      <c r="B14" s="87">
        <v>6</v>
      </c>
      <c r="C14" s="94">
        <v>1E-3</v>
      </c>
      <c r="D14" s="56">
        <f>+SUM($C$9:C14)</f>
        <v>0.16900000000000004</v>
      </c>
      <c r="E14" s="56">
        <f>+Summary!H41</f>
        <v>100</v>
      </c>
      <c r="F14" s="56">
        <f t="shared" si="0"/>
        <v>0.1</v>
      </c>
    </row>
    <row r="15" spans="1:7">
      <c r="B15" s="87">
        <v>7</v>
      </c>
      <c r="C15" s="94">
        <v>5.9999999999999995E-4</v>
      </c>
      <c r="D15" s="56">
        <f>+SUM($C$9:C15)</f>
        <v>0.16960000000000003</v>
      </c>
      <c r="E15" s="56">
        <f>+Summary!H42</f>
        <v>500</v>
      </c>
      <c r="F15" s="56">
        <f t="shared" si="0"/>
        <v>0.3</v>
      </c>
      <c r="G15" s="55" t="s">
        <v>82</v>
      </c>
    </row>
    <row r="16" spans="1:7">
      <c r="B16" s="62" t="s">
        <v>11</v>
      </c>
      <c r="C16" s="62">
        <f>+SUM(C9:C15)</f>
        <v>0.16960000000000003</v>
      </c>
      <c r="D16" s="62"/>
      <c r="E16" s="62"/>
      <c r="F16" s="53">
        <f>+SUM(F9:F15)</f>
        <v>1.2</v>
      </c>
    </row>
    <row r="17" spans="1:7">
      <c r="B17" s="63" t="s">
        <v>81</v>
      </c>
    </row>
    <row r="20" spans="1:7">
      <c r="A20" s="58" t="s">
        <v>12</v>
      </c>
      <c r="B20" s="60" t="s">
        <v>76</v>
      </c>
      <c r="C20" s="60" t="s">
        <v>10</v>
      </c>
      <c r="D20" s="60" t="s">
        <v>18</v>
      </c>
      <c r="E20" s="60" t="s">
        <v>8</v>
      </c>
      <c r="F20" s="60" t="s">
        <v>136</v>
      </c>
    </row>
    <row r="21" spans="1:7">
      <c r="B21" s="87">
        <v>1</v>
      </c>
      <c r="C21" s="94">
        <v>0.1</v>
      </c>
      <c r="D21" s="95">
        <f>+SUM($C$21:C21)</f>
        <v>0.1</v>
      </c>
      <c r="E21" s="56">
        <f>+Summary!H36</f>
        <v>2</v>
      </c>
      <c r="F21" s="56">
        <f>+C21*E21</f>
        <v>0.2</v>
      </c>
    </row>
    <row r="22" spans="1:7">
      <c r="B22" s="87">
        <v>2</v>
      </c>
      <c r="C22" s="94">
        <v>0.04</v>
      </c>
      <c r="D22" s="95">
        <f>+SUM($C$21:C22)</f>
        <v>0.14000000000000001</v>
      </c>
      <c r="E22" s="56">
        <f>+Summary!H37</f>
        <v>5</v>
      </c>
      <c r="F22" s="56">
        <f t="shared" ref="F22:F27" si="1">+C22*E22</f>
        <v>0.2</v>
      </c>
    </row>
    <row r="23" spans="1:7">
      <c r="B23" s="87">
        <v>3</v>
      </c>
      <c r="C23" s="94">
        <v>0.01</v>
      </c>
      <c r="D23" s="95">
        <f>+SUM($C$21:C23)</f>
        <v>0.15000000000000002</v>
      </c>
      <c r="E23" s="56">
        <f>+Summary!H38</f>
        <v>10</v>
      </c>
      <c r="F23" s="56">
        <f t="shared" si="1"/>
        <v>0.1</v>
      </c>
    </row>
    <row r="24" spans="1:7">
      <c r="B24" s="87">
        <v>4</v>
      </c>
      <c r="C24" s="94">
        <v>5.0000000000000001E-3</v>
      </c>
      <c r="D24" s="95">
        <f>+SUM($C$21:C24)</f>
        <v>0.15500000000000003</v>
      </c>
      <c r="E24" s="56">
        <f>+Summary!H39</f>
        <v>20</v>
      </c>
      <c r="F24" s="56">
        <f t="shared" si="1"/>
        <v>0.1</v>
      </c>
    </row>
    <row r="25" spans="1:7">
      <c r="B25" s="87">
        <v>5</v>
      </c>
      <c r="C25" s="94">
        <v>2E-3</v>
      </c>
      <c r="D25" s="95">
        <f>+SUM($C$21:C25)</f>
        <v>0.15700000000000003</v>
      </c>
      <c r="E25" s="56">
        <f>+Summary!H40</f>
        <v>50</v>
      </c>
      <c r="F25" s="56">
        <f t="shared" si="1"/>
        <v>0.1</v>
      </c>
    </row>
    <row r="26" spans="1:7">
      <c r="B26" s="87">
        <v>6</v>
      </c>
      <c r="C26" s="94">
        <v>1E-3</v>
      </c>
      <c r="D26" s="95">
        <f>+SUM($C$21:C26)</f>
        <v>0.15800000000000003</v>
      </c>
      <c r="E26" s="56">
        <f>+Summary!H41</f>
        <v>100</v>
      </c>
      <c r="F26" s="56">
        <f t="shared" si="1"/>
        <v>0.1</v>
      </c>
    </row>
    <row r="27" spans="1:7">
      <c r="B27" s="87">
        <v>7</v>
      </c>
      <c r="C27" s="94">
        <v>8.0000000000000004E-4</v>
      </c>
      <c r="D27" s="95">
        <f>+SUM($C$21:C27)</f>
        <v>0.15880000000000002</v>
      </c>
      <c r="E27" s="56">
        <f>+Summary!H42</f>
        <v>500</v>
      </c>
      <c r="F27" s="56">
        <f t="shared" si="1"/>
        <v>0.4</v>
      </c>
      <c r="G27" s="55" t="s">
        <v>82</v>
      </c>
    </row>
    <row r="28" spans="1:7">
      <c r="B28" s="62" t="s">
        <v>11</v>
      </c>
      <c r="C28" s="62">
        <f>+SUM(C21:C27)</f>
        <v>0.15880000000000002</v>
      </c>
      <c r="D28" s="62"/>
      <c r="E28" s="62"/>
      <c r="F28" s="53">
        <f>+SUM(F21:F27)</f>
        <v>1.2</v>
      </c>
    </row>
    <row r="29" spans="1:7">
      <c r="B29" s="63" t="s">
        <v>81</v>
      </c>
    </row>
    <row r="32" spans="1:7">
      <c r="A32" s="58" t="s">
        <v>13</v>
      </c>
      <c r="B32" s="60" t="s">
        <v>76</v>
      </c>
      <c r="C32" s="60" t="s">
        <v>10</v>
      </c>
      <c r="D32" s="60" t="s">
        <v>18</v>
      </c>
      <c r="E32" s="60" t="s">
        <v>8</v>
      </c>
      <c r="F32" s="60" t="s">
        <v>136</v>
      </c>
    </row>
    <row r="33" spans="1:7">
      <c r="B33" s="87">
        <v>1</v>
      </c>
      <c r="C33" s="94">
        <v>0.1</v>
      </c>
      <c r="D33" s="95">
        <f>+SUM($C$33:C33)</f>
        <v>0.1</v>
      </c>
      <c r="E33" s="56">
        <f>+Summary!H36</f>
        <v>2</v>
      </c>
      <c r="F33" s="56">
        <f>+C33*E33</f>
        <v>0.2</v>
      </c>
    </row>
    <row r="34" spans="1:7">
      <c r="B34" s="87">
        <v>2</v>
      </c>
      <c r="C34" s="94">
        <v>0.03</v>
      </c>
      <c r="D34" s="95">
        <f>+SUM($C$33:C34)</f>
        <v>0.13</v>
      </c>
      <c r="E34" s="56">
        <f>+Summary!H37</f>
        <v>5</v>
      </c>
      <c r="F34" s="56">
        <f t="shared" ref="F34:F39" si="2">+C34*E34</f>
        <v>0.15</v>
      </c>
    </row>
    <row r="35" spans="1:7">
      <c r="B35" s="87">
        <v>3</v>
      </c>
      <c r="C35" s="94">
        <v>0.01</v>
      </c>
      <c r="D35" s="95">
        <f>+SUM($C$33:C35)</f>
        <v>0.14000000000000001</v>
      </c>
      <c r="E35" s="56">
        <f>+Summary!H38</f>
        <v>10</v>
      </c>
      <c r="F35" s="56">
        <f t="shared" si="2"/>
        <v>0.1</v>
      </c>
    </row>
    <row r="36" spans="1:7">
      <c r="B36" s="87">
        <v>4</v>
      </c>
      <c r="C36" s="94">
        <v>5.0000000000000001E-3</v>
      </c>
      <c r="D36" s="95">
        <f>+SUM($C$33:C36)</f>
        <v>0.14500000000000002</v>
      </c>
      <c r="E36" s="56">
        <f>+Summary!H39</f>
        <v>20</v>
      </c>
      <c r="F36" s="56">
        <f t="shared" si="2"/>
        <v>0.1</v>
      </c>
    </row>
    <row r="37" spans="1:7">
      <c r="B37" s="87">
        <v>5</v>
      </c>
      <c r="C37" s="94">
        <v>2E-3</v>
      </c>
      <c r="D37" s="95">
        <f>+SUM($C$33:C37)</f>
        <v>0.14700000000000002</v>
      </c>
      <c r="E37" s="56">
        <f>+Summary!H40</f>
        <v>50</v>
      </c>
      <c r="F37" s="56">
        <f t="shared" si="2"/>
        <v>0.1</v>
      </c>
    </row>
    <row r="38" spans="1:7">
      <c r="B38" s="87">
        <v>6</v>
      </c>
      <c r="C38" s="94">
        <v>1E-3</v>
      </c>
      <c r="D38" s="95">
        <f>+SUM($C$33:C38)</f>
        <v>0.14800000000000002</v>
      </c>
      <c r="E38" s="56">
        <f>+Summary!H41</f>
        <v>100</v>
      </c>
      <c r="F38" s="56">
        <f t="shared" si="2"/>
        <v>0.1</v>
      </c>
    </row>
    <row r="39" spans="1:7">
      <c r="B39" s="87">
        <v>7</v>
      </c>
      <c r="C39" s="94">
        <v>8.9999999999999998E-4</v>
      </c>
      <c r="D39" s="95">
        <f>+SUM($C$33:C39)</f>
        <v>0.14890000000000003</v>
      </c>
      <c r="E39" s="56">
        <f>+Summary!H42</f>
        <v>500</v>
      </c>
      <c r="F39" s="56">
        <f t="shared" si="2"/>
        <v>0.45</v>
      </c>
      <c r="G39" s="55" t="s">
        <v>82</v>
      </c>
    </row>
    <row r="40" spans="1:7">
      <c r="B40" s="62" t="s">
        <v>11</v>
      </c>
      <c r="C40" s="53">
        <f>+SUM(C33:C39)</f>
        <v>0.14890000000000003</v>
      </c>
      <c r="D40" s="62"/>
      <c r="E40" s="62"/>
      <c r="F40" s="53">
        <f>+SUM(F33:F39)</f>
        <v>1.2</v>
      </c>
    </row>
    <row r="41" spans="1:7">
      <c r="B41" s="63" t="s">
        <v>81</v>
      </c>
    </row>
    <row r="44" spans="1:7">
      <c r="A44" s="58" t="s">
        <v>14</v>
      </c>
      <c r="B44" s="60" t="s">
        <v>76</v>
      </c>
      <c r="C44" s="60" t="s">
        <v>10</v>
      </c>
      <c r="D44" s="60" t="s">
        <v>18</v>
      </c>
      <c r="E44" s="60" t="s">
        <v>8</v>
      </c>
      <c r="F44" s="60" t="s">
        <v>136</v>
      </c>
    </row>
    <row r="45" spans="1:7">
      <c r="B45" s="87">
        <v>1</v>
      </c>
      <c r="C45" s="94">
        <v>0.1</v>
      </c>
      <c r="D45" s="95">
        <f>+SUM($C$45:C45)</f>
        <v>0.1</v>
      </c>
      <c r="E45" s="56">
        <f>+Summary!H36</f>
        <v>2</v>
      </c>
      <c r="F45" s="56">
        <f>+C45*E45</f>
        <v>0.2</v>
      </c>
    </row>
    <row r="46" spans="1:7">
      <c r="B46" s="87">
        <v>2</v>
      </c>
      <c r="C46" s="94">
        <v>0.02</v>
      </c>
      <c r="D46" s="95">
        <f>+SUM($C$45:C46)</f>
        <v>0.12000000000000001</v>
      </c>
      <c r="E46" s="56">
        <f>+Summary!H37</f>
        <v>5</v>
      </c>
      <c r="F46" s="56">
        <f t="shared" ref="F46:F51" si="3">+C46*E46</f>
        <v>0.1</v>
      </c>
    </row>
    <row r="47" spans="1:7">
      <c r="B47" s="87">
        <v>3</v>
      </c>
      <c r="C47" s="94">
        <v>0.01</v>
      </c>
      <c r="D47" s="95">
        <f>+SUM($C$45:C47)</f>
        <v>0.13</v>
      </c>
      <c r="E47" s="56">
        <f>+Summary!H38</f>
        <v>10</v>
      </c>
      <c r="F47" s="56">
        <f t="shared" si="3"/>
        <v>0.1</v>
      </c>
    </row>
    <row r="48" spans="1:7">
      <c r="B48" s="87">
        <v>4</v>
      </c>
      <c r="C48" s="94">
        <v>5.0000000000000001E-3</v>
      </c>
      <c r="D48" s="95">
        <f>+SUM($C$45:C48)</f>
        <v>0.13500000000000001</v>
      </c>
      <c r="E48" s="56">
        <f>+Summary!H39</f>
        <v>20</v>
      </c>
      <c r="F48" s="56">
        <f t="shared" si="3"/>
        <v>0.1</v>
      </c>
    </row>
    <row r="49" spans="2:7">
      <c r="B49" s="87">
        <v>5</v>
      </c>
      <c r="C49" s="94">
        <v>2E-3</v>
      </c>
      <c r="D49" s="95">
        <f>+SUM($C$45:C49)</f>
        <v>0.13700000000000001</v>
      </c>
      <c r="E49" s="56">
        <f>+Summary!H40</f>
        <v>50</v>
      </c>
      <c r="F49" s="56">
        <f t="shared" si="3"/>
        <v>0.1</v>
      </c>
    </row>
    <row r="50" spans="2:7">
      <c r="B50" s="87">
        <v>6</v>
      </c>
      <c r="C50" s="94">
        <v>1E-3</v>
      </c>
      <c r="D50" s="95">
        <f>+SUM($C$45:C50)</f>
        <v>0.13800000000000001</v>
      </c>
      <c r="E50" s="56">
        <f>+Summary!H41</f>
        <v>100</v>
      </c>
      <c r="F50" s="56">
        <f t="shared" si="3"/>
        <v>0.1</v>
      </c>
    </row>
    <row r="51" spans="2:7">
      <c r="B51" s="87">
        <v>7</v>
      </c>
      <c r="C51" s="94">
        <v>1E-3</v>
      </c>
      <c r="D51" s="95">
        <f>+SUM($C$45:C51)</f>
        <v>0.13900000000000001</v>
      </c>
      <c r="E51" s="56">
        <f>+Summary!H42</f>
        <v>500</v>
      </c>
      <c r="F51" s="56">
        <f t="shared" si="3"/>
        <v>0.5</v>
      </c>
      <c r="G51" s="55" t="s">
        <v>82</v>
      </c>
    </row>
    <row r="52" spans="2:7">
      <c r="B52" s="62" t="s">
        <v>11</v>
      </c>
      <c r="C52" s="62">
        <f>+SUM(C45:C51)</f>
        <v>0.13900000000000001</v>
      </c>
      <c r="D52" s="62"/>
      <c r="E52" s="62"/>
      <c r="F52" s="53">
        <f>+SUM(F45:F51)</f>
        <v>1.2</v>
      </c>
    </row>
    <row r="53" spans="2:7">
      <c r="B53" s="63" t="s">
        <v>81</v>
      </c>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88671875" style="55" customWidth="1"/>
    <col min="8" max="8" width="12" style="55" customWidth="1"/>
    <col min="9" max="16384" width="11.5546875" style="55"/>
  </cols>
  <sheetData>
    <row r="1" spans="1:7" ht="18">
      <c r="A1" s="130" t="s">
        <v>127</v>
      </c>
      <c r="B1" s="130"/>
      <c r="C1" s="130"/>
      <c r="D1" s="130"/>
      <c r="E1" s="130"/>
    </row>
    <row r="2" spans="1:7">
      <c r="A2" s="65" t="s">
        <v>129</v>
      </c>
    </row>
    <row r="3" spans="1:7">
      <c r="A3" s="65" t="s">
        <v>130</v>
      </c>
    </row>
    <row r="4" spans="1:7">
      <c r="A4" s="65" t="s">
        <v>133</v>
      </c>
    </row>
    <row r="8" spans="1:7">
      <c r="A8" s="58" t="s">
        <v>9</v>
      </c>
      <c r="B8" s="60" t="s">
        <v>76</v>
      </c>
      <c r="C8" s="60" t="s">
        <v>10</v>
      </c>
      <c r="D8" s="60" t="s">
        <v>18</v>
      </c>
      <c r="E8" s="60" t="s">
        <v>8</v>
      </c>
      <c r="F8" s="60" t="s">
        <v>136</v>
      </c>
    </row>
    <row r="9" spans="1:7">
      <c r="B9" s="87">
        <v>1</v>
      </c>
      <c r="C9" s="94">
        <v>0.08</v>
      </c>
      <c r="D9" s="56">
        <f>+SUM($C$9:C9)</f>
        <v>0.08</v>
      </c>
      <c r="E9" s="56">
        <f>+Summary!H36</f>
        <v>2</v>
      </c>
      <c r="F9" s="56">
        <f>+C9*E9</f>
        <v>0.16</v>
      </c>
    </row>
    <row r="10" spans="1:7">
      <c r="B10" s="87">
        <v>2</v>
      </c>
      <c r="C10" s="94">
        <v>0.03</v>
      </c>
      <c r="D10" s="56">
        <f>+SUM($C$9:C10)</f>
        <v>0.11</v>
      </c>
      <c r="E10" s="56">
        <f>+Summary!H37</f>
        <v>5</v>
      </c>
      <c r="F10" s="56">
        <f t="shared" ref="F10:F15" si="0">+C10*E10</f>
        <v>0.15</v>
      </c>
    </row>
    <row r="11" spans="1:7">
      <c r="B11" s="87">
        <v>3</v>
      </c>
      <c r="C11" s="94">
        <v>8.9999999999999993E-3</v>
      </c>
      <c r="D11" s="56">
        <f>+SUM($C$9:C11)</f>
        <v>0.11899999999999999</v>
      </c>
      <c r="E11" s="56">
        <f>+Summary!H38</f>
        <v>10</v>
      </c>
      <c r="F11" s="56">
        <f t="shared" si="0"/>
        <v>0.09</v>
      </c>
    </row>
    <row r="12" spans="1:7">
      <c r="B12" s="87">
        <v>4</v>
      </c>
      <c r="C12" s="94">
        <v>5.0000000000000001E-3</v>
      </c>
      <c r="D12" s="56">
        <f>+SUM($C$9:C12)</f>
        <v>0.124</v>
      </c>
      <c r="E12" s="56">
        <f>+Summary!H39</f>
        <v>20</v>
      </c>
      <c r="F12" s="56">
        <f t="shared" si="0"/>
        <v>0.1</v>
      </c>
    </row>
    <row r="13" spans="1:7">
      <c r="B13" s="87">
        <v>5</v>
      </c>
      <c r="C13" s="94">
        <v>3.0000000000000001E-3</v>
      </c>
      <c r="D13" s="56">
        <f>+SUM($C$9:C13)</f>
        <v>0.127</v>
      </c>
      <c r="E13" s="56">
        <f>+Summary!H40</f>
        <v>50</v>
      </c>
      <c r="F13" s="56">
        <f t="shared" si="0"/>
        <v>0.15</v>
      </c>
    </row>
    <row r="14" spans="1:7">
      <c r="B14" s="87">
        <v>6</v>
      </c>
      <c r="C14" s="94">
        <v>1E-3</v>
      </c>
      <c r="D14" s="56">
        <f>+SUM($C$9:C14)</f>
        <v>0.128</v>
      </c>
      <c r="E14" s="56">
        <f>+Summary!H41</f>
        <v>100</v>
      </c>
      <c r="F14" s="56">
        <f t="shared" si="0"/>
        <v>0.1</v>
      </c>
    </row>
    <row r="15" spans="1:7">
      <c r="B15" s="87">
        <v>7</v>
      </c>
      <c r="C15" s="94">
        <v>5.9999999999999995E-4</v>
      </c>
      <c r="D15" s="56">
        <f>+SUM($C$9:C15)</f>
        <v>0.12859999999999999</v>
      </c>
      <c r="E15" s="56">
        <f>+Summary!H42</f>
        <v>500</v>
      </c>
      <c r="F15" s="56">
        <f t="shared" si="0"/>
        <v>0.3</v>
      </c>
      <c r="G15" s="55" t="s">
        <v>82</v>
      </c>
    </row>
    <row r="16" spans="1:7">
      <c r="B16" s="62" t="s">
        <v>11</v>
      </c>
      <c r="C16" s="62">
        <f>+SUM(C9:C15)</f>
        <v>0.12859999999999999</v>
      </c>
      <c r="D16" s="62"/>
      <c r="E16" s="62"/>
      <c r="F16" s="53">
        <f>+SUM(F9:F15)</f>
        <v>1.05</v>
      </c>
    </row>
    <row r="17" spans="1:7">
      <c r="B17" s="63" t="s">
        <v>81</v>
      </c>
    </row>
    <row r="20" spans="1:7">
      <c r="A20" s="58" t="s">
        <v>12</v>
      </c>
      <c r="B20" s="60" t="s">
        <v>76</v>
      </c>
      <c r="C20" s="60" t="s">
        <v>10</v>
      </c>
      <c r="D20" s="60" t="s">
        <v>18</v>
      </c>
      <c r="E20" s="60" t="s">
        <v>8</v>
      </c>
      <c r="F20" s="60" t="s">
        <v>136</v>
      </c>
    </row>
    <row r="21" spans="1:7">
      <c r="B21" s="87">
        <v>1</v>
      </c>
      <c r="C21" s="94">
        <v>0.08</v>
      </c>
      <c r="D21" s="95">
        <f>+SUM($C$21:C21)</f>
        <v>0.08</v>
      </c>
      <c r="E21" s="56">
        <f>+Summary!H36</f>
        <v>2</v>
      </c>
      <c r="F21" s="56">
        <f>+C21*E21</f>
        <v>0.16</v>
      </c>
    </row>
    <row r="22" spans="1:7">
      <c r="B22" s="87">
        <v>2</v>
      </c>
      <c r="C22" s="94">
        <v>0.02</v>
      </c>
      <c r="D22" s="95">
        <f>+SUM($C$21:C22)</f>
        <v>0.1</v>
      </c>
      <c r="E22" s="56">
        <f>+Summary!H37</f>
        <v>5</v>
      </c>
      <c r="F22" s="56">
        <f t="shared" ref="F22:F27" si="1">+C22*E22</f>
        <v>0.1</v>
      </c>
    </row>
    <row r="23" spans="1:7">
      <c r="B23" s="87">
        <v>3</v>
      </c>
      <c r="C23" s="94">
        <v>8.9999999999999993E-3</v>
      </c>
      <c r="D23" s="95">
        <f>+SUM($C$21:C23)</f>
        <v>0.109</v>
      </c>
      <c r="E23" s="56">
        <f>+Summary!H38</f>
        <v>10</v>
      </c>
      <c r="F23" s="56">
        <f t="shared" si="1"/>
        <v>0.09</v>
      </c>
    </row>
    <row r="24" spans="1:7">
      <c r="B24" s="87">
        <v>4</v>
      </c>
      <c r="C24" s="94">
        <v>5.0000000000000001E-3</v>
      </c>
      <c r="D24" s="95">
        <f>+SUM($C$21:C24)</f>
        <v>0.114</v>
      </c>
      <c r="E24" s="56">
        <f>+Summary!H39</f>
        <v>20</v>
      </c>
      <c r="F24" s="56">
        <f t="shared" si="1"/>
        <v>0.1</v>
      </c>
    </row>
    <row r="25" spans="1:7">
      <c r="B25" s="87">
        <v>5</v>
      </c>
      <c r="C25" s="94">
        <v>3.0000000000000001E-3</v>
      </c>
      <c r="D25" s="95">
        <f>+SUM($C$21:C25)</f>
        <v>0.11700000000000001</v>
      </c>
      <c r="E25" s="56">
        <f>+Summary!H40</f>
        <v>50</v>
      </c>
      <c r="F25" s="56">
        <f t="shared" si="1"/>
        <v>0.15</v>
      </c>
    </row>
    <row r="26" spans="1:7">
      <c r="B26" s="87">
        <v>6</v>
      </c>
      <c r="C26" s="94">
        <v>1E-3</v>
      </c>
      <c r="D26" s="95">
        <f>+SUM($C$21:C26)</f>
        <v>0.11800000000000001</v>
      </c>
      <c r="E26" s="56">
        <f>+Summary!H41</f>
        <v>100</v>
      </c>
      <c r="F26" s="56">
        <f t="shared" si="1"/>
        <v>0.1</v>
      </c>
    </row>
    <row r="27" spans="1:7">
      <c r="B27" s="87">
        <v>7</v>
      </c>
      <c r="C27" s="94">
        <v>6.9999999999999999E-4</v>
      </c>
      <c r="D27" s="95">
        <f>+SUM($C$21:C27)</f>
        <v>0.11870000000000001</v>
      </c>
      <c r="E27" s="56">
        <f>+Summary!H42</f>
        <v>500</v>
      </c>
      <c r="F27" s="56">
        <f t="shared" si="1"/>
        <v>0.35</v>
      </c>
      <c r="G27" s="55" t="s">
        <v>82</v>
      </c>
    </row>
    <row r="28" spans="1:7">
      <c r="B28" s="62" t="s">
        <v>11</v>
      </c>
      <c r="C28" s="62">
        <f>+SUM(C21:C27)</f>
        <v>0.11870000000000001</v>
      </c>
      <c r="D28" s="62"/>
      <c r="E28" s="62"/>
      <c r="F28" s="53">
        <f>+SUM(F21:F27)</f>
        <v>1.0499999999999998</v>
      </c>
    </row>
    <row r="29" spans="1:7">
      <c r="B29" s="63" t="s">
        <v>81</v>
      </c>
    </row>
    <row r="32" spans="1:7">
      <c r="A32" s="58" t="s">
        <v>13</v>
      </c>
      <c r="B32" s="60" t="s">
        <v>76</v>
      </c>
      <c r="C32" s="60" t="s">
        <v>10</v>
      </c>
      <c r="D32" s="60" t="s">
        <v>18</v>
      </c>
      <c r="E32" s="60" t="s">
        <v>8</v>
      </c>
      <c r="F32" s="60" t="s">
        <v>136</v>
      </c>
    </row>
    <row r="33" spans="1:7">
      <c r="B33" s="87">
        <v>1</v>
      </c>
      <c r="C33" s="94">
        <v>0.08</v>
      </c>
      <c r="D33" s="95">
        <f>+SUM($C$33:C33)</f>
        <v>0.08</v>
      </c>
      <c r="E33" s="56">
        <f>+Summary!H36</f>
        <v>2</v>
      </c>
      <c r="F33" s="56">
        <f>+C33*E33</f>
        <v>0.16</v>
      </c>
    </row>
    <row r="34" spans="1:7">
      <c r="B34" s="87">
        <v>2</v>
      </c>
      <c r="C34" s="94">
        <v>0.01</v>
      </c>
      <c r="D34" s="95">
        <f>+SUM($C$33:C34)</f>
        <v>0.09</v>
      </c>
      <c r="E34" s="56">
        <f>+Summary!H37</f>
        <v>5</v>
      </c>
      <c r="F34" s="56">
        <f t="shared" ref="F34:F39" si="2">+C34*E34</f>
        <v>0.05</v>
      </c>
    </row>
    <row r="35" spans="1:7">
      <c r="B35" s="87">
        <v>3</v>
      </c>
      <c r="C35" s="94">
        <v>8.9999999999999993E-3</v>
      </c>
      <c r="D35" s="95">
        <f>+SUM($C$33:C35)</f>
        <v>9.8999999999999991E-2</v>
      </c>
      <c r="E35" s="56">
        <f>+Summary!H38</f>
        <v>10</v>
      </c>
      <c r="F35" s="56">
        <f t="shared" si="2"/>
        <v>0.09</v>
      </c>
    </row>
    <row r="36" spans="1:7">
      <c r="B36" s="87">
        <v>4</v>
      </c>
      <c r="C36" s="94">
        <v>5.0000000000000001E-3</v>
      </c>
      <c r="D36" s="95">
        <f>+SUM($C$33:C36)</f>
        <v>0.104</v>
      </c>
      <c r="E36" s="56">
        <f>+Summary!H39</f>
        <v>20</v>
      </c>
      <c r="F36" s="56">
        <f t="shared" si="2"/>
        <v>0.1</v>
      </c>
    </row>
    <row r="37" spans="1:7">
      <c r="B37" s="87">
        <v>5</v>
      </c>
      <c r="C37" s="94">
        <v>3.0000000000000001E-3</v>
      </c>
      <c r="D37" s="95">
        <f>+SUM($C$33:C37)</f>
        <v>0.107</v>
      </c>
      <c r="E37" s="56">
        <f>+Summary!H40</f>
        <v>50</v>
      </c>
      <c r="F37" s="56">
        <f t="shared" si="2"/>
        <v>0.15</v>
      </c>
    </row>
    <row r="38" spans="1:7">
      <c r="B38" s="87">
        <v>6</v>
      </c>
      <c r="C38" s="94">
        <v>1E-3</v>
      </c>
      <c r="D38" s="95">
        <f>+SUM($C$33:C38)</f>
        <v>0.108</v>
      </c>
      <c r="E38" s="56">
        <f>+Summary!H41</f>
        <v>100</v>
      </c>
      <c r="F38" s="56">
        <f t="shared" si="2"/>
        <v>0.1</v>
      </c>
    </row>
    <row r="39" spans="1:7">
      <c r="B39" s="87">
        <v>7</v>
      </c>
      <c r="C39" s="94">
        <v>8.0000000000000004E-4</v>
      </c>
      <c r="D39" s="95">
        <f>+SUM($C$33:C39)</f>
        <v>0.10879999999999999</v>
      </c>
      <c r="E39" s="56">
        <f>+Summary!H42</f>
        <v>500</v>
      </c>
      <c r="F39" s="56">
        <f t="shared" si="2"/>
        <v>0.4</v>
      </c>
      <c r="G39" s="55" t="s">
        <v>82</v>
      </c>
    </row>
    <row r="40" spans="1:7">
      <c r="B40" s="62" t="s">
        <v>11</v>
      </c>
      <c r="C40" s="53">
        <f>+SUM(C33:C39)</f>
        <v>0.10879999999999999</v>
      </c>
      <c r="D40" s="62"/>
      <c r="E40" s="62"/>
      <c r="F40" s="53">
        <f>+SUM(F33:F39)</f>
        <v>1.05</v>
      </c>
    </row>
    <row r="41" spans="1:7">
      <c r="B41" s="63" t="s">
        <v>81</v>
      </c>
    </row>
    <row r="44" spans="1:7">
      <c r="A44" s="58" t="s">
        <v>14</v>
      </c>
      <c r="B44" s="60" t="s">
        <v>76</v>
      </c>
      <c r="C44" s="60" t="s">
        <v>10</v>
      </c>
      <c r="D44" s="60" t="s">
        <v>18</v>
      </c>
      <c r="E44" s="60" t="s">
        <v>8</v>
      </c>
      <c r="F44" s="60" t="s">
        <v>136</v>
      </c>
    </row>
    <row r="45" spans="1:7">
      <c r="B45" s="87">
        <v>1</v>
      </c>
      <c r="C45" s="94">
        <v>0.06</v>
      </c>
      <c r="D45" s="95">
        <f>+SUM($C$45:C45)</f>
        <v>0.06</v>
      </c>
      <c r="E45" s="56">
        <f>+Summary!H36</f>
        <v>2</v>
      </c>
      <c r="F45" s="56">
        <f>+C45*E45</f>
        <v>0.12</v>
      </c>
    </row>
    <row r="46" spans="1:7">
      <c r="B46" s="87">
        <v>2</v>
      </c>
      <c r="C46" s="94">
        <v>0.01</v>
      </c>
      <c r="D46" s="95">
        <f>+SUM($C$45:C46)</f>
        <v>6.9999999999999993E-2</v>
      </c>
      <c r="E46" s="56">
        <f>+Summary!H37</f>
        <v>5</v>
      </c>
      <c r="F46" s="56">
        <f t="shared" ref="F46:F51" si="3">+C46*E46</f>
        <v>0.05</v>
      </c>
    </row>
    <row r="47" spans="1:7">
      <c r="B47" s="87">
        <v>3</v>
      </c>
      <c r="C47" s="94">
        <v>3.0000000000000001E-3</v>
      </c>
      <c r="D47" s="95">
        <f>+SUM($C$45:C47)</f>
        <v>7.2999999999999995E-2</v>
      </c>
      <c r="E47" s="56">
        <f>+Summary!H38</f>
        <v>10</v>
      </c>
      <c r="F47" s="56">
        <f t="shared" si="3"/>
        <v>0.03</v>
      </c>
    </row>
    <row r="48" spans="1:7">
      <c r="B48" s="87">
        <v>4</v>
      </c>
      <c r="C48" s="94">
        <v>5.0000000000000001E-3</v>
      </c>
      <c r="D48" s="95">
        <f>+SUM($C$45:C48)</f>
        <v>7.8E-2</v>
      </c>
      <c r="E48" s="56">
        <f>+Summary!H39</f>
        <v>20</v>
      </c>
      <c r="F48" s="56">
        <f t="shared" si="3"/>
        <v>0.1</v>
      </c>
    </row>
    <row r="49" spans="2:7">
      <c r="B49" s="87">
        <v>5</v>
      </c>
      <c r="C49" s="94">
        <v>3.0000000000000001E-3</v>
      </c>
      <c r="D49" s="95">
        <f>+SUM($C$45:C49)</f>
        <v>8.1000000000000003E-2</v>
      </c>
      <c r="E49" s="56">
        <f>+Summary!H40</f>
        <v>50</v>
      </c>
      <c r="F49" s="56">
        <f t="shared" si="3"/>
        <v>0.15</v>
      </c>
    </row>
    <row r="50" spans="2:7">
      <c r="B50" s="87">
        <v>6</v>
      </c>
      <c r="C50" s="94">
        <v>1E-3</v>
      </c>
      <c r="D50" s="95">
        <f>+SUM($C$45:C50)</f>
        <v>8.2000000000000003E-2</v>
      </c>
      <c r="E50" s="56">
        <f>+Summary!H41</f>
        <v>100</v>
      </c>
      <c r="F50" s="56">
        <f t="shared" si="3"/>
        <v>0.1</v>
      </c>
    </row>
    <row r="51" spans="2:7">
      <c r="B51" s="87">
        <v>7</v>
      </c>
      <c r="C51" s="94">
        <v>1E-3</v>
      </c>
      <c r="D51" s="95">
        <f>+SUM($C$45:C51)</f>
        <v>8.3000000000000004E-2</v>
      </c>
      <c r="E51" s="56">
        <f>+Summary!H42</f>
        <v>500</v>
      </c>
      <c r="F51" s="56">
        <f t="shared" si="3"/>
        <v>0.5</v>
      </c>
      <c r="G51" s="55" t="s">
        <v>82</v>
      </c>
    </row>
    <row r="52" spans="2:7">
      <c r="B52" s="62" t="s">
        <v>11</v>
      </c>
      <c r="C52" s="62">
        <f>+SUM(C45:C51)</f>
        <v>8.3000000000000004E-2</v>
      </c>
      <c r="D52" s="62"/>
      <c r="E52" s="62"/>
      <c r="F52" s="53">
        <f>+SUM(F45:F51)</f>
        <v>1.0499999999999998</v>
      </c>
    </row>
    <row r="53" spans="2:7">
      <c r="B53" s="63" t="s">
        <v>81</v>
      </c>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88671875" style="55" customWidth="1"/>
    <col min="8" max="8" width="12" style="55" customWidth="1"/>
    <col min="9" max="16384" width="11.5546875" style="55"/>
  </cols>
  <sheetData>
    <row r="1" spans="1:7" ht="18">
      <c r="A1" s="130" t="s">
        <v>126</v>
      </c>
      <c r="B1" s="130"/>
      <c r="C1" s="130"/>
      <c r="D1" s="130"/>
      <c r="E1" s="130"/>
    </row>
    <row r="2" spans="1:7">
      <c r="A2" s="65" t="s">
        <v>129</v>
      </c>
    </row>
    <row r="3" spans="1:7">
      <c r="A3" s="65" t="s">
        <v>130</v>
      </c>
    </row>
    <row r="4" spans="1:7">
      <c r="A4" s="65" t="s">
        <v>133</v>
      </c>
    </row>
    <row r="8" spans="1:7">
      <c r="A8" s="58" t="s">
        <v>9</v>
      </c>
      <c r="B8" s="60" t="s">
        <v>76</v>
      </c>
      <c r="C8" s="60" t="s">
        <v>10</v>
      </c>
      <c r="D8" s="60" t="s">
        <v>18</v>
      </c>
      <c r="E8" s="60" t="s">
        <v>8</v>
      </c>
      <c r="F8" s="60" t="s">
        <v>136</v>
      </c>
    </row>
    <row r="9" spans="1:7">
      <c r="B9" s="87">
        <v>1</v>
      </c>
      <c r="C9" s="94">
        <v>0.05</v>
      </c>
      <c r="D9" s="56">
        <f>+SUM($C$9:C9)</f>
        <v>0.05</v>
      </c>
      <c r="E9" s="56">
        <f>+Summary!H36</f>
        <v>2</v>
      </c>
      <c r="F9" s="56">
        <f>+C9*E9</f>
        <v>0.1</v>
      </c>
    </row>
    <row r="10" spans="1:7">
      <c r="B10" s="87">
        <v>2</v>
      </c>
      <c r="C10" s="94">
        <v>0.02</v>
      </c>
      <c r="D10" s="56">
        <f>+SUM($C$9:C10)</f>
        <v>7.0000000000000007E-2</v>
      </c>
      <c r="E10" s="56">
        <f>+Summary!H37</f>
        <v>5</v>
      </c>
      <c r="F10" s="56">
        <f t="shared" ref="F10:F15" si="0">+C10*E10</f>
        <v>0.1</v>
      </c>
    </row>
    <row r="11" spans="1:7">
      <c r="B11" s="87">
        <v>3</v>
      </c>
      <c r="C11" s="94">
        <v>0.01</v>
      </c>
      <c r="D11" s="56">
        <f>+SUM($C$9:C11)</f>
        <v>0.08</v>
      </c>
      <c r="E11" s="56">
        <f>+Summary!H38</f>
        <v>10</v>
      </c>
      <c r="F11" s="56">
        <f t="shared" si="0"/>
        <v>0.1</v>
      </c>
    </row>
    <row r="12" spans="1:7">
      <c r="B12" s="87">
        <v>4</v>
      </c>
      <c r="C12" s="94">
        <v>5.0000000000000001E-3</v>
      </c>
      <c r="D12" s="56">
        <f>+SUM($C$9:C12)</f>
        <v>8.5000000000000006E-2</v>
      </c>
      <c r="E12" s="56">
        <f>+Summary!H39</f>
        <v>20</v>
      </c>
      <c r="F12" s="56">
        <f t="shared" si="0"/>
        <v>0.1</v>
      </c>
    </row>
    <row r="13" spans="1:7">
      <c r="B13" s="87">
        <v>5</v>
      </c>
      <c r="C13" s="94">
        <v>3.0000000000000001E-3</v>
      </c>
      <c r="D13" s="56">
        <f>+SUM($C$9:C13)</f>
        <v>8.8000000000000009E-2</v>
      </c>
      <c r="E13" s="56">
        <f>+Summary!H40</f>
        <v>50</v>
      </c>
      <c r="F13" s="56">
        <f t="shared" si="0"/>
        <v>0.15</v>
      </c>
    </row>
    <row r="14" spans="1:7">
      <c r="B14" s="87">
        <v>6</v>
      </c>
      <c r="C14" s="94">
        <v>1E-3</v>
      </c>
      <c r="D14" s="56">
        <f>+SUM($C$9:C14)</f>
        <v>8.900000000000001E-2</v>
      </c>
      <c r="E14" s="56">
        <f>+Summary!H41</f>
        <v>100</v>
      </c>
      <c r="F14" s="56">
        <f t="shared" si="0"/>
        <v>0.1</v>
      </c>
    </row>
    <row r="15" spans="1:7">
      <c r="B15" s="87">
        <v>7</v>
      </c>
      <c r="C15" s="94">
        <v>5.0000000000000001E-4</v>
      </c>
      <c r="D15" s="56">
        <f>+SUM($C$9:C15)</f>
        <v>8.950000000000001E-2</v>
      </c>
      <c r="E15" s="56">
        <f>+Summary!H42</f>
        <v>500</v>
      </c>
      <c r="F15" s="56">
        <f t="shared" si="0"/>
        <v>0.25</v>
      </c>
      <c r="G15" s="55" t="s">
        <v>82</v>
      </c>
    </row>
    <row r="16" spans="1:7">
      <c r="B16" s="62" t="s">
        <v>11</v>
      </c>
      <c r="C16" s="62">
        <f>+SUM(C9:C15)</f>
        <v>8.950000000000001E-2</v>
      </c>
      <c r="D16" s="62"/>
      <c r="E16" s="62"/>
      <c r="F16" s="53">
        <f>+SUM(F9:F15)</f>
        <v>0.9</v>
      </c>
    </row>
    <row r="17" spans="1:7">
      <c r="B17" s="63" t="s">
        <v>81</v>
      </c>
    </row>
    <row r="20" spans="1:7">
      <c r="A20" s="58" t="s">
        <v>12</v>
      </c>
      <c r="B20" s="60" t="s">
        <v>76</v>
      </c>
      <c r="C20" s="60" t="s">
        <v>10</v>
      </c>
      <c r="D20" s="60" t="s">
        <v>18</v>
      </c>
      <c r="E20" s="60" t="s">
        <v>8</v>
      </c>
      <c r="F20" s="60" t="s">
        <v>136</v>
      </c>
    </row>
    <row r="21" spans="1:7">
      <c r="B21" s="87">
        <v>1</v>
      </c>
      <c r="C21" s="94">
        <v>0.04</v>
      </c>
      <c r="D21" s="95">
        <f>+SUM($C$21:C21)</f>
        <v>0.04</v>
      </c>
      <c r="E21" s="56">
        <f>+Summary!H36</f>
        <v>2</v>
      </c>
      <c r="F21" s="56">
        <f>+C21*E21</f>
        <v>0.08</v>
      </c>
    </row>
    <row r="22" spans="1:7">
      <c r="B22" s="87">
        <v>2</v>
      </c>
      <c r="C22" s="94">
        <v>0.02</v>
      </c>
      <c r="D22" s="95">
        <f>+SUM($C$21:C22)</f>
        <v>0.06</v>
      </c>
      <c r="E22" s="56">
        <f>+Summary!H37</f>
        <v>5</v>
      </c>
      <c r="F22" s="56">
        <f t="shared" ref="F22:F27" si="1">+C22*E22</f>
        <v>0.1</v>
      </c>
    </row>
    <row r="23" spans="1:7">
      <c r="B23" s="87">
        <v>3</v>
      </c>
      <c r="C23" s="94">
        <v>0.01</v>
      </c>
      <c r="D23" s="95">
        <f>+SUM($C$21:C23)</f>
        <v>6.9999999999999993E-2</v>
      </c>
      <c r="E23" s="56">
        <f>+Summary!H38</f>
        <v>10</v>
      </c>
      <c r="F23" s="56">
        <f t="shared" si="1"/>
        <v>0.1</v>
      </c>
    </row>
    <row r="24" spans="1:7">
      <c r="B24" s="87">
        <v>4</v>
      </c>
      <c r="C24" s="94">
        <v>3.5000000000000001E-3</v>
      </c>
      <c r="D24" s="95">
        <f>+SUM($C$21:C24)</f>
        <v>7.3499999999999996E-2</v>
      </c>
      <c r="E24" s="56">
        <f>+Summary!H39</f>
        <v>20</v>
      </c>
      <c r="F24" s="56">
        <f t="shared" si="1"/>
        <v>7.0000000000000007E-2</v>
      </c>
    </row>
    <row r="25" spans="1:7">
      <c r="B25" s="87">
        <v>5</v>
      </c>
      <c r="C25" s="94">
        <v>3.0000000000000001E-3</v>
      </c>
      <c r="D25" s="95">
        <f>+SUM($C$21:C25)</f>
        <v>7.6499999999999999E-2</v>
      </c>
      <c r="E25" s="56">
        <f>+Summary!H40</f>
        <v>50</v>
      </c>
      <c r="F25" s="56">
        <f t="shared" si="1"/>
        <v>0.15</v>
      </c>
    </row>
    <row r="26" spans="1:7">
      <c r="B26" s="87">
        <v>6</v>
      </c>
      <c r="C26" s="94">
        <v>1E-3</v>
      </c>
      <c r="D26" s="95">
        <f>+SUM($C$21:C26)</f>
        <v>7.7499999999999999E-2</v>
      </c>
      <c r="E26" s="56">
        <f>+Summary!H41</f>
        <v>100</v>
      </c>
      <c r="F26" s="56">
        <f t="shared" si="1"/>
        <v>0.1</v>
      </c>
    </row>
    <row r="27" spans="1:7">
      <c r="B27" s="87">
        <v>7</v>
      </c>
      <c r="C27" s="94">
        <v>5.9999999999999995E-4</v>
      </c>
      <c r="D27" s="95">
        <f>+SUM($C$21:C27)</f>
        <v>7.8100000000000003E-2</v>
      </c>
      <c r="E27" s="56">
        <f>+Summary!H42</f>
        <v>500</v>
      </c>
      <c r="F27" s="56">
        <f t="shared" si="1"/>
        <v>0.3</v>
      </c>
      <c r="G27" s="55" t="s">
        <v>82</v>
      </c>
    </row>
    <row r="28" spans="1:7">
      <c r="B28" s="62" t="s">
        <v>11</v>
      </c>
      <c r="C28" s="62">
        <f>+SUM(C21:C27)</f>
        <v>7.8100000000000003E-2</v>
      </c>
      <c r="D28" s="62"/>
      <c r="E28" s="62"/>
      <c r="F28" s="53">
        <f>+SUM(F21:F27)</f>
        <v>0.89999999999999991</v>
      </c>
    </row>
    <row r="29" spans="1:7">
      <c r="B29" s="63" t="s">
        <v>81</v>
      </c>
    </row>
    <row r="32" spans="1:7">
      <c r="A32" s="58" t="s">
        <v>13</v>
      </c>
      <c r="B32" s="60" t="s">
        <v>76</v>
      </c>
      <c r="C32" s="60" t="s">
        <v>10</v>
      </c>
      <c r="D32" s="60" t="s">
        <v>18</v>
      </c>
      <c r="E32" s="60" t="s">
        <v>8</v>
      </c>
      <c r="F32" s="60" t="s">
        <v>136</v>
      </c>
    </row>
    <row r="33" spans="1:7">
      <c r="B33" s="87">
        <v>1</v>
      </c>
      <c r="C33" s="94">
        <v>3.5000000000000003E-2</v>
      </c>
      <c r="D33" s="95">
        <f>+SUM($C$33:C33)</f>
        <v>3.5000000000000003E-2</v>
      </c>
      <c r="E33" s="56">
        <f>+Summary!H36</f>
        <v>2</v>
      </c>
      <c r="F33" s="56">
        <f>+C33*E33</f>
        <v>7.0000000000000007E-2</v>
      </c>
    </row>
    <row r="34" spans="1:7">
      <c r="B34" s="87">
        <v>2</v>
      </c>
      <c r="C34" s="94">
        <v>0.01</v>
      </c>
      <c r="D34" s="95">
        <f>+SUM($C$33:C34)</f>
        <v>4.5000000000000005E-2</v>
      </c>
      <c r="E34" s="56">
        <f>+Summary!H37</f>
        <v>5</v>
      </c>
      <c r="F34" s="56">
        <f t="shared" ref="F34:F39" si="2">+C34*E34</f>
        <v>0.05</v>
      </c>
    </row>
    <row r="35" spans="1:7">
      <c r="B35" s="87">
        <v>3</v>
      </c>
      <c r="C35" s="94">
        <v>0.01</v>
      </c>
      <c r="D35" s="95">
        <f>+SUM($C$33:C35)</f>
        <v>5.5000000000000007E-2</v>
      </c>
      <c r="E35" s="56">
        <f>+Summary!H38</f>
        <v>10</v>
      </c>
      <c r="F35" s="56">
        <f t="shared" si="2"/>
        <v>0.1</v>
      </c>
    </row>
    <row r="36" spans="1:7">
      <c r="B36" s="87">
        <v>4</v>
      </c>
      <c r="C36" s="94">
        <v>4.0000000000000001E-3</v>
      </c>
      <c r="D36" s="95">
        <f>+SUM($C$33:C36)</f>
        <v>5.9000000000000011E-2</v>
      </c>
      <c r="E36" s="56">
        <f>+Summary!H39</f>
        <v>20</v>
      </c>
      <c r="F36" s="56">
        <f t="shared" si="2"/>
        <v>0.08</v>
      </c>
    </row>
    <row r="37" spans="1:7">
      <c r="B37" s="87">
        <v>5</v>
      </c>
      <c r="C37" s="94">
        <v>3.0000000000000001E-3</v>
      </c>
      <c r="D37" s="95">
        <f>+SUM($C$33:C37)</f>
        <v>6.2000000000000013E-2</v>
      </c>
      <c r="E37" s="56">
        <f>+Summary!H40</f>
        <v>50</v>
      </c>
      <c r="F37" s="56">
        <f t="shared" si="2"/>
        <v>0.15</v>
      </c>
    </row>
    <row r="38" spans="1:7">
      <c r="B38" s="87">
        <v>6</v>
      </c>
      <c r="C38" s="94">
        <v>1E-3</v>
      </c>
      <c r="D38" s="95">
        <f>+SUM($C$33:C38)</f>
        <v>6.3000000000000014E-2</v>
      </c>
      <c r="E38" s="56">
        <f>+Summary!H41</f>
        <v>100</v>
      </c>
      <c r="F38" s="56">
        <f t="shared" si="2"/>
        <v>0.1</v>
      </c>
    </row>
    <row r="39" spans="1:7">
      <c r="B39" s="87">
        <v>7</v>
      </c>
      <c r="C39" s="94">
        <v>6.9999999999999999E-4</v>
      </c>
      <c r="D39" s="95">
        <f>+SUM($C$33:C39)</f>
        <v>6.370000000000002E-2</v>
      </c>
      <c r="E39" s="56">
        <f>+Summary!H42</f>
        <v>500</v>
      </c>
      <c r="F39" s="56">
        <f t="shared" si="2"/>
        <v>0.35</v>
      </c>
      <c r="G39" s="55" t="s">
        <v>82</v>
      </c>
    </row>
    <row r="40" spans="1:7">
      <c r="B40" s="62" t="s">
        <v>11</v>
      </c>
      <c r="C40" s="53">
        <f>+SUM(C33:C39)</f>
        <v>6.370000000000002E-2</v>
      </c>
      <c r="D40" s="62"/>
      <c r="E40" s="62"/>
      <c r="F40" s="53">
        <f>+SUM(F33:F39)</f>
        <v>0.9</v>
      </c>
    </row>
    <row r="41" spans="1:7">
      <c r="B41" s="63" t="s">
        <v>81</v>
      </c>
    </row>
    <row r="44" spans="1:7">
      <c r="A44" s="58" t="s">
        <v>14</v>
      </c>
      <c r="B44" s="60" t="s">
        <v>76</v>
      </c>
      <c r="C44" s="60" t="s">
        <v>10</v>
      </c>
      <c r="D44" s="60" t="s">
        <v>18</v>
      </c>
      <c r="E44" s="60" t="s">
        <v>8</v>
      </c>
      <c r="F44" s="60" t="s">
        <v>136</v>
      </c>
    </row>
    <row r="45" spans="1:7">
      <c r="B45" s="87">
        <v>1</v>
      </c>
      <c r="C45" s="94">
        <v>3.5000000000000003E-2</v>
      </c>
      <c r="D45" s="95">
        <f>+SUM($C$45:C45)</f>
        <v>3.5000000000000003E-2</v>
      </c>
      <c r="E45" s="56">
        <f>+Summary!H36</f>
        <v>2</v>
      </c>
      <c r="F45" s="56">
        <f>+C45*E45</f>
        <v>7.0000000000000007E-2</v>
      </c>
    </row>
    <row r="46" spans="1:7">
      <c r="B46" s="87">
        <v>2</v>
      </c>
      <c r="C46" s="94">
        <v>0.01</v>
      </c>
      <c r="D46" s="95">
        <f>+SUM($C$45:C46)</f>
        <v>4.5000000000000005E-2</v>
      </c>
      <c r="E46" s="56">
        <f>+Summary!H37</f>
        <v>5</v>
      </c>
      <c r="F46" s="56">
        <f t="shared" ref="F46:F51" si="3">+C46*E46</f>
        <v>0.05</v>
      </c>
    </row>
    <row r="47" spans="1:7">
      <c r="B47" s="87">
        <v>3</v>
      </c>
      <c r="C47" s="94">
        <v>8.9999999999999993E-3</v>
      </c>
      <c r="D47" s="95">
        <f>+SUM($C$45:C47)</f>
        <v>5.4000000000000006E-2</v>
      </c>
      <c r="E47" s="56">
        <f>+Summary!H38</f>
        <v>10</v>
      </c>
      <c r="F47" s="56">
        <f t="shared" si="3"/>
        <v>0.09</v>
      </c>
    </row>
    <row r="48" spans="1:7">
      <c r="B48" s="87">
        <v>4</v>
      </c>
      <c r="C48" s="94">
        <v>3.0000000000000001E-3</v>
      </c>
      <c r="D48" s="95">
        <f>+SUM($C$45:C48)</f>
        <v>5.7000000000000009E-2</v>
      </c>
      <c r="E48" s="56">
        <f>+Summary!H39</f>
        <v>20</v>
      </c>
      <c r="F48" s="56">
        <f t="shared" si="3"/>
        <v>0.06</v>
      </c>
    </row>
    <row r="49" spans="2:7">
      <c r="B49" s="87">
        <v>5</v>
      </c>
      <c r="C49" s="94">
        <v>3.0000000000000001E-3</v>
      </c>
      <c r="D49" s="95">
        <f>+SUM($C$45:C49)</f>
        <v>6.0000000000000012E-2</v>
      </c>
      <c r="E49" s="56">
        <f>+Summary!H40</f>
        <v>50</v>
      </c>
      <c r="F49" s="56">
        <f t="shared" si="3"/>
        <v>0.15</v>
      </c>
    </row>
    <row r="50" spans="2:7">
      <c r="B50" s="87">
        <v>6</v>
      </c>
      <c r="C50" s="94">
        <v>8.0000000000000004E-4</v>
      </c>
      <c r="D50" s="95">
        <f>+SUM($C$45:C50)</f>
        <v>6.0800000000000014E-2</v>
      </c>
      <c r="E50" s="56">
        <f>+Summary!H41</f>
        <v>100</v>
      </c>
      <c r="F50" s="56">
        <f t="shared" si="3"/>
        <v>0.08</v>
      </c>
    </row>
    <row r="51" spans="2:7">
      <c r="B51" s="87">
        <v>7</v>
      </c>
      <c r="C51" s="94">
        <v>8.0000000000000004E-4</v>
      </c>
      <c r="D51" s="95">
        <f>+SUM($C$45:C51)</f>
        <v>6.1600000000000016E-2</v>
      </c>
      <c r="E51" s="56">
        <f>+Summary!H42</f>
        <v>500</v>
      </c>
      <c r="F51" s="56">
        <f t="shared" si="3"/>
        <v>0.4</v>
      </c>
      <c r="G51" s="55" t="s">
        <v>82</v>
      </c>
    </row>
    <row r="52" spans="2:7">
      <c r="B52" s="62" t="s">
        <v>11</v>
      </c>
      <c r="C52" s="62">
        <f>+SUM(C45:C51)</f>
        <v>6.1600000000000016E-2</v>
      </c>
      <c r="D52" s="62"/>
      <c r="E52" s="62"/>
      <c r="F52" s="53">
        <f>+SUM(F45:F51)</f>
        <v>0.9</v>
      </c>
    </row>
    <row r="53" spans="2:7">
      <c r="B53" s="63" t="s">
        <v>81</v>
      </c>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88671875" style="55" customWidth="1"/>
    <col min="8" max="8" width="12" style="55" customWidth="1"/>
    <col min="9" max="16384" width="11.5546875" style="55"/>
  </cols>
  <sheetData>
    <row r="1" spans="1:7" ht="18">
      <c r="A1" s="130" t="s">
        <v>126</v>
      </c>
      <c r="B1" s="130"/>
      <c r="C1" s="130"/>
      <c r="D1" s="130"/>
      <c r="E1" s="130"/>
    </row>
    <row r="2" spans="1:7">
      <c r="A2" s="65" t="s">
        <v>129</v>
      </c>
    </row>
    <row r="3" spans="1:7">
      <c r="A3" s="65" t="s">
        <v>130</v>
      </c>
    </row>
    <row r="4" spans="1:7">
      <c r="A4" s="65" t="s">
        <v>133</v>
      </c>
    </row>
    <row r="8" spans="1:7">
      <c r="A8" s="58" t="s">
        <v>9</v>
      </c>
      <c r="B8" s="60" t="s">
        <v>76</v>
      </c>
      <c r="C8" s="60" t="s">
        <v>10</v>
      </c>
      <c r="D8" s="60" t="s">
        <v>18</v>
      </c>
      <c r="E8" s="60" t="s">
        <v>8</v>
      </c>
      <c r="F8" s="60" t="s">
        <v>136</v>
      </c>
    </row>
    <row r="9" spans="1:7">
      <c r="B9" s="87">
        <v>1</v>
      </c>
      <c r="C9" s="94">
        <v>0</v>
      </c>
      <c r="D9" s="56">
        <f>+SUM($C$9:C9)</f>
        <v>0</v>
      </c>
      <c r="E9" s="56">
        <f>+Summary!H36</f>
        <v>2</v>
      </c>
      <c r="F9" s="56">
        <f>+C9*E9</f>
        <v>0</v>
      </c>
    </row>
    <row r="10" spans="1:7">
      <c r="B10" s="87">
        <v>2</v>
      </c>
      <c r="C10" s="94">
        <v>0.1</v>
      </c>
      <c r="D10" s="56">
        <f>+SUM($C$9:C10)</f>
        <v>0.1</v>
      </c>
      <c r="E10" s="56">
        <f>+Summary!H37</f>
        <v>5</v>
      </c>
      <c r="F10" s="56">
        <f t="shared" ref="F10:F15" si="0">+C10*E10</f>
        <v>0.5</v>
      </c>
    </row>
    <row r="11" spans="1:7">
      <c r="B11" s="87">
        <v>3</v>
      </c>
      <c r="C11" s="94">
        <v>0.05</v>
      </c>
      <c r="D11" s="56">
        <f>+SUM($C$9:C11)</f>
        <v>0.15000000000000002</v>
      </c>
      <c r="E11" s="56">
        <f>+Summary!H38</f>
        <v>10</v>
      </c>
      <c r="F11" s="56">
        <f t="shared" si="0"/>
        <v>0.5</v>
      </c>
    </row>
    <row r="12" spans="1:7">
      <c r="B12" s="87">
        <v>4</v>
      </c>
      <c r="C12" s="94">
        <v>0.05</v>
      </c>
      <c r="D12" s="56">
        <f>+SUM($C$9:C12)</f>
        <v>0.2</v>
      </c>
      <c r="E12" s="56">
        <f>+Summary!H39</f>
        <v>20</v>
      </c>
      <c r="F12" s="56">
        <f t="shared" si="0"/>
        <v>1</v>
      </c>
    </row>
    <row r="13" spans="1:7">
      <c r="B13" s="87">
        <v>5</v>
      </c>
      <c r="C13" s="94">
        <v>0.05</v>
      </c>
      <c r="D13" s="56">
        <f>+SUM($C$9:C13)</f>
        <v>0.25</v>
      </c>
      <c r="E13" s="56">
        <f>+Summary!H40</f>
        <v>50</v>
      </c>
      <c r="F13" s="56">
        <f t="shared" si="0"/>
        <v>2.5</v>
      </c>
    </row>
    <row r="14" spans="1:7">
      <c r="B14" s="87">
        <v>6</v>
      </c>
      <c r="C14" s="94">
        <v>0.08</v>
      </c>
      <c r="D14" s="56">
        <f>+SUM($C$9:C14)</f>
        <v>0.33</v>
      </c>
      <c r="E14" s="56">
        <f>+Summary!H41</f>
        <v>100</v>
      </c>
      <c r="F14" s="56">
        <f t="shared" si="0"/>
        <v>8</v>
      </c>
    </row>
    <row r="15" spans="1:7">
      <c r="B15" s="87">
        <v>7</v>
      </c>
      <c r="C15" s="94">
        <v>5.0000000000000001E-3</v>
      </c>
      <c r="D15" s="56">
        <f>+SUM($C$9:C15)</f>
        <v>0.33500000000000002</v>
      </c>
      <c r="E15" s="56">
        <f>+Summary!H42</f>
        <v>500</v>
      </c>
      <c r="F15" s="56">
        <f t="shared" si="0"/>
        <v>2.5</v>
      </c>
      <c r="G15" s="55" t="s">
        <v>82</v>
      </c>
    </row>
    <row r="16" spans="1:7">
      <c r="B16" s="62" t="s">
        <v>11</v>
      </c>
      <c r="C16" s="62">
        <f>+SUM(C9:C15)</f>
        <v>0.33500000000000002</v>
      </c>
      <c r="D16" s="62"/>
      <c r="E16" s="62"/>
      <c r="F16" s="53">
        <f>+SUM(F9:F15)</f>
        <v>15</v>
      </c>
    </row>
    <row r="17" spans="1:7">
      <c r="B17" s="63" t="s">
        <v>81</v>
      </c>
    </row>
    <row r="20" spans="1:7">
      <c r="A20" s="58" t="s">
        <v>12</v>
      </c>
      <c r="B20" s="60" t="s">
        <v>76</v>
      </c>
      <c r="C20" s="60" t="s">
        <v>10</v>
      </c>
      <c r="D20" s="60" t="s">
        <v>18</v>
      </c>
      <c r="E20" s="60" t="s">
        <v>8</v>
      </c>
      <c r="F20" s="60" t="s">
        <v>136</v>
      </c>
    </row>
    <row r="21" spans="1:7">
      <c r="B21" s="87">
        <v>1</v>
      </c>
      <c r="C21" s="94">
        <v>0</v>
      </c>
      <c r="D21" s="95">
        <f>+SUM($C$21:C21)</f>
        <v>0</v>
      </c>
      <c r="E21" s="56">
        <f>+Summary!H36</f>
        <v>2</v>
      </c>
      <c r="F21" s="56">
        <f>+C21*E21</f>
        <v>0</v>
      </c>
    </row>
    <row r="22" spans="1:7">
      <c r="B22" s="87">
        <v>2</v>
      </c>
      <c r="C22" s="94">
        <v>0.2</v>
      </c>
      <c r="D22" s="95">
        <f>+SUM($C$21:C22)</f>
        <v>0.2</v>
      </c>
      <c r="E22" s="56">
        <f>+Summary!H37</f>
        <v>5</v>
      </c>
      <c r="F22" s="56">
        <f t="shared" ref="F22:F27" si="1">+C22*E22</f>
        <v>1</v>
      </c>
    </row>
    <row r="23" spans="1:7">
      <c r="B23" s="87">
        <v>3</v>
      </c>
      <c r="C23" s="94">
        <v>0.1</v>
      </c>
      <c r="D23" s="95">
        <f>+SUM($C$21:C23)</f>
        <v>0.30000000000000004</v>
      </c>
      <c r="E23" s="56">
        <f>+Summary!H38</f>
        <v>10</v>
      </c>
      <c r="F23" s="56">
        <f t="shared" si="1"/>
        <v>1</v>
      </c>
    </row>
    <row r="24" spans="1:7">
      <c r="B24" s="87">
        <v>4</v>
      </c>
      <c r="C24" s="94">
        <v>0.1</v>
      </c>
      <c r="D24" s="95">
        <f>+SUM($C$21:C24)</f>
        <v>0.4</v>
      </c>
      <c r="E24" s="56">
        <f>+Summary!H39</f>
        <v>20</v>
      </c>
      <c r="F24" s="56">
        <f t="shared" si="1"/>
        <v>2</v>
      </c>
    </row>
    <row r="25" spans="1:7">
      <c r="B25" s="87">
        <v>5</v>
      </c>
      <c r="C25" s="94">
        <v>0.1</v>
      </c>
      <c r="D25" s="95">
        <f>+SUM($C$21:C25)</f>
        <v>0.5</v>
      </c>
      <c r="E25" s="56">
        <f>+Summary!H40</f>
        <v>50</v>
      </c>
      <c r="F25" s="56">
        <f t="shared" si="1"/>
        <v>5</v>
      </c>
    </row>
    <row r="26" spans="1:7">
      <c r="B26" s="87">
        <v>6</v>
      </c>
      <c r="C26" s="94">
        <v>0.03</v>
      </c>
      <c r="D26" s="95">
        <f>+SUM($C$21:C26)</f>
        <v>0.53</v>
      </c>
      <c r="E26" s="56">
        <f>+Summary!H41</f>
        <v>100</v>
      </c>
      <c r="F26" s="56">
        <f t="shared" si="1"/>
        <v>3</v>
      </c>
    </row>
    <row r="27" spans="1:7">
      <c r="B27" s="87">
        <v>7</v>
      </c>
      <c r="C27" s="94">
        <v>6.0000000000000001E-3</v>
      </c>
      <c r="D27" s="95">
        <f>+SUM($C$21:C27)</f>
        <v>0.53600000000000003</v>
      </c>
      <c r="E27" s="56">
        <f>+Summary!H42</f>
        <v>500</v>
      </c>
      <c r="F27" s="56">
        <f t="shared" si="1"/>
        <v>3</v>
      </c>
      <c r="G27" s="55" t="s">
        <v>82</v>
      </c>
    </row>
    <row r="28" spans="1:7">
      <c r="B28" s="62" t="s">
        <v>11</v>
      </c>
      <c r="C28" s="62">
        <f>+SUM(C21:C27)</f>
        <v>0.53600000000000003</v>
      </c>
      <c r="D28" s="62"/>
      <c r="E28" s="62"/>
      <c r="F28" s="53">
        <f>+SUM(F21:F27)</f>
        <v>15</v>
      </c>
    </row>
    <row r="29" spans="1:7">
      <c r="B29" s="63" t="s">
        <v>81</v>
      </c>
    </row>
    <row r="32" spans="1:7">
      <c r="A32" s="58" t="s">
        <v>13</v>
      </c>
      <c r="B32" s="60" t="s">
        <v>76</v>
      </c>
      <c r="C32" s="60" t="s">
        <v>10</v>
      </c>
      <c r="D32" s="60" t="s">
        <v>18</v>
      </c>
      <c r="E32" s="60" t="s">
        <v>8</v>
      </c>
      <c r="F32" s="60" t="s">
        <v>136</v>
      </c>
    </row>
    <row r="33" spans="1:7">
      <c r="B33" s="87">
        <v>1</v>
      </c>
      <c r="C33" s="94">
        <v>0</v>
      </c>
      <c r="D33" s="95">
        <f>+SUM($C$33:C33)</f>
        <v>0</v>
      </c>
      <c r="E33" s="56">
        <f>+Summary!H36</f>
        <v>2</v>
      </c>
      <c r="F33" s="56">
        <f>+C33*E33</f>
        <v>0</v>
      </c>
    </row>
    <row r="34" spans="1:7">
      <c r="B34" s="87">
        <v>2</v>
      </c>
      <c r="C34" s="94">
        <v>0.2</v>
      </c>
      <c r="D34" s="95">
        <f>+SUM($C$33:C34)</f>
        <v>0.2</v>
      </c>
      <c r="E34" s="56">
        <f>+Summary!H37</f>
        <v>5</v>
      </c>
      <c r="F34" s="56">
        <f t="shared" ref="F34:F39" si="2">+C34*E34</f>
        <v>1</v>
      </c>
    </row>
    <row r="35" spans="1:7">
      <c r="B35" s="87">
        <v>3</v>
      </c>
      <c r="C35" s="94">
        <v>0.15</v>
      </c>
      <c r="D35" s="95">
        <f>+SUM($C$33:C35)</f>
        <v>0.35</v>
      </c>
      <c r="E35" s="56">
        <f>+Summary!H38</f>
        <v>10</v>
      </c>
      <c r="F35" s="56">
        <f t="shared" si="2"/>
        <v>1.5</v>
      </c>
    </row>
    <row r="36" spans="1:7">
      <c r="B36" s="87">
        <v>4</v>
      </c>
      <c r="C36" s="94">
        <v>0.1</v>
      </c>
      <c r="D36" s="95">
        <f>+SUM($C$33:C36)</f>
        <v>0.44999999999999996</v>
      </c>
      <c r="E36" s="56">
        <f>+Summary!H39</f>
        <v>20</v>
      </c>
      <c r="F36" s="56">
        <f t="shared" si="2"/>
        <v>2</v>
      </c>
    </row>
    <row r="37" spans="1:7">
      <c r="B37" s="87">
        <v>5</v>
      </c>
      <c r="C37" s="94">
        <v>0.1</v>
      </c>
      <c r="D37" s="95">
        <f>+SUM($C$33:C37)</f>
        <v>0.54999999999999993</v>
      </c>
      <c r="E37" s="56">
        <f>+Summary!H40</f>
        <v>50</v>
      </c>
      <c r="F37" s="56">
        <f t="shared" si="2"/>
        <v>5</v>
      </c>
    </row>
    <row r="38" spans="1:7">
      <c r="B38" s="87">
        <v>6</v>
      </c>
      <c r="C38" s="94">
        <v>0.02</v>
      </c>
      <c r="D38" s="95">
        <f>+SUM($C$33:C38)</f>
        <v>0.56999999999999995</v>
      </c>
      <c r="E38" s="56">
        <f>+Summary!H41</f>
        <v>100</v>
      </c>
      <c r="F38" s="56">
        <f t="shared" si="2"/>
        <v>2</v>
      </c>
    </row>
    <row r="39" spans="1:7">
      <c r="B39" s="87">
        <v>7</v>
      </c>
      <c r="C39" s="94">
        <v>7.0000000000000001E-3</v>
      </c>
      <c r="D39" s="95">
        <f>+SUM($C$33:C39)</f>
        <v>0.57699999999999996</v>
      </c>
      <c r="E39" s="56">
        <f>+Summary!H42</f>
        <v>500</v>
      </c>
      <c r="F39" s="56">
        <f t="shared" si="2"/>
        <v>3.5</v>
      </c>
      <c r="G39" s="55" t="s">
        <v>82</v>
      </c>
    </row>
    <row r="40" spans="1:7">
      <c r="B40" s="62" t="s">
        <v>11</v>
      </c>
      <c r="C40" s="53">
        <f>+SUM(C33:C39)</f>
        <v>0.57699999999999996</v>
      </c>
      <c r="D40" s="62"/>
      <c r="E40" s="62"/>
      <c r="F40" s="53">
        <f>+SUM(F33:F39)</f>
        <v>15</v>
      </c>
    </row>
    <row r="41" spans="1:7">
      <c r="B41" s="63" t="s">
        <v>81</v>
      </c>
    </row>
    <row r="44" spans="1:7">
      <c r="A44" s="58" t="s">
        <v>14</v>
      </c>
      <c r="B44" s="60" t="s">
        <v>76</v>
      </c>
      <c r="C44" s="60" t="s">
        <v>10</v>
      </c>
      <c r="D44" s="60" t="s">
        <v>18</v>
      </c>
      <c r="E44" s="60" t="s">
        <v>8</v>
      </c>
      <c r="F44" s="60" t="s">
        <v>136</v>
      </c>
    </row>
    <row r="45" spans="1:7">
      <c r="B45" s="87">
        <v>1</v>
      </c>
      <c r="C45" s="94">
        <v>0</v>
      </c>
      <c r="D45" s="95">
        <f>+SUM($C$45:C45)</f>
        <v>0</v>
      </c>
      <c r="E45" s="56">
        <f>+Summary!H36</f>
        <v>2</v>
      </c>
      <c r="F45" s="56">
        <f>+C45*E45</f>
        <v>0</v>
      </c>
    </row>
    <row r="46" spans="1:7">
      <c r="B46" s="87">
        <v>2</v>
      </c>
      <c r="C46" s="94">
        <v>0.2</v>
      </c>
      <c r="D46" s="95">
        <f>+SUM($C$45:C46)</f>
        <v>0.2</v>
      </c>
      <c r="E46" s="56">
        <f>+Summary!H37</f>
        <v>5</v>
      </c>
      <c r="F46" s="56">
        <f t="shared" ref="F46:F51" si="3">+C46*E46</f>
        <v>1</v>
      </c>
    </row>
    <row r="47" spans="1:7">
      <c r="B47" s="87">
        <v>3</v>
      </c>
      <c r="C47" s="94">
        <v>0.1</v>
      </c>
      <c r="D47" s="95">
        <f>+SUM($C$45:C47)</f>
        <v>0.30000000000000004</v>
      </c>
      <c r="E47" s="56">
        <f>+Summary!H38</f>
        <v>10</v>
      </c>
      <c r="F47" s="56">
        <f t="shared" si="3"/>
        <v>1</v>
      </c>
    </row>
    <row r="48" spans="1:7">
      <c r="B48" s="87">
        <v>4</v>
      </c>
      <c r="C48" s="94">
        <v>0.1</v>
      </c>
      <c r="D48" s="95">
        <f>+SUM($C$45:C48)</f>
        <v>0.4</v>
      </c>
      <c r="E48" s="56">
        <f>+Summary!H39</f>
        <v>20</v>
      </c>
      <c r="F48" s="56">
        <f t="shared" si="3"/>
        <v>2</v>
      </c>
    </row>
    <row r="49" spans="2:7">
      <c r="B49" s="87">
        <v>5</v>
      </c>
      <c r="C49" s="94">
        <v>0.1</v>
      </c>
      <c r="D49" s="95">
        <f>+SUM($C$45:C49)</f>
        <v>0.5</v>
      </c>
      <c r="E49" s="56">
        <f>+Summary!H40</f>
        <v>50</v>
      </c>
      <c r="F49" s="56">
        <f t="shared" si="3"/>
        <v>5</v>
      </c>
    </row>
    <row r="50" spans="2:7">
      <c r="B50" s="87">
        <v>6</v>
      </c>
      <c r="C50" s="94">
        <v>0.02</v>
      </c>
      <c r="D50" s="95">
        <f>+SUM($C$45:C50)</f>
        <v>0.52</v>
      </c>
      <c r="E50" s="56">
        <f>+Summary!H41</f>
        <v>100</v>
      </c>
      <c r="F50" s="56">
        <f t="shared" si="3"/>
        <v>2</v>
      </c>
    </row>
    <row r="51" spans="2:7">
      <c r="B51" s="87">
        <v>7</v>
      </c>
      <c r="C51" s="94">
        <v>8.0000000000000002E-3</v>
      </c>
      <c r="D51" s="95">
        <f>+SUM($C$45:C51)</f>
        <v>0.52800000000000002</v>
      </c>
      <c r="E51" s="56">
        <f>+Summary!H42</f>
        <v>500</v>
      </c>
      <c r="F51" s="56">
        <f t="shared" si="3"/>
        <v>4</v>
      </c>
      <c r="G51" s="55" t="s">
        <v>82</v>
      </c>
    </row>
    <row r="52" spans="2:7">
      <c r="B52" s="62" t="s">
        <v>11</v>
      </c>
      <c r="C52" s="62">
        <f>+SUM(C45:C51)</f>
        <v>0.52800000000000002</v>
      </c>
      <c r="D52" s="62"/>
      <c r="E52" s="62"/>
      <c r="F52" s="53">
        <f>+SUM(F45:F51)</f>
        <v>15</v>
      </c>
    </row>
    <row r="53" spans="2:7">
      <c r="B53" s="63" t="s">
        <v>81</v>
      </c>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115</v>
      </c>
      <c r="B1" s="130"/>
      <c r="C1" s="130"/>
      <c r="D1" s="130"/>
      <c r="E1" s="130"/>
    </row>
    <row r="2" spans="1:9">
      <c r="A2" s="65" t="s">
        <v>89</v>
      </c>
    </row>
    <row r="4" spans="1:9">
      <c r="A4" s="58" t="s">
        <v>9</v>
      </c>
      <c r="B4" s="60" t="s">
        <v>76</v>
      </c>
      <c r="C4" s="60" t="s">
        <v>10</v>
      </c>
      <c r="D4" s="60" t="s">
        <v>18</v>
      </c>
      <c r="E4" s="60" t="s">
        <v>8</v>
      </c>
      <c r="F4" s="60" t="s">
        <v>1</v>
      </c>
      <c r="G4" s="60" t="s">
        <v>46</v>
      </c>
    </row>
    <row r="5" spans="1:9">
      <c r="A5" s="55" t="s">
        <v>83</v>
      </c>
      <c r="B5" s="87">
        <v>1</v>
      </c>
      <c r="C5" s="94">
        <v>0.08</v>
      </c>
      <c r="D5" s="56">
        <f>+SUM($C$5:C5)</f>
        <v>0.08</v>
      </c>
      <c r="E5" s="56">
        <f>+Summary!E27</f>
        <v>5</v>
      </c>
      <c r="F5" s="56">
        <f>+C5*E5</f>
        <v>0.4</v>
      </c>
      <c r="G5" s="49"/>
    </row>
    <row r="6" spans="1:9">
      <c r="B6" s="87">
        <v>2</v>
      </c>
      <c r="C6" s="94">
        <v>1.0999999999999999E-2</v>
      </c>
      <c r="D6" s="90">
        <f>+SUM($C$5:C6)</f>
        <v>9.0999999999999998E-2</v>
      </c>
      <c r="E6" s="56">
        <f>+Summary!E28</f>
        <v>10</v>
      </c>
      <c r="F6" s="56">
        <f t="shared" ref="F6:F7" si="0">+C6*E6</f>
        <v>0.10999999999999999</v>
      </c>
      <c r="G6" s="49"/>
    </row>
    <row r="7" spans="1:9">
      <c r="B7" s="87" t="s">
        <v>77</v>
      </c>
      <c r="C7" s="43">
        <v>6.0000000000000001E-3</v>
      </c>
      <c r="D7" s="56">
        <f>+SUM($C$5:C7)</f>
        <v>9.7000000000000003E-2</v>
      </c>
      <c r="E7" s="56">
        <f>+E5+E6</f>
        <v>15</v>
      </c>
      <c r="F7" s="56">
        <f t="shared" si="0"/>
        <v>0.09</v>
      </c>
      <c r="G7" s="49">
        <v>0.83333333333333304</v>
      </c>
      <c r="H7" s="55" t="s">
        <v>82</v>
      </c>
      <c r="I7" s="89"/>
    </row>
    <row r="8" spans="1:9">
      <c r="B8" s="62" t="s">
        <v>11</v>
      </c>
      <c r="C8" s="62">
        <f>+SUM(C5:C7)</f>
        <v>9.7000000000000003E-2</v>
      </c>
      <c r="D8" s="62"/>
      <c r="E8" s="62"/>
      <c r="F8" s="53">
        <f>+SUM(F5:F7)</f>
        <v>0.6</v>
      </c>
      <c r="G8" s="50"/>
    </row>
    <row r="9" spans="1:9">
      <c r="B9" s="63" t="s">
        <v>81</v>
      </c>
      <c r="G9" s="47"/>
    </row>
    <row r="10" spans="1:9">
      <c r="G10" s="47"/>
    </row>
    <row r="11" spans="1:9">
      <c r="G11" s="47"/>
    </row>
    <row r="12" spans="1:9">
      <c r="A12" s="58" t="s">
        <v>16</v>
      </c>
      <c r="B12" s="60" t="s">
        <v>76</v>
      </c>
      <c r="C12" s="60" t="s">
        <v>10</v>
      </c>
      <c r="D12" s="60" t="s">
        <v>18</v>
      </c>
      <c r="E12" s="60" t="s">
        <v>8</v>
      </c>
      <c r="F12" s="60" t="s">
        <v>1</v>
      </c>
      <c r="G12" s="60" t="s">
        <v>46</v>
      </c>
    </row>
    <row r="13" spans="1:9">
      <c r="A13" s="55" t="s">
        <v>84</v>
      </c>
      <c r="B13" s="86">
        <v>1</v>
      </c>
      <c r="C13" s="96">
        <v>0.12</v>
      </c>
      <c r="D13" s="59">
        <f>+SUM(C13:$C$13)</f>
        <v>0.12</v>
      </c>
      <c r="E13" s="59">
        <f>+E5</f>
        <v>5</v>
      </c>
      <c r="F13" s="59">
        <f>+E13*C13</f>
        <v>0.6</v>
      </c>
      <c r="G13" s="97">
        <v>4.1666666666666602E-2</v>
      </c>
      <c r="H13" s="55" t="s">
        <v>82</v>
      </c>
      <c r="I13" s="89"/>
    </row>
    <row r="14" spans="1:9">
      <c r="A14" s="55" t="s">
        <v>86</v>
      </c>
      <c r="B14" s="62" t="s">
        <v>5</v>
      </c>
      <c r="C14" s="62">
        <f>+SUM(C13:C13)</f>
        <v>0.12</v>
      </c>
      <c r="D14" s="62"/>
      <c r="E14" s="62"/>
      <c r="F14" s="67">
        <f>+SUM(F13:F13)</f>
        <v>0.6</v>
      </c>
      <c r="G14" s="51"/>
    </row>
    <row r="15" spans="1:9">
      <c r="G15" s="47"/>
    </row>
    <row r="16" spans="1:9">
      <c r="G16" s="47"/>
    </row>
    <row r="17" spans="1:9">
      <c r="A17" s="58" t="s">
        <v>17</v>
      </c>
      <c r="B17" s="60" t="s">
        <v>76</v>
      </c>
      <c r="C17" s="60" t="s">
        <v>10</v>
      </c>
      <c r="D17" s="60" t="s">
        <v>18</v>
      </c>
      <c r="E17" s="60" t="s">
        <v>8</v>
      </c>
      <c r="F17" s="60" t="s">
        <v>1</v>
      </c>
      <c r="G17" s="60" t="s">
        <v>46</v>
      </c>
    </row>
    <row r="18" spans="1:9">
      <c r="A18" s="55" t="s">
        <v>84</v>
      </c>
      <c r="B18" s="86">
        <v>2</v>
      </c>
      <c r="C18" s="96">
        <v>0.06</v>
      </c>
      <c r="D18" s="59">
        <f>+SUM(C$18:$C18)</f>
        <v>0.06</v>
      </c>
      <c r="E18" s="59">
        <f>+E6</f>
        <v>10</v>
      </c>
      <c r="F18" s="59">
        <f>+E18*C18</f>
        <v>0.6</v>
      </c>
      <c r="G18" s="97">
        <v>8.3333333333333301E-2</v>
      </c>
      <c r="H18" s="55" t="s">
        <v>82</v>
      </c>
      <c r="I18" s="89"/>
    </row>
    <row r="19" spans="1:9">
      <c r="A19" s="55" t="s">
        <v>85</v>
      </c>
      <c r="B19" s="62" t="s">
        <v>5</v>
      </c>
      <c r="C19" s="62">
        <f>+SUM(C18:C18)</f>
        <v>0.06</v>
      </c>
      <c r="D19" s="62"/>
      <c r="E19" s="62"/>
      <c r="F19" s="67">
        <f>+SUM(F18:F18)</f>
        <v>0.6</v>
      </c>
      <c r="G19" s="51"/>
    </row>
    <row r="20" spans="1:9">
      <c r="G20" s="48"/>
    </row>
    <row r="21" spans="1:9">
      <c r="G21" s="48"/>
    </row>
    <row r="22" spans="1:9">
      <c r="G22" s="48"/>
    </row>
    <row r="23" spans="1:9">
      <c r="G23" s="48"/>
    </row>
    <row r="24" spans="1:9">
      <c r="G24" s="48"/>
    </row>
    <row r="25" spans="1:9">
      <c r="G25" s="48"/>
    </row>
    <row r="26" spans="1:9">
      <c r="G26" s="48"/>
    </row>
    <row r="27" spans="1:9">
      <c r="G27" s="48"/>
    </row>
    <row r="28" spans="1:9">
      <c r="G28" s="48"/>
    </row>
    <row r="29" spans="1:9">
      <c r="G29" s="48"/>
    </row>
    <row r="30" spans="1:9">
      <c r="G30" s="48"/>
    </row>
    <row r="31" spans="1:9">
      <c r="G31" s="48"/>
    </row>
    <row r="32" spans="1:9">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1.xml><?xml version="1.0" encoding="utf-8"?>
<worksheet xmlns="http://schemas.openxmlformats.org/spreadsheetml/2006/main" xmlns:r="http://schemas.openxmlformats.org/officeDocument/2006/relationships">
  <sheetPr codeName="Hoja3"/>
  <dimension ref="A1:J126"/>
  <sheetViews>
    <sheetView workbookViewId="0">
      <selection sqref="A1:E1"/>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109375" style="8" customWidth="1"/>
    <col min="9" max="9" width="11.5546875" style="8"/>
    <col min="10" max="10" width="12.5546875" style="8" bestFit="1" customWidth="1"/>
    <col min="11" max="16384" width="11.5546875" style="8"/>
  </cols>
  <sheetData>
    <row r="1" spans="1:9" ht="18">
      <c r="A1" s="130" t="s">
        <v>88</v>
      </c>
      <c r="B1" s="130"/>
      <c r="C1" s="130"/>
      <c r="D1" s="130"/>
      <c r="E1" s="130"/>
    </row>
    <row r="2" spans="1:9">
      <c r="A2" s="65" t="s">
        <v>89</v>
      </c>
    </row>
    <row r="4" spans="1:9">
      <c r="A4" s="58" t="s">
        <v>9</v>
      </c>
      <c r="B4" s="13" t="s">
        <v>76</v>
      </c>
      <c r="C4" s="13" t="s">
        <v>10</v>
      </c>
      <c r="D4" s="13" t="s">
        <v>18</v>
      </c>
      <c r="E4" s="13" t="s">
        <v>8</v>
      </c>
      <c r="F4" s="13" t="s">
        <v>1</v>
      </c>
      <c r="G4" s="36" t="s">
        <v>46</v>
      </c>
      <c r="H4" s="21"/>
      <c r="I4" s="21"/>
    </row>
    <row r="5" spans="1:9">
      <c r="A5" s="55" t="s">
        <v>83</v>
      </c>
      <c r="B5" s="87">
        <v>1</v>
      </c>
      <c r="C5" s="31">
        <v>5.2999999999999999E-2</v>
      </c>
      <c r="D5" s="1">
        <f>+SUM($C$5:C5)</f>
        <v>5.2999999999999999E-2</v>
      </c>
      <c r="E5" s="1">
        <f>+Summary!H27</f>
        <v>5</v>
      </c>
      <c r="F5" s="1">
        <f>+C5*E5</f>
        <v>0.26500000000000001</v>
      </c>
      <c r="G5" s="39"/>
      <c r="H5" s="21"/>
      <c r="I5" s="21"/>
    </row>
    <row r="6" spans="1:9">
      <c r="A6" s="55"/>
      <c r="B6" s="87">
        <v>2</v>
      </c>
      <c r="C6" s="31">
        <v>5.0000000000000001E-3</v>
      </c>
      <c r="D6" s="1">
        <f>+SUM($C$5:C6)</f>
        <v>5.7999999999999996E-2</v>
      </c>
      <c r="E6" s="1">
        <f>+Summary!H28</f>
        <v>10</v>
      </c>
      <c r="F6" s="1">
        <f t="shared" ref="F6:F11" si="0">+C6*E6</f>
        <v>0.05</v>
      </c>
      <c r="G6" s="39"/>
      <c r="H6" s="21"/>
      <c r="I6" s="21"/>
    </row>
    <row r="7" spans="1:9">
      <c r="A7" s="55"/>
      <c r="B7" s="87">
        <v>3</v>
      </c>
      <c r="C7" s="98">
        <v>5.0000000000000001E-3</v>
      </c>
      <c r="D7" s="1">
        <f>+SUM($C$5:C7)</f>
        <v>6.3E-2</v>
      </c>
      <c r="E7" s="1">
        <f>+Summary!H29</f>
        <v>15</v>
      </c>
      <c r="F7" s="1">
        <f t="shared" si="0"/>
        <v>7.4999999999999997E-2</v>
      </c>
      <c r="G7" s="39"/>
      <c r="H7" s="21"/>
      <c r="I7" s="21"/>
    </row>
    <row r="8" spans="1:9">
      <c r="A8" s="55"/>
      <c r="B8" s="87" t="s">
        <v>77</v>
      </c>
      <c r="C8" s="31">
        <v>1E-3</v>
      </c>
      <c r="D8" s="1">
        <f>+SUM($C$5:C8)</f>
        <v>6.4000000000000001E-2</v>
      </c>
      <c r="E8" s="1">
        <f>+E5+E6</f>
        <v>15</v>
      </c>
      <c r="F8" s="1">
        <f t="shared" si="0"/>
        <v>1.4999999999999999E-2</v>
      </c>
      <c r="G8" s="39"/>
      <c r="H8" s="21"/>
      <c r="I8" s="21"/>
    </row>
    <row r="9" spans="1:9">
      <c r="A9" s="55"/>
      <c r="B9" s="87" t="s">
        <v>78</v>
      </c>
      <c r="C9" s="31">
        <v>1E-3</v>
      </c>
      <c r="D9" s="1">
        <f>+SUM($C$5:C9)</f>
        <v>6.5000000000000002E-2</v>
      </c>
      <c r="E9" s="1">
        <f>+E5+E7</f>
        <v>20</v>
      </c>
      <c r="F9" s="1">
        <f t="shared" si="0"/>
        <v>0.02</v>
      </c>
      <c r="G9" s="39"/>
      <c r="H9" s="21"/>
      <c r="I9" s="21"/>
    </row>
    <row r="10" spans="1:9">
      <c r="A10" s="55"/>
      <c r="B10" s="87" t="s">
        <v>79</v>
      </c>
      <c r="C10" s="31">
        <v>1E-3</v>
      </c>
      <c r="D10" s="1">
        <f>+SUM($C$5:C10)</f>
        <v>6.6000000000000003E-2</v>
      </c>
      <c r="E10" s="1">
        <f>+E6+E7</f>
        <v>25</v>
      </c>
      <c r="F10" s="1">
        <f t="shared" si="0"/>
        <v>2.5000000000000001E-2</v>
      </c>
      <c r="G10" s="39"/>
      <c r="H10" s="21"/>
      <c r="I10" s="21"/>
    </row>
    <row r="11" spans="1:9">
      <c r="A11" s="55"/>
      <c r="B11" s="87" t="s">
        <v>80</v>
      </c>
      <c r="C11" s="32">
        <v>5.0000000000000001E-3</v>
      </c>
      <c r="D11" s="1">
        <f>+SUM($C$5:C11)</f>
        <v>7.1000000000000008E-2</v>
      </c>
      <c r="E11" s="1">
        <f>+E5+E6+E7</f>
        <v>30</v>
      </c>
      <c r="F11" s="1">
        <f t="shared" si="0"/>
        <v>0.15</v>
      </c>
      <c r="G11" s="49">
        <f>1/C11/200</f>
        <v>1</v>
      </c>
      <c r="H11" s="55" t="s">
        <v>82</v>
      </c>
      <c r="I11" s="21"/>
    </row>
    <row r="12" spans="1:9">
      <c r="A12" s="55"/>
      <c r="B12" s="10" t="s">
        <v>11</v>
      </c>
      <c r="C12" s="10">
        <f>+SUM(C5:C11)</f>
        <v>7.1000000000000008E-2</v>
      </c>
      <c r="D12" s="10"/>
      <c r="E12" s="10"/>
      <c r="F12" s="14">
        <f>+SUM(F5:F11)</f>
        <v>0.60000000000000009</v>
      </c>
      <c r="G12" s="40"/>
      <c r="H12" s="21"/>
      <c r="I12" s="21"/>
    </row>
    <row r="13" spans="1:9">
      <c r="A13" s="55"/>
      <c r="B13" s="15" t="s">
        <v>81</v>
      </c>
      <c r="G13" s="37"/>
      <c r="H13" s="21"/>
      <c r="I13" s="21"/>
    </row>
    <row r="14" spans="1:9">
      <c r="A14" s="55"/>
      <c r="G14" s="37"/>
      <c r="H14" s="21"/>
      <c r="I14" s="21"/>
    </row>
    <row r="15" spans="1:9">
      <c r="A15" s="58" t="s">
        <v>12</v>
      </c>
      <c r="B15" s="13" t="s">
        <v>76</v>
      </c>
      <c r="C15" s="13" t="s">
        <v>10</v>
      </c>
      <c r="D15" s="13" t="s">
        <v>18</v>
      </c>
      <c r="E15" s="13" t="s">
        <v>8</v>
      </c>
      <c r="F15" s="13" t="s">
        <v>1</v>
      </c>
      <c r="G15" s="36" t="s">
        <v>46</v>
      </c>
      <c r="H15" s="21"/>
      <c r="I15" s="21"/>
    </row>
    <row r="16" spans="1:9">
      <c r="A16" s="55" t="s">
        <v>84</v>
      </c>
      <c r="B16" s="86">
        <v>2</v>
      </c>
      <c r="C16" s="96">
        <v>0.04</v>
      </c>
      <c r="D16" s="9">
        <f>+SUM(C16:$C$16)</f>
        <v>0.04</v>
      </c>
      <c r="E16" s="9">
        <f>+E6</f>
        <v>10</v>
      </c>
      <c r="F16" s="9">
        <f>+C16*E16</f>
        <v>0.4</v>
      </c>
      <c r="G16" s="39"/>
      <c r="H16" s="21"/>
      <c r="I16" s="21"/>
    </row>
    <row r="17" spans="1:10">
      <c r="A17" s="55" t="s">
        <v>85</v>
      </c>
      <c r="B17" s="86">
        <v>3</v>
      </c>
      <c r="C17" s="33">
        <v>5.0000000000000001E-3</v>
      </c>
      <c r="D17" s="9">
        <f>+SUM(C$16:$C17)</f>
        <v>4.4999999999999998E-2</v>
      </c>
      <c r="E17" s="9">
        <f>+E7</f>
        <v>15</v>
      </c>
      <c r="F17" s="9">
        <f t="shared" ref="F17:F18" si="1">+C17*E17</f>
        <v>7.4999999999999997E-2</v>
      </c>
      <c r="G17" s="39"/>
      <c r="H17" s="21"/>
      <c r="I17" s="21"/>
    </row>
    <row r="18" spans="1:10">
      <c r="A18" s="55"/>
      <c r="B18" s="86" t="s">
        <v>79</v>
      </c>
      <c r="C18" s="33">
        <v>5.0000000000000001E-3</v>
      </c>
      <c r="D18" s="9">
        <f>+SUM(C$16:$C18)</f>
        <v>4.9999999999999996E-2</v>
      </c>
      <c r="E18" s="9">
        <f>+E16+E17</f>
        <v>25</v>
      </c>
      <c r="F18" s="9">
        <f t="shared" si="1"/>
        <v>0.125</v>
      </c>
      <c r="G18" s="49">
        <f>1/C18/200</f>
        <v>1</v>
      </c>
      <c r="H18" s="55" t="s">
        <v>82</v>
      </c>
      <c r="I18" s="55"/>
    </row>
    <row r="19" spans="1:10">
      <c r="A19" s="55"/>
      <c r="B19" s="10" t="s">
        <v>5</v>
      </c>
      <c r="C19" s="10">
        <f>+SUM(C16:C18)</f>
        <v>4.9999999999999996E-2</v>
      </c>
      <c r="D19" s="10"/>
      <c r="E19" s="10"/>
      <c r="F19" s="12">
        <f>+SUM(F16:F18)</f>
        <v>0.60000000000000009</v>
      </c>
      <c r="G19" s="41"/>
      <c r="H19" s="21"/>
      <c r="I19" s="21"/>
    </row>
    <row r="20" spans="1:10">
      <c r="A20" s="55"/>
      <c r="B20" s="11"/>
      <c r="C20" s="11"/>
      <c r="D20" s="11"/>
      <c r="E20" s="11"/>
      <c r="F20" s="7"/>
      <c r="G20" s="42"/>
      <c r="H20" s="21"/>
      <c r="I20" s="21"/>
    </row>
    <row r="21" spans="1:10">
      <c r="A21" s="55"/>
      <c r="B21" s="11"/>
      <c r="C21" s="11"/>
      <c r="D21" s="11"/>
      <c r="E21" s="11"/>
      <c r="F21" s="7"/>
      <c r="G21" s="42"/>
      <c r="H21" s="21"/>
      <c r="I21" s="21"/>
    </row>
    <row r="22" spans="1:10">
      <c r="A22" s="58" t="s">
        <v>13</v>
      </c>
      <c r="B22" s="13" t="s">
        <v>76</v>
      </c>
      <c r="C22" s="13" t="s">
        <v>10</v>
      </c>
      <c r="D22" s="13" t="s">
        <v>18</v>
      </c>
      <c r="E22" s="13" t="s">
        <v>8</v>
      </c>
      <c r="F22" s="13" t="s">
        <v>1</v>
      </c>
      <c r="G22" s="36" t="s">
        <v>46</v>
      </c>
      <c r="H22" s="21"/>
      <c r="I22" s="21"/>
    </row>
    <row r="23" spans="1:10">
      <c r="A23" s="55" t="s">
        <v>84</v>
      </c>
      <c r="B23" s="86">
        <v>1</v>
      </c>
      <c r="C23" s="96">
        <v>0.08</v>
      </c>
      <c r="D23" s="9">
        <f>+SUM(C23:$C$23)</f>
        <v>0.08</v>
      </c>
      <c r="E23" s="9">
        <f>+E5</f>
        <v>5</v>
      </c>
      <c r="F23" s="9">
        <f>+C23*E23</f>
        <v>0.4</v>
      </c>
      <c r="G23" s="39"/>
      <c r="H23" s="21"/>
      <c r="I23" s="21"/>
    </row>
    <row r="24" spans="1:10">
      <c r="A24" s="55" t="s">
        <v>86</v>
      </c>
      <c r="B24" s="86">
        <v>3</v>
      </c>
      <c r="C24" s="34">
        <v>4.0000000000000001E-3</v>
      </c>
      <c r="D24" s="9">
        <f>+SUM(C$23:$C24)</f>
        <v>8.4000000000000005E-2</v>
      </c>
      <c r="E24" s="9">
        <f>+E7</f>
        <v>15</v>
      </c>
      <c r="F24" s="9">
        <f t="shared" ref="F24:F25" si="2">+C24*E24</f>
        <v>0.06</v>
      </c>
      <c r="G24" s="39"/>
      <c r="H24" s="21"/>
      <c r="I24" s="21"/>
    </row>
    <row r="25" spans="1:10">
      <c r="A25" s="55"/>
      <c r="B25" s="86" t="s">
        <v>78</v>
      </c>
      <c r="C25" s="34">
        <v>7.0000000000000001E-3</v>
      </c>
      <c r="D25" s="9">
        <f>+SUM(C$23:$C25)</f>
        <v>9.1000000000000011E-2</v>
      </c>
      <c r="E25" s="9">
        <f>+E23+E24</f>
        <v>20</v>
      </c>
      <c r="F25" s="9">
        <f t="shared" si="2"/>
        <v>0.14000000000000001</v>
      </c>
      <c r="G25" s="39">
        <f>1/C25/200</f>
        <v>0.7142857142857143</v>
      </c>
      <c r="H25" s="55" t="s">
        <v>82</v>
      </c>
      <c r="I25" s="55"/>
      <c r="J25" s="29"/>
    </row>
    <row r="26" spans="1:10">
      <c r="A26" s="55"/>
      <c r="B26" s="10" t="s">
        <v>5</v>
      </c>
      <c r="C26" s="10">
        <f>+SUM(C23:C25)</f>
        <v>9.1000000000000011E-2</v>
      </c>
      <c r="D26" s="10"/>
      <c r="E26" s="10"/>
      <c r="F26" s="12">
        <f>+SUM(F23:F25)</f>
        <v>0.60000000000000009</v>
      </c>
      <c r="G26" s="41"/>
      <c r="H26" s="21"/>
      <c r="I26" s="21"/>
    </row>
    <row r="27" spans="1:10">
      <c r="A27" s="55"/>
      <c r="B27" s="11"/>
      <c r="C27" s="11"/>
      <c r="D27" s="11"/>
      <c r="E27" s="11"/>
      <c r="F27" s="7"/>
      <c r="G27" s="42"/>
      <c r="H27" s="21"/>
      <c r="I27" s="21"/>
    </row>
    <row r="28" spans="1:10">
      <c r="A28" s="55"/>
      <c r="G28" s="37"/>
      <c r="H28" s="21"/>
      <c r="I28" s="21"/>
    </row>
    <row r="29" spans="1:10">
      <c r="A29" s="58" t="s">
        <v>14</v>
      </c>
      <c r="B29" s="13" t="s">
        <v>76</v>
      </c>
      <c r="C29" s="13" t="s">
        <v>10</v>
      </c>
      <c r="D29" s="13" t="s">
        <v>18</v>
      </c>
      <c r="E29" s="13" t="s">
        <v>8</v>
      </c>
      <c r="F29" s="13" t="s">
        <v>1</v>
      </c>
      <c r="G29" s="36" t="s">
        <v>46</v>
      </c>
      <c r="H29" s="21"/>
      <c r="I29" s="21"/>
    </row>
    <row r="30" spans="1:10">
      <c r="A30" s="55" t="s">
        <v>84</v>
      </c>
      <c r="B30" s="86">
        <v>3</v>
      </c>
      <c r="C30" s="96">
        <v>0.04</v>
      </c>
      <c r="D30" s="9">
        <f>+SUM(C30:$C$30)</f>
        <v>0.04</v>
      </c>
      <c r="E30" s="9">
        <f>+E7</f>
        <v>15</v>
      </c>
      <c r="F30" s="9">
        <f>+C30*E30</f>
        <v>0.6</v>
      </c>
      <c r="G30" s="97">
        <v>0.125</v>
      </c>
      <c r="H30" s="55" t="s">
        <v>82</v>
      </c>
      <c r="I30" s="55"/>
    </row>
    <row r="31" spans="1:10">
      <c r="A31" s="55" t="s">
        <v>85</v>
      </c>
      <c r="B31" s="10" t="s">
        <v>5</v>
      </c>
      <c r="C31" s="10">
        <f>+SUM(C30:C30)</f>
        <v>0.04</v>
      </c>
      <c r="D31" s="10"/>
      <c r="E31" s="10"/>
      <c r="F31" s="12">
        <f>+SUM(F30:F30)</f>
        <v>0.6</v>
      </c>
      <c r="G31" s="41"/>
      <c r="H31" s="21"/>
      <c r="I31" s="55"/>
    </row>
    <row r="32" spans="1:10">
      <c r="A32" s="55" t="s">
        <v>86</v>
      </c>
      <c r="G32" s="37"/>
      <c r="H32" s="21"/>
      <c r="I32" s="55"/>
    </row>
    <row r="33" spans="1:9">
      <c r="A33" s="55"/>
      <c r="G33" s="37"/>
      <c r="H33" s="21"/>
      <c r="I33" s="55"/>
    </row>
    <row r="34" spans="1:9">
      <c r="A34" s="58" t="s">
        <v>15</v>
      </c>
      <c r="B34" s="13" t="s">
        <v>76</v>
      </c>
      <c r="C34" s="13" t="s">
        <v>10</v>
      </c>
      <c r="D34" s="13" t="s">
        <v>18</v>
      </c>
      <c r="E34" s="13" t="s">
        <v>8</v>
      </c>
      <c r="F34" s="13" t="s">
        <v>1</v>
      </c>
      <c r="G34" s="36" t="s">
        <v>46</v>
      </c>
      <c r="H34" s="21"/>
      <c r="I34" s="55"/>
    </row>
    <row r="35" spans="1:9">
      <c r="A35" s="55" t="s">
        <v>84</v>
      </c>
      <c r="B35" s="86">
        <v>1</v>
      </c>
      <c r="C35" s="96">
        <v>8.5000000000000006E-2</v>
      </c>
      <c r="D35" s="9">
        <f>+SUM(C35:$C$35)</f>
        <v>8.5000000000000006E-2</v>
      </c>
      <c r="E35" s="9">
        <f>+E5</f>
        <v>5</v>
      </c>
      <c r="F35" s="9">
        <f>+C35*E35</f>
        <v>0.42500000000000004</v>
      </c>
      <c r="G35" s="39"/>
      <c r="H35" s="21"/>
      <c r="I35" s="55"/>
    </row>
    <row r="36" spans="1:9">
      <c r="A36" s="55" t="s">
        <v>87</v>
      </c>
      <c r="B36" s="86">
        <v>2</v>
      </c>
      <c r="C36" s="96">
        <v>0.01</v>
      </c>
      <c r="D36" s="9">
        <f>+SUM(C$35:$C36)</f>
        <v>9.5000000000000001E-2</v>
      </c>
      <c r="E36" s="9">
        <f>+E6</f>
        <v>10</v>
      </c>
      <c r="F36" s="9">
        <f t="shared" ref="F36:F37" si="3">+C36*E36</f>
        <v>0.1</v>
      </c>
      <c r="G36" s="39"/>
      <c r="H36" s="21"/>
      <c r="I36" s="55"/>
    </row>
    <row r="37" spans="1:9">
      <c r="A37" s="55"/>
      <c r="B37" s="86" t="s">
        <v>77</v>
      </c>
      <c r="C37" s="35">
        <v>5.0000000000000001E-3</v>
      </c>
      <c r="D37" s="9">
        <f>+SUM(C$35:$C37)</f>
        <v>0.1</v>
      </c>
      <c r="E37" s="9">
        <f>+E35+E36</f>
        <v>15</v>
      </c>
      <c r="F37" s="9">
        <f t="shared" si="3"/>
        <v>7.4999999999999997E-2</v>
      </c>
      <c r="G37" s="39">
        <v>1</v>
      </c>
      <c r="H37" s="55" t="s">
        <v>82</v>
      </c>
      <c r="I37" s="55"/>
    </row>
    <row r="38" spans="1:9">
      <c r="A38" s="64"/>
      <c r="B38" s="10" t="s">
        <v>5</v>
      </c>
      <c r="C38" s="10">
        <f>+SUM(C35:C37)</f>
        <v>0.1</v>
      </c>
      <c r="D38" s="10"/>
      <c r="E38" s="10"/>
      <c r="F38" s="12">
        <f>+SUM(F35:F37)</f>
        <v>0.6</v>
      </c>
      <c r="G38" s="41"/>
      <c r="H38" s="21"/>
      <c r="I38" s="55"/>
    </row>
    <row r="39" spans="1:9">
      <c r="A39" s="64"/>
      <c r="G39" s="37"/>
      <c r="H39" s="21"/>
      <c r="I39" s="55"/>
    </row>
    <row r="40" spans="1:9">
      <c r="A40" s="55"/>
      <c r="G40" s="37"/>
      <c r="H40" s="21"/>
      <c r="I40" s="55"/>
    </row>
    <row r="41" spans="1:9">
      <c r="A41" s="58" t="s">
        <v>16</v>
      </c>
      <c r="B41" s="13" t="s">
        <v>76</v>
      </c>
      <c r="C41" s="13" t="s">
        <v>10</v>
      </c>
      <c r="D41" s="13" t="s">
        <v>18</v>
      </c>
      <c r="E41" s="13" t="s">
        <v>8</v>
      </c>
      <c r="F41" s="13" t="s">
        <v>1</v>
      </c>
      <c r="G41" s="60" t="s">
        <v>46</v>
      </c>
      <c r="H41" s="21"/>
      <c r="I41" s="55"/>
    </row>
    <row r="42" spans="1:9">
      <c r="A42" s="55" t="s">
        <v>84</v>
      </c>
      <c r="B42" s="86">
        <v>1</v>
      </c>
      <c r="C42" s="96">
        <v>0.12</v>
      </c>
      <c r="D42" s="9">
        <f>+SUM(C42:$C$42)</f>
        <v>0.12</v>
      </c>
      <c r="E42" s="9">
        <f>+E5</f>
        <v>5</v>
      </c>
      <c r="F42" s="9">
        <f>+E42*C42</f>
        <v>0.6</v>
      </c>
      <c r="G42" s="97">
        <v>4.1666666666666602E-2</v>
      </c>
      <c r="H42" s="55" t="s">
        <v>82</v>
      </c>
      <c r="I42" s="55"/>
    </row>
    <row r="43" spans="1:9">
      <c r="A43" s="55" t="s">
        <v>86</v>
      </c>
      <c r="B43" s="10" t="s">
        <v>5</v>
      </c>
      <c r="C43" s="10">
        <f>+SUM(C42:C42)</f>
        <v>0.12</v>
      </c>
      <c r="D43" s="10"/>
      <c r="E43" s="10"/>
      <c r="F43" s="12">
        <f>+SUM(F42:F42)</f>
        <v>0.6</v>
      </c>
      <c r="G43" s="41"/>
      <c r="H43" s="21"/>
      <c r="I43" s="55"/>
    </row>
    <row r="44" spans="1:9">
      <c r="A44" s="55" t="s">
        <v>87</v>
      </c>
      <c r="G44" s="37"/>
      <c r="H44" s="21"/>
      <c r="I44" s="55"/>
    </row>
    <row r="45" spans="1:9">
      <c r="A45" s="55"/>
      <c r="G45" s="37"/>
      <c r="H45" s="21"/>
      <c r="I45" s="55"/>
    </row>
    <row r="46" spans="1:9">
      <c r="A46" s="58" t="s">
        <v>17</v>
      </c>
      <c r="B46" s="13" t="s">
        <v>76</v>
      </c>
      <c r="C46" s="13" t="s">
        <v>10</v>
      </c>
      <c r="D46" s="13" t="s">
        <v>18</v>
      </c>
      <c r="E46" s="13" t="s">
        <v>8</v>
      </c>
      <c r="F46" s="13" t="s">
        <v>1</v>
      </c>
      <c r="G46" s="60" t="s">
        <v>46</v>
      </c>
      <c r="H46" s="21"/>
      <c r="I46" s="55"/>
    </row>
    <row r="47" spans="1:9">
      <c r="A47" s="55" t="s">
        <v>84</v>
      </c>
      <c r="B47" s="86">
        <v>2</v>
      </c>
      <c r="C47" s="96">
        <v>0.06</v>
      </c>
      <c r="D47" s="9">
        <f>+SUM(C$47:$C47)</f>
        <v>0.06</v>
      </c>
      <c r="E47" s="9">
        <f>+E6</f>
        <v>10</v>
      </c>
      <c r="F47" s="9">
        <f>+E47*C47</f>
        <v>0.6</v>
      </c>
      <c r="G47" s="97">
        <v>8.3333333333333301E-2</v>
      </c>
      <c r="H47" s="55" t="s">
        <v>82</v>
      </c>
      <c r="I47" s="55"/>
    </row>
    <row r="48" spans="1:9">
      <c r="A48" s="55" t="s">
        <v>85</v>
      </c>
      <c r="B48" s="10" t="s">
        <v>5</v>
      </c>
      <c r="C48" s="10">
        <f>+SUM(C47:C47)</f>
        <v>0.06</v>
      </c>
      <c r="D48" s="10"/>
      <c r="E48" s="10"/>
      <c r="F48" s="12">
        <f>+SUM(F47:F47)</f>
        <v>0.6</v>
      </c>
      <c r="G48" s="41"/>
      <c r="H48" s="21"/>
      <c r="I48" s="21"/>
    </row>
    <row r="49" spans="1:9">
      <c r="A49" s="55" t="s">
        <v>87</v>
      </c>
      <c r="G49" s="38"/>
      <c r="H49" s="21"/>
      <c r="I49" s="21"/>
    </row>
    <row r="50" spans="1:9">
      <c r="A50" s="55"/>
      <c r="G50" s="38"/>
      <c r="H50" s="21"/>
      <c r="I50" s="21"/>
    </row>
    <row r="51" spans="1:9">
      <c r="A51" s="55"/>
      <c r="G51" s="38"/>
      <c r="H51" s="21"/>
      <c r="I51" s="21"/>
    </row>
    <row r="52" spans="1:9">
      <c r="A52" s="55"/>
      <c r="G52" s="38"/>
      <c r="H52" s="21"/>
      <c r="I52" s="21"/>
    </row>
    <row r="53" spans="1:9">
      <c r="A53" s="55"/>
      <c r="G53" s="38"/>
      <c r="H53" s="21"/>
      <c r="I53" s="21"/>
    </row>
    <row r="54" spans="1:9">
      <c r="A54" s="55"/>
      <c r="G54" s="38"/>
      <c r="H54" s="21"/>
      <c r="I54" s="21"/>
    </row>
    <row r="55" spans="1:9">
      <c r="A55" s="55"/>
      <c r="G55" s="38"/>
      <c r="H55" s="21"/>
      <c r="I55" s="21"/>
    </row>
    <row r="56" spans="1:9">
      <c r="A56" s="55"/>
      <c r="G56" s="38"/>
      <c r="H56" s="21"/>
      <c r="I56" s="21"/>
    </row>
    <row r="57" spans="1:9">
      <c r="A57" s="55"/>
      <c r="G57" s="38"/>
      <c r="H57" s="21"/>
      <c r="I57" s="21"/>
    </row>
    <row r="58" spans="1:9">
      <c r="A58" s="55"/>
      <c r="G58" s="38"/>
      <c r="H58" s="21"/>
      <c r="I58" s="21"/>
    </row>
    <row r="59" spans="1:9">
      <c r="A59" s="55"/>
      <c r="G59" s="38"/>
      <c r="H59" s="21"/>
      <c r="I59" s="21"/>
    </row>
    <row r="60" spans="1:9">
      <c r="A60" s="55"/>
      <c r="G60" s="38"/>
      <c r="H60" s="21"/>
      <c r="I60" s="21"/>
    </row>
    <row r="61" spans="1:9">
      <c r="A61" s="55"/>
      <c r="G61" s="38"/>
      <c r="H61" s="21"/>
      <c r="I61" s="21"/>
    </row>
    <row r="62" spans="1:9">
      <c r="A62" s="55"/>
      <c r="G62" s="38"/>
      <c r="H62" s="21"/>
      <c r="I62" s="21"/>
    </row>
    <row r="63" spans="1:9">
      <c r="A63" s="55"/>
      <c r="G63" s="38"/>
      <c r="H63" s="21"/>
      <c r="I63" s="21"/>
    </row>
    <row r="64" spans="1:9">
      <c r="A64" s="55"/>
      <c r="G64" s="38"/>
      <c r="H64" s="21"/>
      <c r="I64" s="21"/>
    </row>
    <row r="65" spans="1:9">
      <c r="A65" s="55"/>
      <c r="G65" s="38"/>
      <c r="H65" s="21"/>
      <c r="I65" s="21"/>
    </row>
    <row r="66" spans="1:9">
      <c r="A66" s="55"/>
      <c r="G66" s="38"/>
      <c r="H66" s="21"/>
      <c r="I66" s="21"/>
    </row>
    <row r="67" spans="1:9">
      <c r="A67" s="55"/>
      <c r="G67" s="38"/>
      <c r="H67" s="21"/>
      <c r="I67" s="21"/>
    </row>
    <row r="68" spans="1:9">
      <c r="A68" s="55"/>
      <c r="G68" s="38"/>
      <c r="H68" s="21"/>
      <c r="I68" s="21"/>
    </row>
    <row r="69" spans="1:9">
      <c r="A69" s="55"/>
      <c r="G69" s="38"/>
      <c r="H69" s="21"/>
      <c r="I69" s="21"/>
    </row>
    <row r="70" spans="1:9">
      <c r="A70" s="55"/>
      <c r="G70" s="38"/>
      <c r="H70" s="21"/>
      <c r="I70" s="21"/>
    </row>
    <row r="71" spans="1:9">
      <c r="A71" s="55"/>
      <c r="G71" s="37"/>
      <c r="H71" s="21"/>
      <c r="I71" s="21"/>
    </row>
    <row r="72" spans="1:9">
      <c r="A72" s="55"/>
      <c r="G72" s="37"/>
      <c r="H72" s="21"/>
      <c r="I72" s="21"/>
    </row>
    <row r="73" spans="1:9">
      <c r="A73" s="55"/>
      <c r="G73" s="37"/>
      <c r="H73" s="21"/>
      <c r="I73" s="21"/>
    </row>
    <row r="74" spans="1:9">
      <c r="A74" s="55"/>
      <c r="G74" s="37"/>
      <c r="H74" s="21"/>
      <c r="I74" s="21"/>
    </row>
    <row r="75" spans="1:9">
      <c r="A75" s="55"/>
      <c r="G75" s="37"/>
      <c r="H75" s="21"/>
      <c r="I75" s="21"/>
    </row>
    <row r="76" spans="1:9">
      <c r="A76" s="55"/>
      <c r="G76" s="37"/>
      <c r="H76" s="21"/>
      <c r="I76" s="21"/>
    </row>
    <row r="77" spans="1:9">
      <c r="A77" s="55"/>
      <c r="G77" s="37"/>
      <c r="H77" s="21"/>
      <c r="I77" s="21"/>
    </row>
    <row r="78" spans="1:9">
      <c r="A78" s="55"/>
      <c r="G78" s="37"/>
      <c r="H78" s="21"/>
      <c r="I78" s="21"/>
    </row>
    <row r="79" spans="1:9">
      <c r="A79" s="55"/>
      <c r="G79" s="37"/>
      <c r="H79" s="21"/>
      <c r="I79" s="21"/>
    </row>
    <row r="80" spans="1:9">
      <c r="A80" s="55"/>
      <c r="G80" s="37"/>
      <c r="H80" s="21"/>
      <c r="I80" s="21"/>
    </row>
    <row r="81" spans="1:9">
      <c r="A81" s="55"/>
      <c r="G81" s="37"/>
      <c r="H81" s="21"/>
      <c r="I81" s="21"/>
    </row>
    <row r="82" spans="1:9">
      <c r="A82" s="55"/>
      <c r="G82" s="37"/>
      <c r="H82" s="21"/>
      <c r="I82" s="21"/>
    </row>
    <row r="83" spans="1:9">
      <c r="A83" s="55"/>
      <c r="G83" s="37"/>
      <c r="H83" s="21"/>
      <c r="I83" s="21"/>
    </row>
    <row r="84" spans="1:9">
      <c r="A84" s="55"/>
      <c r="G84" s="37"/>
      <c r="H84" s="21"/>
      <c r="I84" s="21"/>
    </row>
    <row r="85" spans="1:9">
      <c r="A85" s="55"/>
      <c r="G85" s="37"/>
      <c r="H85" s="21"/>
      <c r="I85" s="21"/>
    </row>
    <row r="86" spans="1:9">
      <c r="A86" s="55"/>
      <c r="G86" s="37"/>
      <c r="H86" s="21"/>
      <c r="I86" s="21"/>
    </row>
    <row r="87" spans="1:9">
      <c r="A87" s="55"/>
      <c r="G87" s="37"/>
      <c r="H87" s="21"/>
      <c r="I87" s="21"/>
    </row>
    <row r="88" spans="1:9">
      <c r="A88" s="55"/>
      <c r="G88" s="37"/>
      <c r="H88" s="21"/>
      <c r="I88" s="21"/>
    </row>
    <row r="89" spans="1:9">
      <c r="A89" s="55"/>
      <c r="G89" s="37"/>
      <c r="H89" s="21"/>
      <c r="I89" s="21"/>
    </row>
    <row r="90" spans="1:9">
      <c r="A90" s="55"/>
      <c r="G90" s="37"/>
      <c r="H90" s="21"/>
      <c r="I90" s="21"/>
    </row>
    <row r="91" spans="1:9">
      <c r="A91" s="55"/>
      <c r="G91" s="37"/>
      <c r="H91" s="21"/>
      <c r="I91" s="21"/>
    </row>
    <row r="92" spans="1:9">
      <c r="A92" s="55"/>
      <c r="G92" s="37"/>
      <c r="H92" s="21"/>
      <c r="I92" s="21"/>
    </row>
    <row r="93" spans="1:9">
      <c r="A93" s="55"/>
      <c r="G93" s="37"/>
      <c r="H93" s="21"/>
      <c r="I93" s="21"/>
    </row>
    <row r="94" spans="1:9">
      <c r="A94" s="55"/>
      <c r="G94" s="37"/>
      <c r="H94" s="21"/>
      <c r="I94" s="21"/>
    </row>
    <row r="95" spans="1:9">
      <c r="A95" s="55"/>
      <c r="G95" s="37"/>
      <c r="H95" s="21"/>
      <c r="I95" s="21"/>
    </row>
    <row r="96" spans="1:9">
      <c r="A96" s="55"/>
      <c r="G96" s="37"/>
      <c r="H96" s="21"/>
      <c r="I96" s="21"/>
    </row>
    <row r="97" spans="1:9">
      <c r="A97" s="55"/>
      <c r="G97" s="37"/>
      <c r="H97" s="21"/>
      <c r="I97" s="21"/>
    </row>
    <row r="98" spans="1:9">
      <c r="A98" s="55"/>
      <c r="G98" s="37"/>
      <c r="H98" s="21"/>
      <c r="I98" s="21"/>
    </row>
    <row r="99" spans="1:9">
      <c r="A99" s="55"/>
      <c r="G99" s="37"/>
      <c r="H99" s="21"/>
      <c r="I99" s="21"/>
    </row>
    <row r="100" spans="1:9">
      <c r="A100" s="55"/>
      <c r="G100" s="37"/>
      <c r="H100" s="21"/>
      <c r="I100" s="21"/>
    </row>
    <row r="101" spans="1:9">
      <c r="A101" s="55"/>
      <c r="G101" s="37"/>
      <c r="H101" s="21"/>
      <c r="I101" s="21"/>
    </row>
    <row r="102" spans="1:9">
      <c r="A102" s="55"/>
      <c r="G102" s="37"/>
      <c r="H102" s="21"/>
      <c r="I102" s="21"/>
    </row>
    <row r="103" spans="1:9">
      <c r="A103" s="55"/>
      <c r="G103" s="37"/>
      <c r="H103" s="21"/>
      <c r="I103" s="21"/>
    </row>
    <row r="104" spans="1:9">
      <c r="A104" s="55"/>
      <c r="G104" s="37"/>
      <c r="H104" s="21"/>
      <c r="I104" s="21"/>
    </row>
    <row r="105" spans="1:9">
      <c r="A105" s="55"/>
      <c r="G105" s="37"/>
      <c r="H105" s="21"/>
      <c r="I105" s="21"/>
    </row>
    <row r="106" spans="1:9">
      <c r="A106" s="55"/>
      <c r="G106" s="37"/>
      <c r="H106" s="21"/>
      <c r="I106" s="21"/>
    </row>
    <row r="107" spans="1:9">
      <c r="A107" s="55"/>
      <c r="G107" s="37"/>
      <c r="H107" s="21"/>
      <c r="I107" s="21"/>
    </row>
    <row r="108" spans="1:9">
      <c r="A108" s="55"/>
      <c r="G108" s="37"/>
      <c r="H108" s="21"/>
      <c r="I108" s="21"/>
    </row>
    <row r="109" spans="1:9">
      <c r="A109" s="55"/>
      <c r="G109" s="37"/>
      <c r="H109" s="21"/>
      <c r="I109" s="21"/>
    </row>
    <row r="110" spans="1:9">
      <c r="A110" s="55"/>
      <c r="G110" s="37"/>
      <c r="H110" s="21"/>
      <c r="I110" s="21"/>
    </row>
    <row r="111" spans="1:9">
      <c r="A111" s="55"/>
      <c r="G111" s="37"/>
      <c r="H111" s="21"/>
      <c r="I111" s="21"/>
    </row>
    <row r="112" spans="1:9">
      <c r="A112" s="55"/>
      <c r="G112" s="37"/>
      <c r="H112" s="21"/>
      <c r="I112" s="21"/>
    </row>
    <row r="113" spans="1:9">
      <c r="A113" s="55"/>
      <c r="G113" s="37"/>
      <c r="H113" s="21"/>
      <c r="I113" s="21"/>
    </row>
    <row r="114" spans="1:9">
      <c r="A114" s="55"/>
      <c r="G114" s="37"/>
      <c r="H114" s="21"/>
      <c r="I114" s="21"/>
    </row>
    <row r="115" spans="1:9">
      <c r="A115" s="55"/>
      <c r="G115" s="37"/>
      <c r="H115" s="21"/>
      <c r="I115" s="21"/>
    </row>
    <row r="116" spans="1:9">
      <c r="A116" s="55"/>
      <c r="G116" s="37"/>
      <c r="H116" s="21"/>
      <c r="I116" s="21"/>
    </row>
    <row r="117" spans="1:9">
      <c r="A117" s="55"/>
      <c r="G117" s="37"/>
      <c r="H117" s="21"/>
      <c r="I117" s="21"/>
    </row>
    <row r="118" spans="1:9">
      <c r="G118" s="37"/>
      <c r="H118" s="21"/>
      <c r="I118" s="21"/>
    </row>
    <row r="119" spans="1:9">
      <c r="G119" s="37"/>
      <c r="H119" s="21"/>
      <c r="I119" s="21"/>
    </row>
    <row r="120" spans="1:9">
      <c r="G120" s="37"/>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2.xml><?xml version="1.0" encoding="utf-8"?>
<worksheet xmlns="http://schemas.openxmlformats.org/spreadsheetml/2006/main" xmlns:r="http://schemas.openxmlformats.org/officeDocument/2006/relationships">
  <sheetPr codeName="Hoja4"/>
  <dimension ref="A1:L126"/>
  <sheetViews>
    <sheetView workbookViewId="0">
      <selection sqref="A1:E1"/>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88671875" style="8" customWidth="1"/>
    <col min="9" max="9" width="12" style="8" customWidth="1"/>
    <col min="10" max="16384" width="11.5546875" style="8"/>
  </cols>
  <sheetData>
    <row r="1" spans="1:12" ht="18">
      <c r="A1" s="130" t="s">
        <v>92</v>
      </c>
      <c r="B1" s="130"/>
      <c r="C1" s="130"/>
      <c r="D1" s="130"/>
      <c r="E1" s="130"/>
    </row>
    <row r="2" spans="1:12">
      <c r="A2" s="65" t="s">
        <v>89</v>
      </c>
    </row>
    <row r="4" spans="1:12">
      <c r="A4" s="58" t="s">
        <v>9</v>
      </c>
      <c r="B4" s="60" t="s">
        <v>76</v>
      </c>
      <c r="C4" s="13" t="s">
        <v>10</v>
      </c>
      <c r="D4" s="13" t="s">
        <v>18</v>
      </c>
      <c r="E4" s="13" t="s">
        <v>8</v>
      </c>
      <c r="F4" s="13" t="s">
        <v>1</v>
      </c>
      <c r="G4" s="46" t="s">
        <v>46</v>
      </c>
      <c r="H4" s="21"/>
      <c r="I4" s="21"/>
    </row>
    <row r="5" spans="1:12">
      <c r="A5" s="55" t="s">
        <v>83</v>
      </c>
      <c r="B5" s="87">
        <v>1</v>
      </c>
      <c r="C5" s="94">
        <v>0.03</v>
      </c>
      <c r="D5" s="1">
        <f>+SUM($C$5:C5)</f>
        <v>0.03</v>
      </c>
      <c r="E5" s="1">
        <f>+Summary!K27</f>
        <v>8</v>
      </c>
      <c r="F5" s="1">
        <f>+C5*E5</f>
        <v>0.24</v>
      </c>
      <c r="G5" s="49"/>
      <c r="H5" s="21"/>
      <c r="I5" s="21"/>
      <c r="L5" s="55"/>
    </row>
    <row r="6" spans="1:12">
      <c r="A6" s="55"/>
      <c r="B6" s="87">
        <v>2</v>
      </c>
      <c r="C6" s="94">
        <v>8.0000000000000002E-3</v>
      </c>
      <c r="D6" s="1">
        <f>+SUM($C$5:C6)</f>
        <v>3.7999999999999999E-2</v>
      </c>
      <c r="E6" s="1">
        <f>+Summary!K28</f>
        <v>12</v>
      </c>
      <c r="F6" s="1">
        <f t="shared" ref="F6:F11" si="0">+C6*E6</f>
        <v>9.6000000000000002E-2</v>
      </c>
      <c r="G6" s="49"/>
      <c r="H6" s="21"/>
      <c r="I6" s="21"/>
      <c r="L6" s="55"/>
    </row>
    <row r="7" spans="1:12">
      <c r="A7" s="55"/>
      <c r="B7" s="87">
        <v>3</v>
      </c>
      <c r="C7" s="94">
        <v>4.0000000000000001E-3</v>
      </c>
      <c r="D7" s="1">
        <f>+SUM($C$5:C7)</f>
        <v>4.1999999999999996E-2</v>
      </c>
      <c r="E7" s="1">
        <f>+Summary!K29</f>
        <v>18</v>
      </c>
      <c r="F7" s="1">
        <f t="shared" si="0"/>
        <v>7.2000000000000008E-2</v>
      </c>
      <c r="G7" s="49"/>
      <c r="H7" s="21"/>
      <c r="I7" s="28"/>
      <c r="L7" s="55"/>
    </row>
    <row r="8" spans="1:12">
      <c r="A8" s="55"/>
      <c r="B8" s="87" t="s">
        <v>77</v>
      </c>
      <c r="C8" s="94">
        <v>1E-4</v>
      </c>
      <c r="D8" s="1">
        <f>+SUM($C$5:C8)</f>
        <v>4.2099999999999999E-2</v>
      </c>
      <c r="E8" s="1">
        <f>+E5+E6</f>
        <v>20</v>
      </c>
      <c r="F8" s="1">
        <f t="shared" si="0"/>
        <v>2E-3</v>
      </c>
      <c r="G8" s="49"/>
      <c r="H8" s="21"/>
      <c r="I8" s="89"/>
      <c r="L8" s="55"/>
    </row>
    <row r="9" spans="1:12">
      <c r="A9" s="55"/>
      <c r="B9" s="87" t="s">
        <v>78</v>
      </c>
      <c r="C9" s="43">
        <v>0</v>
      </c>
      <c r="D9" s="1">
        <f>+SUM($C$5:C9)</f>
        <v>4.2099999999999999E-2</v>
      </c>
      <c r="E9" s="1">
        <f>+E5+E7</f>
        <v>26</v>
      </c>
      <c r="F9" s="1">
        <f t="shared" si="0"/>
        <v>0</v>
      </c>
      <c r="G9" s="49"/>
      <c r="H9" s="21"/>
      <c r="I9" s="21"/>
      <c r="L9" s="55"/>
    </row>
    <row r="10" spans="1:12">
      <c r="A10" s="55"/>
      <c r="B10" s="87" t="s">
        <v>79</v>
      </c>
      <c r="C10" s="43">
        <v>0</v>
      </c>
      <c r="D10" s="1">
        <f>+SUM($C$5:C10)</f>
        <v>4.2099999999999999E-2</v>
      </c>
      <c r="E10" s="1">
        <f>+E6+E7</f>
        <v>30</v>
      </c>
      <c r="F10" s="1">
        <f t="shared" si="0"/>
        <v>0</v>
      </c>
      <c r="G10" s="49"/>
      <c r="H10" s="21"/>
      <c r="I10" s="21"/>
      <c r="L10" s="55"/>
    </row>
    <row r="11" spans="1:12">
      <c r="A11" s="55"/>
      <c r="B11" s="87" t="s">
        <v>80</v>
      </c>
      <c r="C11" s="43">
        <v>5.0000000000000001E-3</v>
      </c>
      <c r="D11" s="1">
        <f>+SUM($C$5:C11)</f>
        <v>4.7099999999999996E-2</v>
      </c>
      <c r="E11" s="1">
        <f>+E5+E6+E7</f>
        <v>38</v>
      </c>
      <c r="F11" s="1">
        <f t="shared" si="0"/>
        <v>0.19</v>
      </c>
      <c r="G11" s="49">
        <v>1</v>
      </c>
      <c r="H11" s="55" t="s">
        <v>82</v>
      </c>
      <c r="I11" s="21"/>
    </row>
    <row r="12" spans="1:12">
      <c r="A12" s="55"/>
      <c r="B12" s="62" t="s">
        <v>11</v>
      </c>
      <c r="C12" s="10">
        <f>+SUM(C5:C11)</f>
        <v>4.7099999999999996E-2</v>
      </c>
      <c r="D12" s="10"/>
      <c r="E12" s="10"/>
      <c r="F12" s="14">
        <f>+SUM(F5:F11)</f>
        <v>0.6</v>
      </c>
      <c r="G12" s="50"/>
      <c r="H12" s="21"/>
      <c r="I12" s="21"/>
      <c r="J12" s="21"/>
    </row>
    <row r="13" spans="1:12">
      <c r="A13" s="55"/>
      <c r="B13" s="63" t="s">
        <v>81</v>
      </c>
      <c r="G13" s="47"/>
      <c r="H13" s="21"/>
      <c r="I13" s="21"/>
      <c r="J13" s="21"/>
    </row>
    <row r="14" spans="1:12">
      <c r="A14" s="55"/>
      <c r="B14" s="55"/>
      <c r="G14" s="47"/>
      <c r="H14" s="21"/>
      <c r="I14" s="21"/>
      <c r="J14" s="21"/>
    </row>
    <row r="15" spans="1:12">
      <c r="A15" s="58" t="s">
        <v>12</v>
      </c>
      <c r="B15" s="60" t="s">
        <v>76</v>
      </c>
      <c r="C15" s="13" t="s">
        <v>10</v>
      </c>
      <c r="D15" s="13" t="s">
        <v>18</v>
      </c>
      <c r="E15" s="13" t="s">
        <v>8</v>
      </c>
      <c r="F15" s="13" t="s">
        <v>1</v>
      </c>
      <c r="G15" s="46" t="s">
        <v>46</v>
      </c>
      <c r="H15" s="21"/>
      <c r="I15" s="21"/>
      <c r="J15" s="21"/>
    </row>
    <row r="16" spans="1:12">
      <c r="A16" s="55" t="s">
        <v>84</v>
      </c>
      <c r="B16" s="86">
        <v>2</v>
      </c>
      <c r="C16" s="96">
        <v>0.03</v>
      </c>
      <c r="D16" s="9">
        <f>+SUM(C16:$C$16)</f>
        <v>0.03</v>
      </c>
      <c r="E16" s="9">
        <f>+E6</f>
        <v>12</v>
      </c>
      <c r="F16" s="9">
        <f>+C16*E16</f>
        <v>0.36</v>
      </c>
      <c r="G16" s="49"/>
      <c r="H16" s="21"/>
      <c r="I16" s="21"/>
      <c r="J16" s="21"/>
    </row>
    <row r="17" spans="1:10">
      <c r="A17" s="55" t="s">
        <v>85</v>
      </c>
      <c r="B17" s="86">
        <v>3</v>
      </c>
      <c r="C17" s="96">
        <v>5.0000000000000001E-3</v>
      </c>
      <c r="D17" s="9">
        <f>+SUM(C$16:$C17)</f>
        <v>3.4999999999999996E-2</v>
      </c>
      <c r="E17" s="9">
        <f>+E7</f>
        <v>18</v>
      </c>
      <c r="F17" s="9">
        <f t="shared" ref="F17:F18" si="1">+C17*E17</f>
        <v>0.09</v>
      </c>
      <c r="G17" s="49"/>
      <c r="H17" s="21"/>
      <c r="I17" s="21"/>
      <c r="J17" s="21"/>
    </row>
    <row r="18" spans="1:10">
      <c r="A18" s="55"/>
      <c r="B18" s="86" t="s">
        <v>79</v>
      </c>
      <c r="C18" s="43">
        <v>5.0000000000000001E-3</v>
      </c>
      <c r="D18" s="9">
        <f>+SUM(C$16:$C18)</f>
        <v>3.9999999999999994E-2</v>
      </c>
      <c r="E18" s="9">
        <f>+E16+E17</f>
        <v>30</v>
      </c>
      <c r="F18" s="9">
        <f t="shared" si="1"/>
        <v>0.15</v>
      </c>
      <c r="G18" s="49">
        <v>1</v>
      </c>
      <c r="H18" s="55" t="s">
        <v>82</v>
      </c>
      <c r="I18" s="55"/>
      <c r="J18" s="21"/>
    </row>
    <row r="19" spans="1:10">
      <c r="A19" s="55"/>
      <c r="B19" s="62" t="s">
        <v>5</v>
      </c>
      <c r="C19" s="10">
        <f>+SUM(C16:C18)</f>
        <v>3.9999999999999994E-2</v>
      </c>
      <c r="D19" s="10"/>
      <c r="E19" s="10"/>
      <c r="F19" s="12">
        <f>+SUM(F16:F18)</f>
        <v>0.6</v>
      </c>
      <c r="G19" s="51"/>
      <c r="H19" s="21"/>
      <c r="I19" s="21"/>
      <c r="J19" s="21"/>
    </row>
    <row r="20" spans="1:10">
      <c r="A20" s="55"/>
      <c r="B20" s="66"/>
      <c r="C20" s="11"/>
      <c r="D20" s="11"/>
      <c r="E20" s="11"/>
      <c r="F20" s="7"/>
      <c r="G20" s="52"/>
      <c r="H20" s="21"/>
      <c r="I20" s="21"/>
      <c r="J20" s="21"/>
    </row>
    <row r="21" spans="1:10">
      <c r="A21" s="55"/>
      <c r="B21" s="66"/>
      <c r="C21" s="11"/>
      <c r="D21" s="11"/>
      <c r="E21" s="11"/>
      <c r="F21" s="7"/>
      <c r="G21" s="52"/>
      <c r="H21" s="21"/>
      <c r="I21" s="21"/>
      <c r="J21" s="21"/>
    </row>
    <row r="22" spans="1:10">
      <c r="A22" s="58" t="s">
        <v>13</v>
      </c>
      <c r="B22" s="60" t="s">
        <v>76</v>
      </c>
      <c r="C22" s="13" t="s">
        <v>10</v>
      </c>
      <c r="D22" s="13" t="s">
        <v>18</v>
      </c>
      <c r="E22" s="13" t="s">
        <v>8</v>
      </c>
      <c r="F22" s="13" t="s">
        <v>1</v>
      </c>
      <c r="G22" s="46" t="s">
        <v>46</v>
      </c>
      <c r="H22" s="21"/>
      <c r="I22" s="21"/>
      <c r="J22" s="21"/>
    </row>
    <row r="23" spans="1:10">
      <c r="A23" s="55" t="s">
        <v>84</v>
      </c>
      <c r="B23" s="86">
        <v>1</v>
      </c>
      <c r="C23" s="96">
        <v>0.02</v>
      </c>
      <c r="D23" s="9">
        <f>+SUM(C23:$C$23)</f>
        <v>0.02</v>
      </c>
      <c r="E23" s="9">
        <f>+E5</f>
        <v>8</v>
      </c>
      <c r="F23" s="9">
        <f>+C23*E23</f>
        <v>0.16</v>
      </c>
      <c r="G23" s="49"/>
      <c r="H23" s="21"/>
      <c r="I23" s="21"/>
      <c r="J23" s="21"/>
    </row>
    <row r="24" spans="1:10">
      <c r="A24" s="55" t="s">
        <v>86</v>
      </c>
      <c r="B24" s="86">
        <v>3</v>
      </c>
      <c r="C24" s="96">
        <v>0.01</v>
      </c>
      <c r="D24" s="9">
        <f>+SUM(C$23:$C24)</f>
        <v>0.03</v>
      </c>
      <c r="E24" s="9">
        <f>+E7</f>
        <v>18</v>
      </c>
      <c r="F24" s="9">
        <f t="shared" ref="F24:F25" si="2">+C24*E24</f>
        <v>0.18</v>
      </c>
      <c r="G24" s="49"/>
      <c r="H24" s="21"/>
      <c r="I24" s="21"/>
      <c r="J24" s="21"/>
    </row>
    <row r="25" spans="1:10">
      <c r="A25" s="55"/>
      <c r="B25" s="86" t="s">
        <v>78</v>
      </c>
      <c r="C25" s="44">
        <v>0.01</v>
      </c>
      <c r="D25" s="9">
        <f>+SUM(C$23:$C25)</f>
        <v>0.04</v>
      </c>
      <c r="E25" s="9">
        <f>+E23+E24</f>
        <v>26</v>
      </c>
      <c r="F25" s="9">
        <f t="shared" si="2"/>
        <v>0.26</v>
      </c>
      <c r="G25" s="49">
        <v>0.5</v>
      </c>
      <c r="H25" s="55" t="s">
        <v>82</v>
      </c>
      <c r="I25" s="55"/>
      <c r="J25" s="21"/>
    </row>
    <row r="26" spans="1:10">
      <c r="A26" s="55"/>
      <c r="B26" s="62" t="s">
        <v>5</v>
      </c>
      <c r="C26" s="10">
        <f>+SUM(C23:C25)</f>
        <v>0.04</v>
      </c>
      <c r="D26" s="10"/>
      <c r="E26" s="10"/>
      <c r="F26" s="12">
        <f>+SUM(F23:F25)</f>
        <v>0.6</v>
      </c>
      <c r="G26" s="51"/>
      <c r="H26" s="21"/>
      <c r="I26" s="21"/>
      <c r="J26" s="21"/>
    </row>
    <row r="27" spans="1:10">
      <c r="A27" s="55"/>
      <c r="B27" s="66"/>
      <c r="C27" s="11"/>
      <c r="D27" s="11"/>
      <c r="E27" s="11"/>
      <c r="F27" s="7"/>
      <c r="G27" s="52"/>
      <c r="H27" s="21"/>
      <c r="I27" s="21"/>
      <c r="J27" s="21"/>
    </row>
    <row r="28" spans="1:10">
      <c r="A28" s="55"/>
      <c r="B28" s="55"/>
      <c r="G28" s="47"/>
      <c r="H28" s="21"/>
      <c r="I28" s="21"/>
      <c r="J28" s="21"/>
    </row>
    <row r="29" spans="1:10">
      <c r="A29" s="58" t="s">
        <v>14</v>
      </c>
      <c r="B29" s="60" t="s">
        <v>76</v>
      </c>
      <c r="C29" s="13" t="s">
        <v>10</v>
      </c>
      <c r="D29" s="13" t="s">
        <v>18</v>
      </c>
      <c r="E29" s="13" t="s">
        <v>8</v>
      </c>
      <c r="F29" s="13" t="s">
        <v>1</v>
      </c>
      <c r="G29" s="46" t="s">
        <v>46</v>
      </c>
      <c r="H29" s="21"/>
      <c r="I29" s="21"/>
      <c r="J29" s="21"/>
    </row>
    <row r="30" spans="1:10">
      <c r="A30" s="55" t="s">
        <v>84</v>
      </c>
      <c r="B30" s="86">
        <v>3</v>
      </c>
      <c r="C30" s="96">
        <v>3.3333333333333298E-2</v>
      </c>
      <c r="D30" s="96">
        <f>+SUM(C30:$C$30)</f>
        <v>3.3333333333333298E-2</v>
      </c>
      <c r="E30" s="96">
        <f>+E7</f>
        <v>18</v>
      </c>
      <c r="F30" s="96">
        <f>+C30*E30</f>
        <v>0.59999999999999942</v>
      </c>
      <c r="G30" s="97">
        <v>0.15</v>
      </c>
      <c r="H30" s="55" t="s">
        <v>82</v>
      </c>
      <c r="I30" s="55"/>
      <c r="J30" s="21"/>
    </row>
    <row r="31" spans="1:10">
      <c r="A31" s="55" t="s">
        <v>85</v>
      </c>
      <c r="B31" s="62" t="s">
        <v>5</v>
      </c>
      <c r="C31" s="10">
        <f>+SUM(C30:C30)</f>
        <v>3.3333333333333298E-2</v>
      </c>
      <c r="D31" s="10"/>
      <c r="E31" s="10"/>
      <c r="F31" s="12">
        <f>+SUM(F30:F30)</f>
        <v>0.59999999999999942</v>
      </c>
      <c r="G31" s="51"/>
      <c r="H31" s="21"/>
      <c r="I31" s="55"/>
      <c r="J31" s="21"/>
    </row>
    <row r="32" spans="1:10">
      <c r="A32" s="55" t="s">
        <v>86</v>
      </c>
      <c r="B32" s="55"/>
      <c r="G32" s="47"/>
      <c r="H32" s="21"/>
      <c r="I32" s="55"/>
      <c r="J32" s="21"/>
    </row>
    <row r="33" spans="1:10">
      <c r="A33" s="55"/>
      <c r="B33" s="55"/>
      <c r="G33" s="47"/>
      <c r="H33" s="21"/>
      <c r="I33" s="55"/>
      <c r="J33" s="21"/>
    </row>
    <row r="34" spans="1:10">
      <c r="A34" s="58" t="s">
        <v>15</v>
      </c>
      <c r="B34" s="60" t="s">
        <v>76</v>
      </c>
      <c r="C34" s="13" t="s">
        <v>10</v>
      </c>
      <c r="D34" s="13" t="s">
        <v>18</v>
      </c>
      <c r="E34" s="13" t="s">
        <v>8</v>
      </c>
      <c r="F34" s="13" t="s">
        <v>1</v>
      </c>
      <c r="G34" s="46" t="s">
        <v>46</v>
      </c>
      <c r="H34" s="21"/>
      <c r="I34" s="55"/>
      <c r="J34" s="21"/>
    </row>
    <row r="35" spans="1:10">
      <c r="A35" s="55" t="s">
        <v>84</v>
      </c>
      <c r="B35" s="86">
        <v>1</v>
      </c>
      <c r="C35" s="96">
        <v>4.2500000000000003E-2</v>
      </c>
      <c r="D35" s="9">
        <f>+SUM(C35:$C$35)</f>
        <v>4.2500000000000003E-2</v>
      </c>
      <c r="E35" s="9">
        <f>+E5</f>
        <v>8</v>
      </c>
      <c r="F35" s="9">
        <f>+C35*E35</f>
        <v>0.34</v>
      </c>
      <c r="G35" s="49"/>
      <c r="H35" s="21"/>
      <c r="I35" s="55"/>
      <c r="J35" s="21"/>
    </row>
    <row r="36" spans="1:10">
      <c r="A36" s="55" t="s">
        <v>87</v>
      </c>
      <c r="B36" s="86">
        <v>2</v>
      </c>
      <c r="C36" s="96">
        <v>5.0000000000000001E-3</v>
      </c>
      <c r="D36" s="9">
        <f>+SUM(C$35:$C36)</f>
        <v>4.7500000000000001E-2</v>
      </c>
      <c r="E36" s="9">
        <f>+E6</f>
        <v>12</v>
      </c>
      <c r="F36" s="9">
        <f t="shared" ref="F36:F37" si="3">+C36*E36</f>
        <v>0.06</v>
      </c>
      <c r="G36" s="49"/>
      <c r="H36" s="21"/>
      <c r="I36" s="55"/>
      <c r="J36" s="21"/>
    </row>
    <row r="37" spans="1:10">
      <c r="A37" s="55"/>
      <c r="B37" s="86" t="s">
        <v>77</v>
      </c>
      <c r="C37" s="45">
        <v>0.01</v>
      </c>
      <c r="D37" s="9">
        <f>+SUM(C$35:$C37)</f>
        <v>5.7500000000000002E-2</v>
      </c>
      <c r="E37" s="9">
        <f>+E35+E36</f>
        <v>20</v>
      </c>
      <c r="F37" s="9">
        <f t="shared" si="3"/>
        <v>0.2</v>
      </c>
      <c r="G37" s="49">
        <v>0.5</v>
      </c>
      <c r="H37" s="55" t="s">
        <v>82</v>
      </c>
      <c r="I37" s="55"/>
      <c r="J37" s="21"/>
    </row>
    <row r="38" spans="1:10">
      <c r="A38" s="64"/>
      <c r="B38" s="62" t="s">
        <v>5</v>
      </c>
      <c r="C38" s="10">
        <f>+SUM(C35:C37)</f>
        <v>5.7500000000000002E-2</v>
      </c>
      <c r="D38" s="10"/>
      <c r="E38" s="10"/>
      <c r="F38" s="12">
        <f>+SUM(F35:F37)</f>
        <v>0.60000000000000009</v>
      </c>
      <c r="G38" s="51"/>
      <c r="H38" s="21"/>
      <c r="I38" s="55"/>
      <c r="J38" s="21"/>
    </row>
    <row r="39" spans="1:10">
      <c r="A39" s="64"/>
      <c r="B39" s="55"/>
      <c r="G39" s="47"/>
      <c r="H39" s="21"/>
      <c r="I39" s="55"/>
      <c r="J39" s="21"/>
    </row>
    <row r="40" spans="1:10">
      <c r="A40" s="55"/>
      <c r="B40" s="55"/>
      <c r="G40" s="47"/>
      <c r="H40" s="21"/>
      <c r="I40" s="55"/>
      <c r="J40" s="21"/>
    </row>
    <row r="41" spans="1:10">
      <c r="A41" s="58" t="s">
        <v>16</v>
      </c>
      <c r="B41" s="60" t="s">
        <v>76</v>
      </c>
      <c r="C41" s="13" t="s">
        <v>10</v>
      </c>
      <c r="D41" s="13" t="s">
        <v>18</v>
      </c>
      <c r="E41" s="13" t="s">
        <v>8</v>
      </c>
      <c r="F41" s="13" t="s">
        <v>1</v>
      </c>
      <c r="G41" s="46" t="s">
        <v>46</v>
      </c>
      <c r="H41" s="21"/>
      <c r="I41" s="55"/>
      <c r="J41" s="21"/>
    </row>
    <row r="42" spans="1:10">
      <c r="A42" s="55" t="s">
        <v>84</v>
      </c>
      <c r="B42" s="86">
        <v>1</v>
      </c>
      <c r="C42" s="96">
        <v>7.4999999999999997E-2</v>
      </c>
      <c r="D42" s="96">
        <f>+SUM(C42:$C$42)</f>
        <v>7.4999999999999997E-2</v>
      </c>
      <c r="E42" s="96">
        <f>+E5</f>
        <v>8</v>
      </c>
      <c r="F42" s="96">
        <f>+E42*C42</f>
        <v>0.6</v>
      </c>
      <c r="G42" s="97">
        <v>6.6666666666666596E-2</v>
      </c>
      <c r="H42" s="55" t="s">
        <v>82</v>
      </c>
      <c r="I42" s="55"/>
      <c r="J42" s="21"/>
    </row>
    <row r="43" spans="1:10">
      <c r="A43" s="55" t="s">
        <v>86</v>
      </c>
      <c r="B43" s="62" t="s">
        <v>5</v>
      </c>
      <c r="C43" s="10">
        <f>+SUM(C42:C42)</f>
        <v>7.4999999999999997E-2</v>
      </c>
      <c r="D43" s="10"/>
      <c r="E43" s="10"/>
      <c r="F43" s="12">
        <f>+SUM(F42:F42)</f>
        <v>0.6</v>
      </c>
      <c r="G43" s="51"/>
      <c r="H43" s="21"/>
      <c r="I43" s="55"/>
      <c r="J43" s="21"/>
    </row>
    <row r="44" spans="1:10">
      <c r="A44" s="55" t="s">
        <v>87</v>
      </c>
      <c r="B44" s="55"/>
      <c r="G44" s="47"/>
      <c r="H44" s="21"/>
      <c r="I44" s="55"/>
      <c r="J44" s="21"/>
    </row>
    <row r="45" spans="1:10">
      <c r="A45" s="55"/>
      <c r="B45" s="55"/>
      <c r="G45" s="47"/>
      <c r="H45" s="21"/>
      <c r="I45" s="55"/>
      <c r="J45" s="21"/>
    </row>
    <row r="46" spans="1:10">
      <c r="A46" s="58" t="s">
        <v>17</v>
      </c>
      <c r="B46" s="60" t="s">
        <v>76</v>
      </c>
      <c r="C46" s="13" t="s">
        <v>10</v>
      </c>
      <c r="D46" s="13" t="s">
        <v>18</v>
      </c>
      <c r="E46" s="13" t="s">
        <v>8</v>
      </c>
      <c r="F46" s="13" t="s">
        <v>1</v>
      </c>
      <c r="G46" s="46" t="s">
        <v>46</v>
      </c>
      <c r="H46" s="21"/>
      <c r="I46" s="55"/>
      <c r="J46" s="21"/>
    </row>
    <row r="47" spans="1:10">
      <c r="A47" s="55" t="s">
        <v>84</v>
      </c>
      <c r="B47" s="86">
        <v>2</v>
      </c>
      <c r="C47" s="96">
        <v>0.05</v>
      </c>
      <c r="D47" s="96">
        <f>+SUM(C$47:$C47)</f>
        <v>0.05</v>
      </c>
      <c r="E47" s="96">
        <f>+E6</f>
        <v>12</v>
      </c>
      <c r="F47" s="96">
        <f>+E47*C47</f>
        <v>0.60000000000000009</v>
      </c>
      <c r="G47" s="97">
        <v>0.1</v>
      </c>
      <c r="H47" s="55" t="s">
        <v>82</v>
      </c>
      <c r="I47" s="55"/>
      <c r="J47" s="21"/>
    </row>
    <row r="48" spans="1:10">
      <c r="A48" s="55" t="s">
        <v>85</v>
      </c>
      <c r="B48" s="62" t="s">
        <v>5</v>
      </c>
      <c r="C48" s="10">
        <f>+SUM(C47:C47)</f>
        <v>0.05</v>
      </c>
      <c r="D48" s="10"/>
      <c r="E48" s="10"/>
      <c r="F48" s="12">
        <f>+SUM(F47:F47)</f>
        <v>0.60000000000000009</v>
      </c>
      <c r="G48" s="51"/>
      <c r="H48" s="21"/>
      <c r="I48" s="55"/>
      <c r="J48" s="21"/>
    </row>
    <row r="49" spans="1:10">
      <c r="A49" s="55" t="s">
        <v>87</v>
      </c>
      <c r="B49" s="55"/>
      <c r="G49" s="48"/>
      <c r="H49" s="21"/>
      <c r="I49" s="55"/>
      <c r="J49" s="21"/>
    </row>
    <row r="50" spans="1:10">
      <c r="A50" s="55"/>
      <c r="B50" s="55"/>
      <c r="G50" s="48"/>
      <c r="H50" s="21"/>
      <c r="I50" s="21"/>
      <c r="J50" s="21"/>
    </row>
    <row r="51" spans="1:10">
      <c r="A51" s="55"/>
      <c r="B51" s="55"/>
      <c r="G51" s="48"/>
      <c r="H51" s="21"/>
      <c r="I51" s="21"/>
      <c r="J51" s="21"/>
    </row>
    <row r="52" spans="1:10">
      <c r="A52" s="55"/>
      <c r="B52" s="55"/>
      <c r="G52" s="48"/>
      <c r="H52" s="21"/>
      <c r="I52" s="21"/>
      <c r="J52" s="21"/>
    </row>
    <row r="53" spans="1:10">
      <c r="A53" s="55"/>
      <c r="B53" s="55"/>
      <c r="G53" s="48"/>
      <c r="H53" s="21"/>
      <c r="I53" s="21"/>
      <c r="J53" s="21"/>
    </row>
    <row r="54" spans="1:10">
      <c r="A54" s="55"/>
      <c r="G54" s="48"/>
      <c r="H54" s="21"/>
      <c r="I54" s="21"/>
    </row>
    <row r="55" spans="1:10">
      <c r="A55" s="55"/>
      <c r="G55" s="48"/>
      <c r="H55" s="21"/>
      <c r="I55" s="21"/>
    </row>
    <row r="56" spans="1:10">
      <c r="A56" s="55"/>
      <c r="G56" s="48"/>
      <c r="H56" s="21"/>
      <c r="I56" s="21"/>
    </row>
    <row r="57" spans="1:10">
      <c r="A57" s="55"/>
      <c r="G57" s="48"/>
      <c r="H57" s="21"/>
      <c r="I57" s="21"/>
    </row>
    <row r="58" spans="1:10">
      <c r="A58" s="55"/>
      <c r="G58" s="48"/>
      <c r="H58" s="21"/>
      <c r="I58" s="21"/>
    </row>
    <row r="59" spans="1:10">
      <c r="A59" s="55"/>
      <c r="G59" s="48"/>
      <c r="H59" s="21"/>
      <c r="I59" s="21"/>
    </row>
    <row r="60" spans="1:10">
      <c r="A60" s="55"/>
      <c r="G60" s="48"/>
      <c r="H60" s="21"/>
      <c r="I60" s="21"/>
    </row>
    <row r="61" spans="1:10">
      <c r="A61" s="55"/>
      <c r="G61" s="48"/>
      <c r="H61" s="21"/>
      <c r="I61" s="21"/>
    </row>
    <row r="62" spans="1:10">
      <c r="A62" s="55"/>
      <c r="G62" s="48"/>
      <c r="H62" s="21"/>
      <c r="I62" s="21"/>
    </row>
    <row r="63" spans="1:10">
      <c r="A63" s="55"/>
      <c r="G63" s="48"/>
      <c r="H63" s="21"/>
      <c r="I63" s="21"/>
    </row>
    <row r="64" spans="1:10">
      <c r="A64" s="55"/>
      <c r="G64" s="48"/>
      <c r="H64" s="21"/>
      <c r="I64" s="21"/>
    </row>
    <row r="65" spans="1:9">
      <c r="A65" s="55"/>
      <c r="G65" s="48"/>
      <c r="H65" s="21"/>
      <c r="I65" s="21"/>
    </row>
    <row r="66" spans="1:9">
      <c r="A66" s="55"/>
      <c r="G66" s="48"/>
      <c r="H66" s="21"/>
      <c r="I66" s="21"/>
    </row>
    <row r="67" spans="1:9">
      <c r="A67" s="55"/>
      <c r="G67" s="48"/>
      <c r="H67" s="21"/>
      <c r="I67" s="21"/>
    </row>
    <row r="68" spans="1:9">
      <c r="A68" s="55"/>
      <c r="G68" s="48"/>
      <c r="H68" s="21"/>
      <c r="I68" s="21"/>
    </row>
    <row r="69" spans="1:9">
      <c r="A69" s="55"/>
      <c r="G69" s="48"/>
      <c r="H69" s="21"/>
      <c r="I69" s="21"/>
    </row>
    <row r="70" spans="1:9">
      <c r="A70" s="55"/>
      <c r="G70" s="48"/>
      <c r="H70" s="21"/>
      <c r="I70" s="21"/>
    </row>
    <row r="71" spans="1:9">
      <c r="A71" s="55"/>
      <c r="G71" s="47"/>
      <c r="H71" s="21"/>
      <c r="I71" s="21"/>
    </row>
    <row r="72" spans="1:9">
      <c r="A72" s="55"/>
      <c r="G72" s="47"/>
      <c r="H72" s="21"/>
      <c r="I72" s="21"/>
    </row>
    <row r="73" spans="1:9">
      <c r="A73" s="55"/>
      <c r="G73" s="47"/>
      <c r="H73" s="21"/>
      <c r="I73" s="21"/>
    </row>
    <row r="74" spans="1:9">
      <c r="A74" s="55"/>
      <c r="G74" s="47"/>
      <c r="H74" s="21"/>
      <c r="I74" s="21"/>
    </row>
    <row r="75" spans="1:9">
      <c r="A75" s="55"/>
      <c r="G75" s="47"/>
      <c r="H75" s="21"/>
      <c r="I75" s="21"/>
    </row>
    <row r="76" spans="1:9">
      <c r="A76" s="55"/>
      <c r="G76" s="47"/>
      <c r="H76" s="21"/>
      <c r="I76" s="21"/>
    </row>
    <row r="77" spans="1:9">
      <c r="A77" s="55"/>
      <c r="G77" s="47"/>
      <c r="H77" s="21"/>
      <c r="I77" s="21"/>
    </row>
    <row r="78" spans="1:9">
      <c r="A78" s="55"/>
      <c r="G78" s="47"/>
      <c r="H78" s="21"/>
      <c r="I78" s="21"/>
    </row>
    <row r="79" spans="1:9">
      <c r="A79" s="55"/>
      <c r="G79" s="47"/>
      <c r="H79" s="21"/>
      <c r="I79" s="21"/>
    </row>
    <row r="80" spans="1:9">
      <c r="A80" s="55"/>
      <c r="G80" s="47"/>
      <c r="H80" s="21"/>
      <c r="I80" s="21"/>
    </row>
    <row r="81" spans="1:9">
      <c r="A81" s="55"/>
      <c r="G81" s="47"/>
      <c r="H81" s="21"/>
      <c r="I81" s="21"/>
    </row>
    <row r="82" spans="1:9">
      <c r="A82" s="55"/>
      <c r="G82" s="47"/>
      <c r="H82" s="21"/>
      <c r="I82" s="21"/>
    </row>
    <row r="83" spans="1:9">
      <c r="A83" s="55"/>
      <c r="G83" s="47"/>
      <c r="H83" s="21"/>
      <c r="I83" s="21"/>
    </row>
    <row r="84" spans="1:9">
      <c r="A84" s="55"/>
      <c r="G84" s="47"/>
      <c r="H84" s="21"/>
      <c r="I84" s="21"/>
    </row>
    <row r="85" spans="1:9">
      <c r="A85" s="55"/>
      <c r="G85" s="47"/>
      <c r="H85" s="21"/>
      <c r="I85" s="21"/>
    </row>
    <row r="86" spans="1:9">
      <c r="A86" s="55"/>
      <c r="G86" s="47"/>
      <c r="H86" s="21"/>
      <c r="I86" s="21"/>
    </row>
    <row r="87" spans="1:9">
      <c r="A87" s="55"/>
      <c r="G87" s="47"/>
      <c r="H87" s="21"/>
      <c r="I87" s="21"/>
    </row>
    <row r="88" spans="1:9">
      <c r="A88" s="55"/>
      <c r="G88" s="47"/>
      <c r="H88" s="21"/>
      <c r="I88" s="21"/>
    </row>
    <row r="89" spans="1:9">
      <c r="A89" s="55"/>
      <c r="G89" s="47"/>
      <c r="H89" s="21"/>
      <c r="I89" s="21"/>
    </row>
    <row r="90" spans="1:9">
      <c r="A90" s="55"/>
      <c r="G90" s="47"/>
      <c r="H90" s="21"/>
      <c r="I90" s="21"/>
    </row>
    <row r="91" spans="1:9">
      <c r="A91" s="55"/>
      <c r="G91" s="47"/>
      <c r="H91" s="21"/>
      <c r="I91" s="21"/>
    </row>
    <row r="92" spans="1:9">
      <c r="A92" s="55"/>
      <c r="G92" s="47"/>
      <c r="H92" s="21"/>
      <c r="I92" s="21"/>
    </row>
    <row r="93" spans="1:9">
      <c r="A93" s="55"/>
      <c r="G93" s="47"/>
      <c r="H93" s="21"/>
      <c r="I93" s="21"/>
    </row>
    <row r="94" spans="1:9">
      <c r="A94" s="55"/>
      <c r="G94" s="47"/>
      <c r="H94" s="21"/>
      <c r="I94" s="21"/>
    </row>
    <row r="95" spans="1:9">
      <c r="A95" s="55"/>
      <c r="G95" s="47"/>
      <c r="H95" s="21"/>
      <c r="I95" s="21"/>
    </row>
    <row r="96" spans="1:9">
      <c r="A96" s="55"/>
      <c r="G96" s="47"/>
      <c r="H96" s="21"/>
      <c r="I96" s="21"/>
    </row>
    <row r="97" spans="1:9">
      <c r="A97" s="55"/>
      <c r="G97" s="47"/>
      <c r="H97" s="21"/>
      <c r="I97" s="21"/>
    </row>
    <row r="98" spans="1:9">
      <c r="A98" s="55"/>
      <c r="G98" s="47"/>
      <c r="H98" s="21"/>
      <c r="I98" s="21"/>
    </row>
    <row r="99" spans="1:9">
      <c r="A99" s="55"/>
      <c r="G99" s="47"/>
      <c r="H99" s="21"/>
      <c r="I99" s="21"/>
    </row>
    <row r="100" spans="1:9">
      <c r="A100" s="55"/>
      <c r="G100" s="47"/>
      <c r="H100" s="21"/>
      <c r="I100" s="21"/>
    </row>
    <row r="101" spans="1:9">
      <c r="A101" s="55"/>
      <c r="G101" s="47"/>
      <c r="H101" s="21"/>
      <c r="I101" s="21"/>
    </row>
    <row r="102" spans="1:9">
      <c r="A102" s="55"/>
      <c r="G102" s="47"/>
      <c r="H102" s="21"/>
      <c r="I102" s="21"/>
    </row>
    <row r="103" spans="1:9">
      <c r="A103" s="55"/>
      <c r="G103" s="47"/>
      <c r="H103" s="21"/>
      <c r="I103" s="21"/>
    </row>
    <row r="104" spans="1:9">
      <c r="A104" s="55"/>
      <c r="G104" s="47"/>
      <c r="H104" s="21"/>
      <c r="I104" s="21"/>
    </row>
    <row r="105" spans="1:9">
      <c r="A105" s="55"/>
      <c r="G105" s="47"/>
      <c r="H105" s="21"/>
      <c r="I105" s="21"/>
    </row>
    <row r="106" spans="1:9">
      <c r="A106" s="55"/>
      <c r="G106" s="47"/>
      <c r="H106" s="21"/>
      <c r="I106" s="21"/>
    </row>
    <row r="107" spans="1:9">
      <c r="A107" s="55"/>
      <c r="G107" s="47"/>
      <c r="H107" s="21"/>
      <c r="I107" s="21"/>
    </row>
    <row r="108" spans="1:9">
      <c r="A108" s="55"/>
      <c r="G108" s="47"/>
      <c r="H108" s="21"/>
      <c r="I108" s="21"/>
    </row>
    <row r="109" spans="1:9">
      <c r="A109" s="55"/>
      <c r="G109" s="47"/>
      <c r="H109" s="21"/>
      <c r="I109" s="21"/>
    </row>
    <row r="110" spans="1:9">
      <c r="A110" s="55"/>
      <c r="G110" s="47"/>
      <c r="H110" s="21"/>
      <c r="I110" s="21"/>
    </row>
    <row r="111" spans="1:9">
      <c r="A111" s="55"/>
      <c r="G111" s="47"/>
      <c r="H111" s="21"/>
      <c r="I111" s="21"/>
    </row>
    <row r="112" spans="1:9">
      <c r="A112" s="55"/>
      <c r="G112" s="47"/>
      <c r="H112" s="21"/>
      <c r="I112" s="21"/>
    </row>
    <row r="113" spans="1:9">
      <c r="A113" s="55"/>
      <c r="G113" s="47"/>
      <c r="H113" s="21"/>
      <c r="I113" s="21"/>
    </row>
    <row r="114" spans="1:9">
      <c r="A114" s="55"/>
      <c r="G114" s="47"/>
      <c r="H114" s="21"/>
      <c r="I114" s="21"/>
    </row>
    <row r="115" spans="1:9">
      <c r="A115" s="55"/>
      <c r="G115" s="47"/>
      <c r="H115" s="21"/>
      <c r="I115" s="21"/>
    </row>
    <row r="116" spans="1:9">
      <c r="A116" s="55"/>
      <c r="G116" s="47"/>
      <c r="H116" s="21"/>
      <c r="I116" s="21"/>
    </row>
    <row r="117" spans="1:9">
      <c r="A117" s="55"/>
      <c r="G117" s="47"/>
      <c r="H117" s="21"/>
      <c r="I117" s="21"/>
    </row>
    <row r="118" spans="1:9">
      <c r="G118" s="47"/>
      <c r="H118" s="21"/>
      <c r="I118" s="21"/>
    </row>
    <row r="119" spans="1:9">
      <c r="G119" s="27"/>
      <c r="H119" s="21"/>
      <c r="I119" s="21"/>
    </row>
    <row r="120" spans="1:9">
      <c r="G120" s="27"/>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3.xml><?xml version="1.0" encoding="utf-8"?>
<worksheet xmlns="http://schemas.openxmlformats.org/spreadsheetml/2006/main" xmlns:r="http://schemas.openxmlformats.org/officeDocument/2006/relationships">
  <dimension ref="A1:H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8" ht="18">
      <c r="A1" s="130" t="s">
        <v>69</v>
      </c>
      <c r="B1" s="130"/>
      <c r="C1" s="130"/>
      <c r="D1" s="130"/>
      <c r="E1" s="130"/>
    </row>
    <row r="2" spans="1:8">
      <c r="A2" s="65" t="s">
        <v>89</v>
      </c>
    </row>
    <row r="4" spans="1:8">
      <c r="A4" s="58" t="s">
        <v>9</v>
      </c>
      <c r="B4" s="60" t="s">
        <v>76</v>
      </c>
      <c r="C4" s="60" t="s">
        <v>10</v>
      </c>
      <c r="D4" s="60" t="s">
        <v>18</v>
      </c>
      <c r="E4" s="60" t="s">
        <v>8</v>
      </c>
      <c r="F4" s="60" t="s">
        <v>1</v>
      </c>
      <c r="G4" s="60" t="s">
        <v>46</v>
      </c>
    </row>
    <row r="5" spans="1:8">
      <c r="A5" s="55" t="s">
        <v>83</v>
      </c>
      <c r="B5" s="87">
        <v>1</v>
      </c>
      <c r="C5" s="94">
        <v>0.09</v>
      </c>
      <c r="D5" s="56">
        <f>+SUM($C$5:C5)</f>
        <v>0.09</v>
      </c>
      <c r="E5" s="56">
        <f>+Summary!B27</f>
        <v>3</v>
      </c>
      <c r="F5" s="56">
        <f>+C5*E5</f>
        <v>0.27</v>
      </c>
      <c r="G5" s="49"/>
    </row>
    <row r="6" spans="1:8">
      <c r="B6" s="87">
        <v>2</v>
      </c>
      <c r="C6" s="94">
        <v>5.8000000000000003E-2</v>
      </c>
      <c r="D6" s="56">
        <f>+SUM($C$5:C6)</f>
        <v>0.14799999999999999</v>
      </c>
      <c r="E6" s="56">
        <f>+Summary!B28</f>
        <v>5</v>
      </c>
      <c r="F6" s="56">
        <f t="shared" ref="F6:F7" si="0">+C6*E6</f>
        <v>0.29000000000000004</v>
      </c>
      <c r="G6" s="49"/>
    </row>
    <row r="7" spans="1:8">
      <c r="B7" s="87" t="s">
        <v>77</v>
      </c>
      <c r="C7" s="94">
        <v>5.0000000000000001E-3</v>
      </c>
      <c r="D7" s="56">
        <f>+SUM($C$5:C7)</f>
        <v>0.153</v>
      </c>
      <c r="E7" s="56">
        <f>+E5+E6</f>
        <v>8</v>
      </c>
      <c r="F7" s="56">
        <f t="shared" si="0"/>
        <v>0.04</v>
      </c>
      <c r="G7" s="49">
        <v>1</v>
      </c>
      <c r="H7" s="55" t="s">
        <v>82</v>
      </c>
    </row>
    <row r="8" spans="1:8">
      <c r="B8" s="62" t="s">
        <v>11</v>
      </c>
      <c r="C8" s="62">
        <f>+SUM(C5:C7)</f>
        <v>0.153</v>
      </c>
      <c r="D8" s="62"/>
      <c r="E8" s="62"/>
      <c r="F8" s="53">
        <f>+SUM(F5:F7)</f>
        <v>0.60000000000000009</v>
      </c>
      <c r="G8" s="50"/>
    </row>
    <row r="9" spans="1:8">
      <c r="B9" s="63" t="s">
        <v>81</v>
      </c>
      <c r="G9" s="47"/>
    </row>
    <row r="10" spans="1:8">
      <c r="G10" s="47"/>
    </row>
    <row r="11" spans="1:8">
      <c r="G11" s="47"/>
    </row>
    <row r="12" spans="1:8">
      <c r="A12" s="58" t="s">
        <v>16</v>
      </c>
      <c r="B12" s="60" t="s">
        <v>76</v>
      </c>
      <c r="C12" s="60" t="s">
        <v>10</v>
      </c>
      <c r="D12" s="60" t="s">
        <v>18</v>
      </c>
      <c r="E12" s="60" t="s">
        <v>8</v>
      </c>
      <c r="F12" s="60" t="s">
        <v>1</v>
      </c>
      <c r="G12" s="60" t="s">
        <v>46</v>
      </c>
    </row>
    <row r="13" spans="1:8">
      <c r="A13" s="55" t="s">
        <v>84</v>
      </c>
      <c r="B13" s="86">
        <v>1</v>
      </c>
      <c r="C13" s="96">
        <v>0.2</v>
      </c>
      <c r="D13" s="96">
        <f>+SUM(C13:$C$13)</f>
        <v>0.2</v>
      </c>
      <c r="E13" s="96">
        <f>+E5</f>
        <v>3</v>
      </c>
      <c r="F13" s="96">
        <f>+E13*C13</f>
        <v>0.60000000000000009</v>
      </c>
      <c r="G13" s="97">
        <v>2.5000000000000001E-2</v>
      </c>
      <c r="H13" s="55" t="s">
        <v>82</v>
      </c>
    </row>
    <row r="14" spans="1:8">
      <c r="A14" s="55" t="s">
        <v>86</v>
      </c>
      <c r="B14" s="62" t="s">
        <v>5</v>
      </c>
      <c r="C14" s="62">
        <f>+SUM(C13:C13)</f>
        <v>0.2</v>
      </c>
      <c r="D14" s="62"/>
      <c r="E14" s="62"/>
      <c r="F14" s="67">
        <f>+SUM(F13:F13)</f>
        <v>0.60000000000000009</v>
      </c>
      <c r="G14" s="51"/>
    </row>
    <row r="15" spans="1:8">
      <c r="G15" s="47"/>
    </row>
    <row r="16" spans="1:8">
      <c r="G16" s="47"/>
    </row>
    <row r="17" spans="1:8">
      <c r="A17" s="58" t="s">
        <v>17</v>
      </c>
      <c r="B17" s="60" t="s">
        <v>76</v>
      </c>
      <c r="C17" s="60" t="s">
        <v>10</v>
      </c>
      <c r="D17" s="60" t="s">
        <v>18</v>
      </c>
      <c r="E17" s="60" t="s">
        <v>8</v>
      </c>
      <c r="F17" s="60" t="s">
        <v>1</v>
      </c>
      <c r="G17" s="60" t="s">
        <v>46</v>
      </c>
    </row>
    <row r="18" spans="1:8">
      <c r="A18" s="55" t="s">
        <v>84</v>
      </c>
      <c r="B18" s="86">
        <v>2</v>
      </c>
      <c r="C18" s="96">
        <v>0.12</v>
      </c>
      <c r="D18" s="96">
        <f>+SUM(C$18:$C18)</f>
        <v>0.12</v>
      </c>
      <c r="E18" s="96">
        <f>+E6</f>
        <v>5</v>
      </c>
      <c r="F18" s="96">
        <f>+E18*C18</f>
        <v>0.6</v>
      </c>
      <c r="G18" s="97">
        <v>4.1666666666666602E-2</v>
      </c>
      <c r="H18" s="55" t="s">
        <v>82</v>
      </c>
    </row>
    <row r="19" spans="1:8">
      <c r="A19" s="55" t="s">
        <v>85</v>
      </c>
      <c r="B19" s="62" t="s">
        <v>5</v>
      </c>
      <c r="C19" s="62">
        <f>+SUM(C18:C18)</f>
        <v>0.12</v>
      </c>
      <c r="D19" s="62"/>
      <c r="E19" s="62"/>
      <c r="F19" s="67">
        <f>+SUM(F18:F18)</f>
        <v>0.6</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99</v>
      </c>
      <c r="B1" s="130"/>
      <c r="C1" s="130"/>
      <c r="D1" s="130"/>
      <c r="E1" s="130"/>
    </row>
    <row r="2" spans="1:8">
      <c r="A2" s="65"/>
    </row>
    <row r="4" spans="1:8">
      <c r="A4" s="58" t="s">
        <v>65</v>
      </c>
      <c r="B4" s="60" t="s">
        <v>76</v>
      </c>
      <c r="C4" s="60" t="s">
        <v>10</v>
      </c>
      <c r="D4" s="60" t="s">
        <v>18</v>
      </c>
      <c r="E4" s="60" t="s">
        <v>8</v>
      </c>
      <c r="F4" s="60" t="s">
        <v>1</v>
      </c>
      <c r="G4" s="60" t="s">
        <v>46</v>
      </c>
    </row>
    <row r="5" spans="1:8">
      <c r="B5" s="86">
        <v>1</v>
      </c>
      <c r="C5" s="96">
        <v>0.3</v>
      </c>
      <c r="D5" s="96">
        <f>+SUM(C5:$C$5)</f>
        <v>0.3</v>
      </c>
      <c r="E5" s="96">
        <f>+Summary!B21</f>
        <v>2</v>
      </c>
      <c r="F5" s="96">
        <f>+E5*C5</f>
        <v>0.6</v>
      </c>
      <c r="G5" s="97">
        <v>1.6666666666666601E-2</v>
      </c>
      <c r="H5" s="55" t="s">
        <v>82</v>
      </c>
    </row>
    <row r="6" spans="1:8">
      <c r="B6" s="62" t="s">
        <v>5</v>
      </c>
      <c r="C6" s="62">
        <f>+SUM(C5:C5)</f>
        <v>0.3</v>
      </c>
      <c r="D6" s="62"/>
      <c r="E6" s="62"/>
      <c r="F6" s="67">
        <f>+SUM(F5:F5)</f>
        <v>0.6</v>
      </c>
      <c r="G6" s="51"/>
    </row>
    <row r="7" spans="1:8">
      <c r="G7" s="47"/>
    </row>
    <row r="8" spans="1:8">
      <c r="G8" s="47"/>
    </row>
    <row r="9" spans="1:8">
      <c r="A9" s="58" t="s">
        <v>66</v>
      </c>
      <c r="B9" s="60" t="s">
        <v>76</v>
      </c>
      <c r="C9" s="60" t="s">
        <v>10</v>
      </c>
      <c r="D9" s="60" t="s">
        <v>18</v>
      </c>
      <c r="E9" s="60" t="s">
        <v>8</v>
      </c>
      <c r="F9" s="60" t="s">
        <v>1</v>
      </c>
      <c r="G9" s="60" t="s">
        <v>46</v>
      </c>
    </row>
    <row r="10" spans="1:8">
      <c r="B10" s="86">
        <v>1</v>
      </c>
      <c r="C10" s="96">
        <v>0.12</v>
      </c>
      <c r="D10" s="96">
        <f>1/6</f>
        <v>0.16666666666666666</v>
      </c>
      <c r="E10" s="96">
        <f>+Summary!E21</f>
        <v>5</v>
      </c>
      <c r="F10" s="96">
        <f>+E10*C10</f>
        <v>0.6</v>
      </c>
      <c r="G10" s="97">
        <v>4.1666666666666602E-2</v>
      </c>
      <c r="H10" s="55" t="s">
        <v>82</v>
      </c>
    </row>
    <row r="11" spans="1:8">
      <c r="B11" s="62" t="s">
        <v>5</v>
      </c>
      <c r="C11" s="62">
        <f>+SUM(C10:C10)</f>
        <v>0.12</v>
      </c>
      <c r="D11" s="62"/>
      <c r="E11" s="62"/>
      <c r="F11" s="67">
        <f>+SUM(F10:F10)</f>
        <v>0.6</v>
      </c>
      <c r="G11" s="51"/>
    </row>
    <row r="12" spans="1:8">
      <c r="G12" s="48"/>
    </row>
    <row r="13" spans="1:8">
      <c r="G13" s="48"/>
    </row>
    <row r="14" spans="1:8">
      <c r="A14" s="58" t="s">
        <v>67</v>
      </c>
      <c r="B14" s="60" t="s">
        <v>76</v>
      </c>
      <c r="C14" s="60" t="s">
        <v>10</v>
      </c>
      <c r="D14" s="60" t="s">
        <v>18</v>
      </c>
      <c r="E14" s="60" t="s">
        <v>8</v>
      </c>
      <c r="F14" s="60" t="s">
        <v>1</v>
      </c>
      <c r="G14" s="60" t="s">
        <v>46</v>
      </c>
    </row>
    <row r="15" spans="1:8">
      <c r="B15" s="86">
        <v>1</v>
      </c>
      <c r="C15" s="96">
        <v>7.4999999999999997E-2</v>
      </c>
      <c r="D15" s="96">
        <f>+SUM(C$15:$C15)</f>
        <v>7.4999999999999997E-2</v>
      </c>
      <c r="E15" s="96">
        <f>+Summary!H21</f>
        <v>8</v>
      </c>
      <c r="F15" s="96">
        <f>+E15*C15</f>
        <v>0.6</v>
      </c>
      <c r="G15" s="97">
        <v>6.6666666666666596E-2</v>
      </c>
      <c r="H15" s="55" t="s">
        <v>82</v>
      </c>
    </row>
    <row r="16" spans="1:8">
      <c r="B16" s="62" t="s">
        <v>5</v>
      </c>
      <c r="C16" s="62">
        <f>+SUM(C15:C15)</f>
        <v>7.4999999999999997E-2</v>
      </c>
      <c r="D16" s="62"/>
      <c r="E16" s="62"/>
      <c r="F16" s="67">
        <f>+SUM(F15:F15)</f>
        <v>0.6</v>
      </c>
      <c r="G16" s="51"/>
    </row>
    <row r="17" spans="7:7">
      <c r="G17" s="48"/>
    </row>
    <row r="18" spans="7:7">
      <c r="G18" s="48"/>
    </row>
    <row r="19" spans="7:7">
      <c r="G19" s="48"/>
    </row>
    <row r="20" spans="7:7">
      <c r="G20" s="48"/>
    </row>
    <row r="21" spans="7:7">
      <c r="G21" s="48"/>
    </row>
    <row r="22" spans="7:7">
      <c r="G22" s="48"/>
    </row>
    <row r="23" spans="7:7">
      <c r="G23" s="48"/>
    </row>
    <row r="24" spans="7:7">
      <c r="G24" s="48"/>
    </row>
    <row r="25" spans="7:7">
      <c r="G25" s="48"/>
    </row>
    <row r="26" spans="7:7">
      <c r="G26" s="48"/>
    </row>
    <row r="27" spans="7:7">
      <c r="G27" s="48"/>
    </row>
    <row r="28" spans="7:7">
      <c r="G28" s="48"/>
    </row>
    <row r="29" spans="7:7">
      <c r="G29" s="48"/>
    </row>
    <row r="30" spans="7:7">
      <c r="G30" s="48"/>
    </row>
    <row r="31" spans="7:7">
      <c r="G31" s="48"/>
    </row>
    <row r="32" spans="7:7">
      <c r="G32" s="48"/>
    </row>
    <row r="33" spans="7:7">
      <c r="G33" s="48"/>
    </row>
    <row r="34" spans="7:7">
      <c r="G34" s="47"/>
    </row>
    <row r="35" spans="7:7">
      <c r="G35" s="47"/>
    </row>
    <row r="36" spans="7:7">
      <c r="G36" s="47"/>
    </row>
    <row r="37" spans="7:7">
      <c r="G37" s="47"/>
    </row>
    <row r="38" spans="7:7">
      <c r="G38" s="47"/>
    </row>
    <row r="39" spans="7:7">
      <c r="G39" s="47"/>
    </row>
    <row r="40" spans="7:7">
      <c r="G40" s="47"/>
    </row>
    <row r="41" spans="7:7">
      <c r="G41" s="47"/>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100</v>
      </c>
      <c r="B1" s="130"/>
      <c r="C1" s="130"/>
      <c r="D1" s="130"/>
      <c r="E1" s="130"/>
    </row>
    <row r="2" spans="1:9">
      <c r="A2" s="65" t="s">
        <v>89</v>
      </c>
    </row>
    <row r="4" spans="1:9">
      <c r="A4" s="58" t="s">
        <v>9</v>
      </c>
      <c r="B4" s="60" t="s">
        <v>76</v>
      </c>
      <c r="C4" s="60" t="s">
        <v>10</v>
      </c>
      <c r="D4" s="60" t="s">
        <v>18</v>
      </c>
      <c r="E4" s="60" t="s">
        <v>8</v>
      </c>
      <c r="F4" s="60" t="s">
        <v>1</v>
      </c>
      <c r="G4" s="60" t="s">
        <v>46</v>
      </c>
    </row>
    <row r="5" spans="1:9">
      <c r="A5" s="55" t="s">
        <v>83</v>
      </c>
      <c r="B5" s="87">
        <v>1</v>
      </c>
      <c r="C5" s="94">
        <v>1.6250000000000001E-2</v>
      </c>
      <c r="D5" s="56">
        <f>+SUM($C$5:C5)</f>
        <v>1.6250000000000001E-2</v>
      </c>
      <c r="E5" s="56">
        <f>+Summary!B36</f>
        <v>12</v>
      </c>
      <c r="F5" s="56">
        <f>+C5*E5</f>
        <v>0.19500000000000001</v>
      </c>
      <c r="G5" s="49"/>
    </row>
    <row r="6" spans="1:9">
      <c r="B6" s="87">
        <v>2</v>
      </c>
      <c r="C6" s="94">
        <v>0.01</v>
      </c>
      <c r="D6" s="56">
        <f>+SUM($C$5:C6)</f>
        <v>2.6250000000000002E-2</v>
      </c>
      <c r="E6" s="56">
        <f>+Summary!B37</f>
        <v>15</v>
      </c>
      <c r="F6" s="56">
        <f t="shared" ref="F6:F11" si="0">+C6*E6</f>
        <v>0.15</v>
      </c>
      <c r="G6" s="49"/>
    </row>
    <row r="7" spans="1:9">
      <c r="B7" s="87">
        <v>3</v>
      </c>
      <c r="C7" s="43">
        <v>1E-3</v>
      </c>
      <c r="D7" s="56">
        <f>+SUM($C$5:C7)</f>
        <v>2.7250000000000003E-2</v>
      </c>
      <c r="E7" s="56">
        <f>+Summary!B38</f>
        <v>20</v>
      </c>
      <c r="F7" s="56">
        <f t="shared" si="0"/>
        <v>0.02</v>
      </c>
      <c r="G7" s="49"/>
      <c r="I7" s="28"/>
    </row>
    <row r="8" spans="1:9">
      <c r="B8" s="87" t="s">
        <v>77</v>
      </c>
      <c r="C8" s="43">
        <v>0</v>
      </c>
      <c r="D8" s="56">
        <f>+SUM($C$5:C8)</f>
        <v>2.7250000000000003E-2</v>
      </c>
      <c r="E8" s="56">
        <f>+E5+E6</f>
        <v>27</v>
      </c>
      <c r="F8" s="56">
        <f t="shared" si="0"/>
        <v>0</v>
      </c>
      <c r="G8" s="49"/>
      <c r="I8" s="89"/>
    </row>
    <row r="9" spans="1:9">
      <c r="B9" s="87" t="s">
        <v>78</v>
      </c>
      <c r="C9" s="43">
        <v>0</v>
      </c>
      <c r="D9" s="56">
        <f>+SUM($C$5:C9)</f>
        <v>2.7250000000000003E-2</v>
      </c>
      <c r="E9" s="56">
        <f>+E5+E7</f>
        <v>32</v>
      </c>
      <c r="F9" s="56">
        <f t="shared" si="0"/>
        <v>0</v>
      </c>
      <c r="G9" s="49"/>
    </row>
    <row r="10" spans="1:9">
      <c r="B10" s="87" t="s">
        <v>79</v>
      </c>
      <c r="C10" s="43">
        <v>0</v>
      </c>
      <c r="D10" s="56">
        <f>+SUM($C$5:C10)</f>
        <v>2.7250000000000003E-2</v>
      </c>
      <c r="E10" s="56">
        <f>+E6+E7</f>
        <v>35</v>
      </c>
      <c r="F10" s="56">
        <f t="shared" si="0"/>
        <v>0</v>
      </c>
      <c r="G10" s="49"/>
    </row>
    <row r="11" spans="1:9">
      <c r="B11" s="87" t="s">
        <v>80</v>
      </c>
      <c r="C11" s="43">
        <v>5.0000000000000001E-3</v>
      </c>
      <c r="D11" s="56">
        <f>+SUM($C$5:C11)</f>
        <v>3.2250000000000001E-2</v>
      </c>
      <c r="E11" s="56">
        <f>+E5+E6+E7</f>
        <v>47</v>
      </c>
      <c r="F11" s="56">
        <f t="shared" si="0"/>
        <v>0.23500000000000001</v>
      </c>
      <c r="G11" s="49">
        <v>1</v>
      </c>
      <c r="H11" s="55" t="s">
        <v>82</v>
      </c>
      <c r="I11" s="28"/>
    </row>
    <row r="12" spans="1:9">
      <c r="B12" s="62" t="s">
        <v>11</v>
      </c>
      <c r="C12" s="62">
        <f>+SUM(C5:C11)</f>
        <v>3.2250000000000001E-2</v>
      </c>
      <c r="D12" s="62"/>
      <c r="E12" s="62"/>
      <c r="F12" s="53">
        <f>+SUM(F5:F11)</f>
        <v>0.6</v>
      </c>
      <c r="G12" s="50"/>
    </row>
    <row r="13" spans="1:9">
      <c r="B13" s="63" t="s">
        <v>81</v>
      </c>
      <c r="G13" s="47"/>
    </row>
    <row r="14" spans="1:9">
      <c r="G14" s="47"/>
    </row>
    <row r="15" spans="1:9">
      <c r="A15" s="58" t="s">
        <v>12</v>
      </c>
      <c r="B15" s="60" t="s">
        <v>76</v>
      </c>
      <c r="C15" s="60" t="s">
        <v>10</v>
      </c>
      <c r="D15" s="60" t="s">
        <v>18</v>
      </c>
      <c r="E15" s="60" t="s">
        <v>8</v>
      </c>
      <c r="F15" s="60" t="s">
        <v>1</v>
      </c>
      <c r="G15" s="60" t="s">
        <v>46</v>
      </c>
    </row>
    <row r="16" spans="1:9">
      <c r="A16" s="55" t="s">
        <v>84</v>
      </c>
      <c r="B16" s="86">
        <v>2</v>
      </c>
      <c r="C16" s="59">
        <v>1.4999999999999999E-2</v>
      </c>
      <c r="D16" s="59">
        <f>+SUM(C16:$C$16)</f>
        <v>1.4999999999999999E-2</v>
      </c>
      <c r="E16" s="59">
        <f>+E6</f>
        <v>15</v>
      </c>
      <c r="F16" s="59">
        <f>+C16*E16</f>
        <v>0.22499999999999998</v>
      </c>
      <c r="G16" s="49"/>
    </row>
    <row r="17" spans="1:9">
      <c r="A17" s="55" t="s">
        <v>85</v>
      </c>
      <c r="B17" s="86">
        <v>3</v>
      </c>
      <c r="C17" s="96">
        <v>0.01</v>
      </c>
      <c r="D17" s="59">
        <f>+SUM(C$16:$C17)</f>
        <v>2.5000000000000001E-2</v>
      </c>
      <c r="E17" s="59">
        <f>+E7</f>
        <v>20</v>
      </c>
      <c r="F17" s="59">
        <f t="shared" ref="F17:F18" si="1">+C17*E17</f>
        <v>0.2</v>
      </c>
      <c r="G17" s="49"/>
      <c r="I17" s="88"/>
    </row>
    <row r="18" spans="1:9">
      <c r="B18" s="86" t="s">
        <v>79</v>
      </c>
      <c r="C18" s="59">
        <v>5.0000000000000001E-3</v>
      </c>
      <c r="D18" s="59">
        <f>+SUM(C$16:$C18)</f>
        <v>3.0000000000000002E-2</v>
      </c>
      <c r="E18" s="59">
        <f>+E16+E17</f>
        <v>35</v>
      </c>
      <c r="F18" s="59">
        <f t="shared" si="1"/>
        <v>0.17500000000000002</v>
      </c>
      <c r="G18" s="49">
        <v>1</v>
      </c>
      <c r="H18" s="55" t="s">
        <v>82</v>
      </c>
      <c r="I18" s="28"/>
    </row>
    <row r="19" spans="1:9">
      <c r="B19" s="62" t="s">
        <v>5</v>
      </c>
      <c r="C19" s="62">
        <f>+SUM(C16:C18)</f>
        <v>3.0000000000000002E-2</v>
      </c>
      <c r="D19" s="62"/>
      <c r="E19" s="62"/>
      <c r="F19" s="67">
        <f>+SUM(F16:F18)</f>
        <v>0.6</v>
      </c>
      <c r="G19" s="51"/>
    </row>
    <row r="20" spans="1:9">
      <c r="B20" s="66"/>
      <c r="C20" s="66"/>
      <c r="D20" s="66"/>
      <c r="E20" s="66"/>
      <c r="F20" s="61"/>
      <c r="G20" s="52"/>
    </row>
    <row r="21" spans="1:9">
      <c r="B21" s="66"/>
      <c r="C21" s="66"/>
      <c r="D21" s="66"/>
      <c r="E21" s="66"/>
      <c r="F21" s="61"/>
      <c r="G21" s="52"/>
    </row>
    <row r="22" spans="1:9">
      <c r="A22" s="58" t="s">
        <v>13</v>
      </c>
      <c r="B22" s="60" t="s">
        <v>76</v>
      </c>
      <c r="C22" s="60" t="s">
        <v>10</v>
      </c>
      <c r="D22" s="60" t="s">
        <v>18</v>
      </c>
      <c r="E22" s="60" t="s">
        <v>8</v>
      </c>
      <c r="F22" s="60" t="s">
        <v>1</v>
      </c>
      <c r="G22" s="60" t="s">
        <v>46</v>
      </c>
    </row>
    <row r="23" spans="1:9">
      <c r="A23" s="55" t="s">
        <v>84</v>
      </c>
      <c r="B23" s="86">
        <v>1</v>
      </c>
      <c r="C23" s="59">
        <v>0.02</v>
      </c>
      <c r="D23" s="59">
        <f>+SUM(C23:$C$23)</f>
        <v>0.02</v>
      </c>
      <c r="E23" s="59">
        <f>+E5</f>
        <v>12</v>
      </c>
      <c r="F23" s="59">
        <f>+C23*E23</f>
        <v>0.24</v>
      </c>
      <c r="G23" s="49"/>
    </row>
    <row r="24" spans="1:9">
      <c r="A24" s="55" t="s">
        <v>86</v>
      </c>
      <c r="B24" s="86">
        <v>3</v>
      </c>
      <c r="C24" s="96">
        <v>0.01</v>
      </c>
      <c r="D24" s="59">
        <f>+SUM(C$23:$C24)</f>
        <v>0.03</v>
      </c>
      <c r="E24" s="59">
        <f>+E7</f>
        <v>20</v>
      </c>
      <c r="F24" s="59">
        <f t="shared" ref="F24:F25" si="2">+C24*E24</f>
        <v>0.2</v>
      </c>
      <c r="G24" s="49"/>
    </row>
    <row r="25" spans="1:9">
      <c r="B25" s="86" t="s">
        <v>78</v>
      </c>
      <c r="C25" s="59">
        <v>5.0000000000000001E-3</v>
      </c>
      <c r="D25" s="59">
        <f>+SUM(C$23:$C25)</f>
        <v>3.4999999999999996E-2</v>
      </c>
      <c r="E25" s="59">
        <f>+E23+E24</f>
        <v>32</v>
      </c>
      <c r="F25" s="59">
        <f t="shared" si="2"/>
        <v>0.16</v>
      </c>
      <c r="G25" s="49">
        <v>1</v>
      </c>
      <c r="H25" s="55" t="s">
        <v>82</v>
      </c>
      <c r="I25" s="28"/>
    </row>
    <row r="26" spans="1:9">
      <c r="B26" s="62" t="s">
        <v>5</v>
      </c>
      <c r="C26" s="62">
        <f>+SUM(C23:C25)</f>
        <v>3.4999999999999996E-2</v>
      </c>
      <c r="D26" s="62"/>
      <c r="E26" s="62"/>
      <c r="F26" s="67">
        <f>+SUM(F23:F25)</f>
        <v>0.6</v>
      </c>
      <c r="G26" s="51"/>
    </row>
    <row r="27" spans="1:9">
      <c r="B27" s="66"/>
      <c r="C27" s="66"/>
      <c r="D27" s="66"/>
      <c r="E27" s="66"/>
      <c r="F27" s="61"/>
      <c r="G27" s="52"/>
    </row>
    <row r="28" spans="1:9">
      <c r="G28" s="47"/>
    </row>
    <row r="29" spans="1:9">
      <c r="A29" s="58" t="s">
        <v>14</v>
      </c>
      <c r="B29" s="60" t="s">
        <v>76</v>
      </c>
      <c r="C29" s="60" t="s">
        <v>10</v>
      </c>
      <c r="D29" s="60" t="s">
        <v>18</v>
      </c>
      <c r="E29" s="60" t="s">
        <v>8</v>
      </c>
      <c r="F29" s="60" t="s">
        <v>1</v>
      </c>
      <c r="G29" s="60" t="s">
        <v>46</v>
      </c>
    </row>
    <row r="30" spans="1:9">
      <c r="A30" s="55" t="s">
        <v>84</v>
      </c>
      <c r="B30" s="86">
        <v>3</v>
      </c>
      <c r="C30" s="96">
        <v>0.03</v>
      </c>
      <c r="D30" s="96">
        <f>+SUM(C30:$C$30)</f>
        <v>0.03</v>
      </c>
      <c r="E30" s="96">
        <f>+E7</f>
        <v>20</v>
      </c>
      <c r="F30" s="96">
        <f>+C30*E30</f>
        <v>0.6</v>
      </c>
      <c r="G30" s="97">
        <v>0.16666666666666599</v>
      </c>
      <c r="H30" s="55" t="s">
        <v>82</v>
      </c>
      <c r="I30" s="28"/>
    </row>
    <row r="31" spans="1:9">
      <c r="A31" s="55" t="s">
        <v>85</v>
      </c>
      <c r="B31" s="62" t="s">
        <v>5</v>
      </c>
      <c r="C31" s="62">
        <f>+SUM(C30:C30)</f>
        <v>0.03</v>
      </c>
      <c r="D31" s="62"/>
      <c r="E31" s="62"/>
      <c r="F31" s="67">
        <f>+SUM(F30:F30)</f>
        <v>0.6</v>
      </c>
      <c r="G31" s="51"/>
    </row>
    <row r="32" spans="1:9">
      <c r="A32" s="55" t="s">
        <v>86</v>
      </c>
      <c r="G32" s="47"/>
    </row>
    <row r="33" spans="1:9">
      <c r="G33" s="47"/>
    </row>
    <row r="34" spans="1:9">
      <c r="A34" s="58" t="s">
        <v>15</v>
      </c>
      <c r="B34" s="60" t="s">
        <v>76</v>
      </c>
      <c r="C34" s="60" t="s">
        <v>10</v>
      </c>
      <c r="D34" s="60" t="s">
        <v>18</v>
      </c>
      <c r="E34" s="60" t="s">
        <v>8</v>
      </c>
      <c r="F34" s="60" t="s">
        <v>1</v>
      </c>
      <c r="G34" s="60" t="s">
        <v>46</v>
      </c>
    </row>
    <row r="35" spans="1:9">
      <c r="A35" s="55" t="s">
        <v>84</v>
      </c>
      <c r="B35" s="86">
        <v>1</v>
      </c>
      <c r="C35" s="96">
        <v>1.4999999999999999E-2</v>
      </c>
      <c r="D35" s="59">
        <f>+SUM(C35:$C$35)</f>
        <v>1.4999999999999999E-2</v>
      </c>
      <c r="E35" s="59">
        <f>+E5</f>
        <v>12</v>
      </c>
      <c r="F35" s="59">
        <f>+C35*E35</f>
        <v>0.18</v>
      </c>
      <c r="G35" s="49"/>
    </row>
    <row r="36" spans="1:9">
      <c r="A36" s="55" t="s">
        <v>87</v>
      </c>
      <c r="B36" s="86">
        <v>2</v>
      </c>
      <c r="C36" s="96">
        <v>0.01</v>
      </c>
      <c r="D36" s="59">
        <f>+SUM(C$35:$C36)</f>
        <v>2.5000000000000001E-2</v>
      </c>
      <c r="E36" s="59">
        <f>+E6</f>
        <v>15</v>
      </c>
      <c r="F36" s="59">
        <f t="shared" ref="F36:F37" si="3">+C36*E36</f>
        <v>0.15</v>
      </c>
      <c r="G36" s="49"/>
    </row>
    <row r="37" spans="1:9">
      <c r="B37" s="86" t="s">
        <v>77</v>
      </c>
      <c r="C37" s="59">
        <v>0.01</v>
      </c>
      <c r="D37" s="59">
        <f>+SUM(C$35:$C37)</f>
        <v>3.5000000000000003E-2</v>
      </c>
      <c r="E37" s="59">
        <f>+E35+E36</f>
        <v>27</v>
      </c>
      <c r="F37" s="59">
        <f t="shared" si="3"/>
        <v>0.27</v>
      </c>
      <c r="G37" s="49">
        <v>0.5</v>
      </c>
      <c r="H37" s="55" t="s">
        <v>82</v>
      </c>
      <c r="I37" s="28"/>
    </row>
    <row r="38" spans="1:9">
      <c r="A38" s="64"/>
      <c r="B38" s="62" t="s">
        <v>5</v>
      </c>
      <c r="C38" s="62">
        <f>+SUM(C35:C37)</f>
        <v>3.5000000000000003E-2</v>
      </c>
      <c r="D38" s="62"/>
      <c r="E38" s="62"/>
      <c r="F38" s="67">
        <f>+SUM(F35:F37)</f>
        <v>0.6</v>
      </c>
      <c r="G38" s="51"/>
    </row>
    <row r="39" spans="1:9">
      <c r="A39" s="64"/>
      <c r="G39" s="47"/>
    </row>
    <row r="40" spans="1:9">
      <c r="G40" s="47"/>
    </row>
    <row r="41" spans="1:9">
      <c r="A41" s="58" t="s">
        <v>16</v>
      </c>
      <c r="B41" s="60" t="s">
        <v>76</v>
      </c>
      <c r="C41" s="60" t="s">
        <v>10</v>
      </c>
      <c r="D41" s="60" t="s">
        <v>18</v>
      </c>
      <c r="E41" s="60" t="s">
        <v>8</v>
      </c>
      <c r="F41" s="60" t="s">
        <v>1</v>
      </c>
      <c r="G41" s="60" t="s">
        <v>46</v>
      </c>
    </row>
    <row r="42" spans="1:9">
      <c r="A42" s="55" t="s">
        <v>84</v>
      </c>
      <c r="B42" s="86">
        <v>1</v>
      </c>
      <c r="C42" s="96">
        <v>0.05</v>
      </c>
      <c r="D42" s="96">
        <f>+SUM(C42:$C$42)</f>
        <v>0.05</v>
      </c>
      <c r="E42" s="96">
        <f>+E5</f>
        <v>12</v>
      </c>
      <c r="F42" s="96">
        <f>+E42*C42</f>
        <v>0.60000000000000009</v>
      </c>
      <c r="G42" s="97">
        <v>0.1</v>
      </c>
      <c r="H42" s="55" t="s">
        <v>82</v>
      </c>
      <c r="I42" s="28"/>
    </row>
    <row r="43" spans="1:9">
      <c r="A43" s="55" t="s">
        <v>86</v>
      </c>
      <c r="B43" s="62" t="s">
        <v>5</v>
      </c>
      <c r="C43" s="62">
        <f>+SUM(C42:C42)</f>
        <v>0.05</v>
      </c>
      <c r="D43" s="62"/>
      <c r="E43" s="62"/>
      <c r="F43" s="67">
        <f>+SUM(F42:F42)</f>
        <v>0.60000000000000009</v>
      </c>
      <c r="G43" s="51"/>
    </row>
    <row r="44" spans="1:9">
      <c r="A44" s="55" t="s">
        <v>87</v>
      </c>
      <c r="G44" s="47"/>
    </row>
    <row r="45" spans="1:9">
      <c r="G45" s="47"/>
    </row>
    <row r="46" spans="1:9">
      <c r="A46" s="58" t="s">
        <v>17</v>
      </c>
      <c r="B46" s="60" t="s">
        <v>76</v>
      </c>
      <c r="C46" s="60" t="s">
        <v>10</v>
      </c>
      <c r="D46" s="60" t="s">
        <v>18</v>
      </c>
      <c r="E46" s="60" t="s">
        <v>8</v>
      </c>
      <c r="F46" s="60" t="s">
        <v>1</v>
      </c>
      <c r="G46" s="60" t="s">
        <v>46</v>
      </c>
    </row>
    <row r="47" spans="1:9">
      <c r="A47" s="55" t="s">
        <v>84</v>
      </c>
      <c r="B47" s="86">
        <v>2</v>
      </c>
      <c r="C47" s="96">
        <v>0.04</v>
      </c>
      <c r="D47" s="96">
        <f>+SUM(C$47:$C47)</f>
        <v>0.04</v>
      </c>
      <c r="E47" s="96">
        <f>+E6</f>
        <v>15</v>
      </c>
      <c r="F47" s="96">
        <f>+E47*C47</f>
        <v>0.6</v>
      </c>
      <c r="G47" s="97">
        <f>3*0.041666666666666</f>
        <v>0.124999999999998</v>
      </c>
      <c r="H47" s="55" t="s">
        <v>82</v>
      </c>
      <c r="I47" s="28"/>
    </row>
    <row r="48" spans="1:9">
      <c r="A48" s="55" t="s">
        <v>85</v>
      </c>
      <c r="B48" s="62" t="s">
        <v>5</v>
      </c>
      <c r="C48" s="62">
        <f>+SUM(C47:C47)</f>
        <v>0.04</v>
      </c>
      <c r="D48" s="62"/>
      <c r="E48" s="62"/>
      <c r="F48" s="67">
        <f>+SUM(F47:F47)</f>
        <v>0.6</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116</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43">
        <v>0.1</v>
      </c>
      <c r="D5" s="56">
        <f>+SUM($C$5:C5)</f>
        <v>0.1</v>
      </c>
      <c r="E5" s="56">
        <f>+Summary!E27</f>
        <v>5</v>
      </c>
      <c r="F5" s="56">
        <f>+C5*E5</f>
        <v>0.5</v>
      </c>
      <c r="G5" s="49"/>
    </row>
    <row r="6" spans="1:9">
      <c r="B6" s="87">
        <v>2</v>
      </c>
      <c r="C6" s="43">
        <v>0.01</v>
      </c>
      <c r="D6" s="56">
        <f>+SUM($C$5:C6)</f>
        <v>0.11</v>
      </c>
      <c r="E6" s="56">
        <f>+Summary!E28</f>
        <v>10</v>
      </c>
      <c r="F6" s="56">
        <f t="shared" ref="F6:F7" si="0">+C6*E6</f>
        <v>0.1</v>
      </c>
      <c r="G6" s="49"/>
    </row>
    <row r="7" spans="1:9">
      <c r="B7" s="87" t="s">
        <v>77</v>
      </c>
      <c r="C7" s="43">
        <v>0.04</v>
      </c>
      <c r="D7" s="56">
        <f>+SUM($C$5:C7)</f>
        <v>0.15</v>
      </c>
      <c r="E7" s="56">
        <f>+E5+E6</f>
        <v>15</v>
      </c>
      <c r="F7" s="56">
        <f t="shared" si="0"/>
        <v>0.6</v>
      </c>
      <c r="G7" s="49">
        <v>0</v>
      </c>
      <c r="H7" s="55" t="s">
        <v>82</v>
      </c>
      <c r="I7" s="89"/>
    </row>
    <row r="8" spans="1:9">
      <c r="B8" s="62" t="s">
        <v>11</v>
      </c>
      <c r="C8" s="62">
        <f>+SUM(C5:C7)</f>
        <v>0.15</v>
      </c>
      <c r="D8" s="62"/>
      <c r="E8" s="62"/>
      <c r="F8" s="53">
        <f>+SUM(F5:F7)</f>
        <v>1.2</v>
      </c>
      <c r="G8" s="50"/>
    </row>
    <row r="9" spans="1:9">
      <c r="B9" s="63" t="s">
        <v>81</v>
      </c>
      <c r="G9" s="47"/>
    </row>
    <row r="10" spans="1:9">
      <c r="G10" s="47"/>
    </row>
    <row r="11" spans="1:9">
      <c r="G11" s="47"/>
    </row>
    <row r="12" spans="1:9">
      <c r="A12" s="58" t="s">
        <v>16</v>
      </c>
      <c r="B12" s="60" t="s">
        <v>76</v>
      </c>
      <c r="C12" s="60" t="s">
        <v>10</v>
      </c>
      <c r="D12" s="60" t="s">
        <v>18</v>
      </c>
      <c r="E12" s="60" t="s">
        <v>8</v>
      </c>
      <c r="F12" s="60" t="s">
        <v>136</v>
      </c>
      <c r="G12" s="60" t="s">
        <v>46</v>
      </c>
    </row>
    <row r="13" spans="1:9">
      <c r="A13" s="55" t="s">
        <v>84</v>
      </c>
      <c r="B13" s="86">
        <v>1</v>
      </c>
      <c r="C13" s="59">
        <v>0.24</v>
      </c>
      <c r="D13" s="59">
        <f>+SUM(C13:$C$13)</f>
        <v>0.24</v>
      </c>
      <c r="E13" s="59">
        <f>+E5</f>
        <v>5</v>
      </c>
      <c r="F13" s="59">
        <f>+E13*C13</f>
        <v>1.2</v>
      </c>
      <c r="G13" s="49">
        <v>0</v>
      </c>
      <c r="H13" s="55" t="s">
        <v>82</v>
      </c>
    </row>
    <row r="14" spans="1:9">
      <c r="A14" s="55" t="s">
        <v>86</v>
      </c>
      <c r="B14" s="62" t="s">
        <v>5</v>
      </c>
      <c r="C14" s="62">
        <f>+SUM(C13:C13)</f>
        <v>0.24</v>
      </c>
      <c r="D14" s="62"/>
      <c r="E14" s="62"/>
      <c r="F14" s="67">
        <f>+SUM(F13:F13)</f>
        <v>1.2</v>
      </c>
      <c r="G14" s="51"/>
    </row>
    <row r="15" spans="1:9">
      <c r="G15" s="47"/>
    </row>
    <row r="16" spans="1:9">
      <c r="G16" s="47"/>
    </row>
    <row r="17" spans="1:8">
      <c r="A17" s="58" t="s">
        <v>17</v>
      </c>
      <c r="B17" s="60" t="s">
        <v>76</v>
      </c>
      <c r="C17" s="60" t="s">
        <v>10</v>
      </c>
      <c r="D17" s="60" t="s">
        <v>18</v>
      </c>
      <c r="E17" s="60" t="s">
        <v>8</v>
      </c>
      <c r="F17" s="60" t="s">
        <v>136</v>
      </c>
      <c r="G17" s="60" t="s">
        <v>46</v>
      </c>
    </row>
    <row r="18" spans="1:8">
      <c r="A18" s="55" t="s">
        <v>84</v>
      </c>
      <c r="B18" s="86">
        <v>2</v>
      </c>
      <c r="C18" s="59">
        <v>0.12</v>
      </c>
      <c r="D18" s="59">
        <f>+SUM(C$18:$C18)</f>
        <v>0.12</v>
      </c>
      <c r="E18" s="59">
        <f>+E6</f>
        <v>10</v>
      </c>
      <c r="F18" s="59">
        <f>+E18*C18</f>
        <v>1.2</v>
      </c>
      <c r="G18" s="49">
        <v>0</v>
      </c>
      <c r="H18" s="55" t="s">
        <v>82</v>
      </c>
    </row>
    <row r="19" spans="1:8">
      <c r="A19" s="55" t="s">
        <v>85</v>
      </c>
      <c r="B19" s="62" t="s">
        <v>5</v>
      </c>
      <c r="C19" s="62">
        <f>+SUM(C18:C18)</f>
        <v>0.12</v>
      </c>
      <c r="D19" s="62"/>
      <c r="E19" s="62"/>
      <c r="F19" s="67">
        <f>+SUM(F18:F18)</f>
        <v>1.2</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93</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0.06</v>
      </c>
      <c r="D5" s="56">
        <f>+SUM($C$5:C5)</f>
        <v>0.06</v>
      </c>
      <c r="E5" s="56">
        <f>+Summary!H27</f>
        <v>5</v>
      </c>
      <c r="F5" s="56">
        <f>+C5*E5</f>
        <v>0.3</v>
      </c>
      <c r="G5" s="49"/>
    </row>
    <row r="6" spans="1:8">
      <c r="B6" s="87">
        <v>2</v>
      </c>
      <c r="C6" s="56">
        <v>0.05</v>
      </c>
      <c r="D6" s="56">
        <f>+SUM($C$5:C6)</f>
        <v>0.11</v>
      </c>
      <c r="E6" s="56">
        <f>+Summary!H28</f>
        <v>10</v>
      </c>
      <c r="F6" s="56">
        <f t="shared" ref="F6:F11" si="0">+C6*E6</f>
        <v>0.5</v>
      </c>
      <c r="G6" s="49"/>
    </row>
    <row r="7" spans="1:8">
      <c r="B7" s="87">
        <v>3</v>
      </c>
      <c r="C7" s="56">
        <v>6.0000000000000001E-3</v>
      </c>
      <c r="D7" s="56">
        <f>+SUM($C$5:C7)</f>
        <v>0.11600000000000001</v>
      </c>
      <c r="E7" s="56">
        <f>+Summary!H29</f>
        <v>15</v>
      </c>
      <c r="F7" s="56">
        <f t="shared" si="0"/>
        <v>0.09</v>
      </c>
      <c r="G7" s="49"/>
    </row>
    <row r="8" spans="1:8">
      <c r="B8" s="87" t="s">
        <v>77</v>
      </c>
      <c r="C8" s="56">
        <v>1E-3</v>
      </c>
      <c r="D8" s="56">
        <f>+SUM($C$5:C8)</f>
        <v>0.11700000000000001</v>
      </c>
      <c r="E8" s="56">
        <f>+E5+E6</f>
        <v>15</v>
      </c>
      <c r="F8" s="56">
        <f t="shared" si="0"/>
        <v>1.4999999999999999E-2</v>
      </c>
      <c r="G8" s="49"/>
    </row>
    <row r="9" spans="1:8">
      <c r="B9" s="87" t="s">
        <v>78</v>
      </c>
      <c r="C9" s="56">
        <v>1.5E-3</v>
      </c>
      <c r="D9" s="56">
        <f>+SUM($C$5:C9)</f>
        <v>0.11850000000000001</v>
      </c>
      <c r="E9" s="56">
        <f>+E5+E7</f>
        <v>20</v>
      </c>
      <c r="F9" s="56">
        <f t="shared" si="0"/>
        <v>0.03</v>
      </c>
      <c r="G9" s="49"/>
    </row>
    <row r="10" spans="1:8">
      <c r="B10" s="87" t="s">
        <v>79</v>
      </c>
      <c r="C10" s="56">
        <v>1E-3</v>
      </c>
      <c r="D10" s="56">
        <f>+SUM($C$5:C10)</f>
        <v>0.11950000000000001</v>
      </c>
      <c r="E10" s="56">
        <f>+E6+E7</f>
        <v>25</v>
      </c>
      <c r="F10" s="56">
        <f t="shared" si="0"/>
        <v>2.5000000000000001E-2</v>
      </c>
      <c r="G10" s="49"/>
    </row>
    <row r="11" spans="1:8">
      <c r="B11" s="87" t="s">
        <v>80</v>
      </c>
      <c r="C11" s="56">
        <v>8.0000000000000002E-3</v>
      </c>
      <c r="D11" s="56">
        <f>+SUM($C$5:C11)</f>
        <v>0.1275</v>
      </c>
      <c r="E11" s="56">
        <f>+E5+E6+E7</f>
        <v>30</v>
      </c>
      <c r="F11" s="56">
        <f t="shared" si="0"/>
        <v>0.24</v>
      </c>
      <c r="G11" s="49">
        <v>0</v>
      </c>
      <c r="H11" s="55" t="s">
        <v>82</v>
      </c>
    </row>
    <row r="12" spans="1:8">
      <c r="B12" s="62" t="s">
        <v>11</v>
      </c>
      <c r="C12" s="62">
        <f>+SUM(C5:C11)</f>
        <v>0.1275</v>
      </c>
      <c r="D12" s="62"/>
      <c r="E12" s="62"/>
      <c r="F12" s="69">
        <f>+SUM(F5:F11)</f>
        <v>1.2000000000000002</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0.08</v>
      </c>
      <c r="D16" s="59">
        <f>+SUM(C16:$C$16)</f>
        <v>0.08</v>
      </c>
      <c r="E16" s="59">
        <f>+E6</f>
        <v>10</v>
      </c>
      <c r="F16" s="59">
        <f>+C16*E16</f>
        <v>0.8</v>
      </c>
      <c r="G16" s="49"/>
    </row>
    <row r="17" spans="1:10">
      <c r="A17" s="55" t="s">
        <v>85</v>
      </c>
      <c r="B17" s="86">
        <v>3</v>
      </c>
      <c r="C17" s="59">
        <v>0.01</v>
      </c>
      <c r="D17" s="59">
        <f>+SUM(C$16:$C17)</f>
        <v>0.09</v>
      </c>
      <c r="E17" s="59">
        <f>+E7</f>
        <v>15</v>
      </c>
      <c r="F17" s="59">
        <f t="shared" ref="F17:F18" si="1">+C17*E17</f>
        <v>0.15</v>
      </c>
      <c r="G17" s="49"/>
    </row>
    <row r="18" spans="1:10">
      <c r="B18" s="86" t="s">
        <v>79</v>
      </c>
      <c r="C18" s="59">
        <v>0.01</v>
      </c>
      <c r="D18" s="59">
        <f>+SUM(C$16:$C18)</f>
        <v>9.9999999999999992E-2</v>
      </c>
      <c r="E18" s="59">
        <f>+E16+E17</f>
        <v>25</v>
      </c>
      <c r="F18" s="59">
        <f t="shared" si="1"/>
        <v>0.25</v>
      </c>
      <c r="G18" s="49">
        <v>0</v>
      </c>
      <c r="H18" s="55" t="s">
        <v>82</v>
      </c>
    </row>
    <row r="19" spans="1:10">
      <c r="B19" s="62" t="s">
        <v>5</v>
      </c>
      <c r="C19" s="62">
        <f>+SUM(C16:C18)</f>
        <v>9.9999999999999992E-2</v>
      </c>
      <c r="D19" s="62"/>
      <c r="E19" s="62"/>
      <c r="F19" s="67">
        <f>+SUM(F16:F18)</f>
        <v>1.2000000000000002</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0.08</v>
      </c>
      <c r="D23" s="59">
        <f>+SUM(C23:$C$23)</f>
        <v>0.08</v>
      </c>
      <c r="E23" s="59">
        <f>+E5</f>
        <v>5</v>
      </c>
      <c r="F23" s="59">
        <f>+C23*E23</f>
        <v>0.4</v>
      </c>
      <c r="G23" s="49"/>
    </row>
    <row r="24" spans="1:10">
      <c r="A24" s="55" t="s">
        <v>86</v>
      </c>
      <c r="B24" s="86">
        <v>3</v>
      </c>
      <c r="C24" s="59">
        <v>0.02</v>
      </c>
      <c r="D24" s="59">
        <f>+SUM(C$23:$C24)</f>
        <v>0.1</v>
      </c>
      <c r="E24" s="59">
        <f>+E7</f>
        <v>15</v>
      </c>
      <c r="F24" s="59">
        <f t="shared" ref="F24:F25" si="2">+C24*E24</f>
        <v>0.3</v>
      </c>
      <c r="G24" s="49"/>
    </row>
    <row r="25" spans="1:10">
      <c r="B25" s="86" t="s">
        <v>78</v>
      </c>
      <c r="C25" s="59">
        <v>2.5000000000000001E-2</v>
      </c>
      <c r="D25" s="59">
        <f>+SUM(C$23:$C25)</f>
        <v>0.125</v>
      </c>
      <c r="E25" s="59">
        <f>+E23+E24</f>
        <v>20</v>
      </c>
      <c r="F25" s="59">
        <f t="shared" si="2"/>
        <v>0.5</v>
      </c>
      <c r="G25" s="49">
        <v>0</v>
      </c>
      <c r="H25" s="55" t="s">
        <v>82</v>
      </c>
      <c r="J25" s="68"/>
    </row>
    <row r="26" spans="1:10">
      <c r="B26" s="62" t="s">
        <v>5</v>
      </c>
      <c r="C26" s="62">
        <f>+SUM(C23:C25)</f>
        <v>0.125</v>
      </c>
      <c r="D26" s="62"/>
      <c r="E26" s="62"/>
      <c r="F26" s="67">
        <f>+SUM(F23:F25)</f>
        <v>1.2</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0.08</v>
      </c>
      <c r="D30" s="59">
        <f>+SUM(C30:$C$30)</f>
        <v>0.08</v>
      </c>
      <c r="E30" s="59">
        <f>+E7</f>
        <v>15</v>
      </c>
      <c r="F30" s="59">
        <f>+C30*E30</f>
        <v>1.2</v>
      </c>
      <c r="G30" s="49">
        <v>0</v>
      </c>
      <c r="H30" s="55" t="s">
        <v>82</v>
      </c>
    </row>
    <row r="31" spans="1:10">
      <c r="A31" s="55" t="s">
        <v>85</v>
      </c>
      <c r="B31" s="62" t="s">
        <v>5</v>
      </c>
      <c r="C31" s="62">
        <f>+SUM(C30:C30)</f>
        <v>0.08</v>
      </c>
      <c r="D31" s="62"/>
      <c r="E31" s="62"/>
      <c r="F31" s="67">
        <f>+SUM(F30:F30)</f>
        <v>1.2</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0.08</v>
      </c>
      <c r="D35" s="59">
        <f>+SUM(C35:$C$35)</f>
        <v>0.08</v>
      </c>
      <c r="E35" s="59">
        <f>+E5</f>
        <v>5</v>
      </c>
      <c r="F35" s="59">
        <f>+C35*E35</f>
        <v>0.4</v>
      </c>
      <c r="G35" s="49"/>
    </row>
    <row r="36" spans="1:8">
      <c r="A36" s="55" t="s">
        <v>87</v>
      </c>
      <c r="B36" s="86">
        <v>2</v>
      </c>
      <c r="C36" s="59">
        <v>0.05</v>
      </c>
      <c r="D36" s="59">
        <f>+SUM(C$35:$C36)</f>
        <v>0.13</v>
      </c>
      <c r="E36" s="59">
        <f>+E6</f>
        <v>10</v>
      </c>
      <c r="F36" s="59">
        <f t="shared" ref="F36:F37" si="3">+C36*E36</f>
        <v>0.5</v>
      </c>
      <c r="G36" s="49"/>
    </row>
    <row r="37" spans="1:8">
      <c r="B37" s="86" t="s">
        <v>77</v>
      </c>
      <c r="C37" s="59">
        <v>0.02</v>
      </c>
      <c r="D37" s="59">
        <f>+SUM(C$35:$C37)</f>
        <v>0.15</v>
      </c>
      <c r="E37" s="59">
        <f>+E35+E36</f>
        <v>15</v>
      </c>
      <c r="F37" s="59">
        <f t="shared" si="3"/>
        <v>0.3</v>
      </c>
      <c r="G37" s="49">
        <v>0</v>
      </c>
      <c r="H37" s="55" t="s">
        <v>82</v>
      </c>
    </row>
    <row r="38" spans="1:8">
      <c r="A38" s="64"/>
      <c r="B38" s="62" t="s">
        <v>5</v>
      </c>
      <c r="C38" s="62">
        <f>+SUM(C35:C37)</f>
        <v>0.15</v>
      </c>
      <c r="D38" s="62"/>
      <c r="E38" s="62"/>
      <c r="F38" s="67">
        <f>+SUM(F35:F37)</f>
        <v>1.2</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0.24</v>
      </c>
      <c r="D42" s="59">
        <f>+SUM(C42:$C$42)</f>
        <v>0.24</v>
      </c>
      <c r="E42" s="59">
        <f>+E5</f>
        <v>5</v>
      </c>
      <c r="F42" s="59">
        <f>+E42*C42</f>
        <v>1.2</v>
      </c>
      <c r="G42" s="49">
        <v>0</v>
      </c>
      <c r="H42" s="55" t="s">
        <v>82</v>
      </c>
    </row>
    <row r="43" spans="1:8">
      <c r="A43" s="55" t="s">
        <v>86</v>
      </c>
      <c r="B43" s="62" t="s">
        <v>5</v>
      </c>
      <c r="C43" s="62">
        <f>+SUM(C42:C42)</f>
        <v>0.24</v>
      </c>
      <c r="D43" s="62"/>
      <c r="E43" s="62"/>
      <c r="F43" s="67">
        <f>+SUM(F42:F42)</f>
        <v>1.2</v>
      </c>
      <c r="G43" s="51"/>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0.12</v>
      </c>
      <c r="D47" s="59">
        <f>+SUM(C$47:$C47)</f>
        <v>0.12</v>
      </c>
      <c r="E47" s="59">
        <f>+E6</f>
        <v>10</v>
      </c>
      <c r="F47" s="59">
        <f>+E47*C47</f>
        <v>1.2</v>
      </c>
      <c r="G47" s="49">
        <v>0</v>
      </c>
      <c r="H47" s="55" t="s">
        <v>82</v>
      </c>
    </row>
    <row r="48" spans="1:8">
      <c r="A48" s="55" t="s">
        <v>85</v>
      </c>
      <c r="B48" s="62" t="s">
        <v>5</v>
      </c>
      <c r="C48" s="62">
        <f>+SUM(C47:C47)</f>
        <v>0.12</v>
      </c>
      <c r="D48" s="62"/>
      <c r="E48" s="62"/>
      <c r="F48" s="67">
        <f>+SUM(F47:F47)</f>
        <v>1.2</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96</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5.2499999999999998E-2</v>
      </c>
      <c r="D5" s="56">
        <f>+SUM($C$5:C5)</f>
        <v>5.2499999999999998E-2</v>
      </c>
      <c r="E5" s="70">
        <f>Summary!K27</f>
        <v>8</v>
      </c>
      <c r="F5" s="56">
        <f>+C5*E5</f>
        <v>0.42</v>
      </c>
      <c r="G5" s="49"/>
    </row>
    <row r="6" spans="1:8">
      <c r="B6" s="87">
        <v>2</v>
      </c>
      <c r="C6" s="56">
        <v>0.01</v>
      </c>
      <c r="D6" s="56">
        <f>+SUM($C$5:C6)</f>
        <v>6.25E-2</v>
      </c>
      <c r="E6" s="70">
        <f>Summary!K28</f>
        <v>12</v>
      </c>
      <c r="F6" s="56">
        <f t="shared" ref="F6:F11" si="0">+C6*E6</f>
        <v>0.12</v>
      </c>
      <c r="G6" s="49"/>
    </row>
    <row r="7" spans="1:8">
      <c r="B7" s="87">
        <v>3</v>
      </c>
      <c r="C7" s="56">
        <v>5.0000000000000001E-3</v>
      </c>
      <c r="D7" s="56">
        <f>+SUM($C$5:C7)</f>
        <v>6.7500000000000004E-2</v>
      </c>
      <c r="E7" s="70">
        <f>Summary!K29</f>
        <v>18</v>
      </c>
      <c r="F7" s="56">
        <f t="shared" si="0"/>
        <v>0.09</v>
      </c>
      <c r="G7" s="49"/>
    </row>
    <row r="8" spans="1:8">
      <c r="B8" s="87" t="s">
        <v>77</v>
      </c>
      <c r="C8" s="56">
        <v>5.0000000000000001E-3</v>
      </c>
      <c r="D8" s="56">
        <f>+SUM($C$5:C8)</f>
        <v>7.2500000000000009E-2</v>
      </c>
      <c r="E8" s="56">
        <f>+E5+E6</f>
        <v>20</v>
      </c>
      <c r="F8" s="56">
        <f t="shared" si="0"/>
        <v>0.1</v>
      </c>
      <c r="G8" s="49"/>
    </row>
    <row r="9" spans="1:8">
      <c r="B9" s="87" t="s">
        <v>78</v>
      </c>
      <c r="C9" s="56">
        <v>5.0000000000000001E-3</v>
      </c>
      <c r="D9" s="56">
        <f>+SUM($C$5:C9)</f>
        <v>7.7500000000000013E-2</v>
      </c>
      <c r="E9" s="56">
        <f>+E5+E7</f>
        <v>26</v>
      </c>
      <c r="F9" s="56">
        <f t="shared" si="0"/>
        <v>0.13</v>
      </c>
      <c r="G9" s="49"/>
    </row>
    <row r="10" spans="1:8">
      <c r="B10" s="87" t="s">
        <v>79</v>
      </c>
      <c r="C10" s="56">
        <v>5.0000000000000001E-3</v>
      </c>
      <c r="D10" s="56">
        <f>+SUM($C$5:C10)</f>
        <v>8.2500000000000018E-2</v>
      </c>
      <c r="E10" s="56">
        <f>+E6+E7</f>
        <v>30</v>
      </c>
      <c r="F10" s="56">
        <f t="shared" si="0"/>
        <v>0.15</v>
      </c>
      <c r="G10" s="49"/>
    </row>
    <row r="11" spans="1:8">
      <c r="B11" s="87" t="s">
        <v>80</v>
      </c>
      <c r="C11" s="56">
        <v>5.0000000000000001E-3</v>
      </c>
      <c r="D11" s="56">
        <f>+SUM($C$5:C11)</f>
        <v>8.7500000000000022E-2</v>
      </c>
      <c r="E11" s="56">
        <f>+E5+E6+E7</f>
        <v>38</v>
      </c>
      <c r="F11" s="56">
        <f t="shared" si="0"/>
        <v>0.19</v>
      </c>
      <c r="G11" s="49">
        <v>0</v>
      </c>
      <c r="H11" s="55" t="s">
        <v>82</v>
      </c>
    </row>
    <row r="12" spans="1:8">
      <c r="B12" s="62" t="s">
        <v>11</v>
      </c>
      <c r="C12" s="62">
        <f>+SUM(C5:C11)</f>
        <v>8.7500000000000022E-2</v>
      </c>
      <c r="D12" s="62"/>
      <c r="E12" s="62"/>
      <c r="F12" s="69">
        <f>+SUM(F5:F11)</f>
        <v>1.2</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0.06</v>
      </c>
      <c r="D16" s="59">
        <f>+SUM(C16:$C$16)</f>
        <v>0.06</v>
      </c>
      <c r="E16" s="59">
        <f>+E6</f>
        <v>12</v>
      </c>
      <c r="F16" s="59">
        <f>+C16*E16</f>
        <v>0.72</v>
      </c>
      <c r="G16" s="49"/>
    </row>
    <row r="17" spans="1:10">
      <c r="A17" s="55" t="s">
        <v>85</v>
      </c>
      <c r="B17" s="86">
        <v>3</v>
      </c>
      <c r="C17" s="59">
        <v>0.01</v>
      </c>
      <c r="D17" s="59">
        <f>+SUM(C$16:$C17)</f>
        <v>6.9999999999999993E-2</v>
      </c>
      <c r="E17" s="59">
        <f>+E7</f>
        <v>18</v>
      </c>
      <c r="F17" s="59">
        <f t="shared" ref="F17:F18" si="1">+C17*E17</f>
        <v>0.18</v>
      </c>
      <c r="G17" s="49"/>
    </row>
    <row r="18" spans="1:10">
      <c r="B18" s="86" t="s">
        <v>79</v>
      </c>
      <c r="C18" s="59">
        <v>0.01</v>
      </c>
      <c r="D18" s="59">
        <f>+SUM(C$16:$C18)</f>
        <v>7.9999999999999988E-2</v>
      </c>
      <c r="E18" s="59">
        <f>+E16+E17</f>
        <v>30</v>
      </c>
      <c r="F18" s="59">
        <f t="shared" si="1"/>
        <v>0.3</v>
      </c>
      <c r="G18" s="49">
        <v>0</v>
      </c>
      <c r="H18" s="55" t="s">
        <v>82</v>
      </c>
    </row>
    <row r="19" spans="1:10">
      <c r="B19" s="62" t="s">
        <v>5</v>
      </c>
      <c r="C19" s="62">
        <f>+SUM(C16:C18)</f>
        <v>7.9999999999999988E-2</v>
      </c>
      <c r="D19" s="62"/>
      <c r="E19" s="62"/>
      <c r="F19" s="67">
        <f>+SUM(F16:F18)</f>
        <v>1.2</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7.2499999999999995E-2</v>
      </c>
      <c r="D23" s="59">
        <f>+SUM(C23:$C$23)</f>
        <v>7.2499999999999995E-2</v>
      </c>
      <c r="E23" s="59">
        <f>+E5</f>
        <v>8</v>
      </c>
      <c r="F23" s="59">
        <f>+C23*E23</f>
        <v>0.57999999999999996</v>
      </c>
      <c r="G23" s="49"/>
    </row>
    <row r="24" spans="1:10">
      <c r="A24" s="55" t="s">
        <v>86</v>
      </c>
      <c r="B24" s="86">
        <v>3</v>
      </c>
      <c r="C24" s="59">
        <v>0.02</v>
      </c>
      <c r="D24" s="59">
        <f>+SUM(C$23:$C24)</f>
        <v>9.2499999999999999E-2</v>
      </c>
      <c r="E24" s="59">
        <f>+E7</f>
        <v>18</v>
      </c>
      <c r="F24" s="59">
        <f t="shared" ref="F24:F25" si="2">+C24*E24</f>
        <v>0.36</v>
      </c>
      <c r="G24" s="49"/>
    </row>
    <row r="25" spans="1:10">
      <c r="B25" s="86" t="s">
        <v>78</v>
      </c>
      <c r="C25" s="59">
        <v>0.01</v>
      </c>
      <c r="D25" s="59">
        <f>+SUM(C$23:$C25)</f>
        <v>0.10249999999999999</v>
      </c>
      <c r="E25" s="59">
        <f>+E23+E24</f>
        <v>26</v>
      </c>
      <c r="F25" s="59">
        <f t="shared" si="2"/>
        <v>0.26</v>
      </c>
      <c r="G25" s="49">
        <v>0</v>
      </c>
      <c r="H25" s="55" t="s">
        <v>82</v>
      </c>
      <c r="J25" s="68"/>
    </row>
    <row r="26" spans="1:10">
      <c r="B26" s="62" t="s">
        <v>5</v>
      </c>
      <c r="C26" s="62">
        <f>+SUM(C23:C25)</f>
        <v>0.10249999999999999</v>
      </c>
      <c r="D26" s="62"/>
      <c r="E26" s="62"/>
      <c r="F26" s="67">
        <f>+SUM(F23:F25)</f>
        <v>1.2</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6.6666666666660004E-2</v>
      </c>
      <c r="D30" s="59">
        <f>+SUM(C30:$C$30)</f>
        <v>6.6666666666660004E-2</v>
      </c>
      <c r="E30" s="59">
        <f>+E7</f>
        <v>18</v>
      </c>
      <c r="F30" s="59">
        <f>+C30*E30</f>
        <v>1.1999999999998801</v>
      </c>
      <c r="G30" s="49">
        <v>0</v>
      </c>
      <c r="H30" s="55" t="s">
        <v>82</v>
      </c>
    </row>
    <row r="31" spans="1:10">
      <c r="A31" s="55" t="s">
        <v>85</v>
      </c>
      <c r="B31" s="62" t="s">
        <v>5</v>
      </c>
      <c r="C31" s="62">
        <f>+SUM(C30:C30)</f>
        <v>6.6666666666660004E-2</v>
      </c>
      <c r="D31" s="62"/>
      <c r="E31" s="62"/>
      <c r="F31" s="67">
        <f>+SUM(F30:F30)</f>
        <v>1.1999999999998801</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0.06</v>
      </c>
      <c r="D35" s="59">
        <f>+SUM(C35:$C$35)</f>
        <v>0.06</v>
      </c>
      <c r="E35" s="59">
        <f>+E5</f>
        <v>8</v>
      </c>
      <c r="F35" s="59">
        <f>+C35*E35</f>
        <v>0.48</v>
      </c>
      <c r="G35" s="49"/>
    </row>
    <row r="36" spans="1:8">
      <c r="A36" s="55" t="s">
        <v>87</v>
      </c>
      <c r="B36" s="86">
        <v>2</v>
      </c>
      <c r="C36" s="59">
        <v>0.01</v>
      </c>
      <c r="D36" s="59">
        <f>+SUM(C$35:$C36)</f>
        <v>6.9999999999999993E-2</v>
      </c>
      <c r="E36" s="59">
        <f>+E6</f>
        <v>12</v>
      </c>
      <c r="F36" s="59">
        <f t="shared" ref="F36:F37" si="3">+C36*E36</f>
        <v>0.12</v>
      </c>
      <c r="G36" s="49"/>
    </row>
    <row r="37" spans="1:8">
      <c r="B37" s="86" t="s">
        <v>77</v>
      </c>
      <c r="C37" s="59">
        <v>0.03</v>
      </c>
      <c r="D37" s="59">
        <f>+SUM(C$35:$C37)</f>
        <v>9.9999999999999992E-2</v>
      </c>
      <c r="E37" s="59">
        <f>+E35+E36</f>
        <v>20</v>
      </c>
      <c r="F37" s="59">
        <f t="shared" si="3"/>
        <v>0.6</v>
      </c>
      <c r="G37" s="49">
        <v>0</v>
      </c>
      <c r="H37" s="55" t="s">
        <v>82</v>
      </c>
    </row>
    <row r="38" spans="1:8">
      <c r="A38" s="64"/>
      <c r="B38" s="62" t="s">
        <v>5</v>
      </c>
      <c r="C38" s="62">
        <f>+SUM(C35:C37)</f>
        <v>9.9999999999999992E-2</v>
      </c>
      <c r="D38" s="62"/>
      <c r="E38" s="62"/>
      <c r="F38" s="67">
        <f>+SUM(F35:F37)</f>
        <v>1.2</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0.15</v>
      </c>
      <c r="D42" s="59">
        <f>+SUM(C42:$C$42)</f>
        <v>0.15</v>
      </c>
      <c r="E42" s="59">
        <f>+E5</f>
        <v>8</v>
      </c>
      <c r="F42" s="59">
        <f>+E42*C42</f>
        <v>1.2</v>
      </c>
      <c r="G42" s="49">
        <v>0</v>
      </c>
      <c r="H42" s="55" t="s">
        <v>82</v>
      </c>
    </row>
    <row r="43" spans="1:8">
      <c r="A43" s="55" t="s">
        <v>86</v>
      </c>
      <c r="B43" s="62" t="s">
        <v>5</v>
      </c>
      <c r="C43" s="62">
        <f>+SUM(C42:C42)</f>
        <v>0.15</v>
      </c>
      <c r="D43" s="62"/>
      <c r="E43" s="62"/>
      <c r="F43" s="67">
        <f>+SUM(F42:F42)</f>
        <v>1.2</v>
      </c>
      <c r="G43" s="51"/>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0.1</v>
      </c>
      <c r="D47" s="59">
        <f>+SUM(C$47:$C47)</f>
        <v>0.1</v>
      </c>
      <c r="E47" s="59">
        <f>+E6</f>
        <v>12</v>
      </c>
      <c r="F47" s="59">
        <f>+E47*C47</f>
        <v>1.2000000000000002</v>
      </c>
      <c r="G47" s="49">
        <v>0</v>
      </c>
      <c r="H47" s="55" t="s">
        <v>82</v>
      </c>
    </row>
    <row r="48" spans="1:8">
      <c r="A48" s="55" t="s">
        <v>85</v>
      </c>
      <c r="B48" s="62" t="s">
        <v>5</v>
      </c>
      <c r="C48" s="62">
        <f>+SUM(C47:C47)</f>
        <v>0.1</v>
      </c>
      <c r="D48" s="62"/>
      <c r="E48" s="62"/>
      <c r="F48" s="67">
        <f>+SUM(F47:F47)</f>
        <v>1.2000000000000002</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101</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43">
        <v>0.1</v>
      </c>
      <c r="D5" s="56">
        <f>+SUM($C$5:C5)</f>
        <v>0.1</v>
      </c>
      <c r="E5" s="56">
        <f>+Summary!B27</f>
        <v>3</v>
      </c>
      <c r="F5" s="56">
        <f>+C5*E5</f>
        <v>0.30000000000000004</v>
      </c>
      <c r="G5" s="49"/>
    </row>
    <row r="6" spans="1:9">
      <c r="B6" s="87">
        <v>2</v>
      </c>
      <c r="C6" s="43">
        <v>0.1</v>
      </c>
      <c r="D6" s="56">
        <f>+SUM($C$5:C6)</f>
        <v>0.2</v>
      </c>
      <c r="E6" s="56">
        <f>+Summary!B28</f>
        <v>5</v>
      </c>
      <c r="F6" s="56">
        <f t="shared" ref="F6:F7" si="0">+C6*E6</f>
        <v>0.5</v>
      </c>
      <c r="G6" s="49"/>
    </row>
    <row r="7" spans="1:9">
      <c r="B7" s="87" t="s">
        <v>77</v>
      </c>
      <c r="C7" s="43">
        <v>0.05</v>
      </c>
      <c r="D7" s="56">
        <f>+SUM($C$5:C7)</f>
        <v>0.25</v>
      </c>
      <c r="E7" s="56">
        <f>+E5+E6</f>
        <v>8</v>
      </c>
      <c r="F7" s="56">
        <f t="shared" si="0"/>
        <v>0.4</v>
      </c>
      <c r="G7" s="49">
        <v>0</v>
      </c>
      <c r="H7" s="55" t="s">
        <v>82</v>
      </c>
      <c r="I7" s="89"/>
    </row>
    <row r="8" spans="1:9">
      <c r="B8" s="62" t="s">
        <v>11</v>
      </c>
      <c r="C8" s="62">
        <f>+SUM(C5:C7)</f>
        <v>0.25</v>
      </c>
      <c r="D8" s="62"/>
      <c r="E8" s="62"/>
      <c r="F8" s="53">
        <f>+SUM(F5:F7)</f>
        <v>1.2000000000000002</v>
      </c>
      <c r="G8" s="50"/>
    </row>
    <row r="9" spans="1:9">
      <c r="B9" s="63" t="s">
        <v>81</v>
      </c>
      <c r="G9" s="47"/>
    </row>
    <row r="10" spans="1:9">
      <c r="G10" s="47"/>
    </row>
    <row r="11" spans="1:9">
      <c r="G11" s="47"/>
    </row>
    <row r="12" spans="1:9">
      <c r="A12" s="58" t="s">
        <v>16</v>
      </c>
      <c r="B12" s="60" t="s">
        <v>76</v>
      </c>
      <c r="C12" s="60" t="s">
        <v>10</v>
      </c>
      <c r="D12" s="60" t="s">
        <v>18</v>
      </c>
      <c r="E12" s="60" t="s">
        <v>8</v>
      </c>
      <c r="F12" s="60" t="s">
        <v>136</v>
      </c>
      <c r="G12" s="60" t="s">
        <v>46</v>
      </c>
    </row>
    <row r="13" spans="1:9">
      <c r="A13" s="55" t="s">
        <v>84</v>
      </c>
      <c r="B13" s="86">
        <v>1</v>
      </c>
      <c r="C13" s="59">
        <v>0.4</v>
      </c>
      <c r="D13" s="59">
        <f>+SUM(C13:$C$13)</f>
        <v>0.4</v>
      </c>
      <c r="E13" s="59">
        <f>+E5</f>
        <v>3</v>
      </c>
      <c r="F13" s="59">
        <f>+E13*C13</f>
        <v>1.2000000000000002</v>
      </c>
      <c r="G13" s="49">
        <v>0</v>
      </c>
      <c r="H13" s="55" t="s">
        <v>82</v>
      </c>
    </row>
    <row r="14" spans="1:9">
      <c r="A14" s="55" t="s">
        <v>86</v>
      </c>
      <c r="B14" s="62" t="s">
        <v>5</v>
      </c>
      <c r="C14" s="62">
        <f>+SUM(C13:C13)</f>
        <v>0.4</v>
      </c>
      <c r="D14" s="62"/>
      <c r="E14" s="62"/>
      <c r="F14" s="67">
        <f>+SUM(F13:F13)</f>
        <v>1.2000000000000002</v>
      </c>
      <c r="G14" s="51"/>
    </row>
    <row r="15" spans="1:9">
      <c r="G15" s="47"/>
    </row>
    <row r="16" spans="1:9">
      <c r="G16" s="47"/>
    </row>
    <row r="17" spans="1:8">
      <c r="A17" s="58" t="s">
        <v>17</v>
      </c>
      <c r="B17" s="60" t="s">
        <v>76</v>
      </c>
      <c r="C17" s="60" t="s">
        <v>10</v>
      </c>
      <c r="D17" s="60" t="s">
        <v>18</v>
      </c>
      <c r="E17" s="60" t="s">
        <v>8</v>
      </c>
      <c r="F17" s="60" t="s">
        <v>136</v>
      </c>
      <c r="G17" s="60" t="s">
        <v>46</v>
      </c>
    </row>
    <row r="18" spans="1:8">
      <c r="A18" s="55" t="s">
        <v>84</v>
      </c>
      <c r="B18" s="86">
        <v>2</v>
      </c>
      <c r="C18" s="59">
        <v>0.24</v>
      </c>
      <c r="D18" s="59">
        <f>+SUM(C$18:$C18)</f>
        <v>0.24</v>
      </c>
      <c r="E18" s="59">
        <f>+E6</f>
        <v>5</v>
      </c>
      <c r="F18" s="59">
        <f>+E18*C18</f>
        <v>1.2</v>
      </c>
      <c r="G18" s="49">
        <v>0</v>
      </c>
      <c r="H18" s="55" t="s">
        <v>82</v>
      </c>
    </row>
    <row r="19" spans="1:8">
      <c r="A19" s="55" t="s">
        <v>85</v>
      </c>
      <c r="B19" s="62" t="s">
        <v>5</v>
      </c>
      <c r="C19" s="62">
        <f>+SUM(C18:C18)</f>
        <v>0.24</v>
      </c>
      <c r="D19" s="62"/>
      <c r="E19" s="62"/>
      <c r="F19" s="67">
        <f>+SUM(F18:F18)</f>
        <v>1.2</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102</v>
      </c>
      <c r="B1" s="130"/>
      <c r="C1" s="130"/>
      <c r="D1" s="130"/>
      <c r="E1" s="130"/>
    </row>
    <row r="2" spans="1:8">
      <c r="A2" s="65" t="s">
        <v>114</v>
      </c>
    </row>
    <row r="4" spans="1:8">
      <c r="A4" s="58" t="s">
        <v>65</v>
      </c>
      <c r="B4" s="60" t="s">
        <v>76</v>
      </c>
      <c r="C4" s="60" t="s">
        <v>10</v>
      </c>
      <c r="D4" s="60" t="s">
        <v>18</v>
      </c>
      <c r="E4" s="60" t="s">
        <v>8</v>
      </c>
      <c r="F4" s="60" t="s">
        <v>136</v>
      </c>
      <c r="G4" s="60" t="s">
        <v>46</v>
      </c>
    </row>
    <row r="5" spans="1:8">
      <c r="B5" s="86">
        <v>1</v>
      </c>
      <c r="C5" s="59">
        <v>0.6</v>
      </c>
      <c r="D5" s="59">
        <f>+SUM(C5:$C$5)</f>
        <v>0.6</v>
      </c>
      <c r="E5" s="59">
        <f>+Summary!B21</f>
        <v>2</v>
      </c>
      <c r="F5" s="59">
        <f>+E5*C5</f>
        <v>1.2</v>
      </c>
      <c r="G5" s="49">
        <v>0</v>
      </c>
      <c r="H5" s="55" t="s">
        <v>82</v>
      </c>
    </row>
    <row r="6" spans="1:8">
      <c r="B6" s="62" t="s">
        <v>5</v>
      </c>
      <c r="C6" s="62">
        <f>+SUM(C5:C5)</f>
        <v>0.6</v>
      </c>
      <c r="D6" s="62"/>
      <c r="E6" s="62"/>
      <c r="F6" s="67">
        <f>+SUM(F5:F5)</f>
        <v>1.2</v>
      </c>
      <c r="G6" s="51"/>
    </row>
    <row r="7" spans="1:8">
      <c r="G7" s="47"/>
    </row>
    <row r="8" spans="1:8">
      <c r="G8" s="47"/>
    </row>
    <row r="9" spans="1:8">
      <c r="A9" s="58" t="s">
        <v>66</v>
      </c>
      <c r="B9" s="60" t="s">
        <v>76</v>
      </c>
      <c r="C9" s="60" t="s">
        <v>10</v>
      </c>
      <c r="D9" s="60" t="s">
        <v>18</v>
      </c>
      <c r="E9" s="60" t="s">
        <v>8</v>
      </c>
      <c r="F9" s="60" t="s">
        <v>136</v>
      </c>
      <c r="G9" s="60" t="s">
        <v>46</v>
      </c>
    </row>
    <row r="10" spans="1:8">
      <c r="B10" s="86">
        <v>1</v>
      </c>
      <c r="C10" s="59">
        <v>0.24</v>
      </c>
      <c r="D10" s="59">
        <f>1/6</f>
        <v>0.16666666666666666</v>
      </c>
      <c r="E10" s="59">
        <f>+Summary!E21</f>
        <v>5</v>
      </c>
      <c r="F10" s="59">
        <f>+E10*C10</f>
        <v>1.2</v>
      </c>
      <c r="G10" s="49">
        <v>0</v>
      </c>
      <c r="H10" s="55" t="s">
        <v>82</v>
      </c>
    </row>
    <row r="11" spans="1:8">
      <c r="B11" s="62" t="s">
        <v>5</v>
      </c>
      <c r="C11" s="62">
        <f>+SUM(C10:C10)</f>
        <v>0.24</v>
      </c>
      <c r="D11" s="62"/>
      <c r="E11" s="62"/>
      <c r="F11" s="67">
        <f>+SUM(F10:F10)</f>
        <v>1.2</v>
      </c>
      <c r="G11" s="51"/>
    </row>
    <row r="12" spans="1:8">
      <c r="G12" s="48"/>
    </row>
    <row r="13" spans="1:8">
      <c r="G13" s="48"/>
    </row>
    <row r="14" spans="1:8">
      <c r="A14" s="58" t="s">
        <v>67</v>
      </c>
      <c r="B14" s="60" t="s">
        <v>76</v>
      </c>
      <c r="C14" s="60" t="s">
        <v>10</v>
      </c>
      <c r="D14" s="60" t="s">
        <v>18</v>
      </c>
      <c r="E14" s="60" t="s">
        <v>8</v>
      </c>
      <c r="F14" s="60" t="s">
        <v>136</v>
      </c>
      <c r="G14" s="60" t="s">
        <v>46</v>
      </c>
    </row>
    <row r="15" spans="1:8">
      <c r="B15" s="86">
        <v>1</v>
      </c>
      <c r="C15" s="59">
        <v>0.15</v>
      </c>
      <c r="D15" s="59">
        <f>+SUM(C$15:$C15)</f>
        <v>0.15</v>
      </c>
      <c r="E15" s="59">
        <f>+Summary!H21</f>
        <v>8</v>
      </c>
      <c r="F15" s="59">
        <f>+E15*C15</f>
        <v>1.2</v>
      </c>
      <c r="G15" s="49">
        <v>0</v>
      </c>
      <c r="H15" s="55" t="s">
        <v>82</v>
      </c>
    </row>
    <row r="16" spans="1:8">
      <c r="B16" s="62" t="s">
        <v>5</v>
      </c>
      <c r="C16" s="62">
        <f>+SUM(C15:C15)</f>
        <v>0.15</v>
      </c>
      <c r="D16" s="62"/>
      <c r="E16" s="62"/>
      <c r="F16" s="67">
        <f>+SUM(F15:F15)</f>
        <v>1.2</v>
      </c>
      <c r="G16" s="51"/>
    </row>
    <row r="17" spans="7:7">
      <c r="G17" s="48"/>
    </row>
    <row r="18" spans="7:7">
      <c r="G18" s="48"/>
    </row>
    <row r="19" spans="7:7">
      <c r="G19" s="48"/>
    </row>
    <row r="20" spans="7:7">
      <c r="G20" s="48"/>
    </row>
    <row r="21" spans="7:7">
      <c r="G21" s="48"/>
    </row>
    <row r="22" spans="7:7">
      <c r="G22" s="48"/>
    </row>
    <row r="23" spans="7:7">
      <c r="G23" s="48"/>
    </row>
    <row r="24" spans="7:7">
      <c r="G24" s="48"/>
    </row>
    <row r="25" spans="7:7">
      <c r="G25" s="48"/>
    </row>
    <row r="26" spans="7:7">
      <c r="G26" s="48"/>
    </row>
    <row r="27" spans="7:7">
      <c r="G27" s="48"/>
    </row>
    <row r="28" spans="7:7">
      <c r="G28" s="48"/>
    </row>
    <row r="29" spans="7:7">
      <c r="G29" s="48"/>
    </row>
    <row r="30" spans="7:7">
      <c r="G30" s="48"/>
    </row>
    <row r="31" spans="7:7">
      <c r="G31" s="48"/>
    </row>
    <row r="32" spans="7:7">
      <c r="G32" s="48"/>
    </row>
    <row r="33" spans="7:7">
      <c r="G33" s="48"/>
    </row>
    <row r="34" spans="7:7">
      <c r="G34" s="47"/>
    </row>
    <row r="35" spans="7:7">
      <c r="G35" s="47"/>
    </row>
    <row r="36" spans="7:7">
      <c r="G36" s="47"/>
    </row>
    <row r="37" spans="7:7">
      <c r="G37" s="47"/>
    </row>
    <row r="38" spans="7:7">
      <c r="G38" s="47"/>
    </row>
    <row r="39" spans="7:7">
      <c r="G39" s="47"/>
    </row>
    <row r="40" spans="7:7">
      <c r="G40" s="47"/>
    </row>
    <row r="41" spans="7:7">
      <c r="G41" s="47"/>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103</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128">
        <v>0.02</v>
      </c>
      <c r="D5" s="56">
        <f>+SUM($C$5:C5)</f>
        <v>0.02</v>
      </c>
      <c r="E5" s="56">
        <f>+Summary!B36</f>
        <v>12</v>
      </c>
      <c r="F5" s="56">
        <f>+C5*E5</f>
        <v>0.24</v>
      </c>
      <c r="G5" s="49"/>
    </row>
    <row r="6" spans="1:9">
      <c r="B6" s="87">
        <v>2</v>
      </c>
      <c r="C6" s="128">
        <v>1.0999999999999999E-2</v>
      </c>
      <c r="D6" s="56">
        <f>+SUM($C$5:C6)</f>
        <v>3.1E-2</v>
      </c>
      <c r="E6" s="56">
        <f>+Summary!B37</f>
        <v>15</v>
      </c>
      <c r="F6" s="56">
        <f t="shared" ref="F6:F11" si="0">+C6*E6</f>
        <v>0.16499999999999998</v>
      </c>
      <c r="G6" s="49"/>
    </row>
    <row r="7" spans="1:9">
      <c r="B7" s="87">
        <v>3</v>
      </c>
      <c r="C7" s="128">
        <v>4.4999999999999997E-3</v>
      </c>
      <c r="D7" s="56">
        <f>+SUM($C$5:C7)</f>
        <v>3.5499999999999997E-2</v>
      </c>
      <c r="E7" s="56">
        <f>+Summary!B38</f>
        <v>20</v>
      </c>
      <c r="F7" s="56">
        <f t="shared" si="0"/>
        <v>0.09</v>
      </c>
      <c r="G7" s="49"/>
      <c r="I7" s="28"/>
    </row>
    <row r="8" spans="1:9">
      <c r="B8" s="87" t="s">
        <v>77</v>
      </c>
      <c r="C8" s="128">
        <v>5.0000000000000001E-3</v>
      </c>
      <c r="D8" s="56">
        <f>+SUM($C$5:C8)</f>
        <v>4.0499999999999994E-2</v>
      </c>
      <c r="E8" s="56">
        <f>+E5+E6</f>
        <v>27</v>
      </c>
      <c r="F8" s="56">
        <f t="shared" si="0"/>
        <v>0.13500000000000001</v>
      </c>
      <c r="G8" s="49"/>
      <c r="I8" s="89"/>
    </row>
    <row r="9" spans="1:9">
      <c r="B9" s="87" t="s">
        <v>78</v>
      </c>
      <c r="C9" s="128">
        <v>5.0000000000000001E-3</v>
      </c>
      <c r="D9" s="56">
        <f>+SUM($C$5:C9)</f>
        <v>4.5499999999999992E-2</v>
      </c>
      <c r="E9" s="56">
        <f>+E5+E7</f>
        <v>32</v>
      </c>
      <c r="F9" s="56">
        <f t="shared" si="0"/>
        <v>0.16</v>
      </c>
      <c r="G9" s="49"/>
    </row>
    <row r="10" spans="1:9">
      <c r="B10" s="87" t="s">
        <v>79</v>
      </c>
      <c r="C10" s="128">
        <v>5.0000000000000001E-3</v>
      </c>
      <c r="D10" s="56">
        <f>+SUM($C$5:C10)</f>
        <v>5.0499999999999989E-2</v>
      </c>
      <c r="E10" s="56">
        <f>+E6+E7</f>
        <v>35</v>
      </c>
      <c r="F10" s="56">
        <f t="shared" si="0"/>
        <v>0.17500000000000002</v>
      </c>
      <c r="G10" s="49"/>
    </row>
    <row r="11" spans="1:9">
      <c r="B11" s="87" t="s">
        <v>80</v>
      </c>
      <c r="C11" s="128">
        <v>5.0000000000000001E-3</v>
      </c>
      <c r="D11" s="56">
        <f>+SUM($C$5:C11)</f>
        <v>5.5499999999999987E-2</v>
      </c>
      <c r="E11" s="56">
        <f>+E5+E6+E7</f>
        <v>47</v>
      </c>
      <c r="F11" s="56">
        <f t="shared" si="0"/>
        <v>0.23500000000000001</v>
      </c>
      <c r="G11" s="49">
        <v>0</v>
      </c>
      <c r="H11" s="55" t="s">
        <v>82</v>
      </c>
    </row>
    <row r="12" spans="1:9">
      <c r="B12" s="62" t="s">
        <v>11</v>
      </c>
      <c r="C12" s="62">
        <f>+SUM(C5:C11)</f>
        <v>5.5499999999999987E-2</v>
      </c>
      <c r="D12" s="62"/>
      <c r="E12" s="62"/>
      <c r="F12" s="53">
        <f>+SUM(F5:F11)</f>
        <v>1.2000000000000002</v>
      </c>
      <c r="G12" s="50"/>
    </row>
    <row r="13" spans="1:9">
      <c r="B13" s="63" t="s">
        <v>81</v>
      </c>
      <c r="G13" s="47"/>
    </row>
    <row r="14" spans="1:9">
      <c r="G14" s="47"/>
    </row>
    <row r="15" spans="1:9">
      <c r="A15" s="58" t="s">
        <v>12</v>
      </c>
      <c r="B15" s="60" t="s">
        <v>76</v>
      </c>
      <c r="C15" s="60" t="s">
        <v>10</v>
      </c>
      <c r="D15" s="60" t="s">
        <v>18</v>
      </c>
      <c r="E15" s="60" t="s">
        <v>8</v>
      </c>
      <c r="F15" s="60" t="s">
        <v>136</v>
      </c>
      <c r="G15" s="60" t="s">
        <v>46</v>
      </c>
    </row>
    <row r="16" spans="1:9">
      <c r="A16" s="55" t="s">
        <v>84</v>
      </c>
      <c r="B16" s="86">
        <v>2</v>
      </c>
      <c r="C16" s="59">
        <v>0.03</v>
      </c>
      <c r="D16" s="59">
        <f>+SUM(C16:$C$16)</f>
        <v>0.03</v>
      </c>
      <c r="E16" s="59">
        <f>+E6</f>
        <v>15</v>
      </c>
      <c r="F16" s="59">
        <f>+C16*E16</f>
        <v>0.44999999999999996</v>
      </c>
      <c r="G16" s="49"/>
    </row>
    <row r="17" spans="1:9">
      <c r="A17" s="55" t="s">
        <v>85</v>
      </c>
      <c r="B17" s="86">
        <v>3</v>
      </c>
      <c r="C17" s="59">
        <v>0.02</v>
      </c>
      <c r="D17" s="59">
        <f>+SUM(C$16:$C17)</f>
        <v>0.05</v>
      </c>
      <c r="E17" s="59">
        <f>+E7</f>
        <v>20</v>
      </c>
      <c r="F17" s="59">
        <f t="shared" ref="F17:F18" si="1">+C17*E17</f>
        <v>0.4</v>
      </c>
      <c r="G17" s="49"/>
      <c r="I17" s="88"/>
    </row>
    <row r="18" spans="1:9">
      <c r="B18" s="86" t="s">
        <v>79</v>
      </c>
      <c r="C18" s="59">
        <v>0.01</v>
      </c>
      <c r="D18" s="59">
        <f>+SUM(C$16:$C18)</f>
        <v>6.0000000000000005E-2</v>
      </c>
      <c r="E18" s="59">
        <f>+E16+E17</f>
        <v>35</v>
      </c>
      <c r="F18" s="59">
        <f t="shared" si="1"/>
        <v>0.35000000000000003</v>
      </c>
      <c r="G18" s="49">
        <v>0</v>
      </c>
      <c r="H18" s="55" t="s">
        <v>82</v>
      </c>
    </row>
    <row r="19" spans="1:9">
      <c r="B19" s="62" t="s">
        <v>5</v>
      </c>
      <c r="C19" s="62">
        <f>+SUM(C16:C18)</f>
        <v>6.0000000000000005E-2</v>
      </c>
      <c r="D19" s="62"/>
      <c r="E19" s="62"/>
      <c r="F19" s="67">
        <f>+SUM(F16:F18)</f>
        <v>1.2</v>
      </c>
      <c r="G19" s="51"/>
    </row>
    <row r="20" spans="1:9">
      <c r="B20" s="66"/>
      <c r="C20" s="66"/>
      <c r="D20" s="66"/>
      <c r="E20" s="66"/>
      <c r="F20" s="61"/>
      <c r="G20" s="52"/>
    </row>
    <row r="21" spans="1:9">
      <c r="B21" s="66"/>
      <c r="C21" s="66"/>
      <c r="D21" s="66"/>
      <c r="E21" s="66"/>
      <c r="F21" s="61"/>
      <c r="G21" s="52"/>
    </row>
    <row r="22" spans="1:9">
      <c r="A22" s="58" t="s">
        <v>13</v>
      </c>
      <c r="B22" s="60" t="s">
        <v>76</v>
      </c>
      <c r="C22" s="60" t="s">
        <v>10</v>
      </c>
      <c r="D22" s="60" t="s">
        <v>18</v>
      </c>
      <c r="E22" s="60" t="s">
        <v>8</v>
      </c>
      <c r="F22" s="60" t="s">
        <v>136</v>
      </c>
      <c r="G22" s="60" t="s">
        <v>46</v>
      </c>
    </row>
    <row r="23" spans="1:9">
      <c r="A23" s="55" t="s">
        <v>84</v>
      </c>
      <c r="B23" s="86">
        <v>1</v>
      </c>
      <c r="C23" s="59">
        <v>0.05</v>
      </c>
      <c r="D23" s="59">
        <f>+SUM(C23:$C$23)</f>
        <v>0.05</v>
      </c>
      <c r="E23" s="59">
        <f>+E5</f>
        <v>12</v>
      </c>
      <c r="F23" s="59">
        <f>+C23*E23</f>
        <v>0.60000000000000009</v>
      </c>
      <c r="G23" s="49"/>
    </row>
    <row r="24" spans="1:9">
      <c r="A24" s="55" t="s">
        <v>86</v>
      </c>
      <c r="B24" s="86">
        <v>3</v>
      </c>
      <c r="C24" s="59">
        <v>0.01</v>
      </c>
      <c r="D24" s="59">
        <f>+SUM(C$23:$C24)</f>
        <v>6.0000000000000005E-2</v>
      </c>
      <c r="E24" s="59">
        <f>+E7</f>
        <v>20</v>
      </c>
      <c r="F24" s="59">
        <f t="shared" ref="F24:F25" si="2">+C24*E24</f>
        <v>0.2</v>
      </c>
      <c r="G24" s="49"/>
    </row>
    <row r="25" spans="1:9">
      <c r="B25" s="86" t="s">
        <v>78</v>
      </c>
      <c r="C25" s="59">
        <v>1.2500000000000001E-2</v>
      </c>
      <c r="D25" s="59">
        <f>+SUM(C$23:$C25)</f>
        <v>7.2500000000000009E-2</v>
      </c>
      <c r="E25" s="59">
        <f>+E23+E24</f>
        <v>32</v>
      </c>
      <c r="F25" s="59">
        <f t="shared" si="2"/>
        <v>0.4</v>
      </c>
      <c r="G25" s="49">
        <v>0</v>
      </c>
      <c r="H25" s="55" t="s">
        <v>82</v>
      </c>
    </row>
    <row r="26" spans="1:9">
      <c r="B26" s="62" t="s">
        <v>5</v>
      </c>
      <c r="C26" s="62">
        <f>+SUM(C23:C25)</f>
        <v>7.2500000000000009E-2</v>
      </c>
      <c r="D26" s="62"/>
      <c r="E26" s="62"/>
      <c r="F26" s="67">
        <f>+SUM(F23:F25)</f>
        <v>1.2000000000000002</v>
      </c>
      <c r="G26" s="51"/>
    </row>
    <row r="27" spans="1:9">
      <c r="B27" s="66"/>
      <c r="C27" s="66"/>
      <c r="D27" s="66"/>
      <c r="E27" s="66"/>
      <c r="F27" s="61"/>
      <c r="G27" s="52"/>
    </row>
    <row r="28" spans="1:9">
      <c r="G28" s="47"/>
    </row>
    <row r="29" spans="1:9">
      <c r="A29" s="58" t="s">
        <v>14</v>
      </c>
      <c r="B29" s="60" t="s">
        <v>76</v>
      </c>
      <c r="C29" s="60" t="s">
        <v>10</v>
      </c>
      <c r="D29" s="60" t="s">
        <v>18</v>
      </c>
      <c r="E29" s="60" t="s">
        <v>8</v>
      </c>
      <c r="F29" s="60" t="s">
        <v>136</v>
      </c>
      <c r="G29" s="60" t="s">
        <v>46</v>
      </c>
    </row>
    <row r="30" spans="1:9">
      <c r="A30" s="55" t="s">
        <v>84</v>
      </c>
      <c r="B30" s="86">
        <v>3</v>
      </c>
      <c r="C30" s="59">
        <v>0.06</v>
      </c>
      <c r="D30" s="59">
        <f>+SUM(C30:$C$30)</f>
        <v>0.06</v>
      </c>
      <c r="E30" s="59">
        <f>+E7</f>
        <v>20</v>
      </c>
      <c r="F30" s="59">
        <f>+C30*E30</f>
        <v>1.2</v>
      </c>
      <c r="G30" s="49">
        <v>0</v>
      </c>
      <c r="H30" s="55" t="s">
        <v>82</v>
      </c>
    </row>
    <row r="31" spans="1:9">
      <c r="A31" s="55" t="s">
        <v>85</v>
      </c>
      <c r="B31" s="62" t="s">
        <v>5</v>
      </c>
      <c r="C31" s="62">
        <f>+SUM(C30:C30)</f>
        <v>0.06</v>
      </c>
      <c r="D31" s="62"/>
      <c r="E31" s="62"/>
      <c r="F31" s="67">
        <f>+SUM(F30:F30)</f>
        <v>1.2</v>
      </c>
      <c r="G31" s="51"/>
    </row>
    <row r="32" spans="1:9">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4.2500000000000003E-2</v>
      </c>
      <c r="D35" s="59">
        <f>+SUM(C35:$C$35)</f>
        <v>4.2500000000000003E-2</v>
      </c>
      <c r="E35" s="59">
        <f>+E5</f>
        <v>12</v>
      </c>
      <c r="F35" s="59">
        <f>+C35*E35</f>
        <v>0.51</v>
      </c>
      <c r="G35" s="49"/>
    </row>
    <row r="36" spans="1:8">
      <c r="A36" s="55" t="s">
        <v>87</v>
      </c>
      <c r="B36" s="86">
        <v>2</v>
      </c>
      <c r="C36" s="59">
        <v>0.01</v>
      </c>
      <c r="D36" s="59">
        <f>+SUM(C$35:$C36)</f>
        <v>5.2500000000000005E-2</v>
      </c>
      <c r="E36" s="59">
        <f>+E6</f>
        <v>15</v>
      </c>
      <c r="F36" s="59">
        <f t="shared" ref="F36:F37" si="3">+C36*E36</f>
        <v>0.15</v>
      </c>
      <c r="G36" s="49"/>
    </row>
    <row r="37" spans="1:8">
      <c r="B37" s="86" t="s">
        <v>77</v>
      </c>
      <c r="C37" s="59">
        <v>0.02</v>
      </c>
      <c r="D37" s="59">
        <f>+SUM(C$35:$C37)</f>
        <v>7.2500000000000009E-2</v>
      </c>
      <c r="E37" s="59">
        <f>+E35+E36</f>
        <v>27</v>
      </c>
      <c r="F37" s="59">
        <f t="shared" si="3"/>
        <v>0.54</v>
      </c>
      <c r="G37" s="49">
        <v>0</v>
      </c>
      <c r="H37" s="55" t="s">
        <v>82</v>
      </c>
    </row>
    <row r="38" spans="1:8">
      <c r="A38" s="64"/>
      <c r="B38" s="62" t="s">
        <v>5</v>
      </c>
      <c r="C38" s="62">
        <f>+SUM(C35:C37)</f>
        <v>7.2500000000000009E-2</v>
      </c>
      <c r="D38" s="62"/>
      <c r="E38" s="62"/>
      <c r="F38" s="67">
        <f>+SUM(F35:F37)</f>
        <v>1.2000000000000002</v>
      </c>
      <c r="G38" s="51"/>
    </row>
    <row r="39" spans="1:8">
      <c r="A39" s="64"/>
      <c r="G39" s="47"/>
    </row>
    <row r="40" spans="1:8">
      <c r="G40" s="47"/>
    </row>
    <row r="41" spans="1:8">
      <c r="A41" s="58" t="s">
        <v>16</v>
      </c>
      <c r="B41" s="60" t="s">
        <v>76</v>
      </c>
      <c r="C41" s="60" t="s">
        <v>10</v>
      </c>
      <c r="D41" s="60" t="s">
        <v>18</v>
      </c>
      <c r="E41" s="60" t="s">
        <v>8</v>
      </c>
      <c r="F41" s="60" t="s">
        <v>136</v>
      </c>
      <c r="G41" s="60" t="s">
        <v>46</v>
      </c>
    </row>
    <row r="42" spans="1:8">
      <c r="A42" s="55" t="s">
        <v>84</v>
      </c>
      <c r="B42" s="86">
        <v>1</v>
      </c>
      <c r="C42" s="59">
        <v>0.1</v>
      </c>
      <c r="D42" s="59">
        <f>+SUM(C42:$C$42)</f>
        <v>0.1</v>
      </c>
      <c r="E42" s="59">
        <f>+E5</f>
        <v>12</v>
      </c>
      <c r="F42" s="59">
        <f>+E42*C42</f>
        <v>1.2000000000000002</v>
      </c>
      <c r="G42" s="49">
        <v>0</v>
      </c>
      <c r="H42" s="55" t="s">
        <v>82</v>
      </c>
    </row>
    <row r="43" spans="1:8">
      <c r="A43" s="55" t="s">
        <v>86</v>
      </c>
      <c r="B43" s="62" t="s">
        <v>5</v>
      </c>
      <c r="C43" s="62">
        <f>+SUM(C42:C42)</f>
        <v>0.1</v>
      </c>
      <c r="D43" s="62"/>
      <c r="E43" s="62"/>
      <c r="F43" s="67">
        <f>+SUM(F42:F42)</f>
        <v>1.2000000000000002</v>
      </c>
      <c r="G43" s="51"/>
    </row>
    <row r="44" spans="1:8">
      <c r="A44" s="55" t="s">
        <v>87</v>
      </c>
      <c r="G44" s="47"/>
    </row>
    <row r="45" spans="1:8">
      <c r="G45" s="47"/>
    </row>
    <row r="46" spans="1:8">
      <c r="A46" s="58" t="s">
        <v>17</v>
      </c>
      <c r="B46" s="60" t="s">
        <v>76</v>
      </c>
      <c r="C46" s="60" t="s">
        <v>10</v>
      </c>
      <c r="D46" s="60" t="s">
        <v>18</v>
      </c>
      <c r="E46" s="60" t="s">
        <v>8</v>
      </c>
      <c r="F46" s="60" t="s">
        <v>136</v>
      </c>
      <c r="G46" s="60" t="s">
        <v>46</v>
      </c>
    </row>
    <row r="47" spans="1:8">
      <c r="A47" s="55" t="s">
        <v>84</v>
      </c>
      <c r="B47" s="86">
        <v>2</v>
      </c>
      <c r="C47" s="59">
        <v>0.08</v>
      </c>
      <c r="D47" s="59">
        <f>+SUM(C$47:$C47)</f>
        <v>0.08</v>
      </c>
      <c r="E47" s="59">
        <f>+E6</f>
        <v>15</v>
      </c>
      <c r="F47" s="59">
        <f>+E47*C47</f>
        <v>1.2</v>
      </c>
      <c r="G47" s="49">
        <v>0</v>
      </c>
      <c r="H47" s="55" t="s">
        <v>82</v>
      </c>
    </row>
    <row r="48" spans="1:8">
      <c r="A48" s="55" t="s">
        <v>85</v>
      </c>
      <c r="B48" s="62" t="s">
        <v>5</v>
      </c>
      <c r="C48" s="62">
        <f>+SUM(C47:C47)</f>
        <v>0.08</v>
      </c>
      <c r="D48" s="62"/>
      <c r="E48" s="62"/>
      <c r="F48" s="67">
        <f>+SUM(F47:F47)</f>
        <v>1.2</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90</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43">
        <v>0.14000000000000001</v>
      </c>
      <c r="D5" s="56">
        <f>+SUM($C$5:C5)</f>
        <v>0.14000000000000001</v>
      </c>
      <c r="E5" s="56">
        <f>+Summary!E27</f>
        <v>5</v>
      </c>
      <c r="F5" s="56">
        <f>+C5*E5</f>
        <v>0.70000000000000007</v>
      </c>
      <c r="G5" s="49"/>
    </row>
    <row r="6" spans="1:9">
      <c r="B6" s="87">
        <v>2</v>
      </c>
      <c r="C6" s="43">
        <v>5.0000000000000001E-3</v>
      </c>
      <c r="D6" s="56">
        <f>+SUM($C$5:C6)</f>
        <v>0.14500000000000002</v>
      </c>
      <c r="E6" s="56">
        <f>+Summary!E28</f>
        <v>10</v>
      </c>
      <c r="F6" s="56">
        <f t="shared" ref="F6:F7" si="0">+C6*E6</f>
        <v>0.05</v>
      </c>
      <c r="G6" s="49"/>
    </row>
    <row r="7" spans="1:9">
      <c r="B7" s="87" t="s">
        <v>77</v>
      </c>
      <c r="C7" s="43">
        <v>0.02</v>
      </c>
      <c r="D7" s="56">
        <f>+SUM($C$5:C7)</f>
        <v>0.16500000000000001</v>
      </c>
      <c r="E7" s="56">
        <f>+E5+E6</f>
        <v>15</v>
      </c>
      <c r="F7" s="56">
        <f t="shared" si="0"/>
        <v>0.3</v>
      </c>
      <c r="G7" s="49">
        <v>0</v>
      </c>
      <c r="H7" s="55" t="s">
        <v>82</v>
      </c>
      <c r="I7" s="89"/>
    </row>
    <row r="8" spans="1:9">
      <c r="B8" s="62" t="s">
        <v>11</v>
      </c>
      <c r="C8" s="62">
        <f>+SUM(C5:C7)</f>
        <v>0.16500000000000001</v>
      </c>
      <c r="D8" s="62"/>
      <c r="E8" s="62"/>
      <c r="F8" s="53">
        <f>+SUM(F5:F7)</f>
        <v>1.05</v>
      </c>
      <c r="G8" s="50"/>
    </row>
    <row r="9" spans="1:9">
      <c r="B9" s="63" t="s">
        <v>81</v>
      </c>
      <c r="G9" s="47"/>
    </row>
    <row r="10" spans="1:9">
      <c r="G10" s="47"/>
    </row>
    <row r="11" spans="1:9">
      <c r="G11" s="47"/>
    </row>
    <row r="12" spans="1:9">
      <c r="A12" s="58" t="s">
        <v>16</v>
      </c>
      <c r="B12" s="60" t="s">
        <v>76</v>
      </c>
      <c r="C12" s="60" t="s">
        <v>10</v>
      </c>
      <c r="D12" s="60" t="s">
        <v>18</v>
      </c>
      <c r="E12" s="60" t="s">
        <v>8</v>
      </c>
      <c r="F12" s="60" t="s">
        <v>136</v>
      </c>
      <c r="G12" s="60" t="s">
        <v>46</v>
      </c>
    </row>
    <row r="13" spans="1:9">
      <c r="A13" s="55" t="s">
        <v>84</v>
      </c>
      <c r="B13" s="86">
        <v>1</v>
      </c>
      <c r="C13" s="59">
        <v>0.21</v>
      </c>
      <c r="D13" s="59">
        <f>+SUM(C13:$C$13)</f>
        <v>0.21</v>
      </c>
      <c r="E13" s="59">
        <f>+E5</f>
        <v>5</v>
      </c>
      <c r="F13" s="59">
        <f>+E13*C13</f>
        <v>1.05</v>
      </c>
      <c r="G13" s="49">
        <v>0</v>
      </c>
      <c r="H13" s="55" t="s">
        <v>82</v>
      </c>
    </row>
    <row r="14" spans="1:9">
      <c r="A14" s="55" t="s">
        <v>86</v>
      </c>
      <c r="B14" s="62" t="s">
        <v>5</v>
      </c>
      <c r="C14" s="62">
        <f>+SUM(C13:C13)</f>
        <v>0.21</v>
      </c>
      <c r="D14" s="62"/>
      <c r="E14" s="62"/>
      <c r="F14" s="67">
        <f>+SUM(F13:F13)</f>
        <v>1.05</v>
      </c>
      <c r="G14" s="51"/>
    </row>
    <row r="15" spans="1:9">
      <c r="G15" s="47"/>
    </row>
    <row r="16" spans="1:9">
      <c r="G16" s="47"/>
    </row>
    <row r="17" spans="1:8">
      <c r="A17" s="58" t="s">
        <v>17</v>
      </c>
      <c r="B17" s="60" t="s">
        <v>76</v>
      </c>
      <c r="C17" s="60" t="s">
        <v>10</v>
      </c>
      <c r="D17" s="60" t="s">
        <v>18</v>
      </c>
      <c r="E17" s="60" t="s">
        <v>8</v>
      </c>
      <c r="F17" s="60" t="s">
        <v>136</v>
      </c>
      <c r="G17" s="60" t="s">
        <v>46</v>
      </c>
    </row>
    <row r="18" spans="1:8">
      <c r="A18" s="55" t="s">
        <v>84</v>
      </c>
      <c r="B18" s="86">
        <v>2</v>
      </c>
      <c r="C18" s="59">
        <v>0.105</v>
      </c>
      <c r="D18" s="59">
        <f>+SUM(C$18:$C18)</f>
        <v>0.105</v>
      </c>
      <c r="E18" s="59">
        <f>+E6</f>
        <v>10</v>
      </c>
      <c r="F18" s="59">
        <f>+E18*C18</f>
        <v>1.05</v>
      </c>
      <c r="G18" s="49">
        <v>0</v>
      </c>
      <c r="H18" s="55" t="s">
        <v>82</v>
      </c>
    </row>
    <row r="19" spans="1:8">
      <c r="A19" s="55" t="s">
        <v>85</v>
      </c>
      <c r="B19" s="62" t="s">
        <v>5</v>
      </c>
      <c r="C19" s="62">
        <f>+SUM(C18:C18)</f>
        <v>0.105</v>
      </c>
      <c r="D19" s="62"/>
      <c r="E19" s="62"/>
      <c r="F19" s="67">
        <f>+SUM(F18:F18)</f>
        <v>1.05</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3"/>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94</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0.1</v>
      </c>
      <c r="D5" s="56">
        <f>+SUM($C$5:C5)</f>
        <v>0.1</v>
      </c>
      <c r="E5" s="56">
        <f>+Summary!H27</f>
        <v>5</v>
      </c>
      <c r="F5" s="56">
        <f>+C5*E5</f>
        <v>0.5</v>
      </c>
      <c r="G5" s="49"/>
    </row>
    <row r="6" spans="1:8">
      <c r="B6" s="87">
        <v>2</v>
      </c>
      <c r="C6" s="56">
        <v>1.9E-2</v>
      </c>
      <c r="D6" s="56">
        <f>+SUM($C$5:C6)</f>
        <v>0.11900000000000001</v>
      </c>
      <c r="E6" s="56">
        <f>+Summary!H28</f>
        <v>10</v>
      </c>
      <c r="F6" s="56">
        <f t="shared" ref="F6:F11" si="0">+C6*E6</f>
        <v>0.19</v>
      </c>
      <c r="G6" s="49"/>
    </row>
    <row r="7" spans="1:8">
      <c r="B7" s="87">
        <v>3</v>
      </c>
      <c r="C7" s="56">
        <v>2E-3</v>
      </c>
      <c r="D7" s="56">
        <f>+SUM($C$5:C7)</f>
        <v>0.12100000000000001</v>
      </c>
      <c r="E7" s="56">
        <f>+Summary!H29</f>
        <v>15</v>
      </c>
      <c r="F7" s="56">
        <f t="shared" si="0"/>
        <v>0.03</v>
      </c>
      <c r="G7" s="49"/>
    </row>
    <row r="8" spans="1:8">
      <c r="B8" s="87" t="s">
        <v>77</v>
      </c>
      <c r="C8" s="56">
        <v>2E-3</v>
      </c>
      <c r="D8" s="56">
        <f>+SUM($C$5:C8)</f>
        <v>0.12300000000000001</v>
      </c>
      <c r="E8" s="56">
        <f>+E5+E6</f>
        <v>15</v>
      </c>
      <c r="F8" s="56">
        <f t="shared" si="0"/>
        <v>0.03</v>
      </c>
      <c r="G8" s="49"/>
    </row>
    <row r="9" spans="1:8">
      <c r="B9" s="87" t="s">
        <v>78</v>
      </c>
      <c r="C9" s="56">
        <v>5.0000000000000001E-3</v>
      </c>
      <c r="D9" s="56">
        <f>+SUM($C$5:C9)</f>
        <v>0.128</v>
      </c>
      <c r="E9" s="56">
        <f>+E5+E7</f>
        <v>20</v>
      </c>
      <c r="F9" s="56">
        <f t="shared" si="0"/>
        <v>0.1</v>
      </c>
      <c r="G9" s="49"/>
    </row>
    <row r="10" spans="1:8">
      <c r="B10" s="87" t="s">
        <v>79</v>
      </c>
      <c r="C10" s="56">
        <v>2E-3</v>
      </c>
      <c r="D10" s="56">
        <f>+SUM($C$5:C10)</f>
        <v>0.13</v>
      </c>
      <c r="E10" s="56">
        <f>+E6+E7</f>
        <v>25</v>
      </c>
      <c r="F10" s="56">
        <f t="shared" si="0"/>
        <v>0.05</v>
      </c>
      <c r="G10" s="49"/>
    </row>
    <row r="11" spans="1:8">
      <c r="B11" s="87" t="s">
        <v>80</v>
      </c>
      <c r="C11" s="56">
        <v>5.0000000000000001E-3</v>
      </c>
      <c r="D11" s="56">
        <f>+SUM($C$5:C11)</f>
        <v>0.13500000000000001</v>
      </c>
      <c r="E11" s="56">
        <f>+E5+E6+E7</f>
        <v>30</v>
      </c>
      <c r="F11" s="56">
        <f t="shared" si="0"/>
        <v>0.15</v>
      </c>
      <c r="G11" s="49">
        <v>0</v>
      </c>
      <c r="H11" s="55" t="s">
        <v>82</v>
      </c>
    </row>
    <row r="12" spans="1:8">
      <c r="B12" s="62" t="s">
        <v>11</v>
      </c>
      <c r="C12" s="62">
        <f>+SUM(C5:C11)</f>
        <v>0.13500000000000001</v>
      </c>
      <c r="D12" s="62"/>
      <c r="E12" s="62"/>
      <c r="F12" s="69">
        <f>+SUM(F5:F11)</f>
        <v>1.05</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9.1499999999999998E-2</v>
      </c>
      <c r="D16" s="59">
        <f>+SUM(C16:$C$16)</f>
        <v>9.1499999999999998E-2</v>
      </c>
      <c r="E16" s="59">
        <f>+E6</f>
        <v>10</v>
      </c>
      <c r="F16" s="59">
        <f>+C16*E16</f>
        <v>0.91500000000000004</v>
      </c>
      <c r="G16" s="49"/>
    </row>
    <row r="17" spans="1:10">
      <c r="A17" s="55" t="s">
        <v>85</v>
      </c>
      <c r="B17" s="86">
        <v>3</v>
      </c>
      <c r="C17" s="59">
        <v>4.0000000000000001E-3</v>
      </c>
      <c r="D17" s="59">
        <f>+SUM(C$16:$C17)</f>
        <v>9.5500000000000002E-2</v>
      </c>
      <c r="E17" s="59">
        <f>+E7</f>
        <v>15</v>
      </c>
      <c r="F17" s="59">
        <f t="shared" ref="F17:F18" si="1">+C17*E17</f>
        <v>0.06</v>
      </c>
      <c r="G17" s="49"/>
    </row>
    <row r="18" spans="1:10">
      <c r="B18" s="86" t="s">
        <v>79</v>
      </c>
      <c r="C18" s="59">
        <v>3.0000000000000001E-3</v>
      </c>
      <c r="D18" s="59">
        <f>+SUM(C$16:$C18)</f>
        <v>9.8500000000000004E-2</v>
      </c>
      <c r="E18" s="59">
        <f>+E16+E17</f>
        <v>25</v>
      </c>
      <c r="F18" s="59">
        <f t="shared" si="1"/>
        <v>7.4999999999999997E-2</v>
      </c>
      <c r="G18" s="49">
        <v>0</v>
      </c>
      <c r="H18" s="55" t="s">
        <v>82</v>
      </c>
    </row>
    <row r="19" spans="1:10">
      <c r="B19" s="62" t="s">
        <v>5</v>
      </c>
      <c r="C19" s="62">
        <f>+SUM(C16:C18)</f>
        <v>9.8500000000000004E-2</v>
      </c>
      <c r="D19" s="62"/>
      <c r="E19" s="62"/>
      <c r="F19" s="67">
        <f>+SUM(F16:F18)</f>
        <v>1.05</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0.1</v>
      </c>
      <c r="D23" s="59">
        <f>+SUM(C23:$C$23)</f>
        <v>0.1</v>
      </c>
      <c r="E23" s="59">
        <f>+E5</f>
        <v>5</v>
      </c>
      <c r="F23" s="59">
        <f>+C23*E23</f>
        <v>0.5</v>
      </c>
      <c r="G23" s="49"/>
    </row>
    <row r="24" spans="1:10">
      <c r="A24" s="55" t="s">
        <v>86</v>
      </c>
      <c r="B24" s="86">
        <v>3</v>
      </c>
      <c r="C24" s="59">
        <v>0.01</v>
      </c>
      <c r="D24" s="59">
        <f>+SUM(C$23:$C24)</f>
        <v>0.11</v>
      </c>
      <c r="E24" s="59">
        <f>+E7</f>
        <v>15</v>
      </c>
      <c r="F24" s="59">
        <f t="shared" ref="F24:F25" si="2">+C24*E24</f>
        <v>0.15</v>
      </c>
      <c r="G24" s="49"/>
    </row>
    <row r="25" spans="1:10">
      <c r="B25" s="86" t="s">
        <v>78</v>
      </c>
      <c r="C25" s="59">
        <v>0.02</v>
      </c>
      <c r="D25" s="59">
        <f>+SUM(C$23:$C25)</f>
        <v>0.13</v>
      </c>
      <c r="E25" s="59">
        <f>+E23+E24</f>
        <v>20</v>
      </c>
      <c r="F25" s="59">
        <f t="shared" si="2"/>
        <v>0.4</v>
      </c>
      <c r="G25" s="49">
        <v>0</v>
      </c>
      <c r="H25" s="55" t="s">
        <v>82</v>
      </c>
      <c r="J25" s="68"/>
    </row>
    <row r="26" spans="1:10">
      <c r="B26" s="62" t="s">
        <v>5</v>
      </c>
      <c r="C26" s="62">
        <f>+SUM(C23:C25)</f>
        <v>0.13</v>
      </c>
      <c r="D26" s="62"/>
      <c r="E26" s="62"/>
      <c r="F26" s="67">
        <f>+SUM(F23:F25)</f>
        <v>1.05</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7.0000000000000007E-2</v>
      </c>
      <c r="D30" s="59">
        <f>+SUM(C30:$C$30)</f>
        <v>7.0000000000000007E-2</v>
      </c>
      <c r="E30" s="59">
        <f>+E7</f>
        <v>15</v>
      </c>
      <c r="F30" s="59">
        <f>+C30*E30</f>
        <v>1.05</v>
      </c>
      <c r="G30" s="49">
        <v>0</v>
      </c>
      <c r="H30" s="55" t="s">
        <v>82</v>
      </c>
    </row>
    <row r="31" spans="1:10">
      <c r="A31" s="55" t="s">
        <v>85</v>
      </c>
      <c r="B31" s="62" t="s">
        <v>5</v>
      </c>
      <c r="C31" s="62">
        <f>+SUM(C30:C30)</f>
        <v>7.0000000000000007E-2</v>
      </c>
      <c r="D31" s="62"/>
      <c r="E31" s="62"/>
      <c r="F31" s="67">
        <f>+SUM(F30:F30)</f>
        <v>1.05</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0.08</v>
      </c>
      <c r="D35" s="59">
        <f>+SUM(C35:$C$35)</f>
        <v>0.08</v>
      </c>
      <c r="E35" s="59">
        <f>+E5</f>
        <v>5</v>
      </c>
      <c r="F35" s="59">
        <f>+C35*E35</f>
        <v>0.4</v>
      </c>
      <c r="G35" s="49"/>
    </row>
    <row r="36" spans="1:8">
      <c r="A36" s="55" t="s">
        <v>87</v>
      </c>
      <c r="B36" s="86">
        <v>2</v>
      </c>
      <c r="C36" s="59">
        <v>0.05</v>
      </c>
      <c r="D36" s="59">
        <f>+SUM(C$35:$C36)</f>
        <v>0.13</v>
      </c>
      <c r="E36" s="59">
        <f>+E6</f>
        <v>10</v>
      </c>
      <c r="F36" s="59">
        <f t="shared" ref="F36:F37" si="3">+C36*E36</f>
        <v>0.5</v>
      </c>
      <c r="G36" s="49"/>
    </row>
    <row r="37" spans="1:8">
      <c r="B37" s="86" t="s">
        <v>77</v>
      </c>
      <c r="C37" s="59">
        <v>0.01</v>
      </c>
      <c r="D37" s="59">
        <f>+SUM(C$35:$C37)</f>
        <v>0.14000000000000001</v>
      </c>
      <c r="E37" s="59">
        <f>+E35+E36</f>
        <v>15</v>
      </c>
      <c r="F37" s="59">
        <f t="shared" si="3"/>
        <v>0.15</v>
      </c>
      <c r="G37" s="49">
        <v>0</v>
      </c>
      <c r="H37" s="55" t="s">
        <v>82</v>
      </c>
    </row>
    <row r="38" spans="1:8">
      <c r="A38" s="64"/>
      <c r="B38" s="62" t="s">
        <v>5</v>
      </c>
      <c r="C38" s="62">
        <f>+SUM(C35:C37)</f>
        <v>0.14000000000000001</v>
      </c>
      <c r="D38" s="62"/>
      <c r="E38" s="62"/>
      <c r="F38" s="67">
        <f>+SUM(F35:F37)</f>
        <v>1.05</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0.21</v>
      </c>
      <c r="D42" s="59">
        <f>+SUM(C42:$C$42)</f>
        <v>0.21</v>
      </c>
      <c r="E42" s="59">
        <f>+E5</f>
        <v>5</v>
      </c>
      <c r="F42" s="59">
        <f>+E42*C42</f>
        <v>1.05</v>
      </c>
      <c r="G42" s="49">
        <v>0</v>
      </c>
      <c r="H42" s="55" t="s">
        <v>82</v>
      </c>
    </row>
    <row r="43" spans="1:8">
      <c r="A43" s="55" t="s">
        <v>86</v>
      </c>
      <c r="B43" s="62" t="s">
        <v>5</v>
      </c>
      <c r="C43" s="62">
        <f>+SUM(C42:C42)</f>
        <v>0.21</v>
      </c>
      <c r="D43" s="62"/>
      <c r="E43" s="62"/>
      <c r="F43" s="67">
        <f>+SUM(F42:F42)</f>
        <v>1.05</v>
      </c>
      <c r="G43" s="51"/>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0.105</v>
      </c>
      <c r="D47" s="59">
        <f>+SUM(C$47:$C47)</f>
        <v>0.105</v>
      </c>
      <c r="E47" s="59">
        <f>+E6</f>
        <v>10</v>
      </c>
      <c r="F47" s="59">
        <f>+E47*C47</f>
        <v>1.05</v>
      </c>
      <c r="G47" s="49">
        <v>0</v>
      </c>
      <c r="H47" s="55" t="s">
        <v>82</v>
      </c>
    </row>
    <row r="48" spans="1:8">
      <c r="A48" s="55" t="s">
        <v>85</v>
      </c>
      <c r="B48" s="62" t="s">
        <v>5</v>
      </c>
      <c r="C48" s="62">
        <f>+SUM(C47:C47)</f>
        <v>0.105</v>
      </c>
      <c r="D48" s="62"/>
      <c r="E48" s="62"/>
      <c r="F48" s="67">
        <f>+SUM(F47:F47)</f>
        <v>1.05</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97</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0.04</v>
      </c>
      <c r="D5" s="56">
        <f>+SUM($C$5:C5)</f>
        <v>0.04</v>
      </c>
      <c r="E5" s="70">
        <f>Summary!K27</f>
        <v>8</v>
      </c>
      <c r="F5" s="56">
        <f>+C5*E5</f>
        <v>0.32</v>
      </c>
      <c r="G5" s="49"/>
    </row>
    <row r="6" spans="1:8">
      <c r="B6" s="87">
        <v>2</v>
      </c>
      <c r="C6" s="56">
        <v>0.01</v>
      </c>
      <c r="D6" s="56">
        <f>+SUM($C$5:C6)</f>
        <v>0.05</v>
      </c>
      <c r="E6" s="70">
        <f>Summary!K28</f>
        <v>12</v>
      </c>
      <c r="F6" s="56">
        <f t="shared" ref="F6:F11" si="0">+C6*E6</f>
        <v>0.12</v>
      </c>
      <c r="G6" s="49"/>
    </row>
    <row r="7" spans="1:8">
      <c r="B7" s="87">
        <v>3</v>
      </c>
      <c r="C7" s="56">
        <v>5.0000000000000001E-3</v>
      </c>
      <c r="D7" s="56">
        <f>+SUM($C$5:C7)</f>
        <v>5.5E-2</v>
      </c>
      <c r="E7" s="70">
        <f>Summary!K29</f>
        <v>18</v>
      </c>
      <c r="F7" s="56">
        <f t="shared" si="0"/>
        <v>0.09</v>
      </c>
      <c r="G7" s="49"/>
    </row>
    <row r="8" spans="1:8">
      <c r="B8" s="87" t="s">
        <v>77</v>
      </c>
      <c r="C8" s="56">
        <v>5.4999999999999997E-3</v>
      </c>
      <c r="D8" s="56">
        <f>+SUM($C$5:C8)</f>
        <v>6.0499999999999998E-2</v>
      </c>
      <c r="E8" s="56">
        <f>+E5+E6</f>
        <v>20</v>
      </c>
      <c r="F8" s="56">
        <f t="shared" si="0"/>
        <v>0.10999999999999999</v>
      </c>
      <c r="G8" s="49"/>
    </row>
    <row r="9" spans="1:8">
      <c r="B9" s="87" t="s">
        <v>78</v>
      </c>
      <c r="C9" s="56">
        <v>5.0000000000000001E-3</v>
      </c>
      <c r="D9" s="56">
        <f>+SUM($C$5:C9)</f>
        <v>6.5500000000000003E-2</v>
      </c>
      <c r="E9" s="56">
        <f>+E5+E7</f>
        <v>26</v>
      </c>
      <c r="F9" s="56">
        <f t="shared" si="0"/>
        <v>0.13</v>
      </c>
      <c r="G9" s="49"/>
    </row>
    <row r="10" spans="1:8">
      <c r="B10" s="87" t="s">
        <v>79</v>
      </c>
      <c r="C10" s="56">
        <v>3.0000000000000001E-3</v>
      </c>
      <c r="D10" s="56">
        <f>+SUM($C$5:C10)</f>
        <v>6.8500000000000005E-2</v>
      </c>
      <c r="E10" s="56">
        <f>+E6+E7</f>
        <v>30</v>
      </c>
      <c r="F10" s="56">
        <f t="shared" si="0"/>
        <v>0.09</v>
      </c>
      <c r="G10" s="49"/>
    </row>
    <row r="11" spans="1:8">
      <c r="B11" s="87" t="s">
        <v>80</v>
      </c>
      <c r="C11" s="56">
        <v>5.0000000000000001E-3</v>
      </c>
      <c r="D11" s="56">
        <f>+SUM($C$5:C11)</f>
        <v>7.350000000000001E-2</v>
      </c>
      <c r="E11" s="56">
        <f>+E5+E6+E7</f>
        <v>38</v>
      </c>
      <c r="F11" s="56">
        <f t="shared" si="0"/>
        <v>0.19</v>
      </c>
      <c r="G11" s="49">
        <v>0</v>
      </c>
      <c r="H11" s="55" t="s">
        <v>82</v>
      </c>
    </row>
    <row r="12" spans="1:8">
      <c r="B12" s="62" t="s">
        <v>11</v>
      </c>
      <c r="C12" s="62">
        <f>+SUM(C5:C11)</f>
        <v>7.350000000000001E-2</v>
      </c>
      <c r="D12" s="62"/>
      <c r="E12" s="62"/>
      <c r="F12" s="69">
        <f>+SUM(F5:F11)</f>
        <v>1.05</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5.5E-2</v>
      </c>
      <c r="D16" s="59">
        <f>+SUM(C16:$C$16)</f>
        <v>5.5E-2</v>
      </c>
      <c r="E16" s="59">
        <f>+E6</f>
        <v>12</v>
      </c>
      <c r="F16" s="59">
        <f>+C16*E16</f>
        <v>0.66</v>
      </c>
      <c r="G16" s="49"/>
    </row>
    <row r="17" spans="1:10">
      <c r="A17" s="55" t="s">
        <v>85</v>
      </c>
      <c r="B17" s="86">
        <v>3</v>
      </c>
      <c r="C17" s="59">
        <v>5.0000000000000001E-3</v>
      </c>
      <c r="D17" s="59">
        <f>+SUM(C$16:$C17)</f>
        <v>0.06</v>
      </c>
      <c r="E17" s="59">
        <f>+E7</f>
        <v>18</v>
      </c>
      <c r="F17" s="59">
        <f t="shared" ref="F17:F18" si="1">+C17*E17</f>
        <v>0.09</v>
      </c>
      <c r="G17" s="49"/>
    </row>
    <row r="18" spans="1:10">
      <c r="B18" s="86" t="s">
        <v>79</v>
      </c>
      <c r="C18" s="59">
        <v>0.01</v>
      </c>
      <c r="D18" s="59">
        <f>+SUM(C$16:$C18)</f>
        <v>6.9999999999999993E-2</v>
      </c>
      <c r="E18" s="59">
        <f>+E16+E17</f>
        <v>30</v>
      </c>
      <c r="F18" s="59">
        <f t="shared" si="1"/>
        <v>0.3</v>
      </c>
      <c r="G18" s="49">
        <v>0</v>
      </c>
      <c r="H18" s="55" t="s">
        <v>82</v>
      </c>
    </row>
    <row r="19" spans="1:10">
      <c r="B19" s="62" t="s">
        <v>5</v>
      </c>
      <c r="C19" s="62">
        <f>+SUM(C16:C18)</f>
        <v>6.9999999999999993E-2</v>
      </c>
      <c r="D19" s="62"/>
      <c r="E19" s="62"/>
      <c r="F19" s="67">
        <f>+SUM(F16:F18)</f>
        <v>1.05</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5.2499999999999998E-2</v>
      </c>
      <c r="D23" s="59">
        <f>+SUM(C23:$C$23)</f>
        <v>5.2499999999999998E-2</v>
      </c>
      <c r="E23" s="59">
        <f>+E5</f>
        <v>8</v>
      </c>
      <c r="F23" s="59">
        <f>+C23*E23</f>
        <v>0.42</v>
      </c>
      <c r="G23" s="49"/>
    </row>
    <row r="24" spans="1:10">
      <c r="A24" s="55" t="s">
        <v>86</v>
      </c>
      <c r="B24" s="86">
        <v>3</v>
      </c>
      <c r="C24" s="59">
        <v>8.9999999999999993E-3</v>
      </c>
      <c r="D24" s="59">
        <f>+SUM(C$23:$C24)</f>
        <v>6.1499999999999999E-2</v>
      </c>
      <c r="E24" s="59">
        <f>+E7</f>
        <v>18</v>
      </c>
      <c r="F24" s="59">
        <f t="shared" ref="F24:F25" si="2">+C24*E24</f>
        <v>0.16199999999999998</v>
      </c>
      <c r="G24" s="49"/>
    </row>
    <row r="25" spans="1:10">
      <c r="B25" s="86" t="s">
        <v>78</v>
      </c>
      <c r="C25" s="59">
        <v>1.7999999999999999E-2</v>
      </c>
      <c r="D25" s="59">
        <f>+SUM(C$23:$C25)</f>
        <v>7.9500000000000001E-2</v>
      </c>
      <c r="E25" s="59">
        <f>+E23+E24</f>
        <v>26</v>
      </c>
      <c r="F25" s="59">
        <f t="shared" si="2"/>
        <v>0.46799999999999997</v>
      </c>
      <c r="G25" s="49">
        <v>0</v>
      </c>
      <c r="H25" s="55" t="s">
        <v>82</v>
      </c>
      <c r="J25" s="68"/>
    </row>
    <row r="26" spans="1:10">
      <c r="B26" s="62" t="s">
        <v>5</v>
      </c>
      <c r="C26" s="62">
        <f>+SUM(C23:C25)</f>
        <v>7.9500000000000001E-2</v>
      </c>
      <c r="D26" s="62"/>
      <c r="E26" s="62"/>
      <c r="F26" s="67">
        <f>+SUM(F23:F25)</f>
        <v>1.0499999999999998</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5.8333333333333334E-2</v>
      </c>
      <c r="D30" s="59">
        <f>+SUM(C30:$C$30)</f>
        <v>5.8333333333333334E-2</v>
      </c>
      <c r="E30" s="59">
        <f>+E7</f>
        <v>18</v>
      </c>
      <c r="F30" s="59">
        <f>+C30*E30</f>
        <v>1.05</v>
      </c>
      <c r="G30" s="49">
        <v>0</v>
      </c>
      <c r="H30" s="55" t="s">
        <v>82</v>
      </c>
    </row>
    <row r="31" spans="1:10">
      <c r="A31" s="55" t="s">
        <v>85</v>
      </c>
      <c r="B31" s="62" t="s">
        <v>5</v>
      </c>
      <c r="C31" s="62">
        <f>+SUM(C30:C30)</f>
        <v>5.8333333333333334E-2</v>
      </c>
      <c r="D31" s="62"/>
      <c r="E31" s="62"/>
      <c r="F31" s="67">
        <f>+SUM(F30:F30)</f>
        <v>1.05</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0.03</v>
      </c>
      <c r="D35" s="59">
        <f>+SUM(C35:$C$35)</f>
        <v>0.03</v>
      </c>
      <c r="E35" s="59">
        <f>+E5</f>
        <v>8</v>
      </c>
      <c r="F35" s="59">
        <f>+C35*E35</f>
        <v>0.24</v>
      </c>
      <c r="G35" s="49"/>
    </row>
    <row r="36" spans="1:8">
      <c r="A36" s="55" t="s">
        <v>87</v>
      </c>
      <c r="B36" s="86">
        <v>2</v>
      </c>
      <c r="C36" s="59">
        <v>0.02</v>
      </c>
      <c r="D36" s="59">
        <f>+SUM(C$35:$C36)</f>
        <v>0.05</v>
      </c>
      <c r="E36" s="59">
        <f>+E6</f>
        <v>12</v>
      </c>
      <c r="F36" s="59">
        <f t="shared" ref="F36:F37" si="3">+C36*E36</f>
        <v>0.24</v>
      </c>
      <c r="G36" s="49"/>
    </row>
    <row r="37" spans="1:8">
      <c r="B37" s="86" t="s">
        <v>77</v>
      </c>
      <c r="C37" s="59">
        <v>2.8500000000000001E-2</v>
      </c>
      <c r="D37" s="59">
        <f>+SUM(C$35:$C37)</f>
        <v>7.85E-2</v>
      </c>
      <c r="E37" s="59">
        <f>+E35+E36</f>
        <v>20</v>
      </c>
      <c r="F37" s="59">
        <f t="shared" si="3"/>
        <v>0.57000000000000006</v>
      </c>
      <c r="G37" s="49">
        <v>0</v>
      </c>
      <c r="H37" s="55" t="s">
        <v>82</v>
      </c>
    </row>
    <row r="38" spans="1:8">
      <c r="A38" s="64"/>
      <c r="B38" s="62" t="s">
        <v>5</v>
      </c>
      <c r="C38" s="62">
        <f>+SUM(C35:C37)</f>
        <v>7.85E-2</v>
      </c>
      <c r="D38" s="62"/>
      <c r="E38" s="62"/>
      <c r="F38" s="67">
        <f>+SUM(F35:F37)</f>
        <v>1.05</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0.13125000000000001</v>
      </c>
      <c r="D42" s="59">
        <f>+SUM(C42:$C$42)</f>
        <v>0.13125000000000001</v>
      </c>
      <c r="E42" s="59">
        <f>+E5</f>
        <v>8</v>
      </c>
      <c r="F42" s="59">
        <f>+E42*C42</f>
        <v>1.05</v>
      </c>
      <c r="G42" s="49">
        <v>0</v>
      </c>
      <c r="H42" s="55" t="s">
        <v>82</v>
      </c>
    </row>
    <row r="43" spans="1:8">
      <c r="A43" s="55" t="s">
        <v>86</v>
      </c>
      <c r="B43" s="62" t="s">
        <v>5</v>
      </c>
      <c r="C43" s="62">
        <f>+SUM(C42:C42)</f>
        <v>0.13125000000000001</v>
      </c>
      <c r="D43" s="62"/>
      <c r="E43" s="62"/>
      <c r="F43" s="67">
        <f>+SUM(F42:F42)</f>
        <v>1.05</v>
      </c>
      <c r="G43" s="51"/>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8.7499999999999994E-2</v>
      </c>
      <c r="D47" s="59">
        <f>+SUM(C$47:$C47)</f>
        <v>8.7499999999999994E-2</v>
      </c>
      <c r="E47" s="59">
        <f>+E6</f>
        <v>12</v>
      </c>
      <c r="F47" s="59">
        <f>+E47*C47</f>
        <v>1.0499999999999998</v>
      </c>
      <c r="G47" s="49">
        <v>0</v>
      </c>
      <c r="H47" s="55" t="s">
        <v>82</v>
      </c>
    </row>
    <row r="48" spans="1:8">
      <c r="A48" s="55" t="s">
        <v>85</v>
      </c>
      <c r="B48" s="62" t="s">
        <v>5</v>
      </c>
      <c r="C48" s="62">
        <f>+SUM(C47:C47)</f>
        <v>8.7499999999999994E-2</v>
      </c>
      <c r="D48" s="62"/>
      <c r="E48" s="62"/>
      <c r="F48" s="67">
        <f>+SUM(F47:F47)</f>
        <v>1.0499999999999998</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104</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43">
        <v>0.05</v>
      </c>
      <c r="D5" s="56">
        <f>+SUM($C$5:C5)</f>
        <v>0.05</v>
      </c>
      <c r="E5" s="56">
        <f>+Summary!B27</f>
        <v>3</v>
      </c>
      <c r="F5" s="56">
        <f>+C5*E5</f>
        <v>0.15000000000000002</v>
      </c>
      <c r="G5" s="49"/>
    </row>
    <row r="6" spans="1:9">
      <c r="B6" s="87">
        <v>2</v>
      </c>
      <c r="C6" s="43">
        <v>0.1</v>
      </c>
      <c r="D6" s="56">
        <f>+SUM($C$5:C6)</f>
        <v>0.15000000000000002</v>
      </c>
      <c r="E6" s="56">
        <f>+Summary!B28</f>
        <v>5</v>
      </c>
      <c r="F6" s="56">
        <f t="shared" ref="F6:F7" si="0">+C6*E6</f>
        <v>0.5</v>
      </c>
      <c r="G6" s="49"/>
    </row>
    <row r="7" spans="1:9">
      <c r="B7" s="87" t="s">
        <v>77</v>
      </c>
      <c r="C7" s="43">
        <v>0.05</v>
      </c>
      <c r="D7" s="56">
        <f>+SUM($C$5:C7)</f>
        <v>0.2</v>
      </c>
      <c r="E7" s="56">
        <f>+E5+E6</f>
        <v>8</v>
      </c>
      <c r="F7" s="56">
        <f t="shared" si="0"/>
        <v>0.4</v>
      </c>
      <c r="G7" s="49">
        <v>0</v>
      </c>
      <c r="H7" s="55" t="s">
        <v>82</v>
      </c>
      <c r="I7" s="89"/>
    </row>
    <row r="8" spans="1:9">
      <c r="B8" s="62" t="s">
        <v>11</v>
      </c>
      <c r="C8" s="62">
        <f>+SUM(C5:C7)</f>
        <v>0.2</v>
      </c>
      <c r="D8" s="62"/>
      <c r="E8" s="62"/>
      <c r="F8" s="53">
        <f>+SUM(F5:F7)</f>
        <v>1.05</v>
      </c>
      <c r="G8" s="50"/>
    </row>
    <row r="9" spans="1:9">
      <c r="B9" s="63" t="s">
        <v>81</v>
      </c>
      <c r="G9" s="47"/>
    </row>
    <row r="10" spans="1:9">
      <c r="G10" s="47"/>
    </row>
    <row r="11" spans="1:9">
      <c r="G11" s="47"/>
    </row>
    <row r="12" spans="1:9">
      <c r="A12" s="58" t="s">
        <v>16</v>
      </c>
      <c r="B12" s="60" t="s">
        <v>76</v>
      </c>
      <c r="C12" s="60" t="s">
        <v>10</v>
      </c>
      <c r="D12" s="60" t="s">
        <v>18</v>
      </c>
      <c r="E12" s="60" t="s">
        <v>8</v>
      </c>
      <c r="F12" s="60" t="s">
        <v>136</v>
      </c>
      <c r="G12" s="60" t="s">
        <v>46</v>
      </c>
    </row>
    <row r="13" spans="1:9">
      <c r="A13" s="55" t="s">
        <v>84</v>
      </c>
      <c r="B13" s="86">
        <v>1</v>
      </c>
      <c r="C13" s="59">
        <v>0.35</v>
      </c>
      <c r="D13" s="59">
        <f>+SUM(C13:$C$13)</f>
        <v>0.35</v>
      </c>
      <c r="E13" s="59">
        <f>+E5</f>
        <v>3</v>
      </c>
      <c r="F13" s="59">
        <f>+E13*C13</f>
        <v>1.0499999999999998</v>
      </c>
      <c r="G13" s="49">
        <v>0</v>
      </c>
      <c r="H13" s="55" t="s">
        <v>82</v>
      </c>
    </row>
    <row r="14" spans="1:9">
      <c r="A14" s="55" t="s">
        <v>86</v>
      </c>
      <c r="B14" s="62" t="s">
        <v>5</v>
      </c>
      <c r="C14" s="62">
        <f>+SUM(C13:C13)</f>
        <v>0.35</v>
      </c>
      <c r="D14" s="62"/>
      <c r="E14" s="62"/>
      <c r="F14" s="67">
        <f>+SUM(F13:F13)</f>
        <v>1.0499999999999998</v>
      </c>
      <c r="G14" s="51"/>
    </row>
    <row r="15" spans="1:9">
      <c r="G15" s="47"/>
    </row>
    <row r="16" spans="1:9">
      <c r="G16" s="47"/>
    </row>
    <row r="17" spans="1:8">
      <c r="A17" s="58" t="s">
        <v>17</v>
      </c>
      <c r="B17" s="60" t="s">
        <v>76</v>
      </c>
      <c r="C17" s="60" t="s">
        <v>10</v>
      </c>
      <c r="D17" s="60" t="s">
        <v>18</v>
      </c>
      <c r="E17" s="60" t="s">
        <v>8</v>
      </c>
      <c r="F17" s="60" t="s">
        <v>136</v>
      </c>
      <c r="G17" s="60" t="s">
        <v>46</v>
      </c>
    </row>
    <row r="18" spans="1:8">
      <c r="A18" s="55" t="s">
        <v>84</v>
      </c>
      <c r="B18" s="86">
        <v>2</v>
      </c>
      <c r="C18" s="59">
        <v>0.21</v>
      </c>
      <c r="D18" s="59">
        <f>+SUM(C$18:$C18)</f>
        <v>0.21</v>
      </c>
      <c r="E18" s="59">
        <f>+E6</f>
        <v>5</v>
      </c>
      <c r="F18" s="59">
        <f>+E18*C18</f>
        <v>1.05</v>
      </c>
      <c r="G18" s="49">
        <v>0</v>
      </c>
      <c r="H18" s="55" t="s">
        <v>82</v>
      </c>
    </row>
    <row r="19" spans="1:8">
      <c r="A19" s="55" t="s">
        <v>85</v>
      </c>
      <c r="B19" s="62" t="s">
        <v>5</v>
      </c>
      <c r="C19" s="62">
        <f>+SUM(C18:C18)</f>
        <v>0.21</v>
      </c>
      <c r="D19" s="62"/>
      <c r="E19" s="62"/>
      <c r="F19" s="67">
        <f>+SUM(F18:F18)</f>
        <v>1.05</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105</v>
      </c>
      <c r="B1" s="130"/>
      <c r="C1" s="130"/>
      <c r="D1" s="130"/>
      <c r="E1" s="130"/>
    </row>
    <row r="2" spans="1:8">
      <c r="A2" s="65" t="s">
        <v>114</v>
      </c>
    </row>
    <row r="4" spans="1:8">
      <c r="A4" s="58" t="s">
        <v>65</v>
      </c>
      <c r="B4" s="60" t="s">
        <v>76</v>
      </c>
      <c r="C4" s="60" t="s">
        <v>10</v>
      </c>
      <c r="D4" s="60" t="s">
        <v>18</v>
      </c>
      <c r="E4" s="60" t="s">
        <v>8</v>
      </c>
      <c r="F4" s="60" t="s">
        <v>136</v>
      </c>
      <c r="G4" s="60" t="s">
        <v>46</v>
      </c>
    </row>
    <row r="5" spans="1:8">
      <c r="B5" s="86">
        <v>1</v>
      </c>
      <c r="C5" s="59">
        <v>0.52500000000000002</v>
      </c>
      <c r="D5" s="59">
        <f>+SUM(C5:$C$5)</f>
        <v>0.52500000000000002</v>
      </c>
      <c r="E5" s="59">
        <f>+Summary!B21</f>
        <v>2</v>
      </c>
      <c r="F5" s="59">
        <f>+E5*C5</f>
        <v>1.05</v>
      </c>
      <c r="G5" s="49">
        <v>0</v>
      </c>
      <c r="H5" s="55" t="s">
        <v>82</v>
      </c>
    </row>
    <row r="6" spans="1:8">
      <c r="B6" s="62" t="s">
        <v>5</v>
      </c>
      <c r="C6" s="62">
        <f>+SUM(C5:C5)</f>
        <v>0.52500000000000002</v>
      </c>
      <c r="D6" s="62"/>
      <c r="E6" s="62"/>
      <c r="F6" s="67">
        <f>+SUM(F5:F5)</f>
        <v>1.05</v>
      </c>
      <c r="G6" s="51"/>
    </row>
    <row r="7" spans="1:8">
      <c r="G7" s="47"/>
    </row>
    <row r="8" spans="1:8">
      <c r="G8" s="47"/>
    </row>
    <row r="9" spans="1:8">
      <c r="A9" s="58" t="s">
        <v>66</v>
      </c>
      <c r="B9" s="60" t="s">
        <v>76</v>
      </c>
      <c r="C9" s="60" t="s">
        <v>10</v>
      </c>
      <c r="D9" s="60" t="s">
        <v>18</v>
      </c>
      <c r="E9" s="60" t="s">
        <v>8</v>
      </c>
      <c r="F9" s="60" t="s">
        <v>136</v>
      </c>
      <c r="G9" s="60" t="s">
        <v>46</v>
      </c>
    </row>
    <row r="10" spans="1:8">
      <c r="B10" s="86">
        <v>1</v>
      </c>
      <c r="C10" s="59">
        <v>0.21</v>
      </c>
      <c r="D10" s="59">
        <f>1/6</f>
        <v>0.16666666666666666</v>
      </c>
      <c r="E10" s="59">
        <f>+Summary!E21</f>
        <v>5</v>
      </c>
      <c r="F10" s="59">
        <f>+E10*C10</f>
        <v>1.05</v>
      </c>
      <c r="G10" s="49">
        <v>0</v>
      </c>
      <c r="H10" s="55" t="s">
        <v>82</v>
      </c>
    </row>
    <row r="11" spans="1:8">
      <c r="B11" s="62" t="s">
        <v>5</v>
      </c>
      <c r="C11" s="62">
        <f>+SUM(C10:C10)</f>
        <v>0.21</v>
      </c>
      <c r="D11" s="62"/>
      <c r="E11" s="62"/>
      <c r="F11" s="67">
        <f>+SUM(F10:F10)</f>
        <v>1.05</v>
      </c>
      <c r="G11" s="51"/>
    </row>
    <row r="12" spans="1:8">
      <c r="G12" s="48"/>
    </row>
    <row r="13" spans="1:8">
      <c r="G13" s="48"/>
    </row>
    <row r="14" spans="1:8">
      <c r="A14" s="58" t="s">
        <v>67</v>
      </c>
      <c r="B14" s="60" t="s">
        <v>76</v>
      </c>
      <c r="C14" s="60" t="s">
        <v>10</v>
      </c>
      <c r="D14" s="60" t="s">
        <v>18</v>
      </c>
      <c r="E14" s="60" t="s">
        <v>8</v>
      </c>
      <c r="F14" s="60" t="s">
        <v>136</v>
      </c>
      <c r="G14" s="60" t="s">
        <v>46</v>
      </c>
    </row>
    <row r="15" spans="1:8">
      <c r="B15" s="86">
        <v>1</v>
      </c>
      <c r="C15" s="59">
        <v>0.13125000000000001</v>
      </c>
      <c r="D15" s="59">
        <f>+SUM(C$15:$C15)</f>
        <v>0.13125000000000001</v>
      </c>
      <c r="E15" s="59">
        <f>+Summary!H21</f>
        <v>8</v>
      </c>
      <c r="F15" s="59">
        <f>+E15*C15</f>
        <v>1.05</v>
      </c>
      <c r="G15" s="49">
        <v>0</v>
      </c>
      <c r="H15" s="55" t="s">
        <v>82</v>
      </c>
    </row>
    <row r="16" spans="1:8">
      <c r="B16" s="62" t="s">
        <v>5</v>
      </c>
      <c r="C16" s="62">
        <f>+SUM(C15:C15)</f>
        <v>0.13125000000000001</v>
      </c>
      <c r="D16" s="62"/>
      <c r="E16" s="62"/>
      <c r="F16" s="67">
        <f>+SUM(F15:F15)</f>
        <v>1.05</v>
      </c>
      <c r="G16" s="51"/>
    </row>
    <row r="17" spans="7:7">
      <c r="G17" s="48"/>
    </row>
    <row r="18" spans="7:7">
      <c r="G18" s="48"/>
    </row>
    <row r="19" spans="7:7">
      <c r="G19" s="48"/>
    </row>
    <row r="20" spans="7:7">
      <c r="G20" s="48"/>
    </row>
    <row r="21" spans="7:7">
      <c r="G21" s="48"/>
    </row>
    <row r="22" spans="7:7">
      <c r="G22" s="48"/>
    </row>
    <row r="23" spans="7:7">
      <c r="G23" s="48"/>
    </row>
    <row r="24" spans="7:7">
      <c r="G24" s="48"/>
    </row>
    <row r="25" spans="7:7">
      <c r="G25" s="48"/>
    </row>
    <row r="26" spans="7:7">
      <c r="G26" s="48"/>
    </row>
    <row r="27" spans="7:7">
      <c r="G27" s="48"/>
    </row>
    <row r="28" spans="7:7">
      <c r="G28" s="48"/>
    </row>
    <row r="29" spans="7:7">
      <c r="G29" s="48"/>
    </row>
    <row r="30" spans="7:7">
      <c r="G30" s="48"/>
    </row>
    <row r="31" spans="7:7">
      <c r="G31" s="48"/>
    </row>
    <row r="32" spans="7:7">
      <c r="G32" s="48"/>
    </row>
    <row r="33" spans="7:7">
      <c r="G33" s="48"/>
    </row>
    <row r="34" spans="7:7">
      <c r="G34" s="47"/>
    </row>
    <row r="35" spans="7:7">
      <c r="G35" s="47"/>
    </row>
    <row r="36" spans="7:7">
      <c r="G36" s="47"/>
    </row>
    <row r="37" spans="7:7">
      <c r="G37" s="47"/>
    </row>
    <row r="38" spans="7:7">
      <c r="G38" s="47"/>
    </row>
    <row r="39" spans="7:7">
      <c r="G39" s="47"/>
    </row>
    <row r="40" spans="7:7">
      <c r="G40" s="47"/>
    </row>
    <row r="41" spans="7:7">
      <c r="G41" s="47"/>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106</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127">
        <v>0.03</v>
      </c>
      <c r="D5" s="56">
        <f>+SUM($C$5:C5)</f>
        <v>0.03</v>
      </c>
      <c r="E5" s="56">
        <f>+Summary!B36</f>
        <v>12</v>
      </c>
      <c r="F5" s="56">
        <f>+C5*E5</f>
        <v>0.36</v>
      </c>
      <c r="G5" s="49"/>
    </row>
    <row r="6" spans="1:9">
      <c r="B6" s="87">
        <v>2</v>
      </c>
      <c r="C6" s="127">
        <v>4.0000000000000001E-3</v>
      </c>
      <c r="D6" s="56">
        <f>+SUM($C$5:C6)</f>
        <v>3.4000000000000002E-2</v>
      </c>
      <c r="E6" s="56">
        <f>+Summary!B37</f>
        <v>15</v>
      </c>
      <c r="F6" s="56">
        <f t="shared" ref="F6:F11" si="0">+C6*E6</f>
        <v>0.06</v>
      </c>
      <c r="G6" s="49"/>
    </row>
    <row r="7" spans="1:9">
      <c r="B7" s="87">
        <v>3</v>
      </c>
      <c r="C7" s="127">
        <v>0.01</v>
      </c>
      <c r="D7" s="56">
        <f>+SUM($C$5:C7)</f>
        <v>4.4000000000000004E-2</v>
      </c>
      <c r="E7" s="56">
        <f>+Summary!B38</f>
        <v>20</v>
      </c>
      <c r="F7" s="56">
        <f t="shared" si="0"/>
        <v>0.2</v>
      </c>
      <c r="G7" s="49"/>
      <c r="I7" s="28"/>
    </row>
    <row r="8" spans="1:9">
      <c r="B8" s="87" t="s">
        <v>77</v>
      </c>
      <c r="C8" s="127">
        <v>0</v>
      </c>
      <c r="D8" s="56">
        <f>+SUM($C$5:C8)</f>
        <v>4.4000000000000004E-2</v>
      </c>
      <c r="E8" s="56">
        <f>+E5+E6</f>
        <v>27</v>
      </c>
      <c r="F8" s="56">
        <f t="shared" si="0"/>
        <v>0</v>
      </c>
      <c r="G8" s="49"/>
      <c r="I8" s="89"/>
    </row>
    <row r="9" spans="1:9">
      <c r="B9" s="87" t="s">
        <v>78</v>
      </c>
      <c r="C9" s="127">
        <v>5.0000000000000001E-3</v>
      </c>
      <c r="D9" s="56">
        <f>+SUM($C$5:C9)</f>
        <v>4.9000000000000002E-2</v>
      </c>
      <c r="E9" s="56">
        <f>+E5+E7</f>
        <v>32</v>
      </c>
      <c r="F9" s="56">
        <f t="shared" si="0"/>
        <v>0.16</v>
      </c>
      <c r="G9" s="49"/>
    </row>
    <row r="10" spans="1:9">
      <c r="B10" s="87" t="s">
        <v>79</v>
      </c>
      <c r="C10" s="127">
        <v>1E-3</v>
      </c>
      <c r="D10" s="56">
        <f>+SUM($C$5:C10)</f>
        <v>0.05</v>
      </c>
      <c r="E10" s="56">
        <f>+E6+E7</f>
        <v>35</v>
      </c>
      <c r="F10" s="56">
        <f t="shared" si="0"/>
        <v>3.5000000000000003E-2</v>
      </c>
      <c r="G10" s="49"/>
    </row>
    <row r="11" spans="1:9">
      <c r="B11" s="87" t="s">
        <v>80</v>
      </c>
      <c r="C11" s="127">
        <v>5.0000000000000001E-3</v>
      </c>
      <c r="D11" s="56">
        <f>+SUM($C$5:C11)</f>
        <v>5.5E-2</v>
      </c>
      <c r="E11" s="56">
        <f>+E5+E6+E7</f>
        <v>47</v>
      </c>
      <c r="F11" s="56">
        <f t="shared" si="0"/>
        <v>0.23500000000000001</v>
      </c>
      <c r="G11" s="49">
        <v>0</v>
      </c>
      <c r="H11" s="55" t="s">
        <v>82</v>
      </c>
    </row>
    <row r="12" spans="1:9">
      <c r="B12" s="62" t="s">
        <v>11</v>
      </c>
      <c r="C12" s="62">
        <f>+SUM(C5:C11)</f>
        <v>5.5E-2</v>
      </c>
      <c r="D12" s="62"/>
      <c r="E12" s="62"/>
      <c r="F12" s="53">
        <f>+SUM(F5:F11)</f>
        <v>1.05</v>
      </c>
      <c r="G12" s="50"/>
    </row>
    <row r="13" spans="1:9">
      <c r="B13" s="63" t="s">
        <v>81</v>
      </c>
      <c r="G13" s="47"/>
    </row>
    <row r="14" spans="1:9">
      <c r="G14" s="47"/>
    </row>
    <row r="15" spans="1:9">
      <c r="A15" s="58" t="s">
        <v>12</v>
      </c>
      <c r="B15" s="60" t="s">
        <v>76</v>
      </c>
      <c r="C15" s="60" t="s">
        <v>10</v>
      </c>
      <c r="D15" s="60" t="s">
        <v>18</v>
      </c>
      <c r="E15" s="60" t="s">
        <v>8</v>
      </c>
      <c r="F15" s="60" t="s">
        <v>136</v>
      </c>
      <c r="G15" s="60" t="s">
        <v>46</v>
      </c>
    </row>
    <row r="16" spans="1:9">
      <c r="A16" s="55" t="s">
        <v>84</v>
      </c>
      <c r="B16" s="86">
        <v>2</v>
      </c>
      <c r="C16" s="59">
        <v>0.04</v>
      </c>
      <c r="D16" s="59">
        <f>+SUM(C16:$C$16)</f>
        <v>0.04</v>
      </c>
      <c r="E16" s="59">
        <f>+E6</f>
        <v>15</v>
      </c>
      <c r="F16" s="59">
        <f>+C16*E16</f>
        <v>0.6</v>
      </c>
      <c r="G16" s="49"/>
    </row>
    <row r="17" spans="1:9">
      <c r="A17" s="55" t="s">
        <v>85</v>
      </c>
      <c r="B17" s="86">
        <v>3</v>
      </c>
      <c r="C17" s="59">
        <v>5.0000000000000001E-3</v>
      </c>
      <c r="D17" s="59">
        <f>+SUM(C$16:$C17)</f>
        <v>4.4999999999999998E-2</v>
      </c>
      <c r="E17" s="59">
        <f>+E7</f>
        <v>20</v>
      </c>
      <c r="F17" s="59">
        <f t="shared" ref="F17:F18" si="1">+C17*E17</f>
        <v>0.1</v>
      </c>
      <c r="G17" s="49"/>
      <c r="I17" s="88"/>
    </row>
    <row r="18" spans="1:9">
      <c r="B18" s="86" t="s">
        <v>79</v>
      </c>
      <c r="C18" s="59">
        <v>0.01</v>
      </c>
      <c r="D18" s="59">
        <f>+SUM(C$16:$C18)</f>
        <v>5.5E-2</v>
      </c>
      <c r="E18" s="59">
        <f>+E16+E17</f>
        <v>35</v>
      </c>
      <c r="F18" s="59">
        <f t="shared" si="1"/>
        <v>0.35000000000000003</v>
      </c>
      <c r="G18" s="49">
        <v>0</v>
      </c>
      <c r="H18" s="55" t="s">
        <v>82</v>
      </c>
    </row>
    <row r="19" spans="1:9">
      <c r="B19" s="62" t="s">
        <v>5</v>
      </c>
      <c r="C19" s="62">
        <f>+SUM(C16:C18)</f>
        <v>5.5E-2</v>
      </c>
      <c r="D19" s="62"/>
      <c r="E19" s="62"/>
      <c r="F19" s="67">
        <f>+SUM(F16:F18)</f>
        <v>1.05</v>
      </c>
      <c r="G19" s="51"/>
    </row>
    <row r="20" spans="1:9">
      <c r="B20" s="66"/>
      <c r="C20" s="66"/>
      <c r="D20" s="66"/>
      <c r="E20" s="66"/>
      <c r="F20" s="61"/>
      <c r="G20" s="52"/>
    </row>
    <row r="21" spans="1:9">
      <c r="B21" s="66"/>
      <c r="C21" s="66"/>
      <c r="D21" s="66"/>
      <c r="E21" s="66"/>
      <c r="F21" s="61"/>
      <c r="G21" s="52"/>
    </row>
    <row r="22" spans="1:9">
      <c r="A22" s="58" t="s">
        <v>13</v>
      </c>
      <c r="B22" s="60" t="s">
        <v>76</v>
      </c>
      <c r="C22" s="60" t="s">
        <v>10</v>
      </c>
      <c r="D22" s="60" t="s">
        <v>18</v>
      </c>
      <c r="E22" s="60" t="s">
        <v>8</v>
      </c>
      <c r="F22" s="60" t="s">
        <v>136</v>
      </c>
      <c r="G22" s="60" t="s">
        <v>46</v>
      </c>
    </row>
    <row r="23" spans="1:9">
      <c r="A23" s="55" t="s">
        <v>84</v>
      </c>
      <c r="B23" s="86">
        <v>1</v>
      </c>
      <c r="C23" s="59">
        <v>0.04</v>
      </c>
      <c r="D23" s="59">
        <f>+SUM(C23:$C$23)</f>
        <v>0.04</v>
      </c>
      <c r="E23" s="59">
        <f>+E5</f>
        <v>12</v>
      </c>
      <c r="F23" s="59">
        <f>+C23*E23</f>
        <v>0.48</v>
      </c>
      <c r="G23" s="49"/>
    </row>
    <row r="24" spans="1:9">
      <c r="A24" s="55" t="s">
        <v>86</v>
      </c>
      <c r="B24" s="86">
        <v>3</v>
      </c>
      <c r="C24" s="59">
        <v>1.2500000000000001E-2</v>
      </c>
      <c r="D24" s="59">
        <f>+SUM(C$23:$C24)</f>
        <v>5.2500000000000005E-2</v>
      </c>
      <c r="E24" s="59">
        <f>+E7</f>
        <v>20</v>
      </c>
      <c r="F24" s="59">
        <f t="shared" ref="F24:F25" si="2">+C24*E24</f>
        <v>0.25</v>
      </c>
      <c r="G24" s="49"/>
    </row>
    <row r="25" spans="1:9">
      <c r="B25" s="86" t="s">
        <v>78</v>
      </c>
      <c r="C25" s="59">
        <v>0.01</v>
      </c>
      <c r="D25" s="59">
        <f>+SUM(C$23:$C25)</f>
        <v>6.25E-2</v>
      </c>
      <c r="E25" s="59">
        <f>+E23+E24</f>
        <v>32</v>
      </c>
      <c r="F25" s="59">
        <f t="shared" si="2"/>
        <v>0.32</v>
      </c>
      <c r="G25" s="49">
        <v>0</v>
      </c>
      <c r="H25" s="55" t="s">
        <v>82</v>
      </c>
    </row>
    <row r="26" spans="1:9">
      <c r="B26" s="62" t="s">
        <v>5</v>
      </c>
      <c r="C26" s="62">
        <f>+SUM(C23:C25)</f>
        <v>6.25E-2</v>
      </c>
      <c r="D26" s="62"/>
      <c r="E26" s="62"/>
      <c r="F26" s="67">
        <f>+SUM(F23:F25)</f>
        <v>1.05</v>
      </c>
      <c r="G26" s="51"/>
    </row>
    <row r="27" spans="1:9">
      <c r="B27" s="66"/>
      <c r="C27" s="66"/>
      <c r="D27" s="66"/>
      <c r="E27" s="66"/>
      <c r="F27" s="61"/>
      <c r="G27" s="52"/>
    </row>
    <row r="28" spans="1:9">
      <c r="G28" s="47"/>
    </row>
    <row r="29" spans="1:9">
      <c r="A29" s="58" t="s">
        <v>14</v>
      </c>
      <c r="B29" s="60" t="s">
        <v>76</v>
      </c>
      <c r="C29" s="60" t="s">
        <v>10</v>
      </c>
      <c r="D29" s="60" t="s">
        <v>18</v>
      </c>
      <c r="E29" s="60" t="s">
        <v>8</v>
      </c>
      <c r="F29" s="60" t="s">
        <v>136</v>
      </c>
      <c r="G29" s="60" t="s">
        <v>46</v>
      </c>
    </row>
    <row r="30" spans="1:9">
      <c r="A30" s="55" t="s">
        <v>84</v>
      </c>
      <c r="B30" s="86">
        <v>3</v>
      </c>
      <c r="C30" s="59">
        <v>5.2499999999999998E-2</v>
      </c>
      <c r="D30" s="59">
        <f>+SUM(C30:$C$30)</f>
        <v>5.2499999999999998E-2</v>
      </c>
      <c r="E30" s="59">
        <f>+E7</f>
        <v>20</v>
      </c>
      <c r="F30" s="59">
        <f>+C30*E30</f>
        <v>1.05</v>
      </c>
      <c r="G30" s="49">
        <v>0</v>
      </c>
      <c r="H30" s="55" t="s">
        <v>82</v>
      </c>
    </row>
    <row r="31" spans="1:9">
      <c r="A31" s="55" t="s">
        <v>85</v>
      </c>
      <c r="B31" s="62" t="s">
        <v>5</v>
      </c>
      <c r="C31" s="62">
        <f>+SUM(C30:C30)</f>
        <v>5.2499999999999998E-2</v>
      </c>
      <c r="D31" s="62"/>
      <c r="E31" s="62"/>
      <c r="F31" s="67">
        <f>+SUM(F30:F30)</f>
        <v>1.05</v>
      </c>
      <c r="G31" s="51"/>
    </row>
    <row r="32" spans="1:9">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0.04</v>
      </c>
      <c r="D35" s="59">
        <f>+SUM(C35:$C$35)</f>
        <v>0.04</v>
      </c>
      <c r="E35" s="59">
        <f>+E5</f>
        <v>12</v>
      </c>
      <c r="F35" s="59">
        <f>+C35*E35</f>
        <v>0.48</v>
      </c>
      <c r="G35" s="49"/>
    </row>
    <row r="36" spans="1:8">
      <c r="A36" s="55" t="s">
        <v>87</v>
      </c>
      <c r="B36" s="86">
        <v>2</v>
      </c>
      <c r="C36" s="59">
        <v>2E-3</v>
      </c>
      <c r="D36" s="59">
        <f>+SUM(C$35:$C36)</f>
        <v>4.2000000000000003E-2</v>
      </c>
      <c r="E36" s="59">
        <f>+E6</f>
        <v>15</v>
      </c>
      <c r="F36" s="59">
        <f t="shared" ref="F36:F37" si="3">+C36*E36</f>
        <v>0.03</v>
      </c>
      <c r="G36" s="49"/>
    </row>
    <row r="37" spans="1:8">
      <c r="B37" s="86" t="s">
        <v>77</v>
      </c>
      <c r="C37" s="59">
        <v>0.02</v>
      </c>
      <c r="D37" s="59">
        <f>+SUM(C$35:$C37)</f>
        <v>6.2E-2</v>
      </c>
      <c r="E37" s="59">
        <f>+E35+E36</f>
        <v>27</v>
      </c>
      <c r="F37" s="59">
        <f t="shared" si="3"/>
        <v>0.54</v>
      </c>
      <c r="G37" s="49">
        <v>0</v>
      </c>
      <c r="H37" s="55" t="s">
        <v>82</v>
      </c>
    </row>
    <row r="38" spans="1:8">
      <c r="A38" s="64"/>
      <c r="B38" s="62" t="s">
        <v>5</v>
      </c>
      <c r="C38" s="62">
        <f>+SUM(C35:C37)</f>
        <v>6.2E-2</v>
      </c>
      <c r="D38" s="62"/>
      <c r="E38" s="62"/>
      <c r="F38" s="67">
        <f>+SUM(F35:F37)</f>
        <v>1.05</v>
      </c>
      <c r="G38" s="51"/>
    </row>
    <row r="39" spans="1:8">
      <c r="A39" s="64"/>
      <c r="G39" s="47"/>
    </row>
    <row r="40" spans="1:8">
      <c r="G40" s="47"/>
    </row>
    <row r="41" spans="1:8">
      <c r="A41" s="58" t="s">
        <v>16</v>
      </c>
      <c r="B41" s="60" t="s">
        <v>76</v>
      </c>
      <c r="C41" s="60" t="s">
        <v>10</v>
      </c>
      <c r="D41" s="60" t="s">
        <v>18</v>
      </c>
      <c r="E41" s="60" t="s">
        <v>8</v>
      </c>
      <c r="F41" s="60" t="s">
        <v>136</v>
      </c>
      <c r="G41" s="60" t="s">
        <v>46</v>
      </c>
    </row>
    <row r="42" spans="1:8">
      <c r="A42" s="55" t="s">
        <v>84</v>
      </c>
      <c r="B42" s="86">
        <v>1</v>
      </c>
      <c r="C42" s="59">
        <v>8.7499999999999994E-2</v>
      </c>
      <c r="D42" s="59">
        <f>+SUM(C42:$C$42)</f>
        <v>8.7499999999999994E-2</v>
      </c>
      <c r="E42" s="59">
        <f>+E5</f>
        <v>12</v>
      </c>
      <c r="F42" s="59">
        <f>+E42*C42</f>
        <v>1.0499999999999998</v>
      </c>
      <c r="G42" s="49">
        <v>0</v>
      </c>
      <c r="H42" s="55" t="s">
        <v>82</v>
      </c>
    </row>
    <row r="43" spans="1:8">
      <c r="A43" s="55" t="s">
        <v>86</v>
      </c>
      <c r="B43" s="62" t="s">
        <v>5</v>
      </c>
      <c r="C43" s="62">
        <f>+SUM(C42:C42)</f>
        <v>8.7499999999999994E-2</v>
      </c>
      <c r="D43" s="62"/>
      <c r="E43" s="62"/>
      <c r="F43" s="67">
        <f>+SUM(F42:F42)</f>
        <v>1.0499999999999998</v>
      </c>
      <c r="G43" s="51"/>
    </row>
    <row r="44" spans="1:8">
      <c r="A44" s="55" t="s">
        <v>87</v>
      </c>
      <c r="G44" s="47"/>
    </row>
    <row r="45" spans="1:8">
      <c r="G45" s="47"/>
    </row>
    <row r="46" spans="1:8">
      <c r="A46" s="58" t="s">
        <v>17</v>
      </c>
      <c r="B46" s="60" t="s">
        <v>76</v>
      </c>
      <c r="C46" s="60" t="s">
        <v>10</v>
      </c>
      <c r="D46" s="60" t="s">
        <v>18</v>
      </c>
      <c r="E46" s="60" t="s">
        <v>8</v>
      </c>
      <c r="F46" s="60" t="s">
        <v>136</v>
      </c>
      <c r="G46" s="60" t="s">
        <v>46</v>
      </c>
    </row>
    <row r="47" spans="1:8">
      <c r="A47" s="55" t="s">
        <v>84</v>
      </c>
      <c r="B47" s="86">
        <v>2</v>
      </c>
      <c r="C47" s="59">
        <v>7.0000000000000007E-2</v>
      </c>
      <c r="D47" s="59">
        <f>+SUM(C$47:$C47)</f>
        <v>7.0000000000000007E-2</v>
      </c>
      <c r="E47" s="59">
        <f>+E6</f>
        <v>15</v>
      </c>
      <c r="F47" s="59">
        <f>+E47*C47</f>
        <v>1.05</v>
      </c>
      <c r="G47" s="49">
        <v>0</v>
      </c>
      <c r="H47" s="55" t="s">
        <v>82</v>
      </c>
    </row>
    <row r="48" spans="1:8">
      <c r="A48" s="55" t="s">
        <v>85</v>
      </c>
      <c r="B48" s="62" t="s">
        <v>5</v>
      </c>
      <c r="C48" s="62">
        <f>+SUM(C47:C47)</f>
        <v>7.0000000000000007E-2</v>
      </c>
      <c r="D48" s="62"/>
      <c r="E48" s="62"/>
      <c r="F48" s="67">
        <f>+SUM(F47:F47)</f>
        <v>1.05</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91</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43">
        <v>0.1</v>
      </c>
      <c r="D5" s="56">
        <f>+SUM($C$5:C5)</f>
        <v>0.1</v>
      </c>
      <c r="E5" s="56">
        <f>+Summary!E27</f>
        <v>5</v>
      </c>
      <c r="F5" s="56">
        <f>+C5*E5</f>
        <v>0.5</v>
      </c>
      <c r="G5" s="49"/>
    </row>
    <row r="6" spans="1:9">
      <c r="B6" s="87">
        <v>2</v>
      </c>
      <c r="C6" s="43">
        <v>0.01</v>
      </c>
      <c r="D6" s="56">
        <f>+SUM($C$5:C6)</f>
        <v>0.11</v>
      </c>
      <c r="E6" s="56">
        <f>+Summary!E28</f>
        <v>10</v>
      </c>
      <c r="F6" s="56">
        <f t="shared" ref="F6:F7" si="0">+C6*E6</f>
        <v>0.1</v>
      </c>
      <c r="G6" s="49"/>
    </row>
    <row r="7" spans="1:9">
      <c r="B7" s="87" t="s">
        <v>77</v>
      </c>
      <c r="C7" s="43">
        <v>0.02</v>
      </c>
      <c r="D7" s="56">
        <f>+SUM($C$5:C7)</f>
        <v>0.13</v>
      </c>
      <c r="E7" s="56">
        <f>+E5+E6</f>
        <v>15</v>
      </c>
      <c r="F7" s="56">
        <f t="shared" si="0"/>
        <v>0.3</v>
      </c>
      <c r="G7" s="49">
        <v>0</v>
      </c>
      <c r="H7" s="55" t="s">
        <v>82</v>
      </c>
      <c r="I7" s="89"/>
    </row>
    <row r="8" spans="1:9">
      <c r="B8" s="62" t="s">
        <v>11</v>
      </c>
      <c r="C8" s="62">
        <f>+SUM(C5:C7)</f>
        <v>0.13</v>
      </c>
      <c r="D8" s="62"/>
      <c r="E8" s="62"/>
      <c r="F8" s="53">
        <f>+SUM(F5:F7)</f>
        <v>0.89999999999999991</v>
      </c>
      <c r="G8" s="50"/>
    </row>
    <row r="9" spans="1:9">
      <c r="B9" s="63" t="s">
        <v>81</v>
      </c>
      <c r="G9" s="47"/>
    </row>
    <row r="10" spans="1:9">
      <c r="G10" s="47"/>
    </row>
    <row r="11" spans="1:9">
      <c r="G11" s="47"/>
    </row>
    <row r="12" spans="1:9">
      <c r="A12" s="58" t="s">
        <v>16</v>
      </c>
      <c r="B12" s="60" t="s">
        <v>76</v>
      </c>
      <c r="C12" s="60" t="s">
        <v>10</v>
      </c>
      <c r="D12" s="60" t="s">
        <v>18</v>
      </c>
      <c r="E12" s="60" t="s">
        <v>8</v>
      </c>
      <c r="F12" s="60" t="s">
        <v>136</v>
      </c>
      <c r="G12" s="60" t="s">
        <v>46</v>
      </c>
    </row>
    <row r="13" spans="1:9">
      <c r="A13" s="55" t="s">
        <v>84</v>
      </c>
      <c r="B13" s="86">
        <v>1</v>
      </c>
      <c r="C13" s="59">
        <v>0.18</v>
      </c>
      <c r="D13" s="59">
        <f>+SUM(C13:$C$13)</f>
        <v>0.18</v>
      </c>
      <c r="E13" s="59">
        <f>+E5</f>
        <v>5</v>
      </c>
      <c r="F13" s="59">
        <f>+E13*C13</f>
        <v>0.89999999999999991</v>
      </c>
      <c r="G13" s="49">
        <v>0</v>
      </c>
      <c r="H13" s="55" t="s">
        <v>82</v>
      </c>
    </row>
    <row r="14" spans="1:9">
      <c r="A14" s="55" t="s">
        <v>86</v>
      </c>
      <c r="B14" s="62" t="s">
        <v>5</v>
      </c>
      <c r="C14" s="62">
        <f>+SUM(C13:C13)</f>
        <v>0.18</v>
      </c>
      <c r="D14" s="62"/>
      <c r="E14" s="62"/>
      <c r="F14" s="67">
        <f>+SUM(F13:F13)</f>
        <v>0.89999999999999991</v>
      </c>
      <c r="G14" s="51"/>
    </row>
    <row r="15" spans="1:9">
      <c r="G15" s="47"/>
    </row>
    <row r="16" spans="1:9">
      <c r="G16" s="47"/>
    </row>
    <row r="17" spans="1:8">
      <c r="A17" s="58" t="s">
        <v>17</v>
      </c>
      <c r="B17" s="60" t="s">
        <v>76</v>
      </c>
      <c r="C17" s="60" t="s">
        <v>10</v>
      </c>
      <c r="D17" s="60" t="s">
        <v>18</v>
      </c>
      <c r="E17" s="60" t="s">
        <v>8</v>
      </c>
      <c r="F17" s="60" t="s">
        <v>136</v>
      </c>
      <c r="G17" s="60" t="s">
        <v>46</v>
      </c>
    </row>
    <row r="18" spans="1:8">
      <c r="A18" s="55" t="s">
        <v>84</v>
      </c>
      <c r="B18" s="86">
        <v>2</v>
      </c>
      <c r="C18" s="59">
        <v>0.09</v>
      </c>
      <c r="D18" s="59">
        <f>+SUM(C$18:$C18)</f>
        <v>0.09</v>
      </c>
      <c r="E18" s="59">
        <f>+E6</f>
        <v>10</v>
      </c>
      <c r="F18" s="59">
        <f>+E18*C18</f>
        <v>0.89999999999999991</v>
      </c>
      <c r="G18" s="49">
        <v>0</v>
      </c>
      <c r="H18" s="55" t="s">
        <v>82</v>
      </c>
    </row>
    <row r="19" spans="1:8">
      <c r="A19" s="55" t="s">
        <v>85</v>
      </c>
      <c r="B19" s="62" t="s">
        <v>5</v>
      </c>
      <c r="C19" s="62">
        <f>+SUM(C18:C18)</f>
        <v>0.09</v>
      </c>
      <c r="D19" s="62"/>
      <c r="E19" s="62"/>
      <c r="F19" s="67">
        <f>+SUM(F18:F18)</f>
        <v>0.89999999999999991</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95</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0.06</v>
      </c>
      <c r="D5" s="56">
        <f>+SUM($C$5:C5)</f>
        <v>0.06</v>
      </c>
      <c r="E5" s="56">
        <f>+Summary!H27</f>
        <v>5</v>
      </c>
      <c r="F5" s="56">
        <f>+C5*E5</f>
        <v>0.3</v>
      </c>
      <c r="G5" s="49"/>
    </row>
    <row r="6" spans="1:8">
      <c r="B6" s="87">
        <v>2</v>
      </c>
      <c r="C6" s="56">
        <v>1.7999999999999999E-2</v>
      </c>
      <c r="D6" s="56">
        <f>+SUM($C$5:C6)</f>
        <v>7.8E-2</v>
      </c>
      <c r="E6" s="56">
        <f>+Summary!H28</f>
        <v>10</v>
      </c>
      <c r="F6" s="56">
        <f t="shared" ref="F6:F11" si="0">+C6*E6</f>
        <v>0.18</v>
      </c>
      <c r="G6" s="49"/>
    </row>
    <row r="7" spans="1:8">
      <c r="B7" s="87">
        <v>3</v>
      </c>
      <c r="C7" s="56">
        <v>0.01</v>
      </c>
      <c r="D7" s="56">
        <f>+SUM($C$5:C7)</f>
        <v>8.7999999999999995E-2</v>
      </c>
      <c r="E7" s="56">
        <f>+Summary!H29</f>
        <v>15</v>
      </c>
      <c r="F7" s="56">
        <f t="shared" si="0"/>
        <v>0.15</v>
      </c>
      <c r="G7" s="49"/>
    </row>
    <row r="8" spans="1:8">
      <c r="B8" s="87" t="s">
        <v>77</v>
      </c>
      <c r="C8" s="56">
        <v>1E-3</v>
      </c>
      <c r="D8" s="56">
        <f>+SUM($C$5:C8)</f>
        <v>8.8999999999999996E-2</v>
      </c>
      <c r="E8" s="56">
        <f>+E5+E6</f>
        <v>15</v>
      </c>
      <c r="F8" s="56">
        <f t="shared" si="0"/>
        <v>1.4999999999999999E-2</v>
      </c>
      <c r="G8" s="49"/>
    </row>
    <row r="9" spans="1:8">
      <c r="B9" s="87" t="s">
        <v>78</v>
      </c>
      <c r="C9" s="56">
        <v>5.0000000000000001E-3</v>
      </c>
      <c r="D9" s="56">
        <f>+SUM($C$5:C9)</f>
        <v>9.4E-2</v>
      </c>
      <c r="E9" s="56">
        <f>+E5+E7</f>
        <v>20</v>
      </c>
      <c r="F9" s="56">
        <f t="shared" si="0"/>
        <v>0.1</v>
      </c>
      <c r="G9" s="49"/>
    </row>
    <row r="10" spans="1:8">
      <c r="B10" s="87" t="s">
        <v>79</v>
      </c>
      <c r="C10" s="56">
        <v>5.0000000000000001E-3</v>
      </c>
      <c r="D10" s="56">
        <f>+SUM($C$5:C10)</f>
        <v>9.9000000000000005E-2</v>
      </c>
      <c r="E10" s="56">
        <f>+E6+E7</f>
        <v>25</v>
      </c>
      <c r="F10" s="56">
        <f t="shared" si="0"/>
        <v>0.125</v>
      </c>
      <c r="G10" s="49"/>
    </row>
    <row r="11" spans="1:8">
      <c r="B11" s="87" t="s">
        <v>80</v>
      </c>
      <c r="C11" s="56">
        <v>1E-3</v>
      </c>
      <c r="D11" s="56">
        <f>+SUM($C$5:C11)</f>
        <v>0.1</v>
      </c>
      <c r="E11" s="56">
        <f>+E5+E6+E7</f>
        <v>30</v>
      </c>
      <c r="F11" s="56">
        <f t="shared" si="0"/>
        <v>0.03</v>
      </c>
      <c r="G11" s="49">
        <v>0</v>
      </c>
      <c r="H11" s="55" t="s">
        <v>82</v>
      </c>
    </row>
    <row r="12" spans="1:8">
      <c r="B12" s="62" t="s">
        <v>11</v>
      </c>
      <c r="C12" s="62">
        <f>+SUM(C5:C11)</f>
        <v>0.1</v>
      </c>
      <c r="D12" s="62"/>
      <c r="E12" s="62"/>
      <c r="F12" s="69">
        <f>+SUM(F5:F11)</f>
        <v>0.9</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0.08</v>
      </c>
      <c r="D16" s="59">
        <f>+SUM(C16:$C$16)</f>
        <v>0.08</v>
      </c>
      <c r="E16" s="59">
        <f>+E6</f>
        <v>10</v>
      </c>
      <c r="F16" s="59">
        <f>+C16*E16</f>
        <v>0.8</v>
      </c>
      <c r="G16" s="49"/>
    </row>
    <row r="17" spans="1:10">
      <c r="A17" s="55" t="s">
        <v>85</v>
      </c>
      <c r="B17" s="86">
        <v>3</v>
      </c>
      <c r="C17" s="59">
        <v>5.0000000000000001E-3</v>
      </c>
      <c r="D17" s="59">
        <f>+SUM(C$16:$C17)</f>
        <v>8.5000000000000006E-2</v>
      </c>
      <c r="E17" s="59">
        <f>+E7</f>
        <v>15</v>
      </c>
      <c r="F17" s="59">
        <f t="shared" ref="F17:F18" si="1">+C17*E17</f>
        <v>7.4999999999999997E-2</v>
      </c>
      <c r="G17" s="49"/>
    </row>
    <row r="18" spans="1:10">
      <c r="B18" s="86" t="s">
        <v>79</v>
      </c>
      <c r="C18" s="59">
        <v>1E-3</v>
      </c>
      <c r="D18" s="59">
        <f>+SUM(C$16:$C18)</f>
        <v>8.6000000000000007E-2</v>
      </c>
      <c r="E18" s="59">
        <f>+E16+E17</f>
        <v>25</v>
      </c>
      <c r="F18" s="59">
        <f t="shared" si="1"/>
        <v>2.5000000000000001E-2</v>
      </c>
      <c r="G18" s="49">
        <v>0</v>
      </c>
      <c r="H18" s="55" t="s">
        <v>82</v>
      </c>
    </row>
    <row r="19" spans="1:10">
      <c r="B19" s="62" t="s">
        <v>5</v>
      </c>
      <c r="C19" s="62">
        <f>+SUM(C16:C18)</f>
        <v>8.6000000000000007E-2</v>
      </c>
      <c r="D19" s="62"/>
      <c r="E19" s="62"/>
      <c r="F19" s="67">
        <f>+SUM(F16:F18)</f>
        <v>0.9</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0.08</v>
      </c>
      <c r="D23" s="59">
        <f>+SUM(C23:$C$23)</f>
        <v>0.08</v>
      </c>
      <c r="E23" s="59">
        <f>+E5</f>
        <v>5</v>
      </c>
      <c r="F23" s="59">
        <f>+C23*E23</f>
        <v>0.4</v>
      </c>
      <c r="G23" s="49"/>
    </row>
    <row r="24" spans="1:10">
      <c r="A24" s="55" t="s">
        <v>86</v>
      </c>
      <c r="B24" s="86">
        <v>3</v>
      </c>
      <c r="C24" s="59">
        <v>0.02</v>
      </c>
      <c r="D24" s="59">
        <f>+SUM(C$23:$C24)</f>
        <v>0.1</v>
      </c>
      <c r="E24" s="59">
        <f>+E7</f>
        <v>15</v>
      </c>
      <c r="F24" s="59">
        <f t="shared" ref="F24:F25" si="2">+C24*E24</f>
        <v>0.3</v>
      </c>
      <c r="G24" s="49"/>
    </row>
    <row r="25" spans="1:10">
      <c r="B25" s="86" t="s">
        <v>78</v>
      </c>
      <c r="C25" s="59">
        <v>0.01</v>
      </c>
      <c r="D25" s="59">
        <f>+SUM(C$23:$C25)</f>
        <v>0.11</v>
      </c>
      <c r="E25" s="59">
        <f>+E23+E24</f>
        <v>20</v>
      </c>
      <c r="F25" s="59">
        <f t="shared" si="2"/>
        <v>0.2</v>
      </c>
      <c r="G25" s="49">
        <v>0</v>
      </c>
      <c r="H25" s="55" t="s">
        <v>82</v>
      </c>
      <c r="J25" s="68"/>
    </row>
    <row r="26" spans="1:10">
      <c r="B26" s="62" t="s">
        <v>5</v>
      </c>
      <c r="C26" s="62">
        <f>+SUM(C23:C25)</f>
        <v>0.11</v>
      </c>
      <c r="D26" s="62"/>
      <c r="E26" s="62"/>
      <c r="F26" s="67">
        <f>+SUM(F23:F25)</f>
        <v>0.89999999999999991</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0.06</v>
      </c>
      <c r="D30" s="59">
        <f>+SUM(C30:$C$30)</f>
        <v>0.06</v>
      </c>
      <c r="E30" s="59">
        <f>+E7</f>
        <v>15</v>
      </c>
      <c r="F30" s="59">
        <f>+C30*E30</f>
        <v>0.89999999999999991</v>
      </c>
      <c r="G30" s="49">
        <v>0</v>
      </c>
      <c r="H30" s="55" t="s">
        <v>82</v>
      </c>
    </row>
    <row r="31" spans="1:10">
      <c r="A31" s="55" t="s">
        <v>85</v>
      </c>
      <c r="B31" s="62" t="s">
        <v>5</v>
      </c>
      <c r="C31" s="62">
        <f>+SUM(C30:C30)</f>
        <v>0.06</v>
      </c>
      <c r="D31" s="62"/>
      <c r="E31" s="62"/>
      <c r="F31" s="67">
        <f>+SUM(F30:F30)</f>
        <v>0.89999999999999991</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0.08</v>
      </c>
      <c r="D35" s="59">
        <f>+SUM(C35:$C$35)</f>
        <v>0.08</v>
      </c>
      <c r="E35" s="59">
        <f>+E5</f>
        <v>5</v>
      </c>
      <c r="F35" s="59">
        <f>+C35*E35</f>
        <v>0.4</v>
      </c>
      <c r="G35" s="49"/>
    </row>
    <row r="36" spans="1:8">
      <c r="A36" s="55" t="s">
        <v>87</v>
      </c>
      <c r="B36" s="86">
        <v>2</v>
      </c>
      <c r="C36" s="59">
        <v>0.02</v>
      </c>
      <c r="D36" s="59">
        <f>+SUM(C$35:$C36)</f>
        <v>0.1</v>
      </c>
      <c r="E36" s="59">
        <f>+E6</f>
        <v>10</v>
      </c>
      <c r="F36" s="59">
        <f t="shared" ref="F36:F37" si="3">+C36*E36</f>
        <v>0.2</v>
      </c>
      <c r="G36" s="49"/>
    </row>
    <row r="37" spans="1:8">
      <c r="B37" s="86" t="s">
        <v>77</v>
      </c>
      <c r="C37" s="59">
        <v>0.02</v>
      </c>
      <c r="D37" s="59">
        <f>+SUM(C$35:$C37)</f>
        <v>0.12000000000000001</v>
      </c>
      <c r="E37" s="59">
        <f>+E35+E36</f>
        <v>15</v>
      </c>
      <c r="F37" s="59">
        <f t="shared" si="3"/>
        <v>0.3</v>
      </c>
      <c r="G37" s="49">
        <v>0</v>
      </c>
      <c r="H37" s="55" t="s">
        <v>82</v>
      </c>
    </row>
    <row r="38" spans="1:8">
      <c r="A38" s="64"/>
      <c r="B38" s="62" t="s">
        <v>5</v>
      </c>
      <c r="C38" s="62">
        <f>+SUM(C35:C37)</f>
        <v>0.12000000000000001</v>
      </c>
      <c r="D38" s="62"/>
      <c r="E38" s="62"/>
      <c r="F38" s="67">
        <f>+SUM(F35:F37)</f>
        <v>0.90000000000000013</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0.18</v>
      </c>
      <c r="D42" s="59">
        <f>+SUM(C42:$C$42)</f>
        <v>0.18</v>
      </c>
      <c r="E42" s="59">
        <f>+E5</f>
        <v>5</v>
      </c>
      <c r="F42" s="59">
        <f>+E42*C42</f>
        <v>0.89999999999999991</v>
      </c>
      <c r="G42" s="49">
        <v>0</v>
      </c>
      <c r="H42" s="55" t="s">
        <v>82</v>
      </c>
    </row>
    <row r="43" spans="1:8">
      <c r="A43" s="55" t="s">
        <v>86</v>
      </c>
      <c r="B43" s="62" t="s">
        <v>5</v>
      </c>
      <c r="C43" s="62">
        <f>+SUM(C42:C42)</f>
        <v>0.18</v>
      </c>
      <c r="D43" s="62"/>
      <c r="E43" s="62"/>
      <c r="F43" s="67">
        <f>+SUM(F42:F42)</f>
        <v>0.89999999999999991</v>
      </c>
      <c r="G43" s="51"/>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0.09</v>
      </c>
      <c r="D47" s="59">
        <f>+SUM(C$47:$C47)</f>
        <v>0.09</v>
      </c>
      <c r="E47" s="59">
        <f>+E6</f>
        <v>10</v>
      </c>
      <c r="F47" s="59">
        <f>+E47*C47</f>
        <v>0.89999999999999991</v>
      </c>
      <c r="G47" s="49">
        <v>0</v>
      </c>
      <c r="H47" s="55" t="s">
        <v>82</v>
      </c>
    </row>
    <row r="48" spans="1:8">
      <c r="A48" s="55" t="s">
        <v>85</v>
      </c>
      <c r="B48" s="62" t="s">
        <v>5</v>
      </c>
      <c r="C48" s="62">
        <f>+SUM(C47:C47)</f>
        <v>0.09</v>
      </c>
      <c r="D48" s="62"/>
      <c r="E48" s="62"/>
      <c r="F48" s="67">
        <f>+SUM(F47:F47)</f>
        <v>0.89999999999999991</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98</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0.05</v>
      </c>
      <c r="D5" s="56">
        <f>+SUM($C$5:C5)</f>
        <v>0.05</v>
      </c>
      <c r="E5" s="70">
        <f>Summary!K27</f>
        <v>8</v>
      </c>
      <c r="F5" s="56">
        <f>+C5*E5</f>
        <v>0.4</v>
      </c>
      <c r="G5" s="49"/>
    </row>
    <row r="6" spans="1:8">
      <c r="B6" s="87">
        <v>2</v>
      </c>
      <c r="C6" s="56">
        <v>7.0000000000000001E-3</v>
      </c>
      <c r="D6" s="56">
        <f>+SUM($C$5:C6)</f>
        <v>5.7000000000000002E-2</v>
      </c>
      <c r="E6" s="70">
        <f>Summary!K28</f>
        <v>12</v>
      </c>
      <c r="F6" s="56">
        <f t="shared" ref="F6:F11" si="0">+C6*E6</f>
        <v>8.4000000000000005E-2</v>
      </c>
      <c r="G6" s="49"/>
    </row>
    <row r="7" spans="1:8">
      <c r="B7" s="87">
        <v>3</v>
      </c>
      <c r="C7" s="56">
        <v>5.0000000000000001E-3</v>
      </c>
      <c r="D7" s="56">
        <f>+SUM($C$5:C7)</f>
        <v>6.2E-2</v>
      </c>
      <c r="E7" s="70">
        <f>Summary!K29</f>
        <v>18</v>
      </c>
      <c r="F7" s="56">
        <f t="shared" si="0"/>
        <v>0.09</v>
      </c>
      <c r="G7" s="49"/>
    </row>
    <row r="8" spans="1:8">
      <c r="B8" s="87" t="s">
        <v>77</v>
      </c>
      <c r="C8" s="56">
        <v>6.4999999999999997E-3</v>
      </c>
      <c r="D8" s="56">
        <f>+SUM($C$5:C8)</f>
        <v>6.8500000000000005E-2</v>
      </c>
      <c r="E8" s="56">
        <f>+E5+E6</f>
        <v>20</v>
      </c>
      <c r="F8" s="56">
        <f t="shared" si="0"/>
        <v>0.13</v>
      </c>
      <c r="G8" s="49"/>
    </row>
    <row r="9" spans="1:8">
      <c r="B9" s="87" t="s">
        <v>78</v>
      </c>
      <c r="C9" s="56">
        <v>2E-3</v>
      </c>
      <c r="D9" s="56">
        <f>+SUM($C$5:C9)</f>
        <v>7.0500000000000007E-2</v>
      </c>
      <c r="E9" s="56">
        <f>+E5+E7</f>
        <v>26</v>
      </c>
      <c r="F9" s="56">
        <f t="shared" si="0"/>
        <v>5.2000000000000005E-2</v>
      </c>
      <c r="G9" s="49"/>
    </row>
    <row r="10" spans="1:8">
      <c r="B10" s="87" t="s">
        <v>79</v>
      </c>
      <c r="C10" s="56">
        <v>1E-3</v>
      </c>
      <c r="D10" s="56">
        <f>+SUM($C$5:C10)</f>
        <v>7.1500000000000008E-2</v>
      </c>
      <c r="E10" s="56">
        <f>+E6+E7</f>
        <v>30</v>
      </c>
      <c r="F10" s="56">
        <f t="shared" si="0"/>
        <v>0.03</v>
      </c>
      <c r="G10" s="49"/>
    </row>
    <row r="11" spans="1:8">
      <c r="B11" s="87" t="s">
        <v>80</v>
      </c>
      <c r="C11" s="56">
        <v>3.0000000000000001E-3</v>
      </c>
      <c r="D11" s="56">
        <f>+SUM($C$5:C11)</f>
        <v>7.4500000000000011E-2</v>
      </c>
      <c r="E11" s="56">
        <f>+E5+E6+E7</f>
        <v>38</v>
      </c>
      <c r="F11" s="56">
        <f t="shared" si="0"/>
        <v>0.114</v>
      </c>
      <c r="G11" s="49">
        <v>0</v>
      </c>
      <c r="H11" s="55" t="s">
        <v>82</v>
      </c>
    </row>
    <row r="12" spans="1:8">
      <c r="B12" s="62" t="s">
        <v>11</v>
      </c>
      <c r="C12" s="62">
        <f>+SUM(C5:C11)</f>
        <v>7.4500000000000011E-2</v>
      </c>
      <c r="D12" s="62"/>
      <c r="E12" s="62"/>
      <c r="F12" s="69">
        <f>+SUM(F5:F11)</f>
        <v>0.90000000000000013</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3.5000000000000003E-2</v>
      </c>
      <c r="D16" s="59">
        <f>+SUM(C16:$C$16)</f>
        <v>3.5000000000000003E-2</v>
      </c>
      <c r="E16" s="59">
        <f>+E6</f>
        <v>12</v>
      </c>
      <c r="F16" s="59">
        <f>+C16*E16</f>
        <v>0.42000000000000004</v>
      </c>
      <c r="G16" s="49"/>
    </row>
    <row r="17" spans="1:10">
      <c r="A17" s="55" t="s">
        <v>85</v>
      </c>
      <c r="B17" s="86">
        <v>3</v>
      </c>
      <c r="C17" s="59">
        <v>0.01</v>
      </c>
      <c r="D17" s="59">
        <f>+SUM(C$16:$C17)</f>
        <v>4.5000000000000005E-2</v>
      </c>
      <c r="E17" s="59">
        <f>+E7</f>
        <v>18</v>
      </c>
      <c r="F17" s="59">
        <f t="shared" ref="F17:F18" si="1">+C17*E17</f>
        <v>0.18</v>
      </c>
      <c r="G17" s="49"/>
    </row>
    <row r="18" spans="1:10">
      <c r="B18" s="86" t="s">
        <v>79</v>
      </c>
      <c r="C18" s="59">
        <v>0.01</v>
      </c>
      <c r="D18" s="59">
        <f>+SUM(C$16:$C18)</f>
        <v>5.5000000000000007E-2</v>
      </c>
      <c r="E18" s="59">
        <f>+E16+E17</f>
        <v>30</v>
      </c>
      <c r="F18" s="59">
        <f t="shared" si="1"/>
        <v>0.3</v>
      </c>
      <c r="G18" s="49">
        <v>0</v>
      </c>
      <c r="H18" s="55" t="s">
        <v>82</v>
      </c>
    </row>
    <row r="19" spans="1:10">
      <c r="B19" s="62" t="s">
        <v>5</v>
      </c>
      <c r="C19" s="62">
        <f>+SUM(C16:C18)</f>
        <v>5.5000000000000007E-2</v>
      </c>
      <c r="D19" s="62"/>
      <c r="E19" s="62"/>
      <c r="F19" s="67">
        <f>+SUM(F16:F18)</f>
        <v>0.90000000000000013</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2.5000000000000001E-2</v>
      </c>
      <c r="D23" s="59">
        <f>+SUM(C23:$C$23)</f>
        <v>2.5000000000000001E-2</v>
      </c>
      <c r="E23" s="59">
        <f>+E5</f>
        <v>8</v>
      </c>
      <c r="F23" s="59">
        <f>+C23*E23</f>
        <v>0.2</v>
      </c>
      <c r="G23" s="49"/>
    </row>
    <row r="24" spans="1:10">
      <c r="A24" s="55" t="s">
        <v>86</v>
      </c>
      <c r="B24" s="86">
        <v>3</v>
      </c>
      <c r="C24" s="59">
        <v>0.01</v>
      </c>
      <c r="D24" s="59">
        <f>+SUM(C$23:$C24)</f>
        <v>3.5000000000000003E-2</v>
      </c>
      <c r="E24" s="59">
        <f>+E7</f>
        <v>18</v>
      </c>
      <c r="F24" s="59">
        <f t="shared" ref="F24:F25" si="2">+C24*E24</f>
        <v>0.18</v>
      </c>
      <c r="G24" s="49"/>
    </row>
    <row r="25" spans="1:10">
      <c r="B25" s="86" t="s">
        <v>78</v>
      </c>
      <c r="C25" s="59">
        <v>0.02</v>
      </c>
      <c r="D25" s="59">
        <f>+SUM(C$23:$C25)</f>
        <v>5.5000000000000007E-2</v>
      </c>
      <c r="E25" s="59">
        <f>+E23+E24</f>
        <v>26</v>
      </c>
      <c r="F25" s="59">
        <f t="shared" si="2"/>
        <v>0.52</v>
      </c>
      <c r="G25" s="49">
        <v>0</v>
      </c>
      <c r="H25" s="55" t="s">
        <v>82</v>
      </c>
      <c r="J25" s="68"/>
    </row>
    <row r="26" spans="1:10">
      <c r="B26" s="62" t="s">
        <v>5</v>
      </c>
      <c r="C26" s="62">
        <f>+SUM(C23:C25)</f>
        <v>5.5000000000000007E-2</v>
      </c>
      <c r="D26" s="62"/>
      <c r="E26" s="62"/>
      <c r="F26" s="67">
        <f>+SUM(F23:F25)</f>
        <v>0.9</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0.05</v>
      </c>
      <c r="D30" s="59">
        <f>+SUM(C30:$C$30)</f>
        <v>0.05</v>
      </c>
      <c r="E30" s="59">
        <f>+E7</f>
        <v>18</v>
      </c>
      <c r="F30" s="59">
        <f>+C30*E30</f>
        <v>0.9</v>
      </c>
      <c r="G30" s="49">
        <v>0</v>
      </c>
      <c r="H30" s="55" t="s">
        <v>82</v>
      </c>
    </row>
    <row r="31" spans="1:10">
      <c r="A31" s="55" t="s">
        <v>85</v>
      </c>
      <c r="B31" s="62" t="s">
        <v>5</v>
      </c>
      <c r="C31" s="62">
        <f>+SUM(C30:C30)</f>
        <v>0.05</v>
      </c>
      <c r="D31" s="62"/>
      <c r="E31" s="62"/>
      <c r="F31" s="67">
        <f>+SUM(F30:F30)</f>
        <v>0.9</v>
      </c>
      <c r="G31" s="51"/>
    </row>
    <row r="32" spans="1:10">
      <c r="A32" s="55" t="s">
        <v>86</v>
      </c>
      <c r="G32" s="47"/>
    </row>
    <row r="33" spans="1:8">
      <c r="G33" s="47"/>
    </row>
    <row r="34" spans="1:8">
      <c r="A34" s="58" t="s">
        <v>15</v>
      </c>
      <c r="B34" s="60" t="s">
        <v>76</v>
      </c>
      <c r="C34" s="60" t="s">
        <v>10</v>
      </c>
      <c r="D34" s="60" t="s">
        <v>18</v>
      </c>
      <c r="E34" s="60" t="s">
        <v>8</v>
      </c>
      <c r="F34" s="60" t="s">
        <v>1</v>
      </c>
      <c r="G34" s="60" t="s">
        <v>46</v>
      </c>
    </row>
    <row r="35" spans="1:8">
      <c r="A35" s="55" t="s">
        <v>84</v>
      </c>
      <c r="B35" s="86">
        <v>1</v>
      </c>
      <c r="C35" s="59">
        <v>0.04</v>
      </c>
      <c r="D35" s="59">
        <f>+SUM(C35:$C$35)</f>
        <v>0.04</v>
      </c>
      <c r="E35" s="59">
        <f>+E5</f>
        <v>8</v>
      </c>
      <c r="F35" s="59">
        <f>+C35*E35</f>
        <v>0.32</v>
      </c>
      <c r="G35" s="49"/>
    </row>
    <row r="36" spans="1:8">
      <c r="A36" s="55" t="s">
        <v>87</v>
      </c>
      <c r="B36" s="86">
        <v>2</v>
      </c>
      <c r="C36" s="59">
        <v>0.03</v>
      </c>
      <c r="D36" s="59">
        <f>+SUM(C$35:$C36)</f>
        <v>7.0000000000000007E-2</v>
      </c>
      <c r="E36" s="59">
        <f>+E6</f>
        <v>12</v>
      </c>
      <c r="F36" s="59">
        <f t="shared" ref="F36:F37" si="3">+C36*E36</f>
        <v>0.36</v>
      </c>
      <c r="G36" s="49"/>
    </row>
    <row r="37" spans="1:8">
      <c r="B37" s="86" t="s">
        <v>77</v>
      </c>
      <c r="C37" s="59">
        <v>1.0999999999999999E-2</v>
      </c>
      <c r="D37" s="59">
        <f>+SUM(C$35:$C37)</f>
        <v>8.1000000000000003E-2</v>
      </c>
      <c r="E37" s="59">
        <f>+E35+E36</f>
        <v>20</v>
      </c>
      <c r="F37" s="59">
        <f t="shared" si="3"/>
        <v>0.21999999999999997</v>
      </c>
      <c r="G37" s="49">
        <v>0</v>
      </c>
      <c r="H37" s="55" t="s">
        <v>82</v>
      </c>
    </row>
    <row r="38" spans="1:8">
      <c r="A38" s="64"/>
      <c r="B38" s="62" t="s">
        <v>5</v>
      </c>
      <c r="C38" s="62">
        <f>+SUM(C35:C37)</f>
        <v>8.1000000000000003E-2</v>
      </c>
      <c r="D38" s="62"/>
      <c r="E38" s="62"/>
      <c r="F38" s="67">
        <f>+SUM(F35:F37)</f>
        <v>0.89999999999999991</v>
      </c>
      <c r="G38" s="51"/>
    </row>
    <row r="39" spans="1:8">
      <c r="A39" s="64"/>
      <c r="G39" s="47"/>
    </row>
    <row r="40" spans="1:8">
      <c r="G40" s="47"/>
    </row>
    <row r="41" spans="1:8">
      <c r="A41" s="58" t="s">
        <v>16</v>
      </c>
      <c r="B41" s="60" t="s">
        <v>76</v>
      </c>
      <c r="C41" s="60" t="s">
        <v>10</v>
      </c>
      <c r="D41" s="60" t="s">
        <v>18</v>
      </c>
      <c r="E41" s="60" t="s">
        <v>8</v>
      </c>
      <c r="F41" s="60" t="s">
        <v>1</v>
      </c>
      <c r="G41" s="54"/>
    </row>
    <row r="42" spans="1:8">
      <c r="A42" s="55" t="s">
        <v>84</v>
      </c>
      <c r="B42" s="86">
        <v>1</v>
      </c>
      <c r="C42" s="59">
        <v>0.1125</v>
      </c>
      <c r="D42" s="59">
        <f>+SUM(C42:$C$42)</f>
        <v>0.1125</v>
      </c>
      <c r="E42" s="59">
        <f>+E5</f>
        <v>8</v>
      </c>
      <c r="F42" s="59">
        <f>+E42*C42</f>
        <v>0.9</v>
      </c>
      <c r="G42" s="49">
        <v>0</v>
      </c>
      <c r="H42" s="55" t="s">
        <v>82</v>
      </c>
    </row>
    <row r="43" spans="1:8">
      <c r="A43" s="55" t="s">
        <v>86</v>
      </c>
      <c r="B43" s="62" t="s">
        <v>5</v>
      </c>
      <c r="C43" s="62">
        <f>+SUM(C42:C42)</f>
        <v>0.1125</v>
      </c>
      <c r="D43" s="62"/>
      <c r="E43" s="62"/>
      <c r="F43" s="67">
        <f>+SUM(F42:F42)</f>
        <v>0.9</v>
      </c>
      <c r="G43" s="51"/>
    </row>
    <row r="44" spans="1:8">
      <c r="A44" s="55" t="s">
        <v>87</v>
      </c>
      <c r="G44" s="47"/>
    </row>
    <row r="45" spans="1:8">
      <c r="G45" s="47"/>
    </row>
    <row r="46" spans="1:8">
      <c r="A46" s="58" t="s">
        <v>17</v>
      </c>
      <c r="B46" s="60" t="s">
        <v>76</v>
      </c>
      <c r="C46" s="60" t="s">
        <v>10</v>
      </c>
      <c r="D46" s="60" t="s">
        <v>18</v>
      </c>
      <c r="E46" s="60" t="s">
        <v>8</v>
      </c>
      <c r="F46" s="60" t="s">
        <v>1</v>
      </c>
      <c r="G46" s="54"/>
    </row>
    <row r="47" spans="1:8">
      <c r="A47" s="55" t="s">
        <v>84</v>
      </c>
      <c r="B47" s="86">
        <v>2</v>
      </c>
      <c r="C47" s="59">
        <v>7.4999999999999997E-2</v>
      </c>
      <c r="D47" s="59">
        <f>+SUM(C$47:$C47)</f>
        <v>7.4999999999999997E-2</v>
      </c>
      <c r="E47" s="59">
        <f>+E6</f>
        <v>12</v>
      </c>
      <c r="F47" s="59">
        <f>+E47*C47</f>
        <v>0.89999999999999991</v>
      </c>
      <c r="G47" s="49">
        <v>0</v>
      </c>
      <c r="H47" s="55" t="s">
        <v>82</v>
      </c>
    </row>
    <row r="48" spans="1:8">
      <c r="A48" s="55" t="s">
        <v>85</v>
      </c>
      <c r="B48" s="62" t="s">
        <v>5</v>
      </c>
      <c r="C48" s="62">
        <f>+SUM(C47:C47)</f>
        <v>7.4999999999999997E-2</v>
      </c>
      <c r="D48" s="62"/>
      <c r="E48" s="62"/>
      <c r="F48" s="67">
        <f>+SUM(F47:F47)</f>
        <v>0.89999999999999991</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107</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43">
        <v>0.1</v>
      </c>
      <c r="D5" s="56">
        <f>+SUM($C$5:C5)</f>
        <v>0.1</v>
      </c>
      <c r="E5" s="56">
        <f>+Summary!B27</f>
        <v>3</v>
      </c>
      <c r="F5" s="56">
        <f>+C5*E5</f>
        <v>0.30000000000000004</v>
      </c>
      <c r="G5" s="49"/>
    </row>
    <row r="6" spans="1:9">
      <c r="B6" s="87">
        <v>2</v>
      </c>
      <c r="C6" s="43">
        <v>0.04</v>
      </c>
      <c r="D6" s="56">
        <f>+SUM($C$5:C6)</f>
        <v>0.14000000000000001</v>
      </c>
      <c r="E6" s="56">
        <f>+Summary!B28</f>
        <v>5</v>
      </c>
      <c r="F6" s="56">
        <f t="shared" ref="F6:F7" si="0">+C6*E6</f>
        <v>0.2</v>
      </c>
      <c r="G6" s="49"/>
    </row>
    <row r="7" spans="1:9">
      <c r="B7" s="87" t="s">
        <v>77</v>
      </c>
      <c r="C7" s="43">
        <v>0.05</v>
      </c>
      <c r="D7" s="56">
        <f>+SUM($C$5:C7)</f>
        <v>0.19</v>
      </c>
      <c r="E7" s="56">
        <f>+E5+E6</f>
        <v>8</v>
      </c>
      <c r="F7" s="56">
        <f t="shared" si="0"/>
        <v>0.4</v>
      </c>
      <c r="G7" s="49">
        <v>0</v>
      </c>
      <c r="H7" s="55" t="s">
        <v>82</v>
      </c>
      <c r="I7" s="89"/>
    </row>
    <row r="8" spans="1:9">
      <c r="B8" s="62" t="s">
        <v>11</v>
      </c>
      <c r="C8" s="62">
        <f>+SUM(C5:C7)</f>
        <v>0.19</v>
      </c>
      <c r="D8" s="62"/>
      <c r="E8" s="62"/>
      <c r="F8" s="53">
        <f>+SUM(F5:F7)</f>
        <v>0.9</v>
      </c>
      <c r="G8" s="50"/>
    </row>
    <row r="9" spans="1:9">
      <c r="B9" s="63" t="s">
        <v>81</v>
      </c>
      <c r="G9" s="47"/>
    </row>
    <row r="10" spans="1:9">
      <c r="G10" s="47"/>
    </row>
    <row r="11" spans="1:9">
      <c r="G11" s="47"/>
    </row>
    <row r="12" spans="1:9">
      <c r="A12" s="58" t="s">
        <v>16</v>
      </c>
      <c r="B12" s="60" t="s">
        <v>76</v>
      </c>
      <c r="C12" s="60" t="s">
        <v>10</v>
      </c>
      <c r="D12" s="60" t="s">
        <v>18</v>
      </c>
      <c r="E12" s="60" t="s">
        <v>8</v>
      </c>
      <c r="F12" s="60" t="s">
        <v>136</v>
      </c>
      <c r="G12" s="60" t="s">
        <v>46</v>
      </c>
    </row>
    <row r="13" spans="1:9">
      <c r="A13" s="55" t="s">
        <v>84</v>
      </c>
      <c r="B13" s="86">
        <v>1</v>
      </c>
      <c r="C13" s="59">
        <v>0.3</v>
      </c>
      <c r="D13" s="59">
        <f>+SUM(C13:$C$13)</f>
        <v>0.3</v>
      </c>
      <c r="E13" s="59">
        <f>+E5</f>
        <v>3</v>
      </c>
      <c r="F13" s="59">
        <f>+E13*C13</f>
        <v>0.89999999999999991</v>
      </c>
      <c r="G13" s="49">
        <v>0</v>
      </c>
      <c r="H13" s="55" t="s">
        <v>82</v>
      </c>
    </row>
    <row r="14" spans="1:9">
      <c r="A14" s="55" t="s">
        <v>86</v>
      </c>
      <c r="B14" s="62" t="s">
        <v>5</v>
      </c>
      <c r="C14" s="62">
        <f>+SUM(C13:C13)</f>
        <v>0.3</v>
      </c>
      <c r="D14" s="62"/>
      <c r="E14" s="62"/>
      <c r="F14" s="67">
        <f>+SUM(F13:F13)</f>
        <v>0.89999999999999991</v>
      </c>
      <c r="G14" s="51"/>
    </row>
    <row r="15" spans="1:9">
      <c r="G15" s="47"/>
    </row>
    <row r="16" spans="1:9">
      <c r="G16" s="47"/>
    </row>
    <row r="17" spans="1:8">
      <c r="A17" s="58" t="s">
        <v>17</v>
      </c>
      <c r="B17" s="60" t="s">
        <v>76</v>
      </c>
      <c r="C17" s="60" t="s">
        <v>10</v>
      </c>
      <c r="D17" s="60" t="s">
        <v>18</v>
      </c>
      <c r="E17" s="60" t="s">
        <v>8</v>
      </c>
      <c r="F17" s="60" t="s">
        <v>136</v>
      </c>
      <c r="G17" s="60" t="s">
        <v>46</v>
      </c>
    </row>
    <row r="18" spans="1:8">
      <c r="A18" s="55" t="s">
        <v>84</v>
      </c>
      <c r="B18" s="86">
        <v>2</v>
      </c>
      <c r="C18" s="59">
        <v>0.18</v>
      </c>
      <c r="D18" s="59">
        <f>+SUM(C$18:$C18)</f>
        <v>0.18</v>
      </c>
      <c r="E18" s="59">
        <f>+E6</f>
        <v>5</v>
      </c>
      <c r="F18" s="59">
        <f>+E18*C18</f>
        <v>0.89999999999999991</v>
      </c>
      <c r="G18" s="49">
        <v>0</v>
      </c>
      <c r="H18" s="55" t="s">
        <v>82</v>
      </c>
    </row>
    <row r="19" spans="1:8">
      <c r="A19" s="55" t="s">
        <v>85</v>
      </c>
      <c r="B19" s="62" t="s">
        <v>5</v>
      </c>
      <c r="C19" s="62">
        <f>+SUM(C18:C18)</f>
        <v>0.18</v>
      </c>
      <c r="D19" s="62"/>
      <c r="E19" s="62"/>
      <c r="F19" s="67">
        <f>+SUM(F18:F18)</f>
        <v>0.89999999999999991</v>
      </c>
      <c r="G19" s="51"/>
    </row>
    <row r="20" spans="1:8">
      <c r="G20" s="48"/>
    </row>
    <row r="21" spans="1:8">
      <c r="G21" s="48"/>
    </row>
    <row r="22" spans="1:8">
      <c r="G22" s="48"/>
    </row>
    <row r="23" spans="1:8">
      <c r="G23" s="48"/>
    </row>
    <row r="24" spans="1:8">
      <c r="G24" s="48"/>
    </row>
    <row r="25" spans="1:8">
      <c r="G25" s="48"/>
    </row>
    <row r="26" spans="1:8">
      <c r="G26" s="48"/>
    </row>
    <row r="27" spans="1:8">
      <c r="G27" s="48"/>
    </row>
    <row r="28" spans="1:8">
      <c r="G28" s="48"/>
    </row>
    <row r="29" spans="1:8">
      <c r="G29" s="48"/>
    </row>
    <row r="30" spans="1:8">
      <c r="G30" s="48"/>
    </row>
    <row r="31" spans="1:8">
      <c r="G31" s="48"/>
    </row>
    <row r="32" spans="1:8">
      <c r="G32" s="48"/>
    </row>
    <row r="33" spans="7:7">
      <c r="G33" s="48"/>
    </row>
    <row r="34" spans="7:7">
      <c r="G34" s="48"/>
    </row>
    <row r="35" spans="7:7">
      <c r="G35" s="48"/>
    </row>
    <row r="36" spans="7:7">
      <c r="G36" s="48"/>
    </row>
    <row r="37" spans="7:7">
      <c r="G37" s="48"/>
    </row>
    <row r="38" spans="7:7">
      <c r="G38" s="48"/>
    </row>
    <row r="39" spans="7:7">
      <c r="G39" s="48"/>
    </row>
    <row r="40" spans="7:7">
      <c r="G40" s="48"/>
    </row>
    <row r="41" spans="7:7">
      <c r="G41" s="48"/>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105</v>
      </c>
      <c r="B1" s="130"/>
      <c r="C1" s="130"/>
      <c r="D1" s="130"/>
      <c r="E1" s="130"/>
    </row>
    <row r="2" spans="1:8">
      <c r="A2" s="65"/>
    </row>
    <row r="4" spans="1:8">
      <c r="A4" s="58" t="s">
        <v>65</v>
      </c>
      <c r="B4" s="60" t="s">
        <v>76</v>
      </c>
      <c r="C4" s="60" t="s">
        <v>10</v>
      </c>
      <c r="D4" s="60" t="s">
        <v>18</v>
      </c>
      <c r="E4" s="60" t="s">
        <v>8</v>
      </c>
      <c r="F4" s="60" t="s">
        <v>136</v>
      </c>
      <c r="G4" s="60" t="s">
        <v>46</v>
      </c>
    </row>
    <row r="5" spans="1:8">
      <c r="B5" s="86">
        <v>1</v>
      </c>
      <c r="C5" s="59">
        <v>0.45</v>
      </c>
      <c r="D5" s="59">
        <f>+SUM(C5:$C$5)</f>
        <v>0.45</v>
      </c>
      <c r="E5" s="59">
        <f>+Summary!B21</f>
        <v>2</v>
      </c>
      <c r="F5" s="59">
        <f>+E5*C5</f>
        <v>0.9</v>
      </c>
      <c r="G5" s="49">
        <v>0</v>
      </c>
      <c r="H5" s="55" t="s">
        <v>82</v>
      </c>
    </row>
    <row r="6" spans="1:8">
      <c r="B6" s="62" t="s">
        <v>5</v>
      </c>
      <c r="C6" s="62">
        <f>+SUM(C5:C5)</f>
        <v>0.45</v>
      </c>
      <c r="D6" s="62"/>
      <c r="E6" s="62"/>
      <c r="F6" s="67">
        <f>+SUM(F5:F5)</f>
        <v>0.9</v>
      </c>
      <c r="G6" s="51"/>
    </row>
    <row r="7" spans="1:8">
      <c r="G7" s="47"/>
    </row>
    <row r="8" spans="1:8">
      <c r="G8" s="47"/>
    </row>
    <row r="9" spans="1:8">
      <c r="A9" s="58" t="s">
        <v>66</v>
      </c>
      <c r="B9" s="60" t="s">
        <v>76</v>
      </c>
      <c r="C9" s="60" t="s">
        <v>10</v>
      </c>
      <c r="D9" s="60" t="s">
        <v>18</v>
      </c>
      <c r="E9" s="60" t="s">
        <v>8</v>
      </c>
      <c r="F9" s="60" t="s">
        <v>136</v>
      </c>
      <c r="G9" s="60" t="s">
        <v>46</v>
      </c>
    </row>
    <row r="10" spans="1:8">
      <c r="B10" s="86">
        <v>1</v>
      </c>
      <c r="C10" s="59">
        <v>0.18</v>
      </c>
      <c r="D10" s="59">
        <f>1/6</f>
        <v>0.16666666666666666</v>
      </c>
      <c r="E10" s="59">
        <f>+Summary!E21</f>
        <v>5</v>
      </c>
      <c r="F10" s="59">
        <f>+E10*C10</f>
        <v>0.89999999999999991</v>
      </c>
      <c r="G10" s="49">
        <v>0</v>
      </c>
      <c r="H10" s="55" t="s">
        <v>82</v>
      </c>
    </row>
    <row r="11" spans="1:8">
      <c r="B11" s="62" t="s">
        <v>5</v>
      </c>
      <c r="C11" s="62">
        <f>+SUM(C10:C10)</f>
        <v>0.18</v>
      </c>
      <c r="D11" s="62"/>
      <c r="E11" s="62"/>
      <c r="F11" s="67">
        <f>+SUM(F10:F10)</f>
        <v>0.89999999999999991</v>
      </c>
      <c r="G11" s="51"/>
    </row>
    <row r="12" spans="1:8">
      <c r="G12" s="48"/>
    </row>
    <row r="13" spans="1:8">
      <c r="G13" s="48"/>
    </row>
    <row r="14" spans="1:8">
      <c r="A14" s="58" t="s">
        <v>67</v>
      </c>
      <c r="B14" s="60" t="s">
        <v>76</v>
      </c>
      <c r="C14" s="60" t="s">
        <v>10</v>
      </c>
      <c r="D14" s="60" t="s">
        <v>18</v>
      </c>
      <c r="E14" s="60" t="s">
        <v>8</v>
      </c>
      <c r="F14" s="60" t="s">
        <v>136</v>
      </c>
      <c r="G14" s="60" t="s">
        <v>46</v>
      </c>
    </row>
    <row r="15" spans="1:8">
      <c r="B15" s="86">
        <v>1</v>
      </c>
      <c r="C15" s="59">
        <v>0.1125</v>
      </c>
      <c r="D15" s="59">
        <f>+SUM(C$15:$C15)</f>
        <v>0.1125</v>
      </c>
      <c r="E15" s="59">
        <f>+Summary!H21</f>
        <v>8</v>
      </c>
      <c r="F15" s="59">
        <f>+E15*C15</f>
        <v>0.9</v>
      </c>
      <c r="G15" s="49">
        <v>0</v>
      </c>
      <c r="H15" s="55" t="s">
        <v>82</v>
      </c>
    </row>
    <row r="16" spans="1:8">
      <c r="B16" s="62" t="s">
        <v>5</v>
      </c>
      <c r="C16" s="62">
        <f>+SUM(C15:C15)</f>
        <v>0.1125</v>
      </c>
      <c r="D16" s="62"/>
      <c r="E16" s="62"/>
      <c r="F16" s="67">
        <f>+SUM(F15:F15)</f>
        <v>0.9</v>
      </c>
      <c r="G16" s="51"/>
    </row>
    <row r="17" spans="7:7">
      <c r="G17" s="48"/>
    </row>
    <row r="18" spans="7:7">
      <c r="G18" s="48"/>
    </row>
    <row r="19" spans="7:7">
      <c r="G19" s="48"/>
    </row>
    <row r="20" spans="7:7">
      <c r="G20" s="48"/>
    </row>
    <row r="21" spans="7:7">
      <c r="G21" s="48"/>
    </row>
    <row r="22" spans="7:7">
      <c r="G22" s="48"/>
    </row>
    <row r="23" spans="7:7">
      <c r="G23" s="48"/>
    </row>
    <row r="24" spans="7:7">
      <c r="G24" s="48"/>
    </row>
    <row r="25" spans="7:7">
      <c r="G25" s="48"/>
    </row>
    <row r="26" spans="7:7">
      <c r="G26" s="48"/>
    </row>
    <row r="27" spans="7:7">
      <c r="G27" s="48"/>
    </row>
    <row r="28" spans="7:7">
      <c r="G28" s="48"/>
    </row>
    <row r="29" spans="7:7">
      <c r="G29" s="48"/>
    </row>
    <row r="30" spans="7:7">
      <c r="G30" s="48"/>
    </row>
    <row r="31" spans="7:7">
      <c r="G31" s="48"/>
    </row>
    <row r="32" spans="7:7">
      <c r="G32" s="48"/>
    </row>
    <row r="33" spans="7:7">
      <c r="G33" s="48"/>
    </row>
    <row r="34" spans="7:7">
      <c r="G34" s="47"/>
    </row>
    <row r="35" spans="7:7">
      <c r="G35" s="47"/>
    </row>
    <row r="36" spans="7:7">
      <c r="G36" s="47"/>
    </row>
    <row r="37" spans="7:7">
      <c r="G37" s="47"/>
    </row>
    <row r="38" spans="7:7">
      <c r="G38" s="47"/>
    </row>
    <row r="39" spans="7:7">
      <c r="G39" s="47"/>
    </row>
    <row r="40" spans="7:7">
      <c r="G40" s="47"/>
    </row>
    <row r="41" spans="7:7">
      <c r="G41" s="47"/>
    </row>
    <row r="42" spans="7:7">
      <c r="G42" s="47"/>
    </row>
    <row r="43" spans="7:7">
      <c r="G43" s="47"/>
    </row>
    <row r="44" spans="7:7">
      <c r="G44" s="47"/>
    </row>
    <row r="45" spans="7:7">
      <c r="G45" s="47"/>
    </row>
    <row r="46" spans="7:7">
      <c r="G46" s="47"/>
    </row>
    <row r="47" spans="7:7">
      <c r="G47" s="47"/>
    </row>
    <row r="48" spans="7:7">
      <c r="G48" s="47"/>
    </row>
    <row r="49" spans="7:7">
      <c r="G49" s="47"/>
    </row>
    <row r="50" spans="7:7">
      <c r="G50" s="47"/>
    </row>
    <row r="51" spans="7:7">
      <c r="G51" s="47"/>
    </row>
    <row r="52" spans="7:7">
      <c r="G52" s="47"/>
    </row>
    <row r="53" spans="7:7">
      <c r="G53" s="47"/>
    </row>
    <row r="54" spans="7:7">
      <c r="G54" s="47"/>
    </row>
    <row r="55" spans="7:7">
      <c r="G55" s="47"/>
    </row>
    <row r="56" spans="7:7">
      <c r="G56" s="47"/>
    </row>
    <row r="57" spans="7:7">
      <c r="G57" s="47"/>
    </row>
    <row r="58" spans="7:7">
      <c r="G58" s="47"/>
    </row>
    <row r="59" spans="7:7">
      <c r="G59" s="47"/>
    </row>
    <row r="60" spans="7:7">
      <c r="G60" s="47"/>
    </row>
    <row r="61" spans="7:7">
      <c r="G61" s="47"/>
    </row>
    <row r="62" spans="7:7">
      <c r="G62" s="47"/>
    </row>
    <row r="63" spans="7:7">
      <c r="G63" s="47"/>
    </row>
    <row r="64" spans="7:7">
      <c r="G64" s="47"/>
    </row>
    <row r="65" spans="7:7">
      <c r="G65" s="47"/>
    </row>
    <row r="66" spans="7:7">
      <c r="G66" s="47"/>
    </row>
    <row r="67" spans="7:7">
      <c r="G67" s="47"/>
    </row>
    <row r="68" spans="7:7">
      <c r="G68" s="47"/>
    </row>
    <row r="69" spans="7:7">
      <c r="G69" s="47"/>
    </row>
    <row r="70" spans="7:7">
      <c r="G70" s="47"/>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108</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32">
        <v>5.0000000000000001E-3</v>
      </c>
      <c r="D5" s="56">
        <f>+SUM($C$5:C5)</f>
        <v>5.0000000000000001E-3</v>
      </c>
      <c r="E5" s="56">
        <f>+Summary!B36</f>
        <v>12</v>
      </c>
      <c r="F5" s="56">
        <f>+C5*E5</f>
        <v>0.06</v>
      </c>
      <c r="G5" s="49"/>
    </row>
    <row r="6" spans="1:9">
      <c r="B6" s="87">
        <v>2</v>
      </c>
      <c r="C6" s="32">
        <v>5.0000000000000001E-3</v>
      </c>
      <c r="D6" s="56">
        <f>+SUM($C$5:C6)</f>
        <v>0.01</v>
      </c>
      <c r="E6" s="56">
        <f>+Summary!B37</f>
        <v>15</v>
      </c>
      <c r="F6" s="56">
        <f t="shared" ref="F6:F11" si="0">+C6*E6</f>
        <v>7.4999999999999997E-2</v>
      </c>
      <c r="G6" s="49"/>
    </row>
    <row r="7" spans="1:9">
      <c r="B7" s="87">
        <v>3</v>
      </c>
      <c r="C7" s="32">
        <v>3.0000000000000001E-3</v>
      </c>
      <c r="D7" s="56">
        <f>+SUM($C$5:C7)</f>
        <v>1.3000000000000001E-2</v>
      </c>
      <c r="E7" s="56">
        <f>+Summary!B38</f>
        <v>20</v>
      </c>
      <c r="F7" s="56">
        <f t="shared" si="0"/>
        <v>0.06</v>
      </c>
      <c r="G7" s="49"/>
      <c r="I7" s="28"/>
    </row>
    <row r="8" spans="1:9">
      <c r="B8" s="87" t="s">
        <v>77</v>
      </c>
      <c r="C8" s="32">
        <v>5.0000000000000001E-3</v>
      </c>
      <c r="D8" s="56">
        <f>+SUM($C$5:C8)</f>
        <v>1.8000000000000002E-2</v>
      </c>
      <c r="E8" s="56">
        <f>+E5+E6</f>
        <v>27</v>
      </c>
      <c r="F8" s="56">
        <f t="shared" si="0"/>
        <v>0.13500000000000001</v>
      </c>
      <c r="G8" s="49"/>
      <c r="I8" s="89"/>
    </row>
    <row r="9" spans="1:9">
      <c r="B9" s="87" t="s">
        <v>78</v>
      </c>
      <c r="C9" s="32">
        <v>5.0000000000000001E-3</v>
      </c>
      <c r="D9" s="56">
        <f>+SUM($C$5:C9)</f>
        <v>2.3000000000000003E-2</v>
      </c>
      <c r="E9" s="56">
        <f>+E5+E7</f>
        <v>32</v>
      </c>
      <c r="F9" s="56">
        <f t="shared" si="0"/>
        <v>0.16</v>
      </c>
      <c r="G9" s="49"/>
    </row>
    <row r="10" spans="1:9">
      <c r="B10" s="87" t="s">
        <v>79</v>
      </c>
      <c r="C10" s="32">
        <v>5.0000000000000001E-3</v>
      </c>
      <c r="D10" s="56">
        <f>+SUM($C$5:C10)</f>
        <v>2.8000000000000004E-2</v>
      </c>
      <c r="E10" s="56">
        <f>+E6+E7</f>
        <v>35</v>
      </c>
      <c r="F10" s="56">
        <f t="shared" si="0"/>
        <v>0.17500000000000002</v>
      </c>
      <c r="G10" s="49"/>
    </row>
    <row r="11" spans="1:9">
      <c r="B11" s="87" t="s">
        <v>80</v>
      </c>
      <c r="C11" s="32">
        <v>5.0000000000000001E-3</v>
      </c>
      <c r="D11" s="56">
        <f>+SUM($C$5:C11)</f>
        <v>3.3000000000000002E-2</v>
      </c>
      <c r="E11" s="56">
        <f>+E5+E6+E7</f>
        <v>47</v>
      </c>
      <c r="F11" s="56">
        <f t="shared" si="0"/>
        <v>0.23500000000000001</v>
      </c>
      <c r="G11" s="49">
        <v>0</v>
      </c>
      <c r="H11" s="55" t="s">
        <v>82</v>
      </c>
    </row>
    <row r="12" spans="1:9">
      <c r="B12" s="62" t="s">
        <v>11</v>
      </c>
      <c r="C12" s="62">
        <f>+SUM(C5:C11)</f>
        <v>3.3000000000000002E-2</v>
      </c>
      <c r="D12" s="62"/>
      <c r="E12" s="62"/>
      <c r="F12" s="53">
        <f>+SUM(F5:F11)</f>
        <v>0.9</v>
      </c>
      <c r="G12" s="50"/>
    </row>
    <row r="13" spans="1:9">
      <c r="B13" s="63" t="s">
        <v>81</v>
      </c>
      <c r="G13" s="47"/>
    </row>
    <row r="14" spans="1:9">
      <c r="G14" s="47"/>
    </row>
    <row r="15" spans="1:9">
      <c r="A15" s="58" t="s">
        <v>12</v>
      </c>
      <c r="B15" s="60" t="s">
        <v>76</v>
      </c>
      <c r="C15" s="60" t="s">
        <v>10</v>
      </c>
      <c r="D15" s="60" t="s">
        <v>18</v>
      </c>
      <c r="E15" s="60" t="s">
        <v>8</v>
      </c>
      <c r="F15" s="60" t="s">
        <v>136</v>
      </c>
      <c r="G15" s="60" t="s">
        <v>46</v>
      </c>
    </row>
    <row r="16" spans="1:9">
      <c r="A16" s="55" t="s">
        <v>84</v>
      </c>
      <c r="B16" s="86">
        <v>2</v>
      </c>
      <c r="C16" s="59">
        <v>6.0000000000000001E-3</v>
      </c>
      <c r="D16" s="59">
        <f>+SUM(C16:$C$16)</f>
        <v>6.0000000000000001E-3</v>
      </c>
      <c r="E16" s="59">
        <f>+E6</f>
        <v>15</v>
      </c>
      <c r="F16" s="59">
        <f>+C16*E16</f>
        <v>0.09</v>
      </c>
      <c r="G16" s="49"/>
    </row>
    <row r="17" spans="1:9">
      <c r="A17" s="55" t="s">
        <v>85</v>
      </c>
      <c r="B17" s="86">
        <v>3</v>
      </c>
      <c r="C17" s="59">
        <v>5.4999999999999997E-3</v>
      </c>
      <c r="D17" s="59">
        <f>+SUM(C$16:$C17)</f>
        <v>1.15E-2</v>
      </c>
      <c r="E17" s="59">
        <f>+E7</f>
        <v>20</v>
      </c>
      <c r="F17" s="59">
        <f t="shared" ref="F17:F18" si="1">+C17*E17</f>
        <v>0.10999999999999999</v>
      </c>
      <c r="G17" s="49"/>
      <c r="I17" s="88"/>
    </row>
    <row r="18" spans="1:9">
      <c r="B18" s="86" t="s">
        <v>79</v>
      </c>
      <c r="C18" s="59">
        <v>0.02</v>
      </c>
      <c r="D18" s="59">
        <f>+SUM(C$16:$C18)</f>
        <v>3.15E-2</v>
      </c>
      <c r="E18" s="59">
        <f>+E16+E17</f>
        <v>35</v>
      </c>
      <c r="F18" s="59">
        <f t="shared" si="1"/>
        <v>0.70000000000000007</v>
      </c>
      <c r="G18" s="49">
        <v>0</v>
      </c>
      <c r="H18" s="55" t="s">
        <v>82</v>
      </c>
    </row>
    <row r="19" spans="1:9">
      <c r="B19" s="62" t="s">
        <v>5</v>
      </c>
      <c r="C19" s="62">
        <f>+SUM(C16:C18)</f>
        <v>3.15E-2</v>
      </c>
      <c r="D19" s="62"/>
      <c r="E19" s="62"/>
      <c r="F19" s="67">
        <f>+SUM(F16:F18)</f>
        <v>0.9</v>
      </c>
      <c r="G19" s="51"/>
    </row>
    <row r="20" spans="1:9">
      <c r="B20" s="66"/>
      <c r="C20" s="66"/>
      <c r="D20" s="66"/>
      <c r="E20" s="66"/>
      <c r="F20" s="61"/>
      <c r="G20" s="52"/>
    </row>
    <row r="21" spans="1:9">
      <c r="B21" s="66"/>
      <c r="C21" s="66"/>
      <c r="D21" s="66"/>
      <c r="E21" s="66"/>
      <c r="F21" s="61"/>
      <c r="G21" s="52"/>
    </row>
    <row r="22" spans="1:9">
      <c r="A22" s="58" t="s">
        <v>13</v>
      </c>
      <c r="B22" s="60" t="s">
        <v>76</v>
      </c>
      <c r="C22" s="60" t="s">
        <v>10</v>
      </c>
      <c r="D22" s="60" t="s">
        <v>18</v>
      </c>
      <c r="E22" s="60" t="s">
        <v>8</v>
      </c>
      <c r="F22" s="60" t="s">
        <v>136</v>
      </c>
      <c r="G22" s="60" t="s">
        <v>46</v>
      </c>
    </row>
    <row r="23" spans="1:9">
      <c r="A23" s="55" t="s">
        <v>84</v>
      </c>
      <c r="B23" s="86">
        <v>1</v>
      </c>
      <c r="C23" s="59">
        <v>0.05</v>
      </c>
      <c r="D23" s="59">
        <f>+SUM(C23:$C$23)</f>
        <v>0.05</v>
      </c>
      <c r="E23" s="59">
        <f>+E5</f>
        <v>12</v>
      </c>
      <c r="F23" s="59">
        <f>+C23*E23</f>
        <v>0.60000000000000009</v>
      </c>
      <c r="G23" s="49"/>
    </row>
    <row r="24" spans="1:9">
      <c r="A24" s="55" t="s">
        <v>86</v>
      </c>
      <c r="B24" s="86">
        <v>3</v>
      </c>
      <c r="C24" s="59">
        <v>7.0000000000000001E-3</v>
      </c>
      <c r="D24" s="59">
        <f>+SUM(C$23:$C24)</f>
        <v>5.7000000000000002E-2</v>
      </c>
      <c r="E24" s="59">
        <f>+E7</f>
        <v>20</v>
      </c>
      <c r="F24" s="59">
        <f t="shared" ref="F24:F25" si="2">+C24*E24</f>
        <v>0.14000000000000001</v>
      </c>
      <c r="G24" s="49"/>
    </row>
    <row r="25" spans="1:9">
      <c r="B25" s="86" t="s">
        <v>78</v>
      </c>
      <c r="C25" s="59">
        <v>5.0000000000000001E-3</v>
      </c>
      <c r="D25" s="59">
        <f>+SUM(C$23:$C25)</f>
        <v>6.2E-2</v>
      </c>
      <c r="E25" s="59">
        <f>+E23+E24</f>
        <v>32</v>
      </c>
      <c r="F25" s="59">
        <f t="shared" si="2"/>
        <v>0.16</v>
      </c>
      <c r="G25" s="49">
        <v>0</v>
      </c>
      <c r="H25" s="55" t="s">
        <v>82</v>
      </c>
    </row>
    <row r="26" spans="1:9">
      <c r="B26" s="62" t="s">
        <v>5</v>
      </c>
      <c r="C26" s="62">
        <f>+SUM(C23:C25)</f>
        <v>6.2E-2</v>
      </c>
      <c r="D26" s="62"/>
      <c r="E26" s="62"/>
      <c r="F26" s="67">
        <f>+SUM(F23:F25)</f>
        <v>0.90000000000000013</v>
      </c>
      <c r="G26" s="51"/>
    </row>
    <row r="27" spans="1:9">
      <c r="B27" s="66"/>
      <c r="C27" s="66"/>
      <c r="D27" s="66"/>
      <c r="E27" s="66"/>
      <c r="F27" s="61"/>
      <c r="G27" s="52"/>
    </row>
    <row r="28" spans="1:9">
      <c r="G28" s="47"/>
    </row>
    <row r="29" spans="1:9">
      <c r="A29" s="58" t="s">
        <v>14</v>
      </c>
      <c r="B29" s="60" t="s">
        <v>76</v>
      </c>
      <c r="C29" s="60" t="s">
        <v>10</v>
      </c>
      <c r="D29" s="60" t="s">
        <v>18</v>
      </c>
      <c r="E29" s="60" t="s">
        <v>8</v>
      </c>
      <c r="F29" s="60" t="s">
        <v>136</v>
      </c>
      <c r="G29" s="60" t="s">
        <v>46</v>
      </c>
    </row>
    <row r="30" spans="1:9">
      <c r="A30" s="55" t="s">
        <v>84</v>
      </c>
      <c r="B30" s="86">
        <v>3</v>
      </c>
      <c r="C30" s="59">
        <v>4.4999999999999998E-2</v>
      </c>
      <c r="D30" s="59">
        <f>+SUM(C30:$C$30)</f>
        <v>4.4999999999999998E-2</v>
      </c>
      <c r="E30" s="59">
        <f>+E7</f>
        <v>20</v>
      </c>
      <c r="F30" s="59">
        <f>+C30*E30</f>
        <v>0.89999999999999991</v>
      </c>
      <c r="G30" s="49">
        <v>0</v>
      </c>
      <c r="H30" s="55" t="s">
        <v>82</v>
      </c>
    </row>
    <row r="31" spans="1:9">
      <c r="A31" s="55" t="s">
        <v>85</v>
      </c>
      <c r="B31" s="62" t="s">
        <v>5</v>
      </c>
      <c r="C31" s="62">
        <f>+SUM(C30:C30)</f>
        <v>4.4999999999999998E-2</v>
      </c>
      <c r="D31" s="62"/>
      <c r="E31" s="62"/>
      <c r="F31" s="67">
        <f>+SUM(F30:F30)</f>
        <v>0.89999999999999991</v>
      </c>
      <c r="G31" s="51"/>
    </row>
    <row r="32" spans="1:9">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5.7500000000000002E-2</v>
      </c>
      <c r="D35" s="59">
        <f>+SUM(C35:$C$35)</f>
        <v>5.7500000000000002E-2</v>
      </c>
      <c r="E35" s="59">
        <f>+E5</f>
        <v>12</v>
      </c>
      <c r="F35" s="59">
        <f>+C35*E35</f>
        <v>0.69000000000000006</v>
      </c>
      <c r="G35" s="49"/>
    </row>
    <row r="36" spans="1:8">
      <c r="A36" s="55" t="s">
        <v>87</v>
      </c>
      <c r="B36" s="86">
        <v>2</v>
      </c>
      <c r="C36" s="59">
        <v>5.0000000000000001E-3</v>
      </c>
      <c r="D36" s="59">
        <f>+SUM(C$35:$C36)</f>
        <v>6.25E-2</v>
      </c>
      <c r="E36" s="59">
        <f>+E6</f>
        <v>15</v>
      </c>
      <c r="F36" s="59">
        <f t="shared" ref="F36:F37" si="3">+C36*E36</f>
        <v>7.4999999999999997E-2</v>
      </c>
      <c r="G36" s="49"/>
    </row>
    <row r="37" spans="1:8">
      <c r="B37" s="86" t="s">
        <v>77</v>
      </c>
      <c r="C37" s="59">
        <v>5.0000000000000001E-3</v>
      </c>
      <c r="D37" s="59">
        <f>+SUM(C$35:$C37)</f>
        <v>6.7500000000000004E-2</v>
      </c>
      <c r="E37" s="59">
        <f>+E35+E36</f>
        <v>27</v>
      </c>
      <c r="F37" s="59">
        <f t="shared" si="3"/>
        <v>0.13500000000000001</v>
      </c>
      <c r="G37" s="49">
        <v>0</v>
      </c>
      <c r="H37" s="55" t="s">
        <v>82</v>
      </c>
    </row>
    <row r="38" spans="1:8">
      <c r="A38" s="64"/>
      <c r="B38" s="62" t="s">
        <v>5</v>
      </c>
      <c r="C38" s="62">
        <f>+SUM(C35:C37)</f>
        <v>6.7500000000000004E-2</v>
      </c>
      <c r="D38" s="62"/>
      <c r="E38" s="62"/>
      <c r="F38" s="67">
        <f>+SUM(F35:F37)</f>
        <v>0.9</v>
      </c>
      <c r="G38" s="51"/>
    </row>
    <row r="39" spans="1:8">
      <c r="A39" s="64"/>
      <c r="G39" s="47"/>
    </row>
    <row r="40" spans="1:8">
      <c r="G40" s="47"/>
    </row>
    <row r="41" spans="1:8">
      <c r="A41" s="58" t="s">
        <v>16</v>
      </c>
      <c r="B41" s="60" t="s">
        <v>76</v>
      </c>
      <c r="C41" s="60" t="s">
        <v>10</v>
      </c>
      <c r="D41" s="60" t="s">
        <v>18</v>
      </c>
      <c r="E41" s="60" t="s">
        <v>8</v>
      </c>
      <c r="F41" s="60" t="s">
        <v>136</v>
      </c>
      <c r="G41" s="60" t="s">
        <v>46</v>
      </c>
    </row>
    <row r="42" spans="1:8">
      <c r="A42" s="55" t="s">
        <v>84</v>
      </c>
      <c r="B42" s="86">
        <v>1</v>
      </c>
      <c r="C42" s="59">
        <v>7.4999999999999997E-2</v>
      </c>
      <c r="D42" s="59">
        <f>+SUM(C42:$C$42)</f>
        <v>7.4999999999999997E-2</v>
      </c>
      <c r="E42" s="59">
        <f>+E5</f>
        <v>12</v>
      </c>
      <c r="F42" s="59">
        <f>+E42*C42</f>
        <v>0.89999999999999991</v>
      </c>
      <c r="G42" s="49">
        <v>0</v>
      </c>
      <c r="H42" s="55" t="s">
        <v>82</v>
      </c>
    </row>
    <row r="43" spans="1:8">
      <c r="A43" s="55" t="s">
        <v>86</v>
      </c>
      <c r="B43" s="62" t="s">
        <v>5</v>
      </c>
      <c r="C43" s="62">
        <f>+SUM(C42:C42)</f>
        <v>7.4999999999999997E-2</v>
      </c>
      <c r="D43" s="62"/>
      <c r="E43" s="62"/>
      <c r="F43" s="67">
        <f>+SUM(F42:F42)</f>
        <v>0.89999999999999991</v>
      </c>
      <c r="G43" s="51"/>
    </row>
    <row r="44" spans="1:8">
      <c r="A44" s="55" t="s">
        <v>87</v>
      </c>
      <c r="G44" s="47"/>
    </row>
    <row r="45" spans="1:8">
      <c r="G45" s="47"/>
    </row>
    <row r="46" spans="1:8">
      <c r="A46" s="58" t="s">
        <v>17</v>
      </c>
      <c r="B46" s="60" t="s">
        <v>76</v>
      </c>
      <c r="C46" s="60" t="s">
        <v>10</v>
      </c>
      <c r="D46" s="60" t="s">
        <v>18</v>
      </c>
      <c r="E46" s="60" t="s">
        <v>8</v>
      </c>
      <c r="F46" s="60" t="s">
        <v>136</v>
      </c>
      <c r="G46" s="60" t="s">
        <v>46</v>
      </c>
    </row>
    <row r="47" spans="1:8">
      <c r="A47" s="55" t="s">
        <v>84</v>
      </c>
      <c r="B47" s="86">
        <v>2</v>
      </c>
      <c r="C47" s="59">
        <v>0.06</v>
      </c>
      <c r="D47" s="59">
        <f>+SUM(C$47:$C47)</f>
        <v>0.06</v>
      </c>
      <c r="E47" s="59">
        <f>+E6</f>
        <v>15</v>
      </c>
      <c r="F47" s="59">
        <f>+E47*C47</f>
        <v>0.89999999999999991</v>
      </c>
      <c r="G47" s="49">
        <v>0</v>
      </c>
      <c r="H47" s="55" t="s">
        <v>82</v>
      </c>
    </row>
    <row r="48" spans="1:8">
      <c r="A48" s="55" t="s">
        <v>85</v>
      </c>
      <c r="B48" s="62" t="s">
        <v>5</v>
      </c>
      <c r="C48" s="62">
        <f>+SUM(C47:C47)</f>
        <v>0.06</v>
      </c>
      <c r="D48" s="62"/>
      <c r="E48" s="62"/>
      <c r="F48" s="67">
        <f>+SUM(F47:F47)</f>
        <v>0.89999999999999991</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sheetPr>
    <tabColor rgb="FFFF0000"/>
  </sheetPr>
  <dimension ref="A1:J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93</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0</v>
      </c>
      <c r="D5" s="56">
        <f>+SUM($C$5:C5)</f>
        <v>0</v>
      </c>
      <c r="E5" s="56">
        <f>+Summary!H27</f>
        <v>5</v>
      </c>
      <c r="F5" s="56">
        <f>+C5*E5</f>
        <v>0</v>
      </c>
      <c r="G5" s="49"/>
    </row>
    <row r="6" spans="1:8">
      <c r="B6" s="87">
        <v>2</v>
      </c>
      <c r="C6" s="56">
        <v>0.05</v>
      </c>
      <c r="D6" s="56">
        <f>+SUM($C$5:C6)</f>
        <v>0.05</v>
      </c>
      <c r="E6" s="56">
        <f>+Summary!H28</f>
        <v>10</v>
      </c>
      <c r="F6" s="56">
        <f t="shared" ref="F6:F11" si="0">+C6*E6</f>
        <v>0.5</v>
      </c>
      <c r="G6" s="49"/>
    </row>
    <row r="7" spans="1:8">
      <c r="B7" s="87">
        <v>3</v>
      </c>
      <c r="C7" s="56">
        <v>0.2</v>
      </c>
      <c r="D7" s="56">
        <f>+SUM($C$5:C7)</f>
        <v>0.25</v>
      </c>
      <c r="E7" s="56">
        <f>+Summary!H29</f>
        <v>15</v>
      </c>
      <c r="F7" s="56">
        <f t="shared" si="0"/>
        <v>3</v>
      </c>
      <c r="G7" s="49"/>
    </row>
    <row r="8" spans="1:8">
      <c r="B8" s="87" t="s">
        <v>77</v>
      </c>
      <c r="C8" s="56">
        <v>0.2</v>
      </c>
      <c r="D8" s="56">
        <f>+SUM($C$5:C8)</f>
        <v>0.45</v>
      </c>
      <c r="E8" s="56">
        <f>+E5+E6</f>
        <v>15</v>
      </c>
      <c r="F8" s="56">
        <f t="shared" si="0"/>
        <v>3</v>
      </c>
      <c r="G8" s="49"/>
    </row>
    <row r="9" spans="1:8">
      <c r="B9" s="87" t="s">
        <v>78</v>
      </c>
      <c r="C9" s="56">
        <v>0.15</v>
      </c>
      <c r="D9" s="56">
        <f>+SUM($C$5:C9)</f>
        <v>0.6</v>
      </c>
      <c r="E9" s="56">
        <f>+E5+E7</f>
        <v>20</v>
      </c>
      <c r="F9" s="56">
        <f t="shared" si="0"/>
        <v>3</v>
      </c>
      <c r="G9" s="49"/>
    </row>
    <row r="10" spans="1:8">
      <c r="B10" s="87" t="s">
        <v>79</v>
      </c>
      <c r="C10" s="56">
        <v>0.1</v>
      </c>
      <c r="D10" s="56">
        <f>+SUM($C$5:C10)</f>
        <v>0.7</v>
      </c>
      <c r="E10" s="56">
        <f>+E6+E7</f>
        <v>25</v>
      </c>
      <c r="F10" s="56">
        <f t="shared" si="0"/>
        <v>2.5</v>
      </c>
      <c r="G10" s="49"/>
    </row>
    <row r="11" spans="1:8">
      <c r="B11" s="87" t="s">
        <v>80</v>
      </c>
      <c r="C11" s="56">
        <v>0.1</v>
      </c>
      <c r="D11" s="56">
        <f>+SUM($C$5:C11)</f>
        <v>0.79999999999999993</v>
      </c>
      <c r="E11" s="56">
        <f>+E5+E6+E7</f>
        <v>30</v>
      </c>
      <c r="F11" s="56">
        <f t="shared" si="0"/>
        <v>3</v>
      </c>
      <c r="G11" s="49">
        <v>0</v>
      </c>
      <c r="H11" s="55" t="s">
        <v>82</v>
      </c>
    </row>
    <row r="12" spans="1:8">
      <c r="B12" s="62" t="s">
        <v>11</v>
      </c>
      <c r="C12" s="62">
        <f>+SUM(C5:C11)</f>
        <v>0.79999999999999993</v>
      </c>
      <c r="D12" s="62"/>
      <c r="E12" s="62"/>
      <c r="F12" s="69">
        <f>+SUM(F5:F11)</f>
        <v>15</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0.25</v>
      </c>
      <c r="D16" s="59">
        <f>+SUM(C16:$C$16)</f>
        <v>0.25</v>
      </c>
      <c r="E16" s="59">
        <f>+E6</f>
        <v>10</v>
      </c>
      <c r="F16" s="59">
        <f>+C16*E16</f>
        <v>2.5</v>
      </c>
      <c r="G16" s="49"/>
    </row>
    <row r="17" spans="1:10">
      <c r="A17" s="55" t="s">
        <v>85</v>
      </c>
      <c r="B17" s="86">
        <v>3</v>
      </c>
      <c r="C17" s="59">
        <v>0.6</v>
      </c>
      <c r="D17" s="59">
        <f>+SUM(C$16:$C17)</f>
        <v>0.85</v>
      </c>
      <c r="E17" s="59">
        <f>+E7</f>
        <v>15</v>
      </c>
      <c r="F17" s="59">
        <f>+C17*E17</f>
        <v>9</v>
      </c>
      <c r="G17" s="49"/>
    </row>
    <row r="18" spans="1:10">
      <c r="B18" s="86" t="s">
        <v>79</v>
      </c>
      <c r="C18" s="59">
        <v>0.14000000000000001</v>
      </c>
      <c r="D18" s="59">
        <f>+SUM(C$16:$C18)</f>
        <v>0.99</v>
      </c>
      <c r="E18" s="59">
        <f>+E16+E17</f>
        <v>25</v>
      </c>
      <c r="F18" s="59">
        <f>+C18*E18</f>
        <v>3.5000000000000004</v>
      </c>
      <c r="G18" s="49">
        <v>0</v>
      </c>
      <c r="H18" s="55" t="s">
        <v>82</v>
      </c>
    </row>
    <row r="19" spans="1:10">
      <c r="B19" s="62" t="s">
        <v>5</v>
      </c>
      <c r="C19" s="62">
        <f>+SUM(C16:C18)</f>
        <v>0.99</v>
      </c>
      <c r="D19" s="62"/>
      <c r="E19" s="62"/>
      <c r="F19" s="67">
        <f>+SUM(F16:F18)</f>
        <v>15</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7.0000000000000007E-2</v>
      </c>
      <c r="D23" s="59">
        <f>+SUM(C23:$C$23)</f>
        <v>7.0000000000000007E-2</v>
      </c>
      <c r="E23" s="59">
        <f>+E5</f>
        <v>5</v>
      </c>
      <c r="F23" s="59">
        <f>+C23*E23</f>
        <v>0.35000000000000003</v>
      </c>
      <c r="G23" s="49"/>
    </row>
    <row r="24" spans="1:10">
      <c r="A24" s="55" t="s">
        <v>86</v>
      </c>
      <c r="B24" s="86">
        <v>3</v>
      </c>
      <c r="C24" s="59">
        <v>0.75</v>
      </c>
      <c r="D24" s="59">
        <f>+SUM(C$23:$C24)</f>
        <v>0.82000000000000006</v>
      </c>
      <c r="E24" s="59">
        <f>+E7</f>
        <v>15</v>
      </c>
      <c r="F24" s="59">
        <f t="shared" ref="F24:F25" si="1">+C24*E24</f>
        <v>11.25</v>
      </c>
      <c r="G24" s="49"/>
    </row>
    <row r="25" spans="1:10">
      <c r="B25" s="86" t="s">
        <v>78</v>
      </c>
      <c r="C25" s="59">
        <v>0.17</v>
      </c>
      <c r="D25" s="59">
        <f>+SUM(C$23:$C25)</f>
        <v>0.9900000000000001</v>
      </c>
      <c r="E25" s="59">
        <f>+E23+E24</f>
        <v>20</v>
      </c>
      <c r="F25" s="59">
        <f t="shared" si="1"/>
        <v>3.4000000000000004</v>
      </c>
      <c r="G25" s="49">
        <v>0</v>
      </c>
      <c r="H25" s="55" t="s">
        <v>82</v>
      </c>
      <c r="J25" s="68"/>
    </row>
    <row r="26" spans="1:10">
      <c r="B26" s="62" t="s">
        <v>5</v>
      </c>
      <c r="C26" s="62">
        <f>+SUM(C23:C25)</f>
        <v>0.9900000000000001</v>
      </c>
      <c r="D26" s="62"/>
      <c r="E26" s="62"/>
      <c r="F26" s="67">
        <f>+SUM(F23:F25)</f>
        <v>15</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v>1</v>
      </c>
      <c r="D30" s="59">
        <f>+SUM(C30:$C$30)</f>
        <v>1</v>
      </c>
      <c r="E30" s="59">
        <f>+E7</f>
        <v>15</v>
      </c>
      <c r="F30" s="59">
        <f>+C30*E30</f>
        <v>15</v>
      </c>
      <c r="G30" s="49">
        <v>0</v>
      </c>
      <c r="H30" s="55" t="s">
        <v>82</v>
      </c>
    </row>
    <row r="31" spans="1:10">
      <c r="A31" s="55" t="s">
        <v>85</v>
      </c>
      <c r="B31" s="62" t="s">
        <v>5</v>
      </c>
      <c r="C31" s="62">
        <f>+SUM(C30:C30)</f>
        <v>1</v>
      </c>
      <c r="D31" s="62"/>
      <c r="E31" s="62"/>
      <c r="F31" s="67">
        <f>+SUM(F30:F30)</f>
        <v>15</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v>
      </c>
      <c r="D35" s="59">
        <f>+SUM(C35:$C$35)</f>
        <v>0</v>
      </c>
      <c r="E35" s="59">
        <f>+E5</f>
        <v>5</v>
      </c>
      <c r="F35" s="59">
        <f>+C35*E35</f>
        <v>0</v>
      </c>
      <c r="G35" s="49"/>
    </row>
    <row r="36" spans="1:8">
      <c r="A36" s="55" t="s">
        <v>87</v>
      </c>
      <c r="B36" s="86">
        <v>2</v>
      </c>
      <c r="C36" s="59">
        <v>0</v>
      </c>
      <c r="D36" s="59">
        <f>+SUM(C$35:$C36)</f>
        <v>0</v>
      </c>
      <c r="E36" s="59">
        <f>+E6</f>
        <v>10</v>
      </c>
      <c r="F36" s="59">
        <f t="shared" ref="F36:F37" si="2">+C36*E36</f>
        <v>0</v>
      </c>
      <c r="G36" s="49"/>
    </row>
    <row r="37" spans="1:8">
      <c r="B37" s="86" t="s">
        <v>77</v>
      </c>
      <c r="C37" s="59">
        <v>1</v>
      </c>
      <c r="D37" s="59">
        <f>+SUM(C$35:$C37)</f>
        <v>1</v>
      </c>
      <c r="E37" s="59">
        <f>+E35+E36</f>
        <v>15</v>
      </c>
      <c r="F37" s="59">
        <f t="shared" si="2"/>
        <v>15</v>
      </c>
      <c r="G37" s="49">
        <v>0</v>
      </c>
      <c r="H37" s="55" t="s">
        <v>82</v>
      </c>
    </row>
    <row r="38" spans="1:8">
      <c r="A38" s="64"/>
      <c r="B38" s="62" t="s">
        <v>5</v>
      </c>
      <c r="C38" s="62">
        <f>+SUM(C35:C37)</f>
        <v>1</v>
      </c>
      <c r="D38" s="62"/>
      <c r="E38" s="62"/>
      <c r="F38" s="67">
        <f>+SUM(F35:F37)</f>
        <v>15</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1</v>
      </c>
      <c r="D42" s="59">
        <f>+SUM(C42:$C$42)</f>
        <v>1</v>
      </c>
      <c r="E42" s="59">
        <f>+E5</f>
        <v>5</v>
      </c>
      <c r="F42" s="59">
        <f>+E42*C42</f>
        <v>5</v>
      </c>
      <c r="G42" s="49">
        <v>0</v>
      </c>
      <c r="H42" s="55" t="s">
        <v>82</v>
      </c>
    </row>
    <row r="43" spans="1:8">
      <c r="A43" s="55" t="s">
        <v>86</v>
      </c>
      <c r="B43" s="62" t="s">
        <v>5</v>
      </c>
      <c r="C43" s="62">
        <f>+SUM(C42:C42)</f>
        <v>1</v>
      </c>
      <c r="D43" s="62"/>
      <c r="E43" s="62"/>
      <c r="F43" s="67">
        <f>+SUM(F42:F42)</f>
        <v>5</v>
      </c>
      <c r="G43" s="51"/>
      <c r="H43" s="129" t="s">
        <v>163</v>
      </c>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1</v>
      </c>
      <c r="D47" s="59">
        <f>+SUM(C$47:$C47)</f>
        <v>1</v>
      </c>
      <c r="E47" s="59">
        <f>+E6</f>
        <v>10</v>
      </c>
      <c r="F47" s="59">
        <f>+E47*C47</f>
        <v>10</v>
      </c>
      <c r="G47" s="49">
        <v>0</v>
      </c>
      <c r="H47" s="55" t="s">
        <v>82</v>
      </c>
    </row>
    <row r="48" spans="1:8">
      <c r="A48" s="55" t="s">
        <v>85</v>
      </c>
      <c r="B48" s="62" t="s">
        <v>5</v>
      </c>
      <c r="C48" s="62">
        <f>+SUM(C47:C47)</f>
        <v>1</v>
      </c>
      <c r="D48" s="62"/>
      <c r="E48" s="62"/>
      <c r="F48" s="67">
        <f>+SUM(F47:F47)</f>
        <v>10</v>
      </c>
      <c r="G48" s="51"/>
      <c r="H48" s="129" t="s">
        <v>163</v>
      </c>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35.xml><?xml version="1.0" encoding="utf-8"?>
<worksheet xmlns="http://schemas.openxmlformats.org/spreadsheetml/2006/main" xmlns:r="http://schemas.openxmlformats.org/officeDocument/2006/relationships">
  <sheetPr>
    <tabColor rgb="FFFF0000"/>
  </sheetPr>
  <dimension ref="A1:J126"/>
  <sheetViews>
    <sheetView topLeftCell="A25" workbookViewId="0">
      <selection activeCell="H43" sqref="H43"/>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109375" style="55" customWidth="1"/>
    <col min="9" max="9" width="11.5546875" style="55"/>
    <col min="10" max="10" width="12.5546875" style="55" bestFit="1" customWidth="1"/>
    <col min="11" max="16384" width="11.5546875" style="55"/>
  </cols>
  <sheetData>
    <row r="1" spans="1:8" ht="18">
      <c r="A1" s="130" t="s">
        <v>96</v>
      </c>
      <c r="B1" s="130"/>
      <c r="C1" s="130"/>
      <c r="D1" s="130"/>
      <c r="E1" s="130"/>
    </row>
    <row r="2" spans="1:8">
      <c r="A2" s="65" t="s">
        <v>114</v>
      </c>
    </row>
    <row r="4" spans="1:8">
      <c r="A4" s="58" t="s">
        <v>9</v>
      </c>
      <c r="B4" s="60" t="s">
        <v>76</v>
      </c>
      <c r="C4" s="60" t="s">
        <v>10</v>
      </c>
      <c r="D4" s="60" t="s">
        <v>18</v>
      </c>
      <c r="E4" s="60" t="s">
        <v>8</v>
      </c>
      <c r="F4" s="60" t="s">
        <v>136</v>
      </c>
      <c r="G4" s="60" t="s">
        <v>46</v>
      </c>
    </row>
    <row r="5" spans="1:8">
      <c r="A5" s="55" t="s">
        <v>83</v>
      </c>
      <c r="B5" s="87">
        <v>1</v>
      </c>
      <c r="C5" s="56">
        <v>1.9E-2</v>
      </c>
      <c r="D5" s="56">
        <f>+SUM($C$5:C5)</f>
        <v>1.9E-2</v>
      </c>
      <c r="E5" s="70">
        <f>Summary!K27</f>
        <v>8</v>
      </c>
      <c r="F5" s="56">
        <f>+C5*E5</f>
        <v>0.152</v>
      </c>
      <c r="G5" s="49"/>
    </row>
    <row r="6" spans="1:8">
      <c r="B6" s="87">
        <v>2</v>
      </c>
      <c r="C6" s="56">
        <v>0.57499999999999996</v>
      </c>
      <c r="D6" s="56">
        <f>+SUM($C$5:C6)</f>
        <v>0.59399999999999997</v>
      </c>
      <c r="E6" s="70">
        <f>Summary!K28</f>
        <v>12</v>
      </c>
      <c r="F6" s="56">
        <f t="shared" ref="F6:F11" si="0">+C6*E6</f>
        <v>6.8999999999999995</v>
      </c>
      <c r="G6" s="49"/>
    </row>
    <row r="7" spans="1:8">
      <c r="B7" s="87">
        <v>3</v>
      </c>
      <c r="C7" s="56">
        <v>0.30499999999999999</v>
      </c>
      <c r="D7" s="56">
        <f>+SUM($C$5:C7)</f>
        <v>0.89900000000000002</v>
      </c>
      <c r="E7" s="70">
        <f>Summary!K29</f>
        <v>18</v>
      </c>
      <c r="F7" s="56">
        <f t="shared" si="0"/>
        <v>5.49</v>
      </c>
      <c r="G7" s="49"/>
    </row>
    <row r="8" spans="1:8">
      <c r="B8" s="87" t="s">
        <v>77</v>
      </c>
      <c r="C8" s="56">
        <v>0.05</v>
      </c>
      <c r="D8" s="56">
        <f>+SUM($C$5:C8)</f>
        <v>0.94900000000000007</v>
      </c>
      <c r="E8" s="56">
        <f>+E5+E6</f>
        <v>20</v>
      </c>
      <c r="F8" s="56">
        <f t="shared" si="0"/>
        <v>1</v>
      </c>
      <c r="G8" s="49"/>
    </row>
    <row r="9" spans="1:8">
      <c r="B9" s="87" t="s">
        <v>78</v>
      </c>
      <c r="C9" s="56">
        <v>0.02</v>
      </c>
      <c r="D9" s="56">
        <f>+SUM($C$5:C9)</f>
        <v>0.96900000000000008</v>
      </c>
      <c r="E9" s="56">
        <f>+E5+E7</f>
        <v>26</v>
      </c>
      <c r="F9" s="56">
        <f t="shared" si="0"/>
        <v>0.52</v>
      </c>
      <c r="G9" s="49"/>
    </row>
    <row r="10" spans="1:8">
      <c r="B10" s="87" t="s">
        <v>79</v>
      </c>
      <c r="C10" s="56">
        <v>0.03</v>
      </c>
      <c r="D10" s="56">
        <f>+SUM($C$5:C10)</f>
        <v>0.99900000000000011</v>
      </c>
      <c r="E10" s="56">
        <f>+E6+E7</f>
        <v>30</v>
      </c>
      <c r="F10" s="56">
        <f t="shared" si="0"/>
        <v>0.89999999999999991</v>
      </c>
      <c r="G10" s="49"/>
    </row>
    <row r="11" spans="1:8">
      <c r="B11" s="87" t="s">
        <v>80</v>
      </c>
      <c r="C11" s="56">
        <v>1E-3</v>
      </c>
      <c r="D11" s="56">
        <f>+SUM($C$5:C11)</f>
        <v>1</v>
      </c>
      <c r="E11" s="56">
        <f>+E5+E6+E7</f>
        <v>38</v>
      </c>
      <c r="F11" s="56">
        <f t="shared" si="0"/>
        <v>3.7999999999999999E-2</v>
      </c>
      <c r="G11" s="49">
        <v>0</v>
      </c>
      <c r="H11" s="55" t="s">
        <v>82</v>
      </c>
    </row>
    <row r="12" spans="1:8">
      <c r="B12" s="62" t="s">
        <v>11</v>
      </c>
      <c r="C12" s="62">
        <f>+SUM(C5:C11)</f>
        <v>1</v>
      </c>
      <c r="D12" s="62"/>
      <c r="E12" s="62"/>
      <c r="F12" s="69">
        <f>+SUM(F5:F11)</f>
        <v>15</v>
      </c>
      <c r="G12" s="50"/>
    </row>
    <row r="13" spans="1:8">
      <c r="B13" s="63" t="s">
        <v>81</v>
      </c>
      <c r="G13" s="47"/>
    </row>
    <row r="14" spans="1:8">
      <c r="G14" s="47"/>
    </row>
    <row r="15" spans="1:8">
      <c r="A15" s="58" t="s">
        <v>12</v>
      </c>
      <c r="B15" s="60" t="s">
        <v>76</v>
      </c>
      <c r="C15" s="60" t="s">
        <v>10</v>
      </c>
      <c r="D15" s="60" t="s">
        <v>18</v>
      </c>
      <c r="E15" s="60" t="s">
        <v>8</v>
      </c>
      <c r="F15" s="60" t="s">
        <v>136</v>
      </c>
      <c r="G15" s="60" t="s">
        <v>46</v>
      </c>
    </row>
    <row r="16" spans="1:8">
      <c r="A16" s="55" t="s">
        <v>84</v>
      </c>
      <c r="B16" s="86">
        <v>2</v>
      </c>
      <c r="C16" s="59">
        <v>0.6</v>
      </c>
      <c r="D16" s="59">
        <f>+SUM(C16:$C$16)</f>
        <v>0.6</v>
      </c>
      <c r="E16" s="59">
        <f>+E6</f>
        <v>12</v>
      </c>
      <c r="F16" s="59">
        <f>+C16*E16</f>
        <v>7.1999999999999993</v>
      </c>
      <c r="G16" s="49"/>
    </row>
    <row r="17" spans="1:10">
      <c r="A17" s="55" t="s">
        <v>85</v>
      </c>
      <c r="B17" s="86">
        <v>3</v>
      </c>
      <c r="C17" s="59">
        <v>0.35</v>
      </c>
      <c r="D17" s="59">
        <f>+SUM(C$16:$C17)</f>
        <v>0.95</v>
      </c>
      <c r="E17" s="59">
        <f>+E7</f>
        <v>18</v>
      </c>
      <c r="F17" s="59">
        <f t="shared" ref="F17:F18" si="1">+C17*E17</f>
        <v>6.3</v>
      </c>
      <c r="G17" s="49"/>
    </row>
    <row r="18" spans="1:10">
      <c r="B18" s="86" t="s">
        <v>79</v>
      </c>
      <c r="C18" s="59">
        <v>0.05</v>
      </c>
      <c r="D18" s="59">
        <f>+SUM(C$16:$C18)</f>
        <v>1</v>
      </c>
      <c r="E18" s="59">
        <f>+E16+E17</f>
        <v>30</v>
      </c>
      <c r="F18" s="59">
        <f t="shared" si="1"/>
        <v>1.5</v>
      </c>
      <c r="G18" s="49">
        <v>0</v>
      </c>
      <c r="H18" s="55" t="s">
        <v>82</v>
      </c>
    </row>
    <row r="19" spans="1:10">
      <c r="B19" s="62" t="s">
        <v>5</v>
      </c>
      <c r="C19" s="62">
        <f>+SUM(C16:C18)</f>
        <v>1</v>
      </c>
      <c r="D19" s="62"/>
      <c r="E19" s="62"/>
      <c r="F19" s="67">
        <f>+SUM(F16:F18)</f>
        <v>15</v>
      </c>
      <c r="G19" s="51"/>
    </row>
    <row r="20" spans="1:10">
      <c r="B20" s="66"/>
      <c r="C20" s="66"/>
      <c r="D20" s="66"/>
      <c r="E20" s="66"/>
      <c r="F20" s="61"/>
      <c r="G20" s="52"/>
    </row>
    <row r="21" spans="1:10">
      <c r="B21" s="66"/>
      <c r="C21" s="66"/>
      <c r="D21" s="66"/>
      <c r="E21" s="66"/>
      <c r="F21" s="61"/>
      <c r="G21" s="52"/>
    </row>
    <row r="22" spans="1:10">
      <c r="A22" s="58" t="s">
        <v>13</v>
      </c>
      <c r="B22" s="60" t="s">
        <v>76</v>
      </c>
      <c r="C22" s="60" t="s">
        <v>10</v>
      </c>
      <c r="D22" s="60" t="s">
        <v>18</v>
      </c>
      <c r="E22" s="60" t="s">
        <v>8</v>
      </c>
      <c r="F22" s="60" t="s">
        <v>136</v>
      </c>
      <c r="G22" s="60" t="s">
        <v>46</v>
      </c>
    </row>
    <row r="23" spans="1:10">
      <c r="A23" s="55" t="s">
        <v>84</v>
      </c>
      <c r="B23" s="86">
        <v>1</v>
      </c>
      <c r="C23" s="59">
        <v>0.34</v>
      </c>
      <c r="D23" s="59">
        <f>+SUM(C23:$C$23)</f>
        <v>0.34</v>
      </c>
      <c r="E23" s="59">
        <f>+E5</f>
        <v>8</v>
      </c>
      <c r="F23" s="59">
        <f>+C23*E23</f>
        <v>2.72</v>
      </c>
      <c r="G23" s="49"/>
    </row>
    <row r="24" spans="1:10">
      <c r="A24" s="55" t="s">
        <v>86</v>
      </c>
      <c r="B24" s="86">
        <v>3</v>
      </c>
      <c r="C24" s="59">
        <v>0.61</v>
      </c>
      <c r="D24" s="59">
        <f>+SUM(C$23:$C24)</f>
        <v>0.95</v>
      </c>
      <c r="E24" s="59">
        <f>+E7</f>
        <v>18</v>
      </c>
      <c r="F24" s="59">
        <f t="shared" ref="F24:F25" si="2">+C24*E24</f>
        <v>10.98</v>
      </c>
      <c r="G24" s="49"/>
    </row>
    <row r="25" spans="1:10">
      <c r="B25" s="86" t="s">
        <v>78</v>
      </c>
      <c r="C25" s="59">
        <v>0.05</v>
      </c>
      <c r="D25" s="59">
        <f>+SUM(C$23:$C25)</f>
        <v>1</v>
      </c>
      <c r="E25" s="59">
        <f>+E23+E24</f>
        <v>26</v>
      </c>
      <c r="F25" s="59">
        <f t="shared" si="2"/>
        <v>1.3</v>
      </c>
      <c r="G25" s="49">
        <v>0</v>
      </c>
      <c r="H25" s="55" t="s">
        <v>82</v>
      </c>
      <c r="J25" s="68"/>
    </row>
    <row r="26" spans="1:10">
      <c r="B26" s="62" t="s">
        <v>5</v>
      </c>
      <c r="C26" s="62">
        <f>+SUM(C23:C25)</f>
        <v>1</v>
      </c>
      <c r="D26" s="62"/>
      <c r="E26" s="62"/>
      <c r="F26" s="67">
        <f>+SUM(F23:F25)</f>
        <v>15.000000000000002</v>
      </c>
      <c r="G26" s="51"/>
    </row>
    <row r="27" spans="1:10">
      <c r="B27" s="66"/>
      <c r="C27" s="66"/>
      <c r="D27" s="66"/>
      <c r="E27" s="66"/>
      <c r="F27" s="61"/>
      <c r="G27" s="52"/>
    </row>
    <row r="28" spans="1:10">
      <c r="G28" s="47"/>
    </row>
    <row r="29" spans="1:10">
      <c r="A29" s="58" t="s">
        <v>14</v>
      </c>
      <c r="B29" s="60" t="s">
        <v>76</v>
      </c>
      <c r="C29" s="60" t="s">
        <v>10</v>
      </c>
      <c r="D29" s="60" t="s">
        <v>18</v>
      </c>
      <c r="E29" s="60" t="s">
        <v>8</v>
      </c>
      <c r="F29" s="60" t="s">
        <v>136</v>
      </c>
      <c r="G29" s="60" t="s">
        <v>46</v>
      </c>
    </row>
    <row r="30" spans="1:10">
      <c r="A30" s="55" t="s">
        <v>84</v>
      </c>
      <c r="B30" s="86">
        <v>3</v>
      </c>
      <c r="C30" s="59">
        <f>15/18</f>
        <v>0.83333333333333337</v>
      </c>
      <c r="D30" s="59">
        <f>+SUM(C30:$C$30)</f>
        <v>0.83333333333333337</v>
      </c>
      <c r="E30" s="59">
        <f>+E7</f>
        <v>18</v>
      </c>
      <c r="F30" s="59">
        <f>+C30*E30</f>
        <v>15</v>
      </c>
      <c r="G30" s="49">
        <v>0</v>
      </c>
      <c r="H30" s="55" t="s">
        <v>82</v>
      </c>
    </row>
    <row r="31" spans="1:10">
      <c r="A31" s="55" t="s">
        <v>85</v>
      </c>
      <c r="B31" s="62" t="s">
        <v>5</v>
      </c>
      <c r="C31" s="62">
        <f>+SUM(C30:C30)</f>
        <v>0.83333333333333337</v>
      </c>
      <c r="D31" s="62"/>
      <c r="E31" s="62"/>
      <c r="F31" s="67">
        <f>+SUM(F30:F30)</f>
        <v>15</v>
      </c>
      <c r="G31" s="51"/>
    </row>
    <row r="32" spans="1:10">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0.25</v>
      </c>
      <c r="D35" s="59">
        <f>+SUM(C35:$C$35)</f>
        <v>0.25</v>
      </c>
      <c r="E35" s="59">
        <f>+E5</f>
        <v>8</v>
      </c>
      <c r="F35" s="59">
        <f>+C35*E35</f>
        <v>2</v>
      </c>
      <c r="G35" s="49"/>
    </row>
    <row r="36" spans="1:8">
      <c r="A36" s="55" t="s">
        <v>87</v>
      </c>
      <c r="B36" s="86">
        <v>2</v>
      </c>
      <c r="C36" s="59">
        <v>0.25</v>
      </c>
      <c r="D36" s="59">
        <f>+SUM(C$35:$C36)</f>
        <v>0.5</v>
      </c>
      <c r="E36" s="59">
        <f>+E6</f>
        <v>12</v>
      </c>
      <c r="F36" s="59">
        <f t="shared" ref="F36:F37" si="3">+C36*E36</f>
        <v>3</v>
      </c>
      <c r="G36" s="49"/>
    </row>
    <row r="37" spans="1:8">
      <c r="B37" s="86" t="s">
        <v>77</v>
      </c>
      <c r="C37" s="59">
        <v>0.5</v>
      </c>
      <c r="D37" s="59">
        <f>+SUM(C$35:$C37)</f>
        <v>1</v>
      </c>
      <c r="E37" s="59">
        <f>+E35+E36</f>
        <v>20</v>
      </c>
      <c r="F37" s="59">
        <f t="shared" si="3"/>
        <v>10</v>
      </c>
      <c r="G37" s="49">
        <v>0</v>
      </c>
      <c r="H37" s="55" t="s">
        <v>82</v>
      </c>
    </row>
    <row r="38" spans="1:8">
      <c r="A38" s="64"/>
      <c r="B38" s="62" t="s">
        <v>5</v>
      </c>
      <c r="C38" s="62">
        <f>+SUM(C35:C37)</f>
        <v>1</v>
      </c>
      <c r="D38" s="62"/>
      <c r="E38" s="62"/>
      <c r="F38" s="67">
        <f>+SUM(F35:F37)</f>
        <v>15</v>
      </c>
      <c r="G38" s="51"/>
    </row>
    <row r="39" spans="1:8">
      <c r="A39" s="64"/>
      <c r="G39" s="47"/>
    </row>
    <row r="40" spans="1:8">
      <c r="G40" s="47"/>
    </row>
    <row r="41" spans="1:8">
      <c r="A41" s="58" t="s">
        <v>16</v>
      </c>
      <c r="B41" s="60" t="s">
        <v>76</v>
      </c>
      <c r="C41" s="60" t="s">
        <v>10</v>
      </c>
      <c r="D41" s="60" t="s">
        <v>18</v>
      </c>
      <c r="E41" s="60" t="s">
        <v>8</v>
      </c>
      <c r="F41" s="60" t="s">
        <v>136</v>
      </c>
      <c r="G41" s="54"/>
    </row>
    <row r="42" spans="1:8">
      <c r="A42" s="55" t="s">
        <v>84</v>
      </c>
      <c r="B42" s="86">
        <v>1</v>
      </c>
      <c r="C42" s="59">
        <v>1</v>
      </c>
      <c r="D42" s="59">
        <f>+SUM(C42:$C$42)</f>
        <v>1</v>
      </c>
      <c r="E42" s="59">
        <f>+E5</f>
        <v>8</v>
      </c>
      <c r="F42" s="59">
        <f>+E42*C42</f>
        <v>8</v>
      </c>
      <c r="G42" s="49">
        <v>0</v>
      </c>
      <c r="H42" s="55" t="s">
        <v>82</v>
      </c>
    </row>
    <row r="43" spans="1:8">
      <c r="A43" s="55" t="s">
        <v>86</v>
      </c>
      <c r="B43" s="62" t="s">
        <v>5</v>
      </c>
      <c r="C43" s="62">
        <f>+SUM(C42:C42)</f>
        <v>1</v>
      </c>
      <c r="D43" s="62"/>
      <c r="E43" s="62"/>
      <c r="F43" s="67">
        <f>+SUM(F42:F42)</f>
        <v>8</v>
      </c>
      <c r="G43" s="51"/>
      <c r="H43" s="129" t="s">
        <v>163</v>
      </c>
    </row>
    <row r="44" spans="1:8">
      <c r="A44" s="55" t="s">
        <v>87</v>
      </c>
      <c r="G44" s="47"/>
    </row>
    <row r="45" spans="1:8">
      <c r="G45" s="47"/>
    </row>
    <row r="46" spans="1:8">
      <c r="A46" s="58" t="s">
        <v>17</v>
      </c>
      <c r="B46" s="60" t="s">
        <v>76</v>
      </c>
      <c r="C46" s="60" t="s">
        <v>10</v>
      </c>
      <c r="D46" s="60" t="s">
        <v>18</v>
      </c>
      <c r="E46" s="60" t="s">
        <v>8</v>
      </c>
      <c r="F46" s="60" t="s">
        <v>136</v>
      </c>
      <c r="G46" s="54"/>
    </row>
    <row r="47" spans="1:8">
      <c r="A47" s="55" t="s">
        <v>84</v>
      </c>
      <c r="B47" s="86">
        <v>2</v>
      </c>
      <c r="C47" s="59">
        <v>1</v>
      </c>
      <c r="D47" s="59">
        <f>+SUM(C$47:$C47)</f>
        <v>1</v>
      </c>
      <c r="E47" s="59">
        <f>+E6</f>
        <v>12</v>
      </c>
      <c r="F47" s="59">
        <f>+E47*C47</f>
        <v>12</v>
      </c>
      <c r="G47" s="49">
        <v>0</v>
      </c>
      <c r="H47" s="55" t="s">
        <v>82</v>
      </c>
    </row>
    <row r="48" spans="1:8">
      <c r="A48" s="55" t="s">
        <v>85</v>
      </c>
      <c r="B48" s="62" t="s">
        <v>5</v>
      </c>
      <c r="C48" s="62">
        <f>+SUM(C47:C47)</f>
        <v>1</v>
      </c>
      <c r="D48" s="62"/>
      <c r="E48" s="62"/>
      <c r="F48" s="67">
        <f>+SUM(F47:F47)</f>
        <v>12</v>
      </c>
      <c r="G48" s="51"/>
      <c r="H48" s="129" t="s">
        <v>163</v>
      </c>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xl/worksheets/sheet36.xml><?xml version="1.0" encoding="utf-8"?>
<worksheet xmlns="http://schemas.openxmlformats.org/spreadsheetml/2006/main" xmlns:r="http://schemas.openxmlformats.org/officeDocument/2006/relationships">
  <sheetPr>
    <tabColor rgb="FFFF0000"/>
  </sheetPr>
  <dimension ref="A1:I126"/>
  <sheetViews>
    <sheetView workbookViewId="0">
      <selection sqref="A1:E1"/>
    </sheetView>
  </sheetViews>
  <sheetFormatPr baseColWidth="10" defaultRowHeight="14.4"/>
  <cols>
    <col min="1" max="1" width="40.6640625" style="55" customWidth="1"/>
    <col min="2" max="2" width="25.21875" style="55" bestFit="1" customWidth="1"/>
    <col min="3" max="3" width="11.5546875" style="55"/>
    <col min="4" max="4" width="15.5546875" style="55" bestFit="1" customWidth="1"/>
    <col min="5" max="5" width="11.5546875" style="55"/>
    <col min="6" max="6" width="13.33203125" style="55" customWidth="1"/>
    <col min="7" max="7" width="15.33203125" style="55" bestFit="1" customWidth="1"/>
    <col min="8" max="8" width="15.88671875" style="55" customWidth="1"/>
    <col min="9" max="9" width="12" style="55" customWidth="1"/>
    <col min="10" max="16384" width="11.5546875" style="55"/>
  </cols>
  <sheetData>
    <row r="1" spans="1:9" ht="18">
      <c r="A1" s="130" t="s">
        <v>103</v>
      </c>
      <c r="B1" s="130"/>
      <c r="C1" s="130"/>
      <c r="D1" s="130"/>
      <c r="E1" s="130"/>
    </row>
    <row r="2" spans="1:9">
      <c r="A2" s="65" t="s">
        <v>114</v>
      </c>
    </row>
    <row r="4" spans="1:9">
      <c r="A4" s="58" t="s">
        <v>9</v>
      </c>
      <c r="B4" s="60" t="s">
        <v>76</v>
      </c>
      <c r="C4" s="60" t="s">
        <v>10</v>
      </c>
      <c r="D4" s="60" t="s">
        <v>18</v>
      </c>
      <c r="E4" s="60" t="s">
        <v>8</v>
      </c>
      <c r="F4" s="60" t="s">
        <v>136</v>
      </c>
      <c r="G4" s="60" t="s">
        <v>46</v>
      </c>
    </row>
    <row r="5" spans="1:9">
      <c r="A5" s="55" t="s">
        <v>83</v>
      </c>
      <c r="B5" s="87">
        <v>1</v>
      </c>
      <c r="C5" s="56">
        <v>0.46</v>
      </c>
      <c r="D5" s="56">
        <f>+SUM($C$5:C5)</f>
        <v>0.46</v>
      </c>
      <c r="E5" s="56">
        <f>+Summary!B36</f>
        <v>12</v>
      </c>
      <c r="F5" s="56">
        <f>+C5*E5</f>
        <v>5.5200000000000005</v>
      </c>
      <c r="G5" s="49"/>
    </row>
    <row r="6" spans="1:9">
      <c r="B6" s="87">
        <v>2</v>
      </c>
      <c r="C6" s="56">
        <v>0.4</v>
      </c>
      <c r="D6" s="56">
        <f>+SUM($C$5:C6)</f>
        <v>0.8600000000000001</v>
      </c>
      <c r="E6" s="56">
        <f>+Summary!B37</f>
        <v>15</v>
      </c>
      <c r="F6" s="56">
        <f t="shared" ref="F6:F11" si="0">+C6*E6</f>
        <v>6</v>
      </c>
      <c r="G6" s="49"/>
    </row>
    <row r="7" spans="1:9">
      <c r="B7" s="87">
        <v>3</v>
      </c>
      <c r="C7" s="56">
        <v>0.09</v>
      </c>
      <c r="D7" s="56">
        <f>+SUM($C$5:C7)</f>
        <v>0.95000000000000007</v>
      </c>
      <c r="E7" s="56">
        <f>+Summary!B38</f>
        <v>20</v>
      </c>
      <c r="F7" s="56">
        <f t="shared" si="0"/>
        <v>1.7999999999999998</v>
      </c>
      <c r="G7" s="49"/>
      <c r="I7" s="28"/>
    </row>
    <row r="8" spans="1:9">
      <c r="B8" s="87" t="s">
        <v>77</v>
      </c>
      <c r="C8" s="56">
        <v>0.02</v>
      </c>
      <c r="D8" s="56">
        <f>+SUM($C$5:C8)</f>
        <v>0.97000000000000008</v>
      </c>
      <c r="E8" s="56">
        <f>+E5+E6</f>
        <v>27</v>
      </c>
      <c r="F8" s="56">
        <f t="shared" si="0"/>
        <v>0.54</v>
      </c>
      <c r="G8" s="49"/>
      <c r="I8" s="89"/>
    </row>
    <row r="9" spans="1:9">
      <c r="B9" s="87" t="s">
        <v>78</v>
      </c>
      <c r="C9" s="56">
        <v>0.01</v>
      </c>
      <c r="D9" s="56">
        <f>+SUM($C$5:C9)</f>
        <v>0.98000000000000009</v>
      </c>
      <c r="E9" s="56">
        <f>+E5+E7</f>
        <v>32</v>
      </c>
      <c r="F9" s="56">
        <f t="shared" si="0"/>
        <v>0.32</v>
      </c>
      <c r="G9" s="49"/>
    </row>
    <row r="10" spans="1:9">
      <c r="B10" s="87" t="s">
        <v>79</v>
      </c>
      <c r="C10" s="56">
        <v>0.01</v>
      </c>
      <c r="D10" s="56">
        <f>+SUM($C$5:C10)</f>
        <v>0.9900000000000001</v>
      </c>
      <c r="E10" s="56">
        <f>+E6+E7</f>
        <v>35</v>
      </c>
      <c r="F10" s="56">
        <f t="shared" si="0"/>
        <v>0.35000000000000003</v>
      </c>
      <c r="G10" s="49"/>
    </row>
    <row r="11" spans="1:9">
      <c r="B11" s="87" t="s">
        <v>80</v>
      </c>
      <c r="C11" s="56">
        <v>0.01</v>
      </c>
      <c r="D11" s="56">
        <f>+SUM($C$5:C11)</f>
        <v>1</v>
      </c>
      <c r="E11" s="56">
        <f>+E5+E6+E7</f>
        <v>47</v>
      </c>
      <c r="F11" s="56">
        <f t="shared" si="0"/>
        <v>0.47000000000000003</v>
      </c>
      <c r="G11" s="49">
        <v>0</v>
      </c>
      <c r="H11" s="55" t="s">
        <v>82</v>
      </c>
    </row>
    <row r="12" spans="1:9">
      <c r="B12" s="62" t="s">
        <v>11</v>
      </c>
      <c r="C12" s="62">
        <f>+SUM(C5:C11)</f>
        <v>1</v>
      </c>
      <c r="D12" s="62"/>
      <c r="E12" s="62"/>
      <c r="F12" s="53">
        <f>+SUM(F5:F11)</f>
        <v>15</v>
      </c>
      <c r="G12" s="50"/>
    </row>
    <row r="13" spans="1:9">
      <c r="B13" s="63" t="s">
        <v>81</v>
      </c>
      <c r="G13" s="47"/>
    </row>
    <row r="14" spans="1:9">
      <c r="G14" s="47"/>
    </row>
    <row r="15" spans="1:9">
      <c r="A15" s="58" t="s">
        <v>12</v>
      </c>
      <c r="B15" s="60" t="s">
        <v>76</v>
      </c>
      <c r="C15" s="60" t="s">
        <v>10</v>
      </c>
      <c r="D15" s="60" t="s">
        <v>18</v>
      </c>
      <c r="E15" s="60" t="s">
        <v>8</v>
      </c>
      <c r="F15" s="60" t="s">
        <v>136</v>
      </c>
      <c r="G15" s="60" t="s">
        <v>46</v>
      </c>
    </row>
    <row r="16" spans="1:9">
      <c r="A16" s="55" t="s">
        <v>84</v>
      </c>
      <c r="B16" s="86">
        <v>2</v>
      </c>
      <c r="C16" s="59">
        <v>0.98</v>
      </c>
      <c r="D16" s="59">
        <f>+SUM(C16:$C$16)</f>
        <v>0.98</v>
      </c>
      <c r="E16" s="59">
        <f>+E6</f>
        <v>15</v>
      </c>
      <c r="F16" s="59">
        <f>+C16*E16</f>
        <v>14.7</v>
      </c>
      <c r="G16" s="49"/>
    </row>
    <row r="17" spans="1:9">
      <c r="A17" s="55" t="s">
        <v>85</v>
      </c>
      <c r="B17" s="86">
        <v>3</v>
      </c>
      <c r="C17" s="59">
        <v>1.325E-2</v>
      </c>
      <c r="D17" s="59">
        <f>+SUM(C$16:$C17)</f>
        <v>0.99324999999999997</v>
      </c>
      <c r="E17" s="59">
        <f>+E7</f>
        <v>20</v>
      </c>
      <c r="F17" s="59">
        <f t="shared" ref="F17:F18" si="1">+C17*E17</f>
        <v>0.26500000000000001</v>
      </c>
      <c r="G17" s="49"/>
      <c r="I17" s="88"/>
    </row>
    <row r="18" spans="1:9">
      <c r="B18" s="86" t="s">
        <v>79</v>
      </c>
      <c r="C18" s="59">
        <v>1E-3</v>
      </c>
      <c r="D18" s="59">
        <f>+SUM(C$16:$C18)</f>
        <v>0.99424999999999997</v>
      </c>
      <c r="E18" s="59">
        <f>+E16+E17</f>
        <v>35</v>
      </c>
      <c r="F18" s="59">
        <f t="shared" si="1"/>
        <v>3.5000000000000003E-2</v>
      </c>
      <c r="G18" s="49">
        <v>0</v>
      </c>
      <c r="H18" s="55" t="s">
        <v>82</v>
      </c>
    </row>
    <row r="19" spans="1:9">
      <c r="B19" s="62" t="s">
        <v>5</v>
      </c>
      <c r="C19" s="62">
        <f>+SUM(C16:C18)</f>
        <v>0.99424999999999997</v>
      </c>
      <c r="D19" s="62"/>
      <c r="E19" s="62"/>
      <c r="F19" s="67">
        <f>+SUM(F16:F18)</f>
        <v>15</v>
      </c>
      <c r="G19" s="51"/>
    </row>
    <row r="20" spans="1:9">
      <c r="B20" s="66"/>
      <c r="C20" s="66"/>
      <c r="D20" s="66"/>
      <c r="E20" s="66"/>
      <c r="F20" s="61"/>
      <c r="G20" s="52"/>
    </row>
    <row r="21" spans="1:9">
      <c r="B21" s="66"/>
      <c r="C21" s="66"/>
      <c r="D21" s="66"/>
      <c r="E21" s="66"/>
      <c r="F21" s="61"/>
      <c r="G21" s="52"/>
    </row>
    <row r="22" spans="1:9">
      <c r="A22" s="58" t="s">
        <v>13</v>
      </c>
      <c r="B22" s="60" t="s">
        <v>76</v>
      </c>
      <c r="C22" s="60" t="s">
        <v>10</v>
      </c>
      <c r="D22" s="60" t="s">
        <v>18</v>
      </c>
      <c r="E22" s="60" t="s">
        <v>8</v>
      </c>
      <c r="F22" s="60" t="s">
        <v>136</v>
      </c>
      <c r="G22" s="60" t="s">
        <v>46</v>
      </c>
    </row>
    <row r="23" spans="1:9">
      <c r="A23" s="55" t="s">
        <v>84</v>
      </c>
      <c r="B23" s="86">
        <v>1</v>
      </c>
      <c r="C23" s="59">
        <v>0.64</v>
      </c>
      <c r="D23" s="59">
        <f>+SUM(C23:$C$23)</f>
        <v>0.64</v>
      </c>
      <c r="E23" s="59">
        <f>+E5</f>
        <v>12</v>
      </c>
      <c r="F23" s="59">
        <f>+C23*E23</f>
        <v>7.68</v>
      </c>
      <c r="G23" s="49"/>
    </row>
    <row r="24" spans="1:9">
      <c r="A24" s="55" t="s">
        <v>86</v>
      </c>
      <c r="B24" s="86">
        <v>3</v>
      </c>
      <c r="C24" s="59">
        <v>0.35</v>
      </c>
      <c r="D24" s="59">
        <f>+SUM(C$23:$C24)</f>
        <v>0.99</v>
      </c>
      <c r="E24" s="59">
        <f>+E7</f>
        <v>20</v>
      </c>
      <c r="F24" s="59">
        <f t="shared" ref="F24:F25" si="2">+C24*E24</f>
        <v>7</v>
      </c>
      <c r="G24" s="49"/>
    </row>
    <row r="25" spans="1:9">
      <c r="B25" s="86" t="s">
        <v>78</v>
      </c>
      <c r="C25" s="59">
        <v>0.01</v>
      </c>
      <c r="D25" s="59">
        <f>+SUM(C$23:$C25)</f>
        <v>1</v>
      </c>
      <c r="E25" s="59">
        <f>+E23+E24</f>
        <v>32</v>
      </c>
      <c r="F25" s="59">
        <f t="shared" si="2"/>
        <v>0.32</v>
      </c>
      <c r="G25" s="49">
        <v>0</v>
      </c>
      <c r="H25" s="55" t="s">
        <v>82</v>
      </c>
    </row>
    <row r="26" spans="1:9">
      <c r="B26" s="62" t="s">
        <v>5</v>
      </c>
      <c r="C26" s="62">
        <f>+SUM(C23:C25)</f>
        <v>1</v>
      </c>
      <c r="D26" s="62"/>
      <c r="E26" s="62"/>
      <c r="F26" s="67">
        <f>+SUM(F23:F25)</f>
        <v>15</v>
      </c>
      <c r="G26" s="51"/>
    </row>
    <row r="27" spans="1:9">
      <c r="B27" s="66"/>
      <c r="C27" s="66"/>
      <c r="D27" s="66"/>
      <c r="E27" s="66"/>
      <c r="F27" s="61"/>
      <c r="G27" s="52"/>
    </row>
    <row r="28" spans="1:9">
      <c r="G28" s="47"/>
    </row>
    <row r="29" spans="1:9">
      <c r="A29" s="58" t="s">
        <v>14</v>
      </c>
      <c r="B29" s="60" t="s">
        <v>76</v>
      </c>
      <c r="C29" s="60" t="s">
        <v>10</v>
      </c>
      <c r="D29" s="60" t="s">
        <v>18</v>
      </c>
      <c r="E29" s="60" t="s">
        <v>8</v>
      </c>
      <c r="F29" s="60" t="s">
        <v>136</v>
      </c>
      <c r="G29" s="60" t="s">
        <v>46</v>
      </c>
    </row>
    <row r="30" spans="1:9">
      <c r="A30" s="55" t="s">
        <v>84</v>
      </c>
      <c r="B30" s="86">
        <v>3</v>
      </c>
      <c r="C30" s="59">
        <v>0.75</v>
      </c>
      <c r="D30" s="59">
        <f>+SUM(C30:$C$30)</f>
        <v>0.75</v>
      </c>
      <c r="E30" s="59">
        <f>+E7</f>
        <v>20</v>
      </c>
      <c r="F30" s="59">
        <f>+C30*E30</f>
        <v>15</v>
      </c>
      <c r="G30" s="49">
        <v>0</v>
      </c>
      <c r="H30" s="55" t="s">
        <v>82</v>
      </c>
    </row>
    <row r="31" spans="1:9">
      <c r="A31" s="55" t="s">
        <v>85</v>
      </c>
      <c r="B31" s="62" t="s">
        <v>5</v>
      </c>
      <c r="C31" s="62">
        <f>+SUM(C30:C30)</f>
        <v>0.75</v>
      </c>
      <c r="D31" s="62"/>
      <c r="E31" s="62"/>
      <c r="F31" s="67">
        <f>+SUM(F30:F30)</f>
        <v>15</v>
      </c>
      <c r="G31" s="51"/>
    </row>
    <row r="32" spans="1:9">
      <c r="A32" s="55" t="s">
        <v>86</v>
      </c>
      <c r="G32" s="47"/>
    </row>
    <row r="33" spans="1:8">
      <c r="G33" s="47"/>
    </row>
    <row r="34" spans="1:8">
      <c r="A34" s="58" t="s">
        <v>15</v>
      </c>
      <c r="B34" s="60" t="s">
        <v>76</v>
      </c>
      <c r="C34" s="60" t="s">
        <v>10</v>
      </c>
      <c r="D34" s="60" t="s">
        <v>18</v>
      </c>
      <c r="E34" s="60" t="s">
        <v>8</v>
      </c>
      <c r="F34" s="60" t="s">
        <v>136</v>
      </c>
      <c r="G34" s="60" t="s">
        <v>46</v>
      </c>
    </row>
    <row r="35" spans="1:8">
      <c r="A35" s="55" t="s">
        <v>84</v>
      </c>
      <c r="B35" s="86">
        <v>1</v>
      </c>
      <c r="C35" s="59">
        <v>0.4</v>
      </c>
      <c r="D35" s="59">
        <f>+SUM(C35:$C$35)</f>
        <v>0.4</v>
      </c>
      <c r="E35" s="59">
        <f>+E5</f>
        <v>12</v>
      </c>
      <c r="F35" s="59">
        <f>+C35*E35</f>
        <v>4.8000000000000007</v>
      </c>
      <c r="G35" s="49"/>
    </row>
    <row r="36" spans="1:8">
      <c r="A36" s="55" t="s">
        <v>87</v>
      </c>
      <c r="B36" s="86">
        <v>2</v>
      </c>
      <c r="C36" s="59">
        <v>0.5</v>
      </c>
      <c r="D36" s="59">
        <f>+SUM(C$35:$C36)</f>
        <v>0.9</v>
      </c>
      <c r="E36" s="59">
        <f>+E6</f>
        <v>15</v>
      </c>
      <c r="F36" s="59">
        <f t="shared" ref="F36:F37" si="3">+C36*E36</f>
        <v>7.5</v>
      </c>
      <c r="G36" s="49"/>
    </row>
    <row r="37" spans="1:8">
      <c r="B37" s="86" t="s">
        <v>77</v>
      </c>
      <c r="C37" s="59">
        <v>0.1</v>
      </c>
      <c r="D37" s="59">
        <f>+SUM(C$35:$C37)</f>
        <v>1</v>
      </c>
      <c r="E37" s="59">
        <f>+E35+E36</f>
        <v>27</v>
      </c>
      <c r="F37" s="59">
        <f t="shared" si="3"/>
        <v>2.7</v>
      </c>
      <c r="G37" s="49">
        <v>0</v>
      </c>
      <c r="H37" s="55" t="s">
        <v>82</v>
      </c>
    </row>
    <row r="38" spans="1:8">
      <c r="A38" s="64"/>
      <c r="B38" s="62" t="s">
        <v>5</v>
      </c>
      <c r="C38" s="62">
        <f>+SUM(C35:C37)</f>
        <v>1</v>
      </c>
      <c r="D38" s="62"/>
      <c r="E38" s="62"/>
      <c r="F38" s="67">
        <f>+SUM(F35:F37)</f>
        <v>15</v>
      </c>
      <c r="G38" s="51"/>
    </row>
    <row r="39" spans="1:8">
      <c r="A39" s="64"/>
      <c r="G39" s="47"/>
    </row>
    <row r="40" spans="1:8">
      <c r="G40" s="47"/>
    </row>
    <row r="41" spans="1:8">
      <c r="A41" s="58" t="s">
        <v>16</v>
      </c>
      <c r="B41" s="60" t="s">
        <v>76</v>
      </c>
      <c r="C41" s="60" t="s">
        <v>10</v>
      </c>
      <c r="D41" s="60" t="s">
        <v>18</v>
      </c>
      <c r="E41" s="60" t="s">
        <v>8</v>
      </c>
      <c r="F41" s="60" t="s">
        <v>136</v>
      </c>
      <c r="G41" s="60" t="s">
        <v>46</v>
      </c>
    </row>
    <row r="42" spans="1:8">
      <c r="A42" s="55" t="s">
        <v>84</v>
      </c>
      <c r="B42" s="86">
        <v>1</v>
      </c>
      <c r="C42" s="59">
        <v>1</v>
      </c>
      <c r="D42" s="59">
        <f>+SUM(C42:$C$42)</f>
        <v>1</v>
      </c>
      <c r="E42" s="59">
        <f>+E5</f>
        <v>12</v>
      </c>
      <c r="F42" s="59">
        <f>+E42*C42</f>
        <v>12</v>
      </c>
      <c r="G42" s="49">
        <v>0</v>
      </c>
      <c r="H42" s="55" t="s">
        <v>82</v>
      </c>
    </row>
    <row r="43" spans="1:8">
      <c r="A43" s="55" t="s">
        <v>86</v>
      </c>
      <c r="B43" s="62" t="s">
        <v>5</v>
      </c>
      <c r="C43" s="62">
        <f>+SUM(C42:C42)</f>
        <v>1</v>
      </c>
      <c r="D43" s="62"/>
      <c r="E43" s="62"/>
      <c r="F43" s="67">
        <f>+SUM(F42:F42)</f>
        <v>12</v>
      </c>
      <c r="G43" s="51"/>
      <c r="H43" s="129" t="s">
        <v>163</v>
      </c>
    </row>
    <row r="44" spans="1:8">
      <c r="A44" s="55" t="s">
        <v>87</v>
      </c>
      <c r="G44" s="47"/>
    </row>
    <row r="45" spans="1:8">
      <c r="G45" s="47"/>
    </row>
    <row r="46" spans="1:8">
      <c r="A46" s="58" t="s">
        <v>17</v>
      </c>
      <c r="B46" s="60" t="s">
        <v>76</v>
      </c>
      <c r="C46" s="60" t="s">
        <v>10</v>
      </c>
      <c r="D46" s="60" t="s">
        <v>18</v>
      </c>
      <c r="E46" s="60" t="s">
        <v>8</v>
      </c>
      <c r="F46" s="60" t="s">
        <v>136</v>
      </c>
      <c r="G46" s="60" t="s">
        <v>46</v>
      </c>
    </row>
    <row r="47" spans="1:8">
      <c r="A47" s="55" t="s">
        <v>84</v>
      </c>
      <c r="B47" s="86">
        <v>2</v>
      </c>
      <c r="C47" s="59">
        <v>1</v>
      </c>
      <c r="D47" s="59">
        <f>+SUM(C$47:$C47)</f>
        <v>1</v>
      </c>
      <c r="E47" s="59">
        <f>+E6</f>
        <v>15</v>
      </c>
      <c r="F47" s="59">
        <f>+E47*C47</f>
        <v>15</v>
      </c>
      <c r="G47" s="49">
        <v>0</v>
      </c>
      <c r="H47" s="55" t="s">
        <v>82</v>
      </c>
    </row>
    <row r="48" spans="1:8">
      <c r="A48" s="55" t="s">
        <v>85</v>
      </c>
      <c r="B48" s="62" t="s">
        <v>5</v>
      </c>
      <c r="C48" s="62">
        <f>+SUM(C47:C47)</f>
        <v>1</v>
      </c>
      <c r="D48" s="62"/>
      <c r="E48" s="62"/>
      <c r="F48" s="67">
        <f>+SUM(F47:F47)</f>
        <v>15</v>
      </c>
      <c r="G48" s="51"/>
    </row>
    <row r="49" spans="1:7">
      <c r="A49" s="55" t="s">
        <v>87</v>
      </c>
      <c r="G49" s="48"/>
    </row>
    <row r="50" spans="1:7">
      <c r="G50" s="48"/>
    </row>
    <row r="51" spans="1:7">
      <c r="G51" s="48"/>
    </row>
    <row r="52" spans="1:7">
      <c r="G52" s="48"/>
    </row>
    <row r="53" spans="1:7">
      <c r="G53" s="48"/>
    </row>
    <row r="54" spans="1:7">
      <c r="G54" s="48"/>
    </row>
    <row r="55" spans="1:7">
      <c r="G55" s="48"/>
    </row>
    <row r="56" spans="1:7">
      <c r="G56" s="48"/>
    </row>
    <row r="57" spans="1:7">
      <c r="G57" s="48"/>
    </row>
    <row r="58" spans="1:7">
      <c r="G58" s="48"/>
    </row>
    <row r="59" spans="1:7">
      <c r="G59" s="48"/>
    </row>
    <row r="60" spans="1:7">
      <c r="G60" s="48"/>
    </row>
    <row r="61" spans="1:7">
      <c r="G61" s="48"/>
    </row>
    <row r="62" spans="1:7">
      <c r="G62" s="48"/>
    </row>
    <row r="63" spans="1:7">
      <c r="G63" s="48"/>
    </row>
    <row r="64" spans="1:7">
      <c r="G64" s="48"/>
    </row>
    <row r="65" spans="7:7">
      <c r="G65" s="48"/>
    </row>
    <row r="66" spans="7:7">
      <c r="G66" s="48"/>
    </row>
    <row r="67" spans="7:7">
      <c r="G67" s="48"/>
    </row>
    <row r="68" spans="7:7">
      <c r="G68" s="48"/>
    </row>
    <row r="69" spans="7:7">
      <c r="G69" s="48"/>
    </row>
    <row r="70" spans="7:7">
      <c r="G70" s="48"/>
    </row>
    <row r="71" spans="7:7">
      <c r="G71" s="47"/>
    </row>
    <row r="72" spans="7:7">
      <c r="G72" s="47"/>
    </row>
    <row r="73" spans="7:7">
      <c r="G73" s="47"/>
    </row>
    <row r="74" spans="7:7">
      <c r="G74" s="47"/>
    </row>
    <row r="75" spans="7:7">
      <c r="G75" s="47"/>
    </row>
    <row r="76" spans="7:7">
      <c r="G76" s="47"/>
    </row>
    <row r="77" spans="7:7">
      <c r="G77" s="47"/>
    </row>
    <row r="78" spans="7:7">
      <c r="G78" s="47"/>
    </row>
    <row r="79" spans="7:7">
      <c r="G79" s="47"/>
    </row>
    <row r="80" spans="7:7">
      <c r="G80" s="47"/>
    </row>
    <row r="81" spans="7:7">
      <c r="G81" s="47"/>
    </row>
    <row r="82" spans="7:7">
      <c r="G82" s="47"/>
    </row>
    <row r="83" spans="7:7">
      <c r="G83" s="47"/>
    </row>
    <row r="84" spans="7:7">
      <c r="G84" s="47"/>
    </row>
    <row r="85" spans="7:7">
      <c r="G85" s="47"/>
    </row>
    <row r="86" spans="7:7">
      <c r="G86" s="47"/>
    </row>
    <row r="87" spans="7:7">
      <c r="G87" s="47"/>
    </row>
    <row r="88" spans="7:7">
      <c r="G88" s="47"/>
    </row>
    <row r="89" spans="7:7">
      <c r="G89" s="47"/>
    </row>
    <row r="90" spans="7:7">
      <c r="G90" s="47"/>
    </row>
    <row r="91" spans="7:7">
      <c r="G91" s="47"/>
    </row>
    <row r="92" spans="7:7">
      <c r="G92" s="47"/>
    </row>
    <row r="93" spans="7:7">
      <c r="G93" s="47"/>
    </row>
    <row r="94" spans="7:7">
      <c r="G94" s="47"/>
    </row>
    <row r="95" spans="7:7">
      <c r="G95" s="47"/>
    </row>
    <row r="96" spans="7:7">
      <c r="G96" s="47"/>
    </row>
    <row r="97" spans="7:7">
      <c r="G97" s="47"/>
    </row>
    <row r="98" spans="7:7">
      <c r="G98" s="47"/>
    </row>
    <row r="99" spans="7:7">
      <c r="G99" s="47"/>
    </row>
    <row r="100" spans="7:7">
      <c r="G100" s="47"/>
    </row>
    <row r="101" spans="7:7">
      <c r="G101" s="47"/>
    </row>
    <row r="102" spans="7:7">
      <c r="G102" s="47"/>
    </row>
    <row r="103" spans="7:7">
      <c r="G103" s="47"/>
    </row>
    <row r="104" spans="7:7">
      <c r="G104" s="47"/>
    </row>
    <row r="105" spans="7:7">
      <c r="G105" s="47"/>
    </row>
    <row r="106" spans="7:7">
      <c r="G106" s="47"/>
    </row>
    <row r="107" spans="7:7">
      <c r="G107" s="47"/>
    </row>
    <row r="108" spans="7:7">
      <c r="G108" s="47"/>
    </row>
    <row r="109" spans="7:7">
      <c r="G109" s="47"/>
    </row>
    <row r="110" spans="7:7">
      <c r="G110" s="47"/>
    </row>
    <row r="111" spans="7:7">
      <c r="G111" s="47"/>
    </row>
    <row r="112" spans="7:7">
      <c r="G112" s="47"/>
    </row>
    <row r="113" spans="7:7">
      <c r="G113" s="47"/>
    </row>
    <row r="114" spans="7:7">
      <c r="G114" s="47"/>
    </row>
    <row r="115" spans="7:7">
      <c r="G115" s="47"/>
    </row>
    <row r="116" spans="7:7">
      <c r="G116" s="47"/>
    </row>
    <row r="117" spans="7:7">
      <c r="G117" s="47"/>
    </row>
    <row r="118" spans="7:7">
      <c r="G118" s="47"/>
    </row>
    <row r="119" spans="7:7">
      <c r="G119" s="47"/>
    </row>
    <row r="120" spans="7:7">
      <c r="G120" s="47"/>
    </row>
    <row r="121" spans="7:7">
      <c r="G121" s="47"/>
    </row>
    <row r="122" spans="7:7">
      <c r="G122" s="47"/>
    </row>
    <row r="123" spans="7:7">
      <c r="G123" s="47"/>
    </row>
    <row r="124" spans="7:7">
      <c r="G124" s="47"/>
    </row>
    <row r="125" spans="7:7">
      <c r="G125" s="47"/>
    </row>
    <row r="126" spans="7:7">
      <c r="G126" s="47"/>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36</vt:i4>
      </vt:variant>
    </vt:vector>
  </HeadingPairs>
  <TitlesOfParts>
    <vt:vector size="36" baseType="lpstr">
      <vt:lpstr>Summary</vt:lpstr>
      <vt:lpstr>Boss round</vt:lpstr>
      <vt:lpstr>Special weapon</vt:lpstr>
      <vt:lpstr>Prices Special weapon</vt:lpstr>
      <vt:lpstr>Base game (HV enemy)</vt:lpstr>
      <vt:lpstr>Special weapon 1 (HV enemy)</vt:lpstr>
      <vt:lpstr>Special weapon 2 (HV enemy)</vt:lpstr>
      <vt:lpstr>Special weapon 3 (HV enemy)</vt:lpstr>
      <vt:lpstr>Plasma Gun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Plasma Gun (Mummy B)</vt:lpstr>
      <vt:lpstr>Plasma Gun (Mummy C)</vt:lpstr>
      <vt:lpstr>Plasma Gun (Pharaoh 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2018-08-17T03:09:06Z</dcterms:modified>
</cp:coreProperties>
</file>