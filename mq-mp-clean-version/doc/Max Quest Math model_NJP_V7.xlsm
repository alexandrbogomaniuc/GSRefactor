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80" yWindow="60" windowWidth="22068" windowHeight="9504" activeTab="1"/>
  </bookViews>
  <sheets>
    <sheet name="Summary" sheetId="6" r:id="rId1"/>
    <sheet name="Special weapon" sheetId="7" r:id="rId2"/>
    <sheet name="Buying Special weapons" sheetId="18" r:id="rId3"/>
    <sheet name="Boss round (1,2,or 3 players)" sheetId="19" r:id="rId4"/>
    <sheet name="Boss round (4 or more players)" sheetId="22" r:id="rId5"/>
    <sheet name="Scarab Black" sheetId="1" r:id="rId6"/>
    <sheet name="Scarab Gold" sheetId="8" r:id="rId7"/>
    <sheet name="Scarab Gem Covered" sheetId="9" r:id="rId8"/>
    <sheet name="Standard Mummy" sheetId="10" r:id="rId9"/>
    <sheet name="Mummy A" sheetId="11" r:id="rId10"/>
    <sheet name="Mummy B" sheetId="12" r:id="rId11"/>
    <sheet name="Mummy C" sheetId="13" r:id="rId12"/>
    <sheet name="Pharaoh A" sheetId="14" r:id="rId13"/>
    <sheet name="Pharaoh B" sheetId="15" r:id="rId14"/>
    <sheet name="HV enemy" sheetId="16" r:id="rId15"/>
    <sheet name="HV scarab" sheetId="17" r:id="rId16"/>
    <sheet name="Profiles" sheetId="21" r:id="rId17"/>
  </sheets>
  <calcPr calcId="124519"/>
</workbook>
</file>

<file path=xl/calcChain.xml><?xml version="1.0" encoding="utf-8"?>
<calcChain xmlns="http://schemas.openxmlformats.org/spreadsheetml/2006/main">
  <c r="L8" i="6"/>
  <c r="J8"/>
  <c r="J11" s="1"/>
  <c r="O7"/>
  <c r="O6"/>
  <c r="A13"/>
  <c r="S25" i="18"/>
  <c r="R24"/>
  <c r="R23"/>
  <c r="T23" s="1"/>
  <c r="R22"/>
  <c r="T22" s="1"/>
  <c r="R21"/>
  <c r="T21" s="1"/>
  <c r="R20"/>
  <c r="T20" s="1"/>
  <c r="R19"/>
  <c r="T19" s="1"/>
  <c r="R18"/>
  <c r="R17"/>
  <c r="T17" s="1"/>
  <c r="R16"/>
  <c r="R15"/>
  <c r="T15" s="1"/>
  <c r="R14"/>
  <c r="R13"/>
  <c r="R12"/>
  <c r="T12" s="1"/>
  <c r="R11"/>
  <c r="R10"/>
  <c r="L25"/>
  <c r="K24"/>
  <c r="M24" s="1"/>
  <c r="K23"/>
  <c r="M23" s="1"/>
  <c r="K22"/>
  <c r="M22" s="1"/>
  <c r="K21"/>
  <c r="M21" s="1"/>
  <c r="K20"/>
  <c r="M20" s="1"/>
  <c r="K19"/>
  <c r="M19" s="1"/>
  <c r="K18"/>
  <c r="M18" s="1"/>
  <c r="K17"/>
  <c r="M17" s="1"/>
  <c r="K16"/>
  <c r="M16" s="1"/>
  <c r="K15"/>
  <c r="M15" s="1"/>
  <c r="K14"/>
  <c r="M14" s="1"/>
  <c r="K13"/>
  <c r="M13" s="1"/>
  <c r="K12"/>
  <c r="M12" s="1"/>
  <c r="K11"/>
  <c r="M11" s="1"/>
  <c r="K10"/>
  <c r="M10" s="1"/>
  <c r="B58" i="7"/>
  <c r="B56"/>
  <c r="B54"/>
  <c r="B53"/>
  <c r="B51"/>
  <c r="B49"/>
  <c r="B46"/>
  <c r="B44"/>
  <c r="B57"/>
  <c r="B55"/>
  <c r="B52"/>
  <c r="B50"/>
  <c r="B45"/>
  <c r="B47"/>
  <c r="A3" i="22"/>
  <c r="A3" i="19"/>
  <c r="B8" i="15"/>
  <c r="W18" i="22"/>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T18" s="1"/>
  <c r="S12"/>
  <c r="O12"/>
  <c r="O18" s="1"/>
  <c r="N12"/>
  <c r="J12"/>
  <c r="J18" s="1"/>
  <c r="I12"/>
  <c r="E12"/>
  <c r="E18" s="1"/>
  <c r="D12"/>
  <c r="W18" i="19"/>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X12"/>
  <c r="T12"/>
  <c r="S12"/>
  <c r="O12"/>
  <c r="N12"/>
  <c r="J12"/>
  <c r="I12"/>
  <c r="E12"/>
  <c r="D12"/>
  <c r="C38" i="22"/>
  <c r="D37"/>
  <c r="D36"/>
  <c r="D35"/>
  <c r="D34"/>
  <c r="D33"/>
  <c r="G32"/>
  <c r="B23"/>
  <c r="B23" i="19"/>
  <c r="C43"/>
  <c r="G32"/>
  <c r="AC9" i="17"/>
  <c r="V9"/>
  <c r="O9"/>
  <c r="AC9" i="16"/>
  <c r="V9"/>
  <c r="O9"/>
  <c r="L11" i="21"/>
  <c r="F11"/>
  <c r="K11" s="1"/>
  <c r="E11"/>
  <c r="D11"/>
  <c r="I11" s="1"/>
  <c r="C11"/>
  <c r="H11" s="1"/>
  <c r="B11"/>
  <c r="D27" s="1"/>
  <c r="L10"/>
  <c r="F10"/>
  <c r="E10"/>
  <c r="J10" s="1"/>
  <c r="D10"/>
  <c r="I10" s="1"/>
  <c r="C10"/>
  <c r="C26" s="1"/>
  <c r="B10"/>
  <c r="G10" s="1"/>
  <c r="L9"/>
  <c r="F9"/>
  <c r="E9"/>
  <c r="D9"/>
  <c r="C9"/>
  <c r="B9"/>
  <c r="G9" s="1"/>
  <c r="L8"/>
  <c r="F8"/>
  <c r="E8"/>
  <c r="J8" s="1"/>
  <c r="D8"/>
  <c r="C8"/>
  <c r="C24" s="1"/>
  <c r="B8"/>
  <c r="G8" s="1"/>
  <c r="L7"/>
  <c r="F7"/>
  <c r="K7" s="1"/>
  <c r="E7"/>
  <c r="D7"/>
  <c r="I7" s="1"/>
  <c r="C7"/>
  <c r="H7" s="1"/>
  <c r="B7"/>
  <c r="D23" s="1"/>
  <c r="L6"/>
  <c r="F6"/>
  <c r="E6"/>
  <c r="J6" s="1"/>
  <c r="D6"/>
  <c r="I6" s="1"/>
  <c r="C6"/>
  <c r="C22" s="1"/>
  <c r="B6"/>
  <c r="G6" s="1"/>
  <c r="L5"/>
  <c r="F5"/>
  <c r="K5" s="1"/>
  <c r="E5"/>
  <c r="D5"/>
  <c r="I5" s="1"/>
  <c r="C5"/>
  <c r="B5"/>
  <c r="G5" s="1"/>
  <c r="L4"/>
  <c r="F4"/>
  <c r="K4" s="1"/>
  <c r="E4"/>
  <c r="J4" s="1"/>
  <c r="D4"/>
  <c r="C4"/>
  <c r="C20" s="1"/>
  <c r="B4"/>
  <c r="G4" s="1"/>
  <c r="L3"/>
  <c r="F3"/>
  <c r="K3" s="1"/>
  <c r="E3"/>
  <c r="J3" s="1"/>
  <c r="D3"/>
  <c r="I3" s="1"/>
  <c r="C3"/>
  <c r="C19" s="1"/>
  <c r="B3"/>
  <c r="G3" s="1"/>
  <c r="D38" i="22" l="1"/>
  <c r="C43" s="1"/>
  <c r="C44" s="1"/>
  <c r="G33"/>
  <c r="K15" i="21" s="1"/>
  <c r="R25" i="18"/>
  <c r="P27" s="1"/>
  <c r="T11"/>
  <c r="T16"/>
  <c r="T24"/>
  <c r="T10"/>
  <c r="T14"/>
  <c r="T18"/>
  <c r="T13"/>
  <c r="K25"/>
  <c r="I27" s="1"/>
  <c r="E21" i="21"/>
  <c r="E23"/>
  <c r="E25"/>
  <c r="E27"/>
  <c r="E20"/>
  <c r="C21"/>
  <c r="C25"/>
  <c r="F20"/>
  <c r="D21"/>
  <c r="F22"/>
  <c r="F24"/>
  <c r="D25"/>
  <c r="F26"/>
  <c r="K8"/>
  <c r="E24"/>
  <c r="I9"/>
  <c r="D20"/>
  <c r="D24"/>
  <c r="F25"/>
  <c r="Y18" i="19"/>
  <c r="T18"/>
  <c r="O18"/>
  <c r="J18"/>
  <c r="E18"/>
  <c r="C23" i="21"/>
  <c r="F21"/>
  <c r="D19"/>
  <c r="G11"/>
  <c r="G7"/>
  <c r="H3"/>
  <c r="H8"/>
  <c r="H4"/>
  <c r="K9"/>
  <c r="J11"/>
  <c r="J9"/>
  <c r="J7"/>
  <c r="J5"/>
  <c r="D26"/>
  <c r="D22"/>
  <c r="E19"/>
  <c r="C27"/>
  <c r="H9"/>
  <c r="H5"/>
  <c r="K10"/>
  <c r="K6"/>
  <c r="I8"/>
  <c r="I4"/>
  <c r="F27"/>
  <c r="E26"/>
  <c r="F23"/>
  <c r="E22"/>
  <c r="F19"/>
  <c r="H10"/>
  <c r="H6"/>
  <c r="G33" i="19"/>
  <c r="C69" i="22"/>
  <c r="E68"/>
  <c r="F68" s="1"/>
  <c r="D68"/>
  <c r="D67"/>
  <c r="E67" s="1"/>
  <c r="F67" s="1"/>
  <c r="F66"/>
  <c r="E66"/>
  <c r="D66"/>
  <c r="F65"/>
  <c r="E65"/>
  <c r="D65"/>
  <c r="E64"/>
  <c r="F64" s="1"/>
  <c r="F69" s="1"/>
  <c r="D64"/>
  <c r="C60"/>
  <c r="F59"/>
  <c r="E59"/>
  <c r="D59"/>
  <c r="F58"/>
  <c r="E58"/>
  <c r="D58"/>
  <c r="E57"/>
  <c r="F57" s="1"/>
  <c r="D57"/>
  <c r="D56"/>
  <c r="E56" s="1"/>
  <c r="F56" s="1"/>
  <c r="E55"/>
  <c r="E60" s="1"/>
  <c r="D55"/>
  <c r="O9" i="12"/>
  <c r="H9" i="8"/>
  <c r="H10" s="1"/>
  <c r="K44" i="6"/>
  <c r="K45"/>
  <c r="K46"/>
  <c r="K47"/>
  <c r="K48"/>
  <c r="K49"/>
  <c r="K43"/>
  <c r="H44"/>
  <c r="H45"/>
  <c r="H46"/>
  <c r="H47"/>
  <c r="H48"/>
  <c r="H49"/>
  <c r="H43"/>
  <c r="E44"/>
  <c r="E45"/>
  <c r="E46"/>
  <c r="E47"/>
  <c r="E48"/>
  <c r="E49"/>
  <c r="E43"/>
  <c r="B44"/>
  <c r="B45"/>
  <c r="B46"/>
  <c r="B47"/>
  <c r="B48"/>
  <c r="B49"/>
  <c r="B43"/>
  <c r="B32"/>
  <c r="K33"/>
  <c r="K34"/>
  <c r="K35"/>
  <c r="K36"/>
  <c r="K37"/>
  <c r="K38"/>
  <c r="K32"/>
  <c r="H33"/>
  <c r="H34"/>
  <c r="H35"/>
  <c r="H36"/>
  <c r="H37"/>
  <c r="H38"/>
  <c r="H32"/>
  <c r="E33"/>
  <c r="E34"/>
  <c r="E35"/>
  <c r="E36"/>
  <c r="E37"/>
  <c r="E38"/>
  <c r="E32"/>
  <c r="B33"/>
  <c r="B34"/>
  <c r="B35"/>
  <c r="B36"/>
  <c r="B37"/>
  <c r="B38"/>
  <c r="H22"/>
  <c r="H23"/>
  <c r="H24"/>
  <c r="H25"/>
  <c r="H26"/>
  <c r="H27"/>
  <c r="H21"/>
  <c r="E22"/>
  <c r="E23"/>
  <c r="E24"/>
  <c r="E25"/>
  <c r="E26"/>
  <c r="E27"/>
  <c r="E21"/>
  <c r="B22"/>
  <c r="B23"/>
  <c r="B24"/>
  <c r="B25"/>
  <c r="B26"/>
  <c r="B27"/>
  <c r="B21"/>
  <c r="C69" i="19"/>
  <c r="E68"/>
  <c r="F68" s="1"/>
  <c r="D68"/>
  <c r="D67"/>
  <c r="E67" s="1"/>
  <c r="F67" s="1"/>
  <c r="D66"/>
  <c r="E66" s="1"/>
  <c r="F66" s="1"/>
  <c r="D65"/>
  <c r="E65" s="1"/>
  <c r="F65" s="1"/>
  <c r="D64"/>
  <c r="E64" s="1"/>
  <c r="F64" s="1"/>
  <c r="C60"/>
  <c r="D59"/>
  <c r="E59" s="1"/>
  <c r="F59" s="1"/>
  <c r="D58"/>
  <c r="E58" s="1"/>
  <c r="F58" s="1"/>
  <c r="D57"/>
  <c r="E57" s="1"/>
  <c r="F57" s="1"/>
  <c r="D56"/>
  <c r="E56" s="1"/>
  <c r="F56" s="1"/>
  <c r="D55"/>
  <c r="E55" s="1"/>
  <c r="C44"/>
  <c r="D43"/>
  <c r="D44" s="1"/>
  <c r="C38"/>
  <c r="D37"/>
  <c r="D36"/>
  <c r="D35"/>
  <c r="D34"/>
  <c r="D33"/>
  <c r="E25" i="18"/>
  <c r="D24"/>
  <c r="F24" s="1"/>
  <c r="D23"/>
  <c r="F23" s="1"/>
  <c r="D22"/>
  <c r="F22" s="1"/>
  <c r="D21"/>
  <c r="F21" s="1"/>
  <c r="D20"/>
  <c r="F20" s="1"/>
  <c r="D19"/>
  <c r="F19" s="1"/>
  <c r="D18"/>
  <c r="F18" s="1"/>
  <c r="D17"/>
  <c r="F17" s="1"/>
  <c r="D16"/>
  <c r="F16" s="1"/>
  <c r="D15"/>
  <c r="F15" s="1"/>
  <c r="D14"/>
  <c r="F14" s="1"/>
  <c r="D13"/>
  <c r="F13" s="1"/>
  <c r="D12"/>
  <c r="F12" s="1"/>
  <c r="D11"/>
  <c r="F11" s="1"/>
  <c r="D10"/>
  <c r="F10" s="1"/>
  <c r="B25" i="17"/>
  <c r="B24"/>
  <c r="AL9"/>
  <c r="AJ9"/>
  <c r="AK9" s="1"/>
  <c r="AE9"/>
  <c r="AF9" s="1"/>
  <c r="AD9"/>
  <c r="X9"/>
  <c r="Y9" s="1"/>
  <c r="W9"/>
  <c r="R9"/>
  <c r="Q9"/>
  <c r="P9"/>
  <c r="H9"/>
  <c r="I9" s="1"/>
  <c r="AL8"/>
  <c r="AM8" s="1"/>
  <c r="AK8"/>
  <c r="AE8"/>
  <c r="AF8" s="1"/>
  <c r="AD8"/>
  <c r="X8"/>
  <c r="Y8" s="1"/>
  <c r="W8"/>
  <c r="Q8"/>
  <c r="R8" s="1"/>
  <c r="P8"/>
  <c r="K8"/>
  <c r="I8"/>
  <c r="B8"/>
  <c r="L13" i="21" s="1"/>
  <c r="AL7" i="1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6" i="16"/>
  <c r="B25"/>
  <c r="B24"/>
  <c r="V10"/>
  <c r="AL9"/>
  <c r="AJ9"/>
  <c r="AK9" s="1"/>
  <c r="AE9"/>
  <c r="AD9"/>
  <c r="X9"/>
  <c r="W9"/>
  <c r="Q9"/>
  <c r="P9"/>
  <c r="H9"/>
  <c r="H10" s="1"/>
  <c r="AL8"/>
  <c r="AM8" s="1"/>
  <c r="AK8"/>
  <c r="AE8"/>
  <c r="AF8" s="1"/>
  <c r="AD8"/>
  <c r="Y8"/>
  <c r="X8"/>
  <c r="W8"/>
  <c r="Q8"/>
  <c r="R8" s="1"/>
  <c r="P8"/>
  <c r="K8"/>
  <c r="I8"/>
  <c r="B8"/>
  <c r="L12" i="21" s="1"/>
  <c r="AL7" i="16"/>
  <c r="AM7" s="1"/>
  <c r="AK7"/>
  <c r="AE7"/>
  <c r="AF7" s="1"/>
  <c r="AD7"/>
  <c r="X7"/>
  <c r="Y7" s="1"/>
  <c r="W7"/>
  <c r="R7"/>
  <c r="Q7"/>
  <c r="P7"/>
  <c r="K7"/>
  <c r="I7"/>
  <c r="AL6"/>
  <c r="AM6" s="1"/>
  <c r="AK6"/>
  <c r="AE6"/>
  <c r="AF6" s="1"/>
  <c r="AD6"/>
  <c r="X6"/>
  <c r="Y6" s="1"/>
  <c r="W6"/>
  <c r="Q6"/>
  <c r="R6" s="1"/>
  <c r="P6"/>
  <c r="K6"/>
  <c r="I6"/>
  <c r="AL5"/>
  <c r="AM5" s="1"/>
  <c r="AK5"/>
  <c r="AE5"/>
  <c r="AF5" s="1"/>
  <c r="AD5"/>
  <c r="X5"/>
  <c r="Y5" s="1"/>
  <c r="W5"/>
  <c r="R5"/>
  <c r="Q5"/>
  <c r="P5"/>
  <c r="K5"/>
  <c r="I5"/>
  <c r="AL4"/>
  <c r="AM4" s="1"/>
  <c r="AK4"/>
  <c r="AF4"/>
  <c r="AE4"/>
  <c r="AD4"/>
  <c r="X4"/>
  <c r="Y4" s="1"/>
  <c r="W4"/>
  <c r="R4"/>
  <c r="Q4"/>
  <c r="P4"/>
  <c r="K4"/>
  <c r="I4"/>
  <c r="AL3"/>
  <c r="AM3" s="1"/>
  <c r="AK3"/>
  <c r="AF3"/>
  <c r="AE3"/>
  <c r="AD3"/>
  <c r="X3"/>
  <c r="Y3" s="1"/>
  <c r="W3"/>
  <c r="R3"/>
  <c r="Q3"/>
  <c r="P3"/>
  <c r="K3"/>
  <c r="I3"/>
  <c r="B25" i="15"/>
  <c r="B24"/>
  <c r="H10"/>
  <c r="AL9"/>
  <c r="AJ9"/>
  <c r="AK9" s="1"/>
  <c r="AE9"/>
  <c r="AC9"/>
  <c r="AD9" s="1"/>
  <c r="X9"/>
  <c r="V9"/>
  <c r="W9" s="1"/>
  <c r="Q9"/>
  <c r="O9"/>
  <c r="P9" s="1"/>
  <c r="H9"/>
  <c r="I9" s="1"/>
  <c r="AM8"/>
  <c r="AL8"/>
  <c r="AK8"/>
  <c r="AE8"/>
  <c r="AF8" s="1"/>
  <c r="AD8"/>
  <c r="Y8"/>
  <c r="X8"/>
  <c r="W8"/>
  <c r="Q8"/>
  <c r="R8" s="1"/>
  <c r="P8"/>
  <c r="K8"/>
  <c r="I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I3"/>
  <c r="B25" i="14"/>
  <c r="B24"/>
  <c r="H10"/>
  <c r="AL9"/>
  <c r="AJ9"/>
  <c r="AK9" s="1"/>
  <c r="AE9"/>
  <c r="AC9"/>
  <c r="AD9" s="1"/>
  <c r="X9"/>
  <c r="V9"/>
  <c r="W9" s="1"/>
  <c r="Q9"/>
  <c r="O9"/>
  <c r="P9" s="1"/>
  <c r="K9"/>
  <c r="H9"/>
  <c r="I9" s="1"/>
  <c r="AL8"/>
  <c r="AM8" s="1"/>
  <c r="AK8"/>
  <c r="AE8"/>
  <c r="AF8" s="1"/>
  <c r="AD8"/>
  <c r="X8"/>
  <c r="Y8" s="1"/>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3"/>
  <c r="B24"/>
  <c r="H10"/>
  <c r="AL9"/>
  <c r="AJ9"/>
  <c r="AK9" s="1"/>
  <c r="AE9"/>
  <c r="AC9"/>
  <c r="AD9" s="1"/>
  <c r="X9"/>
  <c r="V9"/>
  <c r="W9" s="1"/>
  <c r="Q9"/>
  <c r="O9"/>
  <c r="P9" s="1"/>
  <c r="K9"/>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2"/>
  <c r="B24"/>
  <c r="V10"/>
  <c r="H10"/>
  <c r="AL9"/>
  <c r="AJ9"/>
  <c r="AK9" s="1"/>
  <c r="AE9"/>
  <c r="AC9"/>
  <c r="AD9" s="1"/>
  <c r="X9"/>
  <c r="V9"/>
  <c r="W9" s="1"/>
  <c r="Q9"/>
  <c r="P9"/>
  <c r="K9"/>
  <c r="I9"/>
  <c r="H9"/>
  <c r="AM8"/>
  <c r="AL8"/>
  <c r="AK8"/>
  <c r="AE8"/>
  <c r="AF8" s="1"/>
  <c r="AD8"/>
  <c r="Y8"/>
  <c r="X8"/>
  <c r="W8"/>
  <c r="R8"/>
  <c r="Q8"/>
  <c r="P8"/>
  <c r="K8"/>
  <c r="I8"/>
  <c r="B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K10" s="1"/>
  <c r="D3" s="1"/>
  <c r="B3" s="1"/>
  <c r="C3" s="1"/>
  <c r="I3"/>
  <c r="B25" i="11"/>
  <c r="B24"/>
  <c r="H10"/>
  <c r="AL9"/>
  <c r="AJ9"/>
  <c r="AK9" s="1"/>
  <c r="AE9"/>
  <c r="AC9"/>
  <c r="AD9" s="1"/>
  <c r="X9"/>
  <c r="V9"/>
  <c r="W9" s="1"/>
  <c r="Q9"/>
  <c r="O9"/>
  <c r="P9" s="1"/>
  <c r="K9"/>
  <c r="I9"/>
  <c r="H9"/>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R4"/>
  <c r="Q4"/>
  <c r="P4"/>
  <c r="K4"/>
  <c r="I4"/>
  <c r="AL3"/>
  <c r="AM3" s="1"/>
  <c r="AK3"/>
  <c r="AE3"/>
  <c r="AF3" s="1"/>
  <c r="AD3"/>
  <c r="X3"/>
  <c r="Y3" s="1"/>
  <c r="W3"/>
  <c r="Q3"/>
  <c r="P3"/>
  <c r="K3"/>
  <c r="I3"/>
  <c r="B25" i="10"/>
  <c r="B24"/>
  <c r="H10"/>
  <c r="AL9"/>
  <c r="AJ9"/>
  <c r="AK9" s="1"/>
  <c r="AE9"/>
  <c r="AC9"/>
  <c r="AD9" s="1"/>
  <c r="X9"/>
  <c r="V9"/>
  <c r="W9" s="1"/>
  <c r="Q9"/>
  <c r="O9"/>
  <c r="P9" s="1"/>
  <c r="K9"/>
  <c r="H9"/>
  <c r="I9" s="1"/>
  <c r="AM8"/>
  <c r="AL8"/>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9"/>
  <c r="B24"/>
  <c r="AL9"/>
  <c r="AJ9"/>
  <c r="AK9" s="1"/>
  <c r="AE9"/>
  <c r="AC9"/>
  <c r="AD9" s="1"/>
  <c r="X9"/>
  <c r="V9"/>
  <c r="W9" s="1"/>
  <c r="Q9"/>
  <c r="O9"/>
  <c r="P9" s="1"/>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5" i="8"/>
  <c r="B24"/>
  <c r="AL9"/>
  <c r="AJ9"/>
  <c r="AK9" s="1"/>
  <c r="AE9"/>
  <c r="AF9" s="1"/>
  <c r="AC9"/>
  <c r="AD9" s="1"/>
  <c r="X9"/>
  <c r="Y9" s="1"/>
  <c r="V9"/>
  <c r="W9" s="1"/>
  <c r="Q9"/>
  <c r="O9"/>
  <c r="P9" s="1"/>
  <c r="AL8"/>
  <c r="AM8" s="1"/>
  <c r="AK8"/>
  <c r="AE8"/>
  <c r="AF8" s="1"/>
  <c r="AD8"/>
  <c r="Y8"/>
  <c r="X8"/>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F3"/>
  <c r="AE3"/>
  <c r="AD3"/>
  <c r="X3"/>
  <c r="Y3" s="1"/>
  <c r="W3"/>
  <c r="Q3"/>
  <c r="R3" s="1"/>
  <c r="P3"/>
  <c r="K3"/>
  <c r="I3"/>
  <c r="B26" i="1"/>
  <c r="B24"/>
  <c r="B25"/>
  <c r="E21" i="7"/>
  <c r="A2"/>
  <c r="E58"/>
  <c r="D58"/>
  <c r="E57"/>
  <c r="D57"/>
  <c r="E56"/>
  <c r="D56"/>
  <c r="E55"/>
  <c r="D55"/>
  <c r="E54"/>
  <c r="D54"/>
  <c r="E53"/>
  <c r="D53"/>
  <c r="E52"/>
  <c r="D52"/>
  <c r="E51"/>
  <c r="D51"/>
  <c r="E50"/>
  <c r="D50"/>
  <c r="E49"/>
  <c r="D49"/>
  <c r="E48"/>
  <c r="D48"/>
  <c r="E47"/>
  <c r="D47"/>
  <c r="E46"/>
  <c r="D46"/>
  <c r="E45"/>
  <c r="D45"/>
  <c r="E44"/>
  <c r="D44"/>
  <c r="D20"/>
  <c r="D19"/>
  <c r="D18"/>
  <c r="D17"/>
  <c r="D16"/>
  <c r="D15"/>
  <c r="D14"/>
  <c r="D13"/>
  <c r="D12"/>
  <c r="D11"/>
  <c r="D10"/>
  <c r="D9"/>
  <c r="D8" i="6"/>
  <c r="B8"/>
  <c r="D7"/>
  <c r="B7"/>
  <c r="G6"/>
  <c r="D43" i="22" l="1"/>
  <c r="D44" s="1"/>
  <c r="G15" i="21"/>
  <c r="I15"/>
  <c r="H15"/>
  <c r="J15"/>
  <c r="D23" i="7"/>
  <c r="D60"/>
  <c r="H14" i="21"/>
  <c r="K14"/>
  <c r="I14"/>
  <c r="J14"/>
  <c r="G14"/>
  <c r="AM9" i="17"/>
  <c r="AM10" s="1"/>
  <c r="D7" s="1"/>
  <c r="B7" s="1"/>
  <c r="F13" i="21" s="1"/>
  <c r="K9" i="17"/>
  <c r="K10" s="1"/>
  <c r="D3" s="1"/>
  <c r="B3" s="1"/>
  <c r="H10"/>
  <c r="I9" i="16"/>
  <c r="K9"/>
  <c r="K10" s="1"/>
  <c r="D3" s="1"/>
  <c r="B3" s="1"/>
  <c r="B26" i="17"/>
  <c r="AF10"/>
  <c r="D6" s="1"/>
  <c r="B6" s="1"/>
  <c r="E13" i="21" s="1"/>
  <c r="E60" i="19"/>
  <c r="D38"/>
  <c r="F55" i="22"/>
  <c r="F60" s="1"/>
  <c r="E69"/>
  <c r="V10" i="13"/>
  <c r="O10" i="8"/>
  <c r="R9"/>
  <c r="R10" s="1"/>
  <c r="D4" s="1"/>
  <c r="B4" s="1"/>
  <c r="I9"/>
  <c r="K9"/>
  <c r="K10" s="1"/>
  <c r="D3" s="1"/>
  <c r="B3" s="1"/>
  <c r="H10" i="9"/>
  <c r="K9"/>
  <c r="K10" s="1"/>
  <c r="D3" s="1"/>
  <c r="B3" s="1"/>
  <c r="AM9" i="8"/>
  <c r="AM10" s="1"/>
  <c r="D7" s="1"/>
  <c r="B7" s="1"/>
  <c r="K10" i="14"/>
  <c r="D3" s="1"/>
  <c r="B3" s="1"/>
  <c r="C3" s="1"/>
  <c r="B26"/>
  <c r="K10" i="13"/>
  <c r="D3" s="1"/>
  <c r="B3" s="1"/>
  <c r="C3" s="1"/>
  <c r="B26"/>
  <c r="B26" i="11"/>
  <c r="R3"/>
  <c r="K10"/>
  <c r="D3" s="1"/>
  <c r="B3" s="1"/>
  <c r="C3" s="1"/>
  <c r="K10" i="10"/>
  <c r="D3" s="1"/>
  <c r="B3" s="1"/>
  <c r="C3" s="1"/>
  <c r="B26"/>
  <c r="B26" i="9"/>
  <c r="R3"/>
  <c r="AF10" i="8"/>
  <c r="D6" s="1"/>
  <c r="B6" s="1"/>
  <c r="B26"/>
  <c r="F69" i="19"/>
  <c r="F55"/>
  <c r="F60" s="1"/>
  <c r="E69"/>
  <c r="D25" i="18"/>
  <c r="B27" s="1"/>
  <c r="Y10" i="17"/>
  <c r="D5" s="1"/>
  <c r="B5" s="1"/>
  <c r="D13" i="21" s="1"/>
  <c r="R3" i="17"/>
  <c r="R10" s="1"/>
  <c r="D4" s="1"/>
  <c r="B4" s="1"/>
  <c r="C13" i="21" s="1"/>
  <c r="V10" i="17"/>
  <c r="AJ10"/>
  <c r="O10"/>
  <c r="AC10"/>
  <c r="R9" i="16"/>
  <c r="R10" s="1"/>
  <c r="D4" s="1"/>
  <c r="B4" s="1"/>
  <c r="C12" i="21" s="1"/>
  <c r="Y9" i="16"/>
  <c r="Y10" s="1"/>
  <c r="D5" s="1"/>
  <c r="B5" s="1"/>
  <c r="D12" i="21" s="1"/>
  <c r="AF9" i="16"/>
  <c r="AF10" s="1"/>
  <c r="D6" s="1"/>
  <c r="B6" s="1"/>
  <c r="E12" i="21" s="1"/>
  <c r="AM9" i="16"/>
  <c r="AM10" s="1"/>
  <c r="D7" s="1"/>
  <c r="B7" s="1"/>
  <c r="F12" i="21" s="1"/>
  <c r="O10" i="16"/>
  <c r="AC10"/>
  <c r="AJ10"/>
  <c r="K10" i="15"/>
  <c r="D3" s="1"/>
  <c r="B3" s="1"/>
  <c r="C3" s="1"/>
  <c r="K9"/>
  <c r="R9"/>
  <c r="R10" s="1"/>
  <c r="D4" s="1"/>
  <c r="B4" s="1"/>
  <c r="Y9"/>
  <c r="Y10" s="1"/>
  <c r="D5" s="1"/>
  <c r="B5" s="1"/>
  <c r="AF9"/>
  <c r="AF10" s="1"/>
  <c r="D6" s="1"/>
  <c r="B6" s="1"/>
  <c r="AM9"/>
  <c r="AM10" s="1"/>
  <c r="D7" s="1"/>
  <c r="B7" s="1"/>
  <c r="AJ10"/>
  <c r="O10"/>
  <c r="AC10"/>
  <c r="V10"/>
  <c r="R9" i="14"/>
  <c r="R10" s="1"/>
  <c r="D4" s="1"/>
  <c r="B4" s="1"/>
  <c r="Y9"/>
  <c r="Y10" s="1"/>
  <c r="D5" s="1"/>
  <c r="B5" s="1"/>
  <c r="AF9"/>
  <c r="AF10" s="1"/>
  <c r="D6" s="1"/>
  <c r="B6" s="1"/>
  <c r="AM9"/>
  <c r="AM10" s="1"/>
  <c r="D7" s="1"/>
  <c r="B7" s="1"/>
  <c r="AJ10"/>
  <c r="O10"/>
  <c r="AC10"/>
  <c r="V10"/>
  <c r="R9" i="13"/>
  <c r="R10" s="1"/>
  <c r="D4" s="1"/>
  <c r="B4" s="1"/>
  <c r="Y9"/>
  <c r="Y10" s="1"/>
  <c r="D5" s="1"/>
  <c r="B5" s="1"/>
  <c r="AF9"/>
  <c r="AF10" s="1"/>
  <c r="D6" s="1"/>
  <c r="B6" s="1"/>
  <c r="AM9"/>
  <c r="AM10" s="1"/>
  <c r="D7" s="1"/>
  <c r="B7" s="1"/>
  <c r="AJ10"/>
  <c r="O10"/>
  <c r="AC10"/>
  <c r="R9" i="12"/>
  <c r="R10" s="1"/>
  <c r="D4" s="1"/>
  <c r="B4" s="1"/>
  <c r="Y9"/>
  <c r="Y10" s="1"/>
  <c r="D5" s="1"/>
  <c r="B5" s="1"/>
  <c r="AF9"/>
  <c r="AF10" s="1"/>
  <c r="D6" s="1"/>
  <c r="B6" s="1"/>
  <c r="AM9"/>
  <c r="AM10" s="1"/>
  <c r="D7" s="1"/>
  <c r="B7" s="1"/>
  <c r="O10"/>
  <c r="AC10"/>
  <c r="AJ10"/>
  <c r="R9" i="11"/>
  <c r="Y9"/>
  <c r="Y10" s="1"/>
  <c r="D5" s="1"/>
  <c r="B5" s="1"/>
  <c r="AF9"/>
  <c r="AF10" s="1"/>
  <c r="D6" s="1"/>
  <c r="B6" s="1"/>
  <c r="AM9"/>
  <c r="AM10" s="1"/>
  <c r="D7" s="1"/>
  <c r="B7" s="1"/>
  <c r="AJ10"/>
  <c r="O10"/>
  <c r="AC10"/>
  <c r="V10"/>
  <c r="R9" i="10"/>
  <c r="R10" s="1"/>
  <c r="D4" s="1"/>
  <c r="B4" s="1"/>
  <c r="Y9"/>
  <c r="Y10" s="1"/>
  <c r="D5" s="1"/>
  <c r="B5" s="1"/>
  <c r="AF9"/>
  <c r="AF10" s="1"/>
  <c r="D6" s="1"/>
  <c r="B6" s="1"/>
  <c r="AM9"/>
  <c r="AM10" s="1"/>
  <c r="D7" s="1"/>
  <c r="B7" s="1"/>
  <c r="AJ10"/>
  <c r="O10"/>
  <c r="AC10"/>
  <c r="V10"/>
  <c r="R9" i="9"/>
  <c r="Y9"/>
  <c r="Y10" s="1"/>
  <c r="D5" s="1"/>
  <c r="B5" s="1"/>
  <c r="AF9"/>
  <c r="AF10" s="1"/>
  <c r="D6" s="1"/>
  <c r="B6" s="1"/>
  <c r="AM9"/>
  <c r="AM10" s="1"/>
  <c r="D7" s="1"/>
  <c r="B7" s="1"/>
  <c r="AJ10"/>
  <c r="O10"/>
  <c r="AC10"/>
  <c r="V10"/>
  <c r="Y10" i="8"/>
  <c r="D5" s="1"/>
  <c r="B5" s="1"/>
  <c r="V10"/>
  <c r="AJ10"/>
  <c r="AC10"/>
  <c r="B11" i="6"/>
  <c r="G7"/>
  <c r="N8" l="1"/>
  <c r="O8" s="1"/>
  <c r="O11" s="1"/>
  <c r="F8"/>
  <c r="G8" s="1"/>
  <c r="G11" s="1"/>
  <c r="K12" i="21"/>
  <c r="I12"/>
  <c r="J13"/>
  <c r="H13"/>
  <c r="K13"/>
  <c r="H12"/>
  <c r="J12"/>
  <c r="I13"/>
  <c r="B13"/>
  <c r="G13" s="1"/>
  <c r="B12"/>
  <c r="G12" s="1"/>
  <c r="C3" i="9"/>
  <c r="C3" i="8"/>
  <c r="R10" i="11"/>
  <c r="D4" s="1"/>
  <c r="B4" s="1"/>
  <c r="R10" i="9"/>
  <c r="D4" s="1"/>
  <c r="B4" s="1"/>
  <c r="E28" i="21" l="1"/>
  <c r="F28"/>
  <c r="F29"/>
  <c r="E29"/>
  <c r="D29"/>
  <c r="C28"/>
  <c r="C29"/>
  <c r="D28"/>
  <c r="B8" i="1" l="1"/>
  <c r="AC9"/>
  <c r="AD9" s="1"/>
  <c r="V9"/>
  <c r="W9" s="1"/>
  <c r="I3"/>
  <c r="I4"/>
  <c r="AK5"/>
  <c r="AK4"/>
  <c r="AK6"/>
  <c r="AK7"/>
  <c r="AK8"/>
  <c r="AK3"/>
  <c r="AD3"/>
  <c r="AD4"/>
  <c r="AD5"/>
  <c r="AD6"/>
  <c r="AD7"/>
  <c r="AD8"/>
  <c r="W4"/>
  <c r="W5"/>
  <c r="W6"/>
  <c r="W7"/>
  <c r="W8"/>
  <c r="W3"/>
  <c r="P8"/>
  <c r="P4"/>
  <c r="P5"/>
  <c r="P6"/>
  <c r="P7"/>
  <c r="P3"/>
  <c r="AL4"/>
  <c r="AM4" s="1"/>
  <c r="AL5"/>
  <c r="AM5" s="1"/>
  <c r="AL6"/>
  <c r="AL7"/>
  <c r="AM7" s="1"/>
  <c r="AL8"/>
  <c r="AM8" s="1"/>
  <c r="AL9"/>
  <c r="AL3"/>
  <c r="AM3" s="1"/>
  <c r="AJ9"/>
  <c r="AK9" s="1"/>
  <c r="AM6"/>
  <c r="AE4"/>
  <c r="AF4" s="1"/>
  <c r="AE5"/>
  <c r="AE6"/>
  <c r="AF6" s="1"/>
  <c r="AE7"/>
  <c r="AF7" s="1"/>
  <c r="AE8"/>
  <c r="AF8" s="1"/>
  <c r="AE9"/>
  <c r="AE3"/>
  <c r="AF3" s="1"/>
  <c r="X4"/>
  <c r="Y4" s="1"/>
  <c r="X5"/>
  <c r="Y5" s="1"/>
  <c r="X6"/>
  <c r="Y6" s="1"/>
  <c r="X7"/>
  <c r="Y7" s="1"/>
  <c r="X8"/>
  <c r="X9"/>
  <c r="X3"/>
  <c r="Y3" s="1"/>
  <c r="Q3"/>
  <c r="R3" s="1"/>
  <c r="Q4"/>
  <c r="R4" s="1"/>
  <c r="Q5"/>
  <c r="R5" s="1"/>
  <c r="Q6"/>
  <c r="R6" s="1"/>
  <c r="Q7"/>
  <c r="R7" s="1"/>
  <c r="Q8"/>
  <c r="R8" s="1"/>
  <c r="Q9"/>
  <c r="AF5"/>
  <c r="Y8"/>
  <c r="O9"/>
  <c r="R9" l="1"/>
  <c r="R10" s="1"/>
  <c r="P9"/>
  <c r="AM9"/>
  <c r="AM10" s="1"/>
  <c r="D7" s="1"/>
  <c r="B7" s="1"/>
  <c r="AJ10"/>
  <c r="AC10"/>
  <c r="AF9"/>
  <c r="AF10" s="1"/>
  <c r="D6" s="1"/>
  <c r="B6" s="1"/>
  <c r="V10"/>
  <c r="Y9"/>
  <c r="Y10" s="1"/>
  <c r="D5" s="1"/>
  <c r="B5" s="1"/>
  <c r="O10"/>
  <c r="D4" l="1"/>
  <c r="B4" s="1"/>
  <c r="H9" l="1"/>
  <c r="K9" s="1"/>
  <c r="I8"/>
  <c r="K8"/>
  <c r="K7"/>
  <c r="K6"/>
  <c r="K5"/>
  <c r="K4"/>
  <c r="H10" l="1"/>
  <c r="I6"/>
  <c r="K3"/>
  <c r="K10" s="1"/>
  <c r="D3" s="1"/>
  <c r="B3" s="1"/>
  <c r="C3" s="1"/>
  <c r="I7"/>
  <c r="I5"/>
  <c r="I9"/>
</calcChain>
</file>

<file path=xl/comments1.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2.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3.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4.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5.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6.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7.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8.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9.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sharedStrings.xml><?xml version="1.0" encoding="utf-8"?>
<sst xmlns="http://schemas.openxmlformats.org/spreadsheetml/2006/main" count="1128" uniqueCount="166">
  <si>
    <t>Range of prizes</t>
  </si>
  <si>
    <t>Prize #</t>
  </si>
  <si>
    <t>Probability</t>
  </si>
  <si>
    <t>Cumulative prob.</t>
  </si>
  <si>
    <t>Award</t>
  </si>
  <si>
    <t>Avg payout</t>
  </si>
  <si>
    <t>Total (*)</t>
  </si>
  <si>
    <t>RTP</t>
  </si>
  <si>
    <t>Freq</t>
  </si>
  <si>
    <t>Count Sim</t>
  </si>
  <si>
    <t>Total shots:</t>
  </si>
  <si>
    <t>Total killed:</t>
  </si>
  <si>
    <t>Hit rate:</t>
  </si>
  <si>
    <t>Regular weapon</t>
  </si>
  <si>
    <t>REGULAR WEAPON</t>
  </si>
  <si>
    <t>Probabilities</t>
  </si>
  <si>
    <t>Shots:</t>
  </si>
  <si>
    <t>Scarab Black summary</t>
  </si>
  <si>
    <t>SPECIAL WEAPON 3</t>
  </si>
  <si>
    <t>SPECIAL WEAPON 2</t>
  </si>
  <si>
    <t>SPECIAL WEAPON 1</t>
  </si>
  <si>
    <t>PLASMA GUN</t>
  </si>
  <si>
    <t>Boss Probability</t>
  </si>
  <si>
    <t>Notes: the number of enemies of each type in each location is irrelevant from the mathematical point of view.</t>
  </si>
  <si>
    <t>If locations act as "levels", it may be interesting to have weak enemies in the first location and add other species in the following locations.</t>
  </si>
  <si>
    <t>Feature</t>
  </si>
  <si>
    <t>Max avg pay</t>
  </si>
  <si>
    <t>Min avg pay</t>
  </si>
  <si>
    <t>Min RTP</t>
  </si>
  <si>
    <t>Base game</t>
  </si>
  <si>
    <t>Boss round</t>
  </si>
  <si>
    <t>Special weapon (*)</t>
  </si>
  <si>
    <t>Leaderboard</t>
  </si>
  <si>
    <t>Jackpot</t>
  </si>
  <si>
    <t>Total</t>
  </si>
  <si>
    <t>There are different kind of enemies. Each enemy has its own prizes. Stronger enemies grant bigger prizes but are more difficult to kill.</t>
  </si>
  <si>
    <t>Scarab black</t>
  </si>
  <si>
    <t>Scarab gold</t>
  </si>
  <si>
    <t>Scarab gem covered</t>
  </si>
  <si>
    <t>Pays</t>
  </si>
  <si>
    <t>Standard Mummy</t>
  </si>
  <si>
    <t>Medium Mummy A</t>
  </si>
  <si>
    <t>Medium Mummy B</t>
  </si>
  <si>
    <t>Medium Mummy C</t>
  </si>
  <si>
    <t>Prize</t>
  </si>
  <si>
    <t>Powerful Pharaoh Mummy A</t>
  </si>
  <si>
    <t>Powerful Pharaoh Mummy B</t>
  </si>
  <si>
    <t>High Volatility enemy</t>
  </si>
  <si>
    <t>High Volatility Scarab</t>
  </si>
  <si>
    <t>Total paid shots:</t>
  </si>
  <si>
    <t>Killing the enemy</t>
  </si>
  <si>
    <t>Killing the enemy (special weapon2)</t>
  </si>
  <si>
    <t>Killing the enemy (special weapon3)</t>
  </si>
  <si>
    <t>Killing the enemy (plasma)</t>
  </si>
  <si>
    <t>Special weapon 1</t>
  </si>
  <si>
    <t>Special weapon 2</t>
  </si>
  <si>
    <t>Special weapon 3</t>
  </si>
  <si>
    <t>Plasma Gun</t>
  </si>
  <si>
    <t>Shots</t>
  </si>
  <si>
    <t>Weapon</t>
  </si>
  <si>
    <r>
      <t xml:space="preserve">For each shot in base game with a regular weapon draw if player gets a special weapon or not. </t>
    </r>
    <r>
      <rPr>
        <b/>
        <sz val="11"/>
        <color rgb="FFFF0000"/>
        <rFont val="Calibri"/>
        <family val="2"/>
        <scheme val="minor"/>
      </rPr>
      <t>Except shots at High Volatility Enemy and High Volatility Scarab.</t>
    </r>
  </si>
  <si>
    <t>If player gets a special weapon then draw which one he gets using the weights in the table below.</t>
  </si>
  <si>
    <t>Special weapons:</t>
  </si>
  <si>
    <t>Avg pay by shot</t>
  </si>
  <si>
    <t>Total avg pay</t>
  </si>
  <si>
    <t>Weights</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</si>
  <si>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</si>
  <si>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</si>
  <si>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</si>
  <si>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</si>
  <si>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</si>
  <si>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</si>
  <si>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</si>
  <si>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</si>
  <si>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</si>
  <si>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</si>
  <si>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</si>
  <si>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</si>
  <si>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</si>
  <si>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</si>
  <si>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</si>
  <si>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</si>
  <si>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</si>
  <si>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</si>
  <si>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Special weapons can be use anytime.</t>
  </si>
  <si>
    <t>RTP base:</t>
  </si>
  <si>
    <t>RTP special weapon:</t>
  </si>
  <si>
    <t>Scarab Gold summary</t>
  </si>
  <si>
    <t>Scarab Gem Covered summary</t>
  </si>
  <si>
    <t>Standard Mummy summary</t>
  </si>
  <si>
    <t>Mummy A</t>
  </si>
  <si>
    <t>Mummy A Summary</t>
  </si>
  <si>
    <t>Mummy B Summary</t>
  </si>
  <si>
    <t>Mummy C Summary</t>
  </si>
  <si>
    <t>Pharaoh A Summary</t>
  </si>
  <si>
    <t>Pharaoh B Summary</t>
  </si>
  <si>
    <t>HV enemy Summary</t>
  </si>
  <si>
    <t>HV scarab Summary</t>
  </si>
  <si>
    <t>(*) Shots using special weapons are not paid. Each special weapon has a limited number of shots and could be used anytime.</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</si>
  <si>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</si>
  <si>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</si>
  <si>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</si>
  <si>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</si>
  <si>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</si>
  <si>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</si>
  <si>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</si>
  <si>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</si>
  <si>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</si>
  <si>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</si>
  <si>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</si>
  <si>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Table 1</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</si>
  <si>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</si>
  <si>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</si>
  <si>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</si>
  <si>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</si>
  <si>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</si>
  <si>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</si>
  <si>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</si>
  <si>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</si>
  <si>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Table 2</t>
  </si>
  <si>
    <t>Damage</t>
  </si>
  <si>
    <t>Probability Base line</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</si>
  <si>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</si>
  <si>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</si>
  <si>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</si>
  <si>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</si>
  <si>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</si>
  <si>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</si>
  <si>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</si>
  <si>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</si>
  <si>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</si>
  <si>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</si>
  <si>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</si>
  <si>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</si>
  <si>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</si>
  <si>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</si>
  <si>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</si>
  <si>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</si>
  <si>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</si>
  <si>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t>
  </si>
  <si>
    <t>Scarab Gold</t>
  </si>
  <si>
    <t>Scarab Gem Covered</t>
  </si>
  <si>
    <t>Mummy B</t>
  </si>
  <si>
    <t>Mummy C</t>
  </si>
  <si>
    <t>Pharaoh A</t>
  </si>
  <si>
    <t>Pharaoh B</t>
  </si>
  <si>
    <t>HV Enemy</t>
  </si>
  <si>
    <t>HV Scarab</t>
  </si>
  <si>
    <t>Killing the enemy (special weapon1)</t>
  </si>
  <si>
    <t xml:space="preserve">Regular </t>
  </si>
  <si>
    <t>Special 1</t>
  </si>
  <si>
    <t>Special 2</t>
  </si>
  <si>
    <t>Special 3</t>
  </si>
  <si>
    <t>Plasma</t>
  </si>
  <si>
    <t>Avg prize</t>
  </si>
  <si>
    <t>Damage probabilities do not depend on the weapon used.</t>
  </si>
  <si>
    <t>Weapons power</t>
  </si>
  <si>
    <t>Average shots to kill</t>
  </si>
  <si>
    <t>Special weapons strength</t>
  </si>
  <si>
    <t>Avg damage:</t>
  </si>
  <si>
    <t>Avg shots to kill boss</t>
  </si>
  <si>
    <t>Boss (1-3 players)</t>
  </si>
  <si>
    <t>Boss (+4 players)</t>
  </si>
  <si>
    <t>Boss Probability (*)</t>
  </si>
  <si>
    <t>Player can buy special weapons, the price for each weapon is the table below.</t>
  </si>
  <si>
    <t>Regular enemies in Boss Round</t>
  </si>
</sst>
</file>

<file path=xl/styles.xml><?xml version="1.0" encoding="utf-8"?>
<styleSheet xmlns="http://schemas.openxmlformats.org/spreadsheetml/2006/main">
  <numFmts count="7">
    <numFmt numFmtId="164" formatCode="0.0000000"/>
    <numFmt numFmtId="165" formatCode="0.0000"/>
    <numFmt numFmtId="166" formatCode="0.000"/>
    <numFmt numFmtId="167" formatCode="0.0%"/>
    <numFmt numFmtId="168" formatCode="\x0.00"/>
    <numFmt numFmtId="169" formatCode="0.0"/>
    <numFmt numFmtId="170" formatCode="\x0"/>
  </numFmts>
  <fonts count="15">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C00000"/>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130">
    <xf numFmtId="0" fontId="0" fillId="0" borderId="0" xfId="0"/>
    <xf numFmtId="0" fontId="2" fillId="2" borderId="1" xfId="0" applyFont="1" applyFill="1" applyBorder="1"/>
    <xf numFmtId="0" fontId="0" fillId="0" borderId="1" xfId="0" applyFill="1" applyBorder="1" applyAlignment="1">
      <alignment horizontal="right"/>
    </xf>
    <xf numFmtId="0" fontId="0" fillId="0" borderId="1" xfId="0" applyFill="1" applyBorder="1"/>
    <xf numFmtId="0" fontId="3" fillId="0" borderId="1" xfId="0" applyFont="1" applyBorder="1"/>
    <xf numFmtId="164" fontId="3" fillId="0" borderId="1" xfId="0" applyNumberFormat="1" applyFont="1" applyBorder="1"/>
    <xf numFmtId="164" fontId="0" fillId="0" borderId="1" xfId="0" applyNumberFormat="1" applyFill="1" applyBorder="1"/>
    <xf numFmtId="0" fontId="0" fillId="0" borderId="1" xfId="0" applyBorder="1"/>
    <xf numFmtId="164" fontId="4" fillId="0" borderId="1" xfId="1" applyNumberFormat="1" applyFont="1" applyFill="1" applyBorder="1" applyProtection="1"/>
    <xf numFmtId="164" fontId="4" fillId="0" borderId="1" xfId="1" applyNumberFormat="1" applyFont="1" applyFill="1" applyBorder="1" applyProtection="1">
      <protection locked="0"/>
    </xf>
    <xf numFmtId="0" fontId="0" fillId="0" borderId="1" xfId="0" applyBorder="1" applyAlignment="1">
      <alignment horizontal="center"/>
    </xf>
    <xf numFmtId="0" fontId="5" fillId="0" borderId="1" xfId="0" applyFont="1" applyFill="1" applyBorder="1" applyProtection="1">
      <protection locked="0"/>
    </xf>
    <xf numFmtId="0" fontId="5" fillId="0" borderId="1" xfId="0" applyFont="1" applyBorder="1" applyProtection="1">
      <protection locked="0"/>
    </xf>
    <xf numFmtId="0" fontId="5" fillId="0" borderId="1" xfId="0" applyFont="1" applyBorder="1"/>
    <xf numFmtId="0" fontId="3" fillId="0" borderId="0" xfId="0" applyFont="1" applyProtection="1">
      <protection locked="0"/>
    </xf>
    <xf numFmtId="0" fontId="3" fillId="0" borderId="1" xfId="0" applyFont="1" applyFill="1" applyBorder="1"/>
    <xf numFmtId="166" fontId="0" fillId="0" borderId="1" xfId="0" applyNumberFormat="1" applyBorder="1"/>
    <xf numFmtId="167" fontId="0" fillId="0" borderId="1" xfId="1" applyNumberFormat="1" applyFont="1" applyBorder="1"/>
    <xf numFmtId="167" fontId="4" fillId="0" borderId="1" xfId="1" applyNumberFormat="1" applyFont="1" applyBorder="1"/>
    <xf numFmtId="0" fontId="9" fillId="0" borderId="0" xfId="0" applyFont="1"/>
    <xf numFmtId="2" fontId="0" fillId="0" borderId="1" xfId="0" applyNumberFormat="1" applyBorder="1"/>
    <xf numFmtId="10" fontId="2" fillId="2" borderId="1" xfId="1" applyNumberFormat="1" applyFont="1" applyFill="1" applyBorder="1"/>
    <xf numFmtId="10" fontId="2" fillId="2" borderId="1" xfId="0" applyNumberFormat="1" applyFont="1" applyFill="1" applyBorder="1"/>
    <xf numFmtId="0" fontId="0" fillId="0" borderId="6" xfId="0" applyFill="1" applyBorder="1"/>
    <xf numFmtId="0" fontId="0" fillId="0" borderId="0" xfId="0" applyFill="1" applyBorder="1"/>
    <xf numFmtId="0" fontId="3" fillId="0" borderId="0" xfId="0" applyFont="1"/>
    <xf numFmtId="168" fontId="3" fillId="0" borderId="1" xfId="0" applyNumberFormat="1" applyFont="1" applyBorder="1"/>
    <xf numFmtId="3" fontId="0" fillId="0" borderId="0" xfId="0" applyNumberFormat="1"/>
    <xf numFmtId="0" fontId="3" fillId="3" borderId="8" xfId="0" applyFont="1" applyFill="1" applyBorder="1"/>
    <xf numFmtId="0" fontId="3" fillId="3" borderId="9" xfId="0" applyFont="1" applyFill="1" applyBorder="1"/>
    <xf numFmtId="0" fontId="3" fillId="0" borderId="4" xfId="0" applyFont="1" applyBorder="1"/>
    <xf numFmtId="0" fontId="3" fillId="0" borderId="10" xfId="0" applyFont="1" applyBorder="1"/>
    <xf numFmtId="0" fontId="3" fillId="0" borderId="5" xfId="0" applyFont="1" applyBorder="1"/>
    <xf numFmtId="0" fontId="0" fillId="0" borderId="11" xfId="0" applyBorder="1"/>
    <xf numFmtId="0" fontId="4" fillId="0" borderId="0" xfId="0" applyFont="1" applyBorder="1"/>
    <xf numFmtId="0" fontId="0" fillId="0" borderId="0" xfId="0" applyBorder="1"/>
    <xf numFmtId="0" fontId="4" fillId="0" borderId="12" xfId="0" applyFont="1" applyBorder="1"/>
    <xf numFmtId="0" fontId="0" fillId="0" borderId="13" xfId="0" applyBorder="1"/>
    <xf numFmtId="0" fontId="0" fillId="0" borderId="14" xfId="0" applyBorder="1"/>
    <xf numFmtId="0" fontId="4" fillId="0" borderId="15" xfId="0" applyFont="1" applyBorder="1"/>
    <xf numFmtId="0" fontId="0" fillId="0" borderId="4" xfId="0" applyBorder="1"/>
    <xf numFmtId="2" fontId="0" fillId="0" borderId="5" xfId="0" applyNumberFormat="1" applyBorder="1"/>
    <xf numFmtId="0" fontId="10" fillId="0" borderId="0" xfId="0" applyFont="1"/>
    <xf numFmtId="0" fontId="4" fillId="0" borderId="0" xfId="0" applyFont="1"/>
    <xf numFmtId="0" fontId="0" fillId="0" borderId="0" xfId="0" applyNumberFormat="1"/>
    <xf numFmtId="0" fontId="3" fillId="0" borderId="16" xfId="0" applyFont="1" applyBorder="1"/>
    <xf numFmtId="0" fontId="3" fillId="0" borderId="17" xfId="0" applyFont="1" applyBorder="1"/>
    <xf numFmtId="0" fontId="3" fillId="0" borderId="18" xfId="0" applyFont="1" applyBorder="1"/>
    <xf numFmtId="0" fontId="0" fillId="0" borderId="0" xfId="0" applyFont="1" applyBorder="1"/>
    <xf numFmtId="0" fontId="3" fillId="0" borderId="0" xfId="0" applyFont="1" applyBorder="1"/>
    <xf numFmtId="0" fontId="6" fillId="0" borderId="0" xfId="0" applyFont="1"/>
    <xf numFmtId="0" fontId="3" fillId="0" borderId="0" xfId="0" applyFont="1" applyFill="1" applyBorder="1"/>
    <xf numFmtId="0" fontId="0" fillId="0" borderId="14" xfId="0" applyFont="1" applyBorder="1"/>
    <xf numFmtId="0" fontId="4" fillId="0" borderId="14" xfId="0" applyFont="1" applyBorder="1"/>
    <xf numFmtId="0" fontId="0" fillId="0" borderId="7" xfId="0" applyBorder="1"/>
    <xf numFmtId="0" fontId="4" fillId="0" borderId="8" xfId="0" applyFont="1" applyBorder="1"/>
    <xf numFmtId="0" fontId="4" fillId="0" borderId="19" xfId="0" applyFont="1" applyBorder="1"/>
    <xf numFmtId="0" fontId="4" fillId="0" borderId="9" xfId="0" applyFont="1" applyBorder="1"/>
    <xf numFmtId="0" fontId="3" fillId="0" borderId="8" xfId="0" applyFont="1" applyFill="1" applyBorder="1" applyAlignment="1">
      <alignment horizontal="center"/>
    </xf>
    <xf numFmtId="0" fontId="0" fillId="0" borderId="16" xfId="0" applyBorder="1"/>
    <xf numFmtId="0" fontId="0" fillId="0" borderId="17" xfId="0" applyBorder="1"/>
    <xf numFmtId="0" fontId="0" fillId="0" borderId="18" xfId="0" applyBorder="1"/>
    <xf numFmtId="0" fontId="0" fillId="0" borderId="8" xfId="0" applyBorder="1"/>
    <xf numFmtId="169" fontId="0" fillId="0" borderId="8" xfId="1" applyNumberFormat="1" applyFont="1" applyBorder="1"/>
    <xf numFmtId="0" fontId="0" fillId="0" borderId="12" xfId="0" applyBorder="1"/>
    <xf numFmtId="0" fontId="0" fillId="0" borderId="19" xfId="0" applyBorder="1"/>
    <xf numFmtId="169" fontId="0" fillId="0" borderId="19" xfId="1" applyNumberFormat="1" applyFont="1" applyBorder="1"/>
    <xf numFmtId="0" fontId="0" fillId="0" borderId="15" xfId="0" applyBorder="1"/>
    <xf numFmtId="0" fontId="0" fillId="0" borderId="9" xfId="0" applyBorder="1"/>
    <xf numFmtId="169" fontId="0" fillId="0" borderId="9" xfId="1" applyNumberFormat="1" applyFont="1" applyBorder="1"/>
    <xf numFmtId="0" fontId="0" fillId="0" borderId="17" xfId="0" applyFill="1" applyBorder="1"/>
    <xf numFmtId="0" fontId="0" fillId="0" borderId="14" xfId="0" applyFill="1" applyBorder="1"/>
    <xf numFmtId="0" fontId="3" fillId="0" borderId="4" xfId="0" applyFont="1" applyFill="1" applyBorder="1"/>
    <xf numFmtId="165" fontId="3" fillId="0" borderId="10" xfId="1" applyNumberFormat="1" applyFont="1" applyBorder="1"/>
    <xf numFmtId="0" fontId="3" fillId="0" borderId="7" xfId="0" applyFont="1" applyBorder="1"/>
    <xf numFmtId="10" fontId="3" fillId="0" borderId="0" xfId="1" applyNumberFormat="1" applyFont="1"/>
    <xf numFmtId="0" fontId="3" fillId="0" borderId="5" xfId="0" applyFont="1" applyBorder="1" applyAlignment="1">
      <alignment horizontal="center"/>
    </xf>
    <xf numFmtId="0" fontId="3" fillId="0" borderId="0" xfId="0" applyFont="1" applyBorder="1" applyAlignment="1">
      <alignment horizontal="center"/>
    </xf>
    <xf numFmtId="0" fontId="8" fillId="0" borderId="0" xfId="0" applyFont="1"/>
    <xf numFmtId="0" fontId="2" fillId="2" borderId="1" xfId="0" applyFont="1" applyFill="1" applyBorder="1" applyAlignment="1">
      <alignment horizontal="center"/>
    </xf>
    <xf numFmtId="168" fontId="3" fillId="0" borderId="0" xfId="0" applyNumberFormat="1" applyFont="1" applyBorder="1" applyAlignment="1">
      <alignment horizontal="right"/>
    </xf>
    <xf numFmtId="0" fontId="0" fillId="0" borderId="0" xfId="0" applyFill="1"/>
    <xf numFmtId="10" fontId="0" fillId="0" borderId="11" xfId="1" applyNumberFormat="1" applyFont="1" applyBorder="1"/>
    <xf numFmtId="10" fontId="0" fillId="0" borderId="0" xfId="1" applyNumberFormat="1" applyFont="1" applyBorder="1"/>
    <xf numFmtId="10" fontId="0" fillId="0" borderId="12" xfId="1" applyNumberFormat="1" applyFont="1" applyBorder="1"/>
    <xf numFmtId="166" fontId="0" fillId="0" borderId="1" xfId="0" applyNumberFormat="1" applyFont="1" applyBorder="1"/>
    <xf numFmtId="0" fontId="2" fillId="2" borderId="20" xfId="0" applyFont="1" applyFill="1" applyBorder="1"/>
    <xf numFmtId="170" fontId="3" fillId="0" borderId="1" xfId="0" applyNumberFormat="1" applyFont="1" applyBorder="1"/>
    <xf numFmtId="2" fontId="0" fillId="0" borderId="11" xfId="1" applyNumberFormat="1" applyFont="1" applyBorder="1"/>
    <xf numFmtId="2" fontId="0" fillId="0" borderId="0" xfId="1" applyNumberFormat="1" applyFont="1" applyBorder="1"/>
    <xf numFmtId="2" fontId="0" fillId="0" borderId="12" xfId="1" applyNumberFormat="1" applyFont="1" applyBorder="1"/>
    <xf numFmtId="0" fontId="3" fillId="0" borderId="19" xfId="0" applyFont="1" applyBorder="1"/>
    <xf numFmtId="10" fontId="3" fillId="0" borderId="11" xfId="1" applyNumberFormat="1" applyFont="1" applyBorder="1"/>
    <xf numFmtId="10" fontId="3" fillId="0" borderId="0" xfId="1" applyNumberFormat="1" applyFont="1" applyBorder="1"/>
    <xf numFmtId="10" fontId="3" fillId="0" borderId="12" xfId="1" applyNumberFormat="1" applyFont="1" applyBorder="1"/>
    <xf numFmtId="2" fontId="3" fillId="0" borderId="11" xfId="1" applyNumberFormat="1" applyFont="1" applyBorder="1"/>
    <xf numFmtId="2" fontId="3" fillId="0" borderId="0" xfId="1" applyNumberFormat="1" applyFont="1" applyBorder="1"/>
    <xf numFmtId="2" fontId="3" fillId="0" borderId="12" xfId="1" applyNumberFormat="1" applyFont="1" applyBorder="1"/>
    <xf numFmtId="0" fontId="3" fillId="0" borderId="9" xfId="0" applyFont="1" applyBorder="1"/>
    <xf numFmtId="10" fontId="3" fillId="0" borderId="13" xfId="1" applyNumberFormat="1" applyFont="1" applyBorder="1"/>
    <xf numFmtId="10" fontId="3" fillId="0" borderId="14" xfId="1" applyNumberFormat="1" applyFont="1" applyBorder="1"/>
    <xf numFmtId="10" fontId="3" fillId="0" borderId="15" xfId="1" applyNumberFormat="1" applyFont="1" applyBorder="1"/>
    <xf numFmtId="2" fontId="3" fillId="0" borderId="13" xfId="1" applyNumberFormat="1" applyFont="1" applyBorder="1"/>
    <xf numFmtId="2" fontId="3" fillId="0" borderId="14" xfId="1" applyNumberFormat="1" applyFont="1" applyBorder="1"/>
    <xf numFmtId="2" fontId="3" fillId="0" borderId="15" xfId="1" applyNumberFormat="1" applyFont="1" applyBorder="1"/>
    <xf numFmtId="0" fontId="0" fillId="0" borderId="19" xfId="0" applyBorder="1" applyAlignment="1">
      <alignment horizontal="right"/>
    </xf>
    <xf numFmtId="0" fontId="3" fillId="0" borderId="19" xfId="0" applyFont="1" applyBorder="1" applyAlignment="1">
      <alignment horizontal="right"/>
    </xf>
    <xf numFmtId="2" fontId="0" fillId="0" borderId="13" xfId="1" applyNumberFormat="1" applyFont="1" applyBorder="1"/>
    <xf numFmtId="2" fontId="0" fillId="0" borderId="14" xfId="1" applyNumberFormat="1" applyFont="1" applyBorder="1"/>
    <xf numFmtId="2" fontId="0" fillId="0" borderId="15" xfId="1" applyNumberFormat="1" applyFont="1" applyBorder="1"/>
    <xf numFmtId="0" fontId="9" fillId="0" borderId="0" xfId="0" applyFont="1" applyBorder="1"/>
    <xf numFmtId="0" fontId="8" fillId="0" borderId="19" xfId="0" applyFont="1" applyBorder="1"/>
    <xf numFmtId="0" fontId="8" fillId="0" borderId="9" xfId="0" applyFont="1" applyBorder="1"/>
    <xf numFmtId="0" fontId="9" fillId="0" borderId="17" xfId="0" applyFont="1" applyBorder="1"/>
    <xf numFmtId="0" fontId="9" fillId="0" borderId="14" xfId="0" applyFont="1" applyBorder="1"/>
    <xf numFmtId="0" fontId="9" fillId="0" borderId="0" xfId="0" applyFont="1" applyFill="1" applyBorder="1"/>
    <xf numFmtId="0" fontId="9" fillId="0" borderId="14" xfId="0" applyFont="1" applyFill="1" applyBorder="1"/>
    <xf numFmtId="0" fontId="8" fillId="0" borderId="8" xfId="0" applyFont="1" applyBorder="1"/>
    <xf numFmtId="0" fontId="2" fillId="2" borderId="4" xfId="0" applyFont="1" applyFill="1" applyBorder="1" applyAlignment="1">
      <alignment horizontal="center"/>
    </xf>
    <xf numFmtId="0" fontId="2" fillId="2" borderId="10" xfId="0" applyFont="1" applyFill="1" applyBorder="1" applyAlignment="1">
      <alignment horizontal="center"/>
    </xf>
    <xf numFmtId="0" fontId="2" fillId="2" borderId="5" xfId="0" applyFont="1" applyFill="1" applyBorder="1" applyAlignment="1">
      <alignment horizontal="center"/>
    </xf>
    <xf numFmtId="0" fontId="11" fillId="4" borderId="0" xfId="0" applyFont="1" applyFill="1" applyAlignment="1">
      <alignment horizontal="center"/>
    </xf>
    <xf numFmtId="0" fontId="12" fillId="3" borderId="0" xfId="0" applyFont="1" applyFill="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4" xfId="0" applyFont="1" applyBorder="1" applyAlignment="1">
      <alignment horizontal="center"/>
    </xf>
    <xf numFmtId="0" fontId="3" fillId="0" borderId="10" xfId="0" applyFont="1" applyBorder="1" applyAlignment="1">
      <alignment horizontal="center"/>
    </xf>
    <xf numFmtId="0" fontId="3" fillId="0" borderId="5" xfId="0" applyFont="1" applyBorder="1" applyAlignment="1">
      <alignment horizontal="center"/>
    </xf>
    <xf numFmtId="0" fontId="8" fillId="0" borderId="0" xfId="0" applyFont="1" applyBorder="1"/>
    <xf numFmtId="0" fontId="8" fillId="0" borderId="0" xfId="0" applyFont="1" applyFill="1" applyBorder="1"/>
  </cellXfs>
  <cellStyles count="2">
    <cellStyle name="Normal" xfId="0" builtinId="0"/>
    <cellStyle name="Porcentual" xfId="1" builtinId="5"/>
  </cellStyles>
  <dxfs count="8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Hoja3"/>
  <dimension ref="A1:O51"/>
  <sheetViews>
    <sheetView workbookViewId="0">
      <selection activeCell="G9" sqref="G9"/>
    </sheetView>
  </sheetViews>
  <sheetFormatPr baseColWidth="10" defaultRowHeight="14.4"/>
  <cols>
    <col min="1" max="1" width="18" customWidth="1"/>
    <col min="4" max="4" width="15.88671875" customWidth="1"/>
    <col min="5" max="5" width="14.88671875" customWidth="1"/>
    <col min="7" max="7" width="13.5546875" customWidth="1"/>
    <col min="8" max="8" width="15" customWidth="1"/>
    <col min="9" max="9" width="16.33203125" bestFit="1" customWidth="1"/>
    <col min="10" max="10" width="14.109375" customWidth="1"/>
    <col min="11" max="11" width="10.77734375" customWidth="1"/>
    <col min="12" max="12" width="12" customWidth="1"/>
    <col min="13" max="13" width="12" bestFit="1" customWidth="1"/>
  </cols>
  <sheetData>
    <row r="1" spans="1:15">
      <c r="A1" t="s">
        <v>23</v>
      </c>
    </row>
    <row r="2" spans="1:15">
      <c r="A2" t="s">
        <v>24</v>
      </c>
    </row>
    <row r="4" spans="1:15">
      <c r="I4" s="25" t="s">
        <v>165</v>
      </c>
    </row>
    <row r="5" spans="1:15">
      <c r="A5" s="1" t="s">
        <v>25</v>
      </c>
      <c r="B5" s="1" t="s">
        <v>7</v>
      </c>
      <c r="C5" s="1" t="s">
        <v>8</v>
      </c>
      <c r="D5" s="1" t="s">
        <v>2</v>
      </c>
      <c r="E5" s="1" t="s">
        <v>26</v>
      </c>
      <c r="F5" s="1" t="s">
        <v>27</v>
      </c>
      <c r="G5" s="1" t="s">
        <v>28</v>
      </c>
      <c r="I5" s="1" t="s">
        <v>25</v>
      </c>
      <c r="J5" s="1" t="s">
        <v>7</v>
      </c>
      <c r="K5" s="1" t="s">
        <v>8</v>
      </c>
      <c r="L5" s="1" t="s">
        <v>2</v>
      </c>
      <c r="M5" s="1" t="s">
        <v>26</v>
      </c>
      <c r="N5" s="1" t="s">
        <v>27</v>
      </c>
      <c r="O5" s="1" t="s">
        <v>28</v>
      </c>
    </row>
    <row r="6" spans="1:15">
      <c r="A6" s="7" t="s">
        <v>29</v>
      </c>
      <c r="B6" s="17">
        <v>0.65500000000000003</v>
      </c>
      <c r="C6" s="7"/>
      <c r="D6" s="7"/>
      <c r="E6" s="7"/>
      <c r="F6" s="7"/>
      <c r="G6" s="17">
        <f>+B6</f>
        <v>0.65500000000000003</v>
      </c>
      <c r="I6" s="7" t="s">
        <v>29</v>
      </c>
      <c r="J6" s="17">
        <v>0.65500000000000003</v>
      </c>
      <c r="K6" s="7"/>
      <c r="L6" s="7"/>
      <c r="M6" s="7"/>
      <c r="N6" s="7"/>
      <c r="O6" s="17">
        <f>+J6</f>
        <v>0.65500000000000003</v>
      </c>
    </row>
    <row r="7" spans="1:15">
      <c r="A7" s="7" t="s">
        <v>30</v>
      </c>
      <c r="B7" s="18">
        <f>1/C7*E7</f>
        <v>0.1</v>
      </c>
      <c r="C7" s="7">
        <v>1000</v>
      </c>
      <c r="D7" s="7">
        <f>1/C7</f>
        <v>1E-3</v>
      </c>
      <c r="E7" s="7">
        <v>100</v>
      </c>
      <c r="F7" s="7">
        <v>100</v>
      </c>
      <c r="G7" s="18">
        <f>+B7</f>
        <v>0.1</v>
      </c>
      <c r="I7" s="7" t="s">
        <v>30</v>
      </c>
      <c r="J7" s="18">
        <v>0</v>
      </c>
      <c r="K7" s="7">
        <v>0</v>
      </c>
      <c r="L7" s="7">
        <v>0</v>
      </c>
      <c r="M7" s="7">
        <v>0</v>
      </c>
      <c r="N7" s="7">
        <v>0</v>
      </c>
      <c r="O7" s="18">
        <f>+J7</f>
        <v>0</v>
      </c>
    </row>
    <row r="8" spans="1:15">
      <c r="A8" s="7" t="s">
        <v>31</v>
      </c>
      <c r="B8" s="18">
        <f>1/C8*E8</f>
        <v>0.2</v>
      </c>
      <c r="C8" s="7">
        <v>700</v>
      </c>
      <c r="D8" s="7">
        <f t="shared" ref="D8" si="0">1/C8</f>
        <v>1.4285714285714286E-3</v>
      </c>
      <c r="E8" s="20">
        <v>140</v>
      </c>
      <c r="F8" s="20">
        <f>+'Special weapon'!D60</f>
        <v>96.76</v>
      </c>
      <c r="G8" s="18">
        <f>1/C8*F8</f>
        <v>0.13822857142857142</v>
      </c>
      <c r="I8" s="7" t="s">
        <v>31</v>
      </c>
      <c r="J8" s="18">
        <f>1/K8*M8</f>
        <v>0.30000000000000043</v>
      </c>
      <c r="K8" s="7">
        <v>466.666666666666</v>
      </c>
      <c r="L8" s="7">
        <f t="shared" ref="L8" si="1">1/K8</f>
        <v>2.142857142857146E-3</v>
      </c>
      <c r="M8" s="20">
        <v>140</v>
      </c>
      <c r="N8" s="20">
        <f>+'Special weapon'!D60</f>
        <v>96.76</v>
      </c>
      <c r="O8" s="18">
        <f>1/K8*N8</f>
        <v>0.20734285714285747</v>
      </c>
    </row>
    <row r="9" spans="1:15">
      <c r="A9" s="7" t="s">
        <v>32</v>
      </c>
      <c r="B9" s="18">
        <v>0.02</v>
      </c>
      <c r="C9" s="7"/>
      <c r="D9" s="7"/>
      <c r="E9" s="7"/>
      <c r="F9" s="7"/>
      <c r="G9" s="18">
        <v>0.02</v>
      </c>
      <c r="I9" s="7" t="s">
        <v>32</v>
      </c>
      <c r="J9" s="18">
        <v>0.02</v>
      </c>
      <c r="K9" s="7"/>
      <c r="L9" s="7"/>
      <c r="M9" s="7"/>
      <c r="N9" s="7"/>
      <c r="O9" s="18">
        <v>0.02</v>
      </c>
    </row>
    <row r="10" spans="1:15">
      <c r="A10" s="7" t="s">
        <v>33</v>
      </c>
      <c r="B10" s="18">
        <v>0</v>
      </c>
      <c r="C10" s="7"/>
      <c r="D10" s="7"/>
      <c r="E10" s="7"/>
      <c r="F10" s="7"/>
      <c r="G10" s="18">
        <v>0</v>
      </c>
      <c r="I10" s="7" t="s">
        <v>33</v>
      </c>
      <c r="J10" s="18">
        <v>0</v>
      </c>
      <c r="K10" s="7"/>
      <c r="L10" s="7"/>
      <c r="M10" s="7"/>
      <c r="N10" s="7"/>
      <c r="O10" s="18">
        <v>0</v>
      </c>
    </row>
    <row r="11" spans="1:15">
      <c r="A11" s="1" t="s">
        <v>34</v>
      </c>
      <c r="B11" s="21">
        <f>+SUM(B6:B10)</f>
        <v>0.97500000000000009</v>
      </c>
      <c r="C11" s="1"/>
      <c r="D11" s="1"/>
      <c r="E11" s="1"/>
      <c r="F11" s="1"/>
      <c r="G11" s="22">
        <f>+SUM(G6:G10)</f>
        <v>0.9132285714285715</v>
      </c>
      <c r="I11" s="1" t="s">
        <v>34</v>
      </c>
      <c r="J11" s="21">
        <f>+SUM(J6:J10)</f>
        <v>0.97500000000000053</v>
      </c>
      <c r="K11" s="1"/>
      <c r="L11" s="1"/>
      <c r="M11" s="1"/>
      <c r="N11" s="1"/>
      <c r="O11" s="22">
        <f>+SUM(O6:O10)</f>
        <v>0.88234285714285754</v>
      </c>
    </row>
    <row r="12" spans="1:15">
      <c r="A12" s="23" t="s">
        <v>98</v>
      </c>
    </row>
    <row r="13" spans="1:15">
      <c r="A13" s="19" t="str">
        <f>+CONCATENATE("Boss Prize: ", E7, "x to be distributed between players according to total bet during triggering round")</f>
        <v>Boss Prize: 100x to be distributed between players according to total bet during triggering round</v>
      </c>
    </row>
    <row r="14" spans="1:15">
      <c r="A14" s="19"/>
    </row>
    <row r="15" spans="1:15">
      <c r="A15" s="19"/>
    </row>
    <row r="16" spans="1:15">
      <c r="A16" s="24" t="s">
        <v>35</v>
      </c>
    </row>
    <row r="17" spans="1:11">
      <c r="A17" s="24"/>
    </row>
    <row r="18" spans="1:11" s="81" customFormat="1">
      <c r="A18" s="24"/>
    </row>
    <row r="19" spans="1:11">
      <c r="A19" s="25" t="s">
        <v>36</v>
      </c>
      <c r="D19" s="25" t="s">
        <v>37</v>
      </c>
      <c r="G19" s="25" t="s">
        <v>38</v>
      </c>
    </row>
    <row r="20" spans="1:11">
      <c r="A20" s="1" t="s">
        <v>1</v>
      </c>
      <c r="B20" s="1" t="s">
        <v>39</v>
      </c>
      <c r="D20" s="1" t="s">
        <v>1</v>
      </c>
      <c r="E20" s="1" t="s">
        <v>39</v>
      </c>
      <c r="G20" s="1" t="s">
        <v>1</v>
      </c>
      <c r="H20" s="1" t="s">
        <v>39</v>
      </c>
    </row>
    <row r="21" spans="1:11">
      <c r="A21" s="7">
        <v>1</v>
      </c>
      <c r="B21" s="26">
        <f>+'Scarab Black'!$J3</f>
        <v>2</v>
      </c>
      <c r="D21" s="7">
        <v>1</v>
      </c>
      <c r="E21" s="26">
        <f>+'Scarab Gold'!$J3</f>
        <v>2</v>
      </c>
      <c r="G21" s="7">
        <v>1</v>
      </c>
      <c r="H21" s="26">
        <f>+'Scarab Gem Covered'!$J3</f>
        <v>3</v>
      </c>
    </row>
    <row r="22" spans="1:11">
      <c r="A22" s="7">
        <v>2</v>
      </c>
      <c r="B22" s="26">
        <f>+'Scarab Black'!$J4</f>
        <v>3</v>
      </c>
      <c r="D22" s="7">
        <v>2</v>
      </c>
      <c r="E22" s="26">
        <f>+'Scarab Gold'!$J4</f>
        <v>3</v>
      </c>
      <c r="G22" s="7">
        <v>2</v>
      </c>
      <c r="H22" s="26">
        <f>+'Scarab Gem Covered'!$J4</f>
        <v>4</v>
      </c>
    </row>
    <row r="23" spans="1:11">
      <c r="A23" s="7">
        <v>3</v>
      </c>
      <c r="B23" s="26">
        <f>+'Scarab Black'!$J5</f>
        <v>5</v>
      </c>
      <c r="D23" s="7">
        <v>3</v>
      </c>
      <c r="E23" s="26">
        <f>+'Scarab Gold'!$J5</f>
        <v>5</v>
      </c>
      <c r="G23" s="7">
        <v>3</v>
      </c>
      <c r="H23" s="26">
        <f>+'Scarab Gem Covered'!$J5</f>
        <v>6</v>
      </c>
    </row>
    <row r="24" spans="1:11">
      <c r="A24" s="7">
        <v>4</v>
      </c>
      <c r="B24" s="26">
        <f>+'Scarab Black'!$J6</f>
        <v>7</v>
      </c>
      <c r="D24" s="7">
        <v>4</v>
      </c>
      <c r="E24" s="26">
        <f>+'Scarab Gold'!$J6</f>
        <v>7</v>
      </c>
      <c r="G24" s="7">
        <v>4</v>
      </c>
      <c r="H24" s="26">
        <f>+'Scarab Gem Covered'!$J6</f>
        <v>8</v>
      </c>
    </row>
    <row r="25" spans="1:11">
      <c r="A25" s="7">
        <v>5</v>
      </c>
      <c r="B25" s="26">
        <f>+'Scarab Black'!$J7</f>
        <v>10</v>
      </c>
      <c r="D25" s="7">
        <v>5</v>
      </c>
      <c r="E25" s="26">
        <f>+'Scarab Gold'!$J7</f>
        <v>10</v>
      </c>
      <c r="G25" s="7">
        <v>5</v>
      </c>
      <c r="H25" s="26">
        <f>+'Scarab Gem Covered'!$J7</f>
        <v>12</v>
      </c>
    </row>
    <row r="26" spans="1:11">
      <c r="A26" s="7">
        <v>6</v>
      </c>
      <c r="B26" s="26">
        <f>+'Scarab Black'!$J8</f>
        <v>20</v>
      </c>
      <c r="D26" s="7">
        <v>6</v>
      </c>
      <c r="E26" s="26">
        <f>+'Scarab Gold'!$J8</f>
        <v>20</v>
      </c>
      <c r="G26" s="7">
        <v>6</v>
      </c>
      <c r="H26" s="26">
        <f>+'Scarab Gem Covered'!$J8</f>
        <v>25</v>
      </c>
    </row>
    <row r="27" spans="1:11">
      <c r="A27" s="7">
        <v>7</v>
      </c>
      <c r="B27" s="26">
        <f>+'Scarab Black'!$J9</f>
        <v>50</v>
      </c>
      <c r="D27" s="7">
        <v>7</v>
      </c>
      <c r="E27" s="26">
        <f>+'Scarab Gold'!$J9</f>
        <v>50</v>
      </c>
      <c r="G27" s="7">
        <v>7</v>
      </c>
      <c r="H27" s="26">
        <f>+'Scarab Gem Covered'!$J9</f>
        <v>60</v>
      </c>
    </row>
    <row r="28" spans="1:11">
      <c r="A28" s="51"/>
      <c r="B28" s="80"/>
      <c r="D28" s="51"/>
      <c r="E28" s="80"/>
      <c r="G28" s="51"/>
      <c r="H28" s="80"/>
    </row>
    <row r="29" spans="1:11">
      <c r="A29" s="51"/>
      <c r="B29" s="80"/>
      <c r="D29" s="51"/>
      <c r="E29" s="80"/>
      <c r="G29" s="51"/>
      <c r="H29" s="80"/>
    </row>
    <row r="30" spans="1:11">
      <c r="A30" s="25" t="s">
        <v>40</v>
      </c>
      <c r="D30" s="25" t="s">
        <v>41</v>
      </c>
      <c r="G30" s="25" t="s">
        <v>42</v>
      </c>
      <c r="J30" s="25" t="s">
        <v>43</v>
      </c>
    </row>
    <row r="31" spans="1:11">
      <c r="A31" s="1" t="s">
        <v>44</v>
      </c>
      <c r="B31" s="1" t="s">
        <v>39</v>
      </c>
      <c r="D31" s="1" t="s">
        <v>1</v>
      </c>
      <c r="E31" s="1" t="s">
        <v>39</v>
      </c>
      <c r="G31" s="1" t="s">
        <v>1</v>
      </c>
      <c r="H31" s="1" t="s">
        <v>39</v>
      </c>
      <c r="J31" s="1" t="s">
        <v>1</v>
      </c>
      <c r="K31" s="1" t="s">
        <v>39</v>
      </c>
    </row>
    <row r="32" spans="1:11">
      <c r="A32" s="7">
        <v>1</v>
      </c>
      <c r="B32" s="26">
        <f>+'Standard Mummy'!$J3</f>
        <v>5</v>
      </c>
      <c r="D32" s="7">
        <v>1</v>
      </c>
      <c r="E32" s="26">
        <f>+'Mummy A'!$J3</f>
        <v>5</v>
      </c>
      <c r="G32" s="7">
        <v>1</v>
      </c>
      <c r="H32" s="26">
        <f>+'Mummy B'!$J3</f>
        <v>5</v>
      </c>
      <c r="J32" s="7">
        <v>1</v>
      </c>
      <c r="K32" s="26">
        <f>+'Mummy C'!$J3</f>
        <v>7</v>
      </c>
    </row>
    <row r="33" spans="1:11">
      <c r="A33" s="7">
        <v>2</v>
      </c>
      <c r="B33" s="26">
        <f>+'Standard Mummy'!$J4</f>
        <v>7</v>
      </c>
      <c r="D33" s="7">
        <v>2</v>
      </c>
      <c r="E33" s="26">
        <f>+'Mummy A'!$J4</f>
        <v>7</v>
      </c>
      <c r="G33" s="7">
        <v>2</v>
      </c>
      <c r="H33" s="26">
        <f>+'Mummy B'!$J4</f>
        <v>7</v>
      </c>
      <c r="J33" s="7">
        <v>2</v>
      </c>
      <c r="K33" s="26">
        <f>+'Mummy C'!$J4</f>
        <v>10</v>
      </c>
    </row>
    <row r="34" spans="1:11">
      <c r="A34" s="7">
        <v>3</v>
      </c>
      <c r="B34" s="26">
        <f>+'Standard Mummy'!$J5</f>
        <v>10</v>
      </c>
      <c r="D34" s="7">
        <v>3</v>
      </c>
      <c r="E34" s="26">
        <f>+'Mummy A'!$J5</f>
        <v>10</v>
      </c>
      <c r="G34" s="7">
        <v>3</v>
      </c>
      <c r="H34" s="26">
        <f>+'Mummy B'!$J5</f>
        <v>10</v>
      </c>
      <c r="J34" s="7">
        <v>3</v>
      </c>
      <c r="K34" s="26">
        <f>+'Mummy C'!$J5</f>
        <v>15</v>
      </c>
    </row>
    <row r="35" spans="1:11">
      <c r="A35" s="7">
        <v>4</v>
      </c>
      <c r="B35" s="26">
        <f>+'Standard Mummy'!$J6</f>
        <v>15</v>
      </c>
      <c r="D35" s="7">
        <v>4</v>
      </c>
      <c r="E35" s="26">
        <f>+'Mummy A'!$J6</f>
        <v>15</v>
      </c>
      <c r="F35" s="25"/>
      <c r="G35" s="7">
        <v>4</v>
      </c>
      <c r="H35" s="26">
        <f>+'Mummy B'!$J6</f>
        <v>15</v>
      </c>
      <c r="I35" s="25"/>
      <c r="J35" s="7">
        <v>4</v>
      </c>
      <c r="K35" s="26">
        <f>+'Mummy C'!$J6</f>
        <v>20</v>
      </c>
    </row>
    <row r="36" spans="1:11">
      <c r="A36" s="7">
        <v>5</v>
      </c>
      <c r="B36" s="26">
        <f>+'Standard Mummy'!$J7</f>
        <v>25</v>
      </c>
      <c r="D36" s="7">
        <v>5</v>
      </c>
      <c r="E36" s="26">
        <f>+'Mummy A'!$J7</f>
        <v>25</v>
      </c>
      <c r="F36" s="25"/>
      <c r="G36" s="7">
        <v>5</v>
      </c>
      <c r="H36" s="26">
        <f>+'Mummy B'!$J7</f>
        <v>25</v>
      </c>
      <c r="I36" s="25"/>
      <c r="J36" s="7">
        <v>5</v>
      </c>
      <c r="K36" s="26">
        <f>+'Mummy C'!$J7</f>
        <v>40</v>
      </c>
    </row>
    <row r="37" spans="1:11">
      <c r="A37" s="7">
        <v>6</v>
      </c>
      <c r="B37" s="26">
        <f>+'Standard Mummy'!$J8</f>
        <v>50</v>
      </c>
      <c r="D37" s="7">
        <v>6</v>
      </c>
      <c r="E37" s="26">
        <f>+'Mummy A'!$J8</f>
        <v>50</v>
      </c>
      <c r="F37" s="25"/>
      <c r="G37" s="7">
        <v>6</v>
      </c>
      <c r="H37" s="26">
        <f>+'Mummy B'!$J8</f>
        <v>50</v>
      </c>
      <c r="I37" s="25"/>
      <c r="J37" s="7">
        <v>6</v>
      </c>
      <c r="K37" s="26">
        <f>+'Mummy C'!$J8</f>
        <v>75</v>
      </c>
    </row>
    <row r="38" spans="1:11">
      <c r="A38" s="7">
        <v>7</v>
      </c>
      <c r="B38" s="26">
        <f>+'Standard Mummy'!$J9</f>
        <v>100</v>
      </c>
      <c r="D38" s="7">
        <v>7</v>
      </c>
      <c r="E38" s="26">
        <f>+'Mummy A'!$J9</f>
        <v>100</v>
      </c>
      <c r="F38" s="25"/>
      <c r="G38" s="7">
        <v>7</v>
      </c>
      <c r="H38" s="26">
        <f>+'Mummy B'!$J9</f>
        <v>100</v>
      </c>
      <c r="I38" s="25"/>
      <c r="J38" s="7">
        <v>7</v>
      </c>
      <c r="K38" s="26">
        <f>+'Mummy C'!$J9</f>
        <v>150</v>
      </c>
    </row>
    <row r="39" spans="1:11">
      <c r="A39" s="51"/>
      <c r="B39" s="80"/>
      <c r="D39" s="51"/>
      <c r="E39" s="80"/>
      <c r="F39" s="25"/>
    </row>
    <row r="41" spans="1:11">
      <c r="A41" s="25" t="s">
        <v>45</v>
      </c>
      <c r="D41" s="25" t="s">
        <v>46</v>
      </c>
      <c r="G41" s="25" t="s">
        <v>47</v>
      </c>
      <c r="J41" s="25" t="s">
        <v>48</v>
      </c>
    </row>
    <row r="42" spans="1:11">
      <c r="A42" s="1" t="s">
        <v>1</v>
      </c>
      <c r="B42" s="1" t="s">
        <v>39</v>
      </c>
      <c r="D42" s="1" t="s">
        <v>1</v>
      </c>
      <c r="E42" s="1" t="s">
        <v>39</v>
      </c>
      <c r="G42" s="1" t="s">
        <v>1</v>
      </c>
      <c r="H42" s="1" t="s">
        <v>39</v>
      </c>
      <c r="J42" s="1" t="s">
        <v>1</v>
      </c>
      <c r="K42" s="1" t="s">
        <v>39</v>
      </c>
    </row>
    <row r="43" spans="1:11">
      <c r="A43" s="7">
        <v>1</v>
      </c>
      <c r="B43" s="26">
        <f>+'Pharaoh A'!$J3</f>
        <v>10</v>
      </c>
      <c r="D43" s="7">
        <v>1</v>
      </c>
      <c r="E43" s="26">
        <f>+'Pharaoh B'!$J3</f>
        <v>10</v>
      </c>
      <c r="G43" s="7">
        <v>1</v>
      </c>
      <c r="H43" s="26">
        <f>+'HV enemy'!$J3</f>
        <v>50</v>
      </c>
      <c r="J43" s="7">
        <v>1</v>
      </c>
      <c r="K43" s="26">
        <f>+'HV scarab'!$J3</f>
        <v>75</v>
      </c>
    </row>
    <row r="44" spans="1:11">
      <c r="A44" s="7">
        <v>2</v>
      </c>
      <c r="B44" s="26">
        <f>+'Pharaoh A'!$J4</f>
        <v>15</v>
      </c>
      <c r="D44" s="7">
        <v>2</v>
      </c>
      <c r="E44" s="26">
        <f>+'Pharaoh B'!$J4</f>
        <v>15</v>
      </c>
      <c r="G44" s="7">
        <v>2</v>
      </c>
      <c r="H44" s="26">
        <f>+'HV enemy'!$J4</f>
        <v>100</v>
      </c>
      <c r="J44" s="7">
        <v>2</v>
      </c>
      <c r="K44" s="26">
        <f>+'HV scarab'!$J4</f>
        <v>150</v>
      </c>
    </row>
    <row r="45" spans="1:11">
      <c r="A45" s="7">
        <v>3</v>
      </c>
      <c r="B45" s="26">
        <f>+'Pharaoh A'!$J5</f>
        <v>20</v>
      </c>
      <c r="D45" s="7">
        <v>3</v>
      </c>
      <c r="E45" s="26">
        <f>+'Pharaoh B'!$J5</f>
        <v>20</v>
      </c>
      <c r="G45" s="7">
        <v>3</v>
      </c>
      <c r="H45" s="26">
        <f>+'HV enemy'!$J5</f>
        <v>200</v>
      </c>
      <c r="J45" s="7">
        <v>3</v>
      </c>
      <c r="K45" s="26">
        <f>+'HV scarab'!$J5</f>
        <v>300</v>
      </c>
    </row>
    <row r="46" spans="1:11">
      <c r="A46" s="7">
        <v>4</v>
      </c>
      <c r="B46" s="26">
        <f>+'Pharaoh A'!$J6</f>
        <v>40</v>
      </c>
      <c r="D46" s="7">
        <v>4</v>
      </c>
      <c r="E46" s="26">
        <f>+'Pharaoh B'!$J6</f>
        <v>40</v>
      </c>
      <c r="G46" s="7">
        <v>4</v>
      </c>
      <c r="H46" s="26">
        <f>+'HV enemy'!$J6</f>
        <v>500</v>
      </c>
      <c r="J46" s="7">
        <v>4</v>
      </c>
      <c r="K46" s="26">
        <f>+'HV scarab'!$J6</f>
        <v>500</v>
      </c>
    </row>
    <row r="47" spans="1:11">
      <c r="A47" s="7">
        <v>5</v>
      </c>
      <c r="B47" s="26">
        <f>+'Pharaoh A'!$J7</f>
        <v>75</v>
      </c>
      <c r="D47" s="7">
        <v>5</v>
      </c>
      <c r="E47" s="26">
        <f>+'Pharaoh B'!$J7</f>
        <v>75</v>
      </c>
      <c r="G47" s="7">
        <v>5</v>
      </c>
      <c r="H47" s="26">
        <f>+'HV enemy'!$J7</f>
        <v>750</v>
      </c>
      <c r="J47" s="7">
        <v>5</v>
      </c>
      <c r="K47" s="26">
        <f>+'HV scarab'!$J7</f>
        <v>1000</v>
      </c>
    </row>
    <row r="48" spans="1:11">
      <c r="A48" s="7">
        <v>6</v>
      </c>
      <c r="B48" s="26">
        <f>+'Pharaoh A'!$J8</f>
        <v>100</v>
      </c>
      <c r="D48" s="7">
        <v>6</v>
      </c>
      <c r="E48" s="26">
        <f>+'Pharaoh B'!$J8</f>
        <v>100</v>
      </c>
      <c r="G48" s="7">
        <v>6</v>
      </c>
      <c r="H48" s="26">
        <f>+'HV enemy'!$J8</f>
        <v>1000</v>
      </c>
      <c r="J48" s="7">
        <v>6</v>
      </c>
      <c r="K48" s="26">
        <f>+'HV scarab'!$J8</f>
        <v>2000</v>
      </c>
    </row>
    <row r="49" spans="1:11">
      <c r="A49" s="7">
        <v>7</v>
      </c>
      <c r="B49" s="26">
        <f>+'Pharaoh A'!$J9</f>
        <v>200</v>
      </c>
      <c r="D49" s="7">
        <v>7</v>
      </c>
      <c r="E49" s="26">
        <f>+'Pharaoh B'!$J9</f>
        <v>200</v>
      </c>
      <c r="G49" s="7">
        <v>7</v>
      </c>
      <c r="H49" s="26">
        <f>+'HV enemy'!$J9</f>
        <v>2000</v>
      </c>
      <c r="J49" s="7">
        <v>7</v>
      </c>
      <c r="K49" s="26">
        <f>+'HV scarab'!$J9</f>
        <v>5000</v>
      </c>
    </row>
    <row r="51" spans="1:11">
      <c r="C51"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4"/>
  <dimension ref="A1:F60"/>
  <sheetViews>
    <sheetView tabSelected="1" workbookViewId="0">
      <selection activeCell="A8" sqref="A8"/>
    </sheetView>
  </sheetViews>
  <sheetFormatPr baseColWidth="10" defaultRowHeight="14.4"/>
  <cols>
    <col min="1" max="1" width="28.33203125" customWidth="1"/>
    <col min="3" max="3" width="17" customWidth="1"/>
    <col min="4" max="4" width="13.5546875" bestFit="1" customWidth="1"/>
  </cols>
  <sheetData>
    <row r="1" spans="1:5">
      <c r="A1" t="s">
        <v>60</v>
      </c>
    </row>
    <row r="2" spans="1:5">
      <c r="A2" t="str">
        <f>+CONCATENATE("Probability of getting a special weapon = 1/",Summary!C8)</f>
        <v>Probability of getting a special weapon = 1/700</v>
      </c>
    </row>
    <row r="3" spans="1:5">
      <c r="A3" t="s">
        <v>61</v>
      </c>
    </row>
    <row r="6" spans="1:5">
      <c r="A6" t="s">
        <v>84</v>
      </c>
    </row>
    <row r="7" spans="1:5" ht="15" thickBot="1"/>
    <row r="8" spans="1:5" ht="15" thickBot="1">
      <c r="A8" s="30" t="s">
        <v>62</v>
      </c>
      <c r="B8" s="31" t="s">
        <v>58</v>
      </c>
      <c r="C8" s="31" t="s">
        <v>63</v>
      </c>
      <c r="D8" s="31" t="s">
        <v>64</v>
      </c>
      <c r="E8" s="32" t="s">
        <v>65</v>
      </c>
    </row>
    <row r="9" spans="1:5">
      <c r="A9" s="33" t="s">
        <v>54</v>
      </c>
      <c r="B9" s="34">
        <v>10</v>
      </c>
      <c r="C9" s="110">
        <v>5</v>
      </c>
      <c r="D9" s="35">
        <f>+B9*C9</f>
        <v>50</v>
      </c>
      <c r="E9" s="55">
        <v>46</v>
      </c>
    </row>
    <row r="10" spans="1:5">
      <c r="A10" s="33" t="s">
        <v>55</v>
      </c>
      <c r="B10" s="35">
        <v>15</v>
      </c>
      <c r="C10" s="35">
        <v>8</v>
      </c>
      <c r="D10" s="35">
        <f t="shared" ref="D10:D11" si="0">+B10*C10</f>
        <v>120</v>
      </c>
      <c r="E10" s="111">
        <v>53</v>
      </c>
    </row>
    <row r="11" spans="1:5">
      <c r="A11" s="33" t="s">
        <v>56</v>
      </c>
      <c r="B11" s="110">
        <v>20</v>
      </c>
      <c r="C11" s="110">
        <v>10</v>
      </c>
      <c r="D11" s="35">
        <f t="shared" si="0"/>
        <v>200</v>
      </c>
      <c r="E11" s="111">
        <v>41</v>
      </c>
    </row>
    <row r="12" spans="1:5" ht="15" thickBot="1">
      <c r="A12" s="37" t="s">
        <v>57</v>
      </c>
      <c r="B12" s="38">
        <v>3</v>
      </c>
      <c r="C12" s="38">
        <v>50</v>
      </c>
      <c r="D12" s="38">
        <f>+B12*C12</f>
        <v>150</v>
      </c>
      <c r="E12" s="112">
        <v>38</v>
      </c>
    </row>
    <row r="13" spans="1:5">
      <c r="A13" s="33" t="s">
        <v>54</v>
      </c>
      <c r="B13" s="34">
        <v>14</v>
      </c>
      <c r="C13" s="110">
        <v>5</v>
      </c>
      <c r="D13" s="35">
        <f>+B13*C13</f>
        <v>70</v>
      </c>
      <c r="E13" s="56">
        <v>7</v>
      </c>
    </row>
    <row r="14" spans="1:5">
      <c r="A14" s="33" t="s">
        <v>55</v>
      </c>
      <c r="B14" s="35">
        <v>25</v>
      </c>
      <c r="C14" s="35">
        <v>8</v>
      </c>
      <c r="D14" s="35">
        <f t="shared" ref="D14:D15" si="1">+B14*C14</f>
        <v>200</v>
      </c>
      <c r="E14" s="56">
        <v>4</v>
      </c>
    </row>
    <row r="15" spans="1:5">
      <c r="A15" s="33" t="s">
        <v>56</v>
      </c>
      <c r="B15" s="35">
        <v>40</v>
      </c>
      <c r="C15" s="110">
        <v>10</v>
      </c>
      <c r="D15" s="35">
        <f t="shared" si="1"/>
        <v>400</v>
      </c>
      <c r="E15" s="56">
        <v>3</v>
      </c>
    </row>
    <row r="16" spans="1:5" ht="15" thickBot="1">
      <c r="A16" s="37" t="s">
        <v>57</v>
      </c>
      <c r="B16" s="38">
        <v>5</v>
      </c>
      <c r="C16" s="38">
        <v>50</v>
      </c>
      <c r="D16" s="38">
        <f>+B16*C16</f>
        <v>250</v>
      </c>
      <c r="E16" s="57">
        <v>3</v>
      </c>
    </row>
    <row r="17" spans="1:5">
      <c r="A17" s="33" t="s">
        <v>54</v>
      </c>
      <c r="B17" s="34">
        <v>30</v>
      </c>
      <c r="C17" s="110">
        <v>5</v>
      </c>
      <c r="D17" s="35">
        <f>+B17*C17</f>
        <v>150</v>
      </c>
      <c r="E17" s="56">
        <v>2</v>
      </c>
    </row>
    <row r="18" spans="1:5">
      <c r="A18" s="33" t="s">
        <v>55</v>
      </c>
      <c r="B18" s="35">
        <v>50</v>
      </c>
      <c r="C18" s="35">
        <v>8</v>
      </c>
      <c r="D18" s="35">
        <f t="shared" ref="D18:D19" si="2">+B18*C18</f>
        <v>400</v>
      </c>
      <c r="E18" s="56">
        <v>1</v>
      </c>
    </row>
    <row r="19" spans="1:5">
      <c r="A19" s="33" t="s">
        <v>56</v>
      </c>
      <c r="B19" s="35">
        <v>100</v>
      </c>
      <c r="C19" s="110">
        <v>10</v>
      </c>
      <c r="D19" s="35">
        <f t="shared" si="2"/>
        <v>1000</v>
      </c>
      <c r="E19" s="56">
        <v>1</v>
      </c>
    </row>
    <row r="20" spans="1:5" ht="15" thickBot="1">
      <c r="A20" s="37" t="s">
        <v>57</v>
      </c>
      <c r="B20" s="38">
        <v>10</v>
      </c>
      <c r="C20" s="38">
        <v>50</v>
      </c>
      <c r="D20" s="38">
        <f>+B20*C20</f>
        <v>500</v>
      </c>
      <c r="E20" s="57">
        <v>1</v>
      </c>
    </row>
    <row r="21" spans="1:5" ht="15" thickBot="1">
      <c r="A21" s="24" t="s">
        <v>66</v>
      </c>
      <c r="E21" s="54">
        <f>+SUM(E9:E20)</f>
        <v>200</v>
      </c>
    </row>
    <row r="22" spans="1:5" ht="15" thickBot="1">
      <c r="A22" s="24"/>
    </row>
    <row r="23" spans="1:5" ht="15" thickBot="1">
      <c r="C23" s="40" t="s">
        <v>67</v>
      </c>
      <c r="D23" s="41">
        <f>+SUMPRODUCT(D9:D20,E9:E20)/SUM(E9:E20)</f>
        <v>140</v>
      </c>
    </row>
    <row r="25" spans="1:5">
      <c r="A25" t="s">
        <v>68</v>
      </c>
    </row>
    <row r="26" spans="1:5">
      <c r="A26" t="s">
        <v>69</v>
      </c>
    </row>
    <row r="29" spans="1:5" ht="15.6">
      <c r="A29" s="42" t="s">
        <v>70</v>
      </c>
    </row>
    <row r="30" spans="1:5">
      <c r="A30" s="43" t="s">
        <v>71</v>
      </c>
    </row>
    <row r="32" spans="1:5">
      <c r="A32" t="s">
        <v>72</v>
      </c>
    </row>
    <row r="33" spans="1:6">
      <c r="A33" s="44" t="s">
        <v>73</v>
      </c>
    </row>
    <row r="34" spans="1:6">
      <c r="A34" t="s">
        <v>74</v>
      </c>
    </row>
    <row r="35" spans="1:6">
      <c r="A35" t="s">
        <v>75</v>
      </c>
    </row>
    <row r="37" spans="1:6">
      <c r="A37" t="s">
        <v>76</v>
      </c>
    </row>
    <row r="38" spans="1:6">
      <c r="A38" t="s">
        <v>77</v>
      </c>
    </row>
    <row r="39" spans="1:6">
      <c r="A39" t="s">
        <v>78</v>
      </c>
    </row>
    <row r="42" spans="1:6" ht="15" thickBot="1">
      <c r="A42" s="25" t="s">
        <v>79</v>
      </c>
    </row>
    <row r="43" spans="1:6">
      <c r="A43" s="45" t="s">
        <v>62</v>
      </c>
      <c r="B43" s="46" t="s">
        <v>58</v>
      </c>
      <c r="C43" s="46" t="s">
        <v>63</v>
      </c>
      <c r="D43" s="46" t="s">
        <v>64</v>
      </c>
      <c r="E43" s="47" t="s">
        <v>2</v>
      </c>
    </row>
    <row r="44" spans="1:6">
      <c r="A44" s="33" t="s">
        <v>54</v>
      </c>
      <c r="B44" s="34">
        <f>+B9</f>
        <v>10</v>
      </c>
      <c r="C44" s="128">
        <v>5</v>
      </c>
      <c r="D44" s="34">
        <f t="shared" ref="D44:D58" si="3">+B44*C44</f>
        <v>50</v>
      </c>
      <c r="E44" s="36">
        <f>+E9/SUM($E$9:$E$20)</f>
        <v>0.23</v>
      </c>
    </row>
    <row r="45" spans="1:6">
      <c r="A45" s="33" t="s">
        <v>55</v>
      </c>
      <c r="B45" s="49">
        <f>+B10/5</f>
        <v>3</v>
      </c>
      <c r="C45" s="48">
        <v>8</v>
      </c>
      <c r="D45" s="34">
        <f t="shared" si="3"/>
        <v>24</v>
      </c>
      <c r="E45" s="36">
        <f>+E10/SUM($E$9:$E$20)</f>
        <v>0.26500000000000001</v>
      </c>
      <c r="F45" s="50" t="s">
        <v>80</v>
      </c>
    </row>
    <row r="46" spans="1:6">
      <c r="A46" s="33" t="s">
        <v>81</v>
      </c>
      <c r="B46" s="35">
        <f>+B11</f>
        <v>20</v>
      </c>
      <c r="C46" s="128">
        <v>10</v>
      </c>
      <c r="D46" s="34">
        <f t="shared" si="3"/>
        <v>200</v>
      </c>
      <c r="E46" s="36">
        <f>+E11/SUM($E$9:$E$20)*1/2</f>
        <v>0.10249999999999999</v>
      </c>
      <c r="F46" s="50"/>
    </row>
    <row r="47" spans="1:6">
      <c r="A47" s="33" t="s">
        <v>82</v>
      </c>
      <c r="B47" s="51">
        <f>+B11/2</f>
        <v>10</v>
      </c>
      <c r="C47" s="129">
        <v>10</v>
      </c>
      <c r="D47" s="34">
        <f t="shared" si="3"/>
        <v>100</v>
      </c>
      <c r="E47" s="36">
        <f>+E11/SUM($E$9:$E$20)*1/2</f>
        <v>0.10249999999999999</v>
      </c>
      <c r="F47" s="50" t="s">
        <v>83</v>
      </c>
    </row>
    <row r="48" spans="1:6" ht="15" thickBot="1">
      <c r="A48" s="37" t="s">
        <v>57</v>
      </c>
      <c r="B48" s="38">
        <v>3</v>
      </c>
      <c r="C48" s="52">
        <v>50</v>
      </c>
      <c r="D48" s="53">
        <f t="shared" si="3"/>
        <v>150</v>
      </c>
      <c r="E48" s="39">
        <f>+E12/SUM($E$9:$E$20)</f>
        <v>0.19</v>
      </c>
    </row>
    <row r="49" spans="1:6">
      <c r="A49" s="33" t="s">
        <v>54</v>
      </c>
      <c r="B49" s="34">
        <f>+B13</f>
        <v>14</v>
      </c>
      <c r="C49" s="128">
        <v>5</v>
      </c>
      <c r="D49" s="34">
        <f t="shared" si="3"/>
        <v>70</v>
      </c>
      <c r="E49" s="36">
        <f>+E13/SUM($E$9:$E$20)</f>
        <v>3.5000000000000003E-2</v>
      </c>
    </row>
    <row r="50" spans="1:6">
      <c r="A50" s="33" t="s">
        <v>55</v>
      </c>
      <c r="B50" s="49">
        <f>+B14/5</f>
        <v>5</v>
      </c>
      <c r="C50" s="48">
        <v>8</v>
      </c>
      <c r="D50" s="34">
        <f t="shared" si="3"/>
        <v>40</v>
      </c>
      <c r="E50" s="36">
        <f>+E14/SUM($E$9:$E$20)</f>
        <v>0.02</v>
      </c>
      <c r="F50" s="50" t="s">
        <v>80</v>
      </c>
    </row>
    <row r="51" spans="1:6">
      <c r="A51" s="33" t="s">
        <v>81</v>
      </c>
      <c r="B51" s="35">
        <f>+B15</f>
        <v>40</v>
      </c>
      <c r="C51" s="128">
        <v>10</v>
      </c>
      <c r="D51" s="34">
        <f t="shared" si="3"/>
        <v>400</v>
      </c>
      <c r="E51" s="36">
        <f>+E15/SUM($E$9:$E$20)*1/2</f>
        <v>7.4999999999999997E-3</v>
      </c>
      <c r="F51" s="50"/>
    </row>
    <row r="52" spans="1:6">
      <c r="A52" s="33" t="s">
        <v>82</v>
      </c>
      <c r="B52" s="51">
        <f>+B15/2</f>
        <v>20</v>
      </c>
      <c r="C52" s="129">
        <v>10</v>
      </c>
      <c r="D52" s="34">
        <f t="shared" si="3"/>
        <v>200</v>
      </c>
      <c r="E52" s="36">
        <f>+E15/SUM($E$9:$E$20)*1/2</f>
        <v>7.4999999999999997E-3</v>
      </c>
      <c r="F52" s="50" t="s">
        <v>83</v>
      </c>
    </row>
    <row r="53" spans="1:6" ht="15" thickBot="1">
      <c r="A53" s="37" t="s">
        <v>57</v>
      </c>
      <c r="B53" s="38">
        <f>+B16</f>
        <v>5</v>
      </c>
      <c r="C53" s="52">
        <v>50</v>
      </c>
      <c r="D53" s="53">
        <f t="shared" si="3"/>
        <v>250</v>
      </c>
      <c r="E53" s="39">
        <f>+E16/SUM($E$9:$E$20)</f>
        <v>1.4999999999999999E-2</v>
      </c>
    </row>
    <row r="54" spans="1:6">
      <c r="A54" s="33" t="s">
        <v>54</v>
      </c>
      <c r="B54" s="34">
        <f>+B17</f>
        <v>30</v>
      </c>
      <c r="C54" s="128">
        <v>5</v>
      </c>
      <c r="D54" s="34">
        <f t="shared" si="3"/>
        <v>150</v>
      </c>
      <c r="E54" s="36">
        <f>+E17/SUM($E$9:$E$20)</f>
        <v>0.01</v>
      </c>
      <c r="F54" s="50"/>
    </row>
    <row r="55" spans="1:6">
      <c r="A55" s="33" t="s">
        <v>55</v>
      </c>
      <c r="B55" s="49">
        <f>+B18/5</f>
        <v>10</v>
      </c>
      <c r="C55" s="48">
        <v>8</v>
      </c>
      <c r="D55" s="34">
        <f t="shared" si="3"/>
        <v>80</v>
      </c>
      <c r="E55" s="36">
        <f t="shared" ref="E55" si="4">+E18/SUM($E$9:$E$20)</f>
        <v>5.0000000000000001E-3</v>
      </c>
      <c r="F55" s="50" t="s">
        <v>80</v>
      </c>
    </row>
    <row r="56" spans="1:6">
      <c r="A56" s="33" t="s">
        <v>81</v>
      </c>
      <c r="B56" s="35">
        <f>+B19</f>
        <v>100</v>
      </c>
      <c r="C56" s="128">
        <v>10</v>
      </c>
      <c r="D56" s="34">
        <f t="shared" si="3"/>
        <v>1000</v>
      </c>
      <c r="E56" s="36">
        <f>+E19/SUM($E$9:$E$20)*1/2</f>
        <v>2.5000000000000001E-3</v>
      </c>
      <c r="F56" s="50"/>
    </row>
    <row r="57" spans="1:6">
      <c r="A57" s="33" t="s">
        <v>82</v>
      </c>
      <c r="B57" s="51">
        <f>+B19/2</f>
        <v>50</v>
      </c>
      <c r="C57" s="129">
        <v>10</v>
      </c>
      <c r="D57" s="34">
        <f t="shared" si="3"/>
        <v>500</v>
      </c>
      <c r="E57" s="36">
        <f>+E19/SUM($E$9:$E$20)*1/2</f>
        <v>2.5000000000000001E-3</v>
      </c>
      <c r="F57" s="50" t="s">
        <v>83</v>
      </c>
    </row>
    <row r="58" spans="1:6" ht="15" thickBot="1">
      <c r="A58" s="37" t="s">
        <v>57</v>
      </c>
      <c r="B58" s="38">
        <f>+B20</f>
        <v>10</v>
      </c>
      <c r="C58" s="52">
        <v>50</v>
      </c>
      <c r="D58" s="53">
        <f t="shared" si="3"/>
        <v>500</v>
      </c>
      <c r="E58" s="39">
        <f>+E20/SUM($E$9:$E$20)</f>
        <v>5.0000000000000001E-3</v>
      </c>
      <c r="F58" s="50"/>
    </row>
    <row r="59" spans="1:6" ht="15" thickBot="1">
      <c r="A59" s="24"/>
    </row>
    <row r="60" spans="1:6" ht="15" thickBot="1">
      <c r="C60" s="40" t="s">
        <v>67</v>
      </c>
      <c r="D60" s="41">
        <f>+SUMPRODUCT(D44:D58,E44:E58)</f>
        <v>96.76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14"/>
  <dimension ref="A1:T27"/>
  <sheetViews>
    <sheetView workbookViewId="0"/>
  </sheetViews>
  <sheetFormatPr baseColWidth="10" defaultRowHeight="14.4"/>
  <cols>
    <col min="1" max="1" width="19.5546875" customWidth="1"/>
    <col min="3" max="3" width="17" customWidth="1"/>
    <col min="4" max="4" width="13.5546875" bestFit="1" customWidth="1"/>
    <col min="6" max="6" width="14" customWidth="1"/>
    <col min="8" max="8" width="20.88671875" customWidth="1"/>
    <col min="13" max="13" width="12.77734375" bestFit="1" customWidth="1"/>
    <col min="15" max="15" width="21.109375" customWidth="1"/>
    <col min="17" max="17" width="14.44140625" bestFit="1" customWidth="1"/>
    <col min="18" max="18" width="12.21875" bestFit="1" customWidth="1"/>
    <col min="20" max="20" width="12.77734375" bestFit="1" customWidth="1"/>
  </cols>
  <sheetData>
    <row r="1" spans="1:20">
      <c r="A1" t="s">
        <v>164</v>
      </c>
    </row>
    <row r="2" spans="1:20">
      <c r="A2" t="s">
        <v>84</v>
      </c>
    </row>
    <row r="3" spans="1:20" ht="15" thickBot="1"/>
    <row r="4" spans="1:20" ht="15" thickBot="1">
      <c r="A4" s="31" t="s">
        <v>99</v>
      </c>
      <c r="B4" s="32">
        <v>400</v>
      </c>
      <c r="H4" s="30" t="s">
        <v>99</v>
      </c>
      <c r="I4" s="32">
        <v>200</v>
      </c>
      <c r="O4" s="30" t="s">
        <v>99</v>
      </c>
      <c r="P4" s="32">
        <v>100</v>
      </c>
    </row>
    <row r="6" spans="1:20">
      <c r="A6" t="s">
        <v>100</v>
      </c>
      <c r="H6" t="s">
        <v>100</v>
      </c>
      <c r="O6" t="s">
        <v>100</v>
      </c>
    </row>
    <row r="8" spans="1:20" ht="15" thickBot="1"/>
    <row r="9" spans="1:20" ht="15" thickBot="1">
      <c r="A9" s="45" t="s">
        <v>62</v>
      </c>
      <c r="B9" s="46" t="s">
        <v>58</v>
      </c>
      <c r="C9" s="46" t="s">
        <v>63</v>
      </c>
      <c r="D9" s="47" t="s">
        <v>64</v>
      </c>
      <c r="E9" s="58" t="s">
        <v>101</v>
      </c>
      <c r="F9" s="58" t="s">
        <v>102</v>
      </c>
      <c r="H9" s="45" t="s">
        <v>62</v>
      </c>
      <c r="I9" s="46" t="s">
        <v>58</v>
      </c>
      <c r="J9" s="46" t="s">
        <v>63</v>
      </c>
      <c r="K9" s="47" t="s">
        <v>64</v>
      </c>
      <c r="L9" s="58" t="s">
        <v>101</v>
      </c>
      <c r="M9" s="58" t="s">
        <v>102</v>
      </c>
      <c r="O9" s="45" t="s">
        <v>62</v>
      </c>
      <c r="P9" s="46" t="s">
        <v>58</v>
      </c>
      <c r="Q9" s="46" t="s">
        <v>63</v>
      </c>
      <c r="R9" s="47" t="s">
        <v>64</v>
      </c>
      <c r="S9" s="58" t="s">
        <v>101</v>
      </c>
      <c r="T9" s="58" t="s">
        <v>102</v>
      </c>
    </row>
    <row r="10" spans="1:20">
      <c r="A10" s="59" t="s">
        <v>54</v>
      </c>
      <c r="B10" s="60">
        <v>10</v>
      </c>
      <c r="C10" s="113">
        <v>5</v>
      </c>
      <c r="D10" s="61">
        <f>+B10*C10</f>
        <v>50</v>
      </c>
      <c r="E10" s="62">
        <v>9</v>
      </c>
      <c r="F10" s="63">
        <f t="shared" ref="F10:F23" si="0">+D10/$B$4</f>
        <v>0.125</v>
      </c>
      <c r="H10" s="59" t="s">
        <v>54</v>
      </c>
      <c r="I10" s="60">
        <v>10</v>
      </c>
      <c r="J10" s="113">
        <v>5</v>
      </c>
      <c r="K10" s="61">
        <f>+I10*J10</f>
        <v>50</v>
      </c>
      <c r="L10" s="62">
        <v>13</v>
      </c>
      <c r="M10" s="63">
        <f t="shared" ref="M10:M24" si="1">+K10/$I$4</f>
        <v>0.25</v>
      </c>
      <c r="O10" s="59" t="s">
        <v>54</v>
      </c>
      <c r="P10" s="60">
        <v>8</v>
      </c>
      <c r="Q10" s="113">
        <v>5</v>
      </c>
      <c r="R10" s="61">
        <f>+P10*Q10</f>
        <v>40</v>
      </c>
      <c r="S10" s="117">
        <v>12</v>
      </c>
      <c r="T10" s="63">
        <f t="shared" ref="T10:T24" si="2">+R10/$P$4</f>
        <v>0.4</v>
      </c>
    </row>
    <row r="11" spans="1:20">
      <c r="A11" s="33" t="s">
        <v>54</v>
      </c>
      <c r="B11" s="35">
        <v>20</v>
      </c>
      <c r="C11" s="110">
        <v>5</v>
      </c>
      <c r="D11" s="64">
        <f t="shared" ref="D11:D24" si="3">+B11*C11</f>
        <v>100</v>
      </c>
      <c r="E11" s="65">
        <v>8</v>
      </c>
      <c r="F11" s="66">
        <f t="shared" si="0"/>
        <v>0.25</v>
      </c>
      <c r="H11" s="33" t="s">
        <v>54</v>
      </c>
      <c r="I11" s="35">
        <v>20</v>
      </c>
      <c r="J11" s="110">
        <v>5</v>
      </c>
      <c r="K11" s="64">
        <f t="shared" ref="K11:K21" si="4">+I11*J11</f>
        <v>100</v>
      </c>
      <c r="L11" s="65">
        <v>10</v>
      </c>
      <c r="M11" s="66">
        <f t="shared" si="1"/>
        <v>0.5</v>
      </c>
      <c r="O11" s="33" t="s">
        <v>54</v>
      </c>
      <c r="P11" s="35">
        <v>10</v>
      </c>
      <c r="Q11" s="110">
        <v>5</v>
      </c>
      <c r="R11" s="64">
        <f t="shared" ref="R11:R21" si="5">+P11*Q11</f>
        <v>50</v>
      </c>
      <c r="S11" s="111">
        <v>13</v>
      </c>
      <c r="T11" s="66">
        <f t="shared" si="2"/>
        <v>0.5</v>
      </c>
    </row>
    <row r="12" spans="1:20">
      <c r="A12" s="33" t="s">
        <v>54</v>
      </c>
      <c r="B12" s="35">
        <v>50</v>
      </c>
      <c r="C12" s="110">
        <v>5</v>
      </c>
      <c r="D12" s="64">
        <f t="shared" si="3"/>
        <v>250</v>
      </c>
      <c r="E12" s="111">
        <v>6</v>
      </c>
      <c r="F12" s="66">
        <f t="shared" si="0"/>
        <v>0.625</v>
      </c>
      <c r="H12" s="33" t="s">
        <v>54</v>
      </c>
      <c r="I12" s="35">
        <v>30</v>
      </c>
      <c r="J12" s="110">
        <v>5</v>
      </c>
      <c r="K12" s="64">
        <f t="shared" si="4"/>
        <v>150</v>
      </c>
      <c r="L12" s="111">
        <v>6</v>
      </c>
      <c r="M12" s="66">
        <f t="shared" si="1"/>
        <v>0.75</v>
      </c>
      <c r="O12" s="33" t="s">
        <v>54</v>
      </c>
      <c r="P12" s="35">
        <v>14</v>
      </c>
      <c r="Q12" s="110">
        <v>5</v>
      </c>
      <c r="R12" s="64">
        <f t="shared" si="5"/>
        <v>70</v>
      </c>
      <c r="S12" s="111">
        <v>4</v>
      </c>
      <c r="T12" s="66">
        <f t="shared" si="2"/>
        <v>0.7</v>
      </c>
    </row>
    <row r="13" spans="1:20">
      <c r="A13" s="33" t="s">
        <v>54</v>
      </c>
      <c r="B13" s="35">
        <v>80</v>
      </c>
      <c r="C13" s="110">
        <v>5</v>
      </c>
      <c r="D13" s="64">
        <f t="shared" si="3"/>
        <v>400</v>
      </c>
      <c r="E13" s="65">
        <v>3</v>
      </c>
      <c r="F13" s="66">
        <f t="shared" si="0"/>
        <v>1</v>
      </c>
      <c r="H13" s="33" t="s">
        <v>54</v>
      </c>
      <c r="I13" s="35">
        <v>50</v>
      </c>
      <c r="J13" s="110">
        <v>5</v>
      </c>
      <c r="K13" s="64">
        <f t="shared" si="4"/>
        <v>250</v>
      </c>
      <c r="L13" s="65">
        <v>1</v>
      </c>
      <c r="M13" s="66">
        <f t="shared" si="1"/>
        <v>1.25</v>
      </c>
      <c r="O13" s="33" t="s">
        <v>54</v>
      </c>
      <c r="P13" s="35">
        <v>20</v>
      </c>
      <c r="Q13" s="110">
        <v>5</v>
      </c>
      <c r="R13" s="64">
        <f t="shared" si="5"/>
        <v>100</v>
      </c>
      <c r="S13" s="65">
        <v>1</v>
      </c>
      <c r="T13" s="66">
        <f t="shared" si="2"/>
        <v>1</v>
      </c>
    </row>
    <row r="14" spans="1:20" ht="15" thickBot="1">
      <c r="A14" s="37" t="s">
        <v>54</v>
      </c>
      <c r="B14" s="38">
        <v>100</v>
      </c>
      <c r="C14" s="114">
        <v>5</v>
      </c>
      <c r="D14" s="67">
        <f t="shared" si="3"/>
        <v>500</v>
      </c>
      <c r="E14" s="68">
        <v>2</v>
      </c>
      <c r="F14" s="69">
        <f t="shared" si="0"/>
        <v>1.25</v>
      </c>
      <c r="H14" s="37" t="s">
        <v>54</v>
      </c>
      <c r="I14" s="38">
        <v>80</v>
      </c>
      <c r="J14" s="114">
        <v>5</v>
      </c>
      <c r="K14" s="67">
        <f t="shared" si="4"/>
        <v>400</v>
      </c>
      <c r="L14" s="68">
        <v>1</v>
      </c>
      <c r="M14" s="69">
        <f t="shared" si="1"/>
        <v>2</v>
      </c>
      <c r="O14" s="37" t="s">
        <v>54</v>
      </c>
      <c r="P14" s="38">
        <v>24</v>
      </c>
      <c r="Q14" s="114">
        <v>5</v>
      </c>
      <c r="R14" s="67">
        <f t="shared" si="5"/>
        <v>120</v>
      </c>
      <c r="S14" s="68">
        <v>1</v>
      </c>
      <c r="T14" s="69">
        <f t="shared" si="2"/>
        <v>1.2</v>
      </c>
    </row>
    <row r="15" spans="1:20">
      <c r="A15" s="59" t="s">
        <v>55</v>
      </c>
      <c r="B15" s="60">
        <v>25</v>
      </c>
      <c r="C15" s="70">
        <v>8</v>
      </c>
      <c r="D15" s="61">
        <f t="shared" si="3"/>
        <v>200</v>
      </c>
      <c r="E15" s="62">
        <v>25</v>
      </c>
      <c r="F15" s="63">
        <f t="shared" si="0"/>
        <v>0.5</v>
      </c>
      <c r="H15" s="59" t="s">
        <v>55</v>
      </c>
      <c r="I15" s="60">
        <v>15</v>
      </c>
      <c r="J15" s="70">
        <v>8</v>
      </c>
      <c r="K15" s="61">
        <f t="shared" si="4"/>
        <v>120</v>
      </c>
      <c r="L15" s="117">
        <v>19</v>
      </c>
      <c r="M15" s="63">
        <f t="shared" si="1"/>
        <v>0.6</v>
      </c>
      <c r="O15" s="59" t="s">
        <v>55</v>
      </c>
      <c r="P15" s="60">
        <v>5</v>
      </c>
      <c r="Q15" s="70">
        <v>8</v>
      </c>
      <c r="R15" s="61">
        <f t="shared" si="5"/>
        <v>40</v>
      </c>
      <c r="S15" s="117">
        <v>17</v>
      </c>
      <c r="T15" s="63">
        <f t="shared" si="2"/>
        <v>0.4</v>
      </c>
    </row>
    <row r="16" spans="1:20">
      <c r="A16" s="33" t="s">
        <v>55</v>
      </c>
      <c r="B16" s="35">
        <v>50</v>
      </c>
      <c r="C16" s="24">
        <v>8</v>
      </c>
      <c r="D16" s="64">
        <f t="shared" si="3"/>
        <v>400</v>
      </c>
      <c r="E16" s="65">
        <v>10</v>
      </c>
      <c r="F16" s="66">
        <f t="shared" si="0"/>
        <v>1</v>
      </c>
      <c r="H16" s="33" t="s">
        <v>55</v>
      </c>
      <c r="I16" s="35">
        <v>30</v>
      </c>
      <c r="J16" s="24">
        <v>8</v>
      </c>
      <c r="K16" s="64">
        <f t="shared" si="4"/>
        <v>240</v>
      </c>
      <c r="L16" s="111">
        <v>11</v>
      </c>
      <c r="M16" s="66">
        <f t="shared" si="1"/>
        <v>1.2</v>
      </c>
      <c r="O16" s="33" t="s">
        <v>55</v>
      </c>
      <c r="P16" s="35">
        <v>15</v>
      </c>
      <c r="Q16" s="24">
        <v>8</v>
      </c>
      <c r="R16" s="64">
        <f t="shared" si="5"/>
        <v>120</v>
      </c>
      <c r="S16" s="111">
        <v>9</v>
      </c>
      <c r="T16" s="66">
        <f t="shared" si="2"/>
        <v>1.2</v>
      </c>
    </row>
    <row r="17" spans="1:20" ht="15" thickBot="1">
      <c r="A17" s="37" t="s">
        <v>55</v>
      </c>
      <c r="B17" s="38">
        <v>200</v>
      </c>
      <c r="C17" s="71">
        <v>8</v>
      </c>
      <c r="D17" s="67">
        <f t="shared" si="3"/>
        <v>1600</v>
      </c>
      <c r="E17" s="68">
        <v>1</v>
      </c>
      <c r="F17" s="69">
        <f t="shared" si="0"/>
        <v>4</v>
      </c>
      <c r="H17" s="37" t="s">
        <v>55</v>
      </c>
      <c r="I17" s="38">
        <v>50</v>
      </c>
      <c r="J17" s="71">
        <v>8</v>
      </c>
      <c r="K17" s="67">
        <f t="shared" si="4"/>
        <v>400</v>
      </c>
      <c r="L17" s="112">
        <v>1</v>
      </c>
      <c r="M17" s="69">
        <f t="shared" si="1"/>
        <v>2</v>
      </c>
      <c r="O17" s="37" t="s">
        <v>55</v>
      </c>
      <c r="P17" s="38">
        <v>20</v>
      </c>
      <c r="Q17" s="71">
        <v>8</v>
      </c>
      <c r="R17" s="67">
        <f t="shared" si="5"/>
        <v>160</v>
      </c>
      <c r="S17" s="112">
        <v>2</v>
      </c>
      <c r="T17" s="69">
        <f t="shared" si="2"/>
        <v>1.6</v>
      </c>
    </row>
    <row r="18" spans="1:20">
      <c r="A18" s="33" t="s">
        <v>56</v>
      </c>
      <c r="B18" s="35">
        <v>20</v>
      </c>
      <c r="C18" s="115">
        <v>10</v>
      </c>
      <c r="D18" s="64">
        <f t="shared" si="3"/>
        <v>200</v>
      </c>
      <c r="E18" s="111">
        <v>11</v>
      </c>
      <c r="F18" s="66">
        <f t="shared" si="0"/>
        <v>0.5</v>
      </c>
      <c r="H18" s="33" t="s">
        <v>56</v>
      </c>
      <c r="I18" s="35">
        <v>20</v>
      </c>
      <c r="J18" s="115">
        <v>10</v>
      </c>
      <c r="K18" s="64">
        <f t="shared" si="4"/>
        <v>200</v>
      </c>
      <c r="L18" s="111">
        <v>15</v>
      </c>
      <c r="M18" s="66">
        <f t="shared" si="1"/>
        <v>1</v>
      </c>
      <c r="O18" s="33" t="s">
        <v>56</v>
      </c>
      <c r="P18" s="35">
        <v>10</v>
      </c>
      <c r="Q18" s="115">
        <v>10</v>
      </c>
      <c r="R18" s="64">
        <f t="shared" si="5"/>
        <v>100</v>
      </c>
      <c r="S18" s="111">
        <v>18</v>
      </c>
      <c r="T18" s="66">
        <f t="shared" si="2"/>
        <v>1</v>
      </c>
    </row>
    <row r="19" spans="1:20">
      <c r="A19" s="33" t="s">
        <v>56</v>
      </c>
      <c r="B19" s="35">
        <v>30</v>
      </c>
      <c r="C19" s="115">
        <v>10</v>
      </c>
      <c r="D19" s="64">
        <f t="shared" si="3"/>
        <v>300</v>
      </c>
      <c r="E19" s="111">
        <v>17</v>
      </c>
      <c r="F19" s="66">
        <f t="shared" si="0"/>
        <v>0.75</v>
      </c>
      <c r="H19" s="33" t="s">
        <v>56</v>
      </c>
      <c r="I19" s="35">
        <v>30</v>
      </c>
      <c r="J19" s="115">
        <v>10</v>
      </c>
      <c r="K19" s="64">
        <f t="shared" si="4"/>
        <v>300</v>
      </c>
      <c r="L19" s="111">
        <v>12</v>
      </c>
      <c r="M19" s="66">
        <f t="shared" si="1"/>
        <v>1.5</v>
      </c>
      <c r="O19" s="33" t="s">
        <v>56</v>
      </c>
      <c r="P19" s="35">
        <v>15</v>
      </c>
      <c r="Q19" s="115">
        <v>10</v>
      </c>
      <c r="R19" s="64">
        <f t="shared" si="5"/>
        <v>150</v>
      </c>
      <c r="S19" s="111">
        <v>9</v>
      </c>
      <c r="T19" s="66">
        <f t="shared" si="2"/>
        <v>1.5</v>
      </c>
    </row>
    <row r="20" spans="1:20">
      <c r="A20" s="33" t="s">
        <v>56</v>
      </c>
      <c r="B20" s="35">
        <v>50</v>
      </c>
      <c r="C20" s="115">
        <v>10</v>
      </c>
      <c r="D20" s="64">
        <f t="shared" si="3"/>
        <v>500</v>
      </c>
      <c r="E20" s="111">
        <v>6</v>
      </c>
      <c r="F20" s="66">
        <f t="shared" si="0"/>
        <v>1.25</v>
      </c>
      <c r="H20" s="33" t="s">
        <v>56</v>
      </c>
      <c r="I20" s="35">
        <v>50</v>
      </c>
      <c r="J20" s="115">
        <v>10</v>
      </c>
      <c r="K20" s="64">
        <f t="shared" si="4"/>
        <v>500</v>
      </c>
      <c r="L20" s="111">
        <v>2</v>
      </c>
      <c r="M20" s="66">
        <f t="shared" si="1"/>
        <v>2.5</v>
      </c>
      <c r="O20" s="33" t="s">
        <v>56</v>
      </c>
      <c r="P20" s="35">
        <v>20</v>
      </c>
      <c r="Q20" s="115">
        <v>10</v>
      </c>
      <c r="R20" s="64">
        <f t="shared" si="5"/>
        <v>200</v>
      </c>
      <c r="S20" s="111">
        <v>4</v>
      </c>
      <c r="T20" s="66">
        <f t="shared" si="2"/>
        <v>2</v>
      </c>
    </row>
    <row r="21" spans="1:20" ht="15" thickBot="1">
      <c r="A21" s="37" t="s">
        <v>56</v>
      </c>
      <c r="B21" s="38">
        <v>200</v>
      </c>
      <c r="C21" s="116">
        <v>10</v>
      </c>
      <c r="D21" s="67">
        <f t="shared" si="3"/>
        <v>2000</v>
      </c>
      <c r="E21" s="112">
        <v>1</v>
      </c>
      <c r="F21" s="69">
        <f t="shared" si="0"/>
        <v>5</v>
      </c>
      <c r="H21" s="37" t="s">
        <v>56</v>
      </c>
      <c r="I21" s="38">
        <v>100</v>
      </c>
      <c r="J21" s="116">
        <v>10</v>
      </c>
      <c r="K21" s="67">
        <f t="shared" si="4"/>
        <v>1000</v>
      </c>
      <c r="L21" s="112">
        <v>1</v>
      </c>
      <c r="M21" s="69">
        <f t="shared" si="1"/>
        <v>5</v>
      </c>
      <c r="O21" s="37" t="s">
        <v>56</v>
      </c>
      <c r="P21" s="38">
        <v>40</v>
      </c>
      <c r="Q21" s="116">
        <v>10</v>
      </c>
      <c r="R21" s="67">
        <f t="shared" si="5"/>
        <v>400</v>
      </c>
      <c r="S21" s="112">
        <v>1</v>
      </c>
      <c r="T21" s="69">
        <f t="shared" si="2"/>
        <v>4</v>
      </c>
    </row>
    <row r="22" spans="1:20">
      <c r="A22" s="33" t="s">
        <v>57</v>
      </c>
      <c r="B22" s="24">
        <v>10</v>
      </c>
      <c r="C22" s="24">
        <v>50</v>
      </c>
      <c r="D22" s="64">
        <f>+B22*C22</f>
        <v>500</v>
      </c>
      <c r="E22" s="65">
        <v>13</v>
      </c>
      <c r="F22" s="66">
        <f t="shared" si="0"/>
        <v>1.25</v>
      </c>
      <c r="H22" s="33" t="s">
        <v>57</v>
      </c>
      <c r="I22" s="24">
        <v>5</v>
      </c>
      <c r="J22" s="24">
        <v>50</v>
      </c>
      <c r="K22" s="64">
        <f>+I22*J22</f>
        <v>250</v>
      </c>
      <c r="L22" s="111">
        <v>6</v>
      </c>
      <c r="M22" s="66">
        <f t="shared" si="1"/>
        <v>1.25</v>
      </c>
      <c r="O22" s="33" t="s">
        <v>57</v>
      </c>
      <c r="P22" s="24">
        <v>3</v>
      </c>
      <c r="Q22" s="24">
        <v>50</v>
      </c>
      <c r="R22" s="64">
        <f>+P22*Q22</f>
        <v>150</v>
      </c>
      <c r="S22" s="111">
        <v>7</v>
      </c>
      <c r="T22" s="66">
        <f t="shared" si="2"/>
        <v>1.5</v>
      </c>
    </row>
    <row r="23" spans="1:20">
      <c r="A23" s="33" t="s">
        <v>57</v>
      </c>
      <c r="B23" s="24">
        <v>25</v>
      </c>
      <c r="C23" s="24">
        <v>50</v>
      </c>
      <c r="D23" s="64">
        <f t="shared" si="3"/>
        <v>1250</v>
      </c>
      <c r="E23" s="65">
        <v>6</v>
      </c>
      <c r="F23" s="66">
        <f t="shared" si="0"/>
        <v>3.125</v>
      </c>
      <c r="H23" s="33" t="s">
        <v>57</v>
      </c>
      <c r="I23" s="24">
        <v>8</v>
      </c>
      <c r="J23" s="24">
        <v>50</v>
      </c>
      <c r="K23" s="64">
        <f t="shared" ref="K23:K24" si="6">+I23*J23</f>
        <v>400</v>
      </c>
      <c r="L23" s="65">
        <v>1</v>
      </c>
      <c r="M23" s="66">
        <f t="shared" si="1"/>
        <v>2</v>
      </c>
      <c r="O23" s="33" t="s">
        <v>57</v>
      </c>
      <c r="P23" s="24">
        <v>5</v>
      </c>
      <c r="Q23" s="24">
        <v>50</v>
      </c>
      <c r="R23" s="64">
        <f t="shared" ref="R23:R24" si="7">+P23*Q23</f>
        <v>250</v>
      </c>
      <c r="S23" s="65">
        <v>1</v>
      </c>
      <c r="T23" s="66">
        <f t="shared" si="2"/>
        <v>2.5</v>
      </c>
    </row>
    <row r="24" spans="1:20" ht="15" thickBot="1">
      <c r="A24" s="33" t="s">
        <v>57</v>
      </c>
      <c r="B24" s="38">
        <v>50</v>
      </c>
      <c r="C24" s="71">
        <v>50</v>
      </c>
      <c r="D24" s="67">
        <f t="shared" si="3"/>
        <v>2500</v>
      </c>
      <c r="E24" s="68">
        <v>2</v>
      </c>
      <c r="F24" s="69">
        <f>+D24/$B$4</f>
        <v>6.25</v>
      </c>
      <c r="H24" s="33" t="s">
        <v>57</v>
      </c>
      <c r="I24" s="38">
        <v>10</v>
      </c>
      <c r="J24" s="71">
        <v>50</v>
      </c>
      <c r="K24" s="67">
        <f t="shared" si="6"/>
        <v>500</v>
      </c>
      <c r="L24" s="68">
        <v>1</v>
      </c>
      <c r="M24" s="69">
        <f t="shared" si="1"/>
        <v>2.5</v>
      </c>
      <c r="O24" s="33" t="s">
        <v>57</v>
      </c>
      <c r="P24" s="38">
        <v>8</v>
      </c>
      <c r="Q24" s="71">
        <v>50</v>
      </c>
      <c r="R24" s="67">
        <f t="shared" si="7"/>
        <v>400</v>
      </c>
      <c r="S24" s="68">
        <v>1</v>
      </c>
      <c r="T24" s="69">
        <f t="shared" si="2"/>
        <v>4</v>
      </c>
    </row>
    <row r="25" spans="1:20" ht="15" thickBot="1">
      <c r="A25" s="72" t="s">
        <v>34</v>
      </c>
      <c r="B25" s="31"/>
      <c r="C25" s="31"/>
      <c r="D25" s="73">
        <f>+SUMPRODUCT(D10:D24,E10:E24)/SUM(E10:E24)</f>
        <v>390.41666666666669</v>
      </c>
      <c r="E25" s="74">
        <f>+SUM(E10:E24)</f>
        <v>120</v>
      </c>
      <c r="H25" s="72" t="s">
        <v>34</v>
      </c>
      <c r="I25" s="31"/>
      <c r="J25" s="31"/>
      <c r="K25" s="73">
        <f>+SUMPRODUCT(K10:K24,L10:L24)/SUM(L10:L24)</f>
        <v>195.2</v>
      </c>
      <c r="L25" s="74">
        <f>+SUM(L10:L24)</f>
        <v>100</v>
      </c>
      <c r="O25" s="72" t="s">
        <v>34</v>
      </c>
      <c r="P25" s="31"/>
      <c r="Q25" s="31"/>
      <c r="R25" s="73">
        <f>+SUMPRODUCT(R10:R24,S10:S24)/SUM(S10:S24)</f>
        <v>97.6</v>
      </c>
      <c r="S25" s="74">
        <f>+SUM(S10:S24)</f>
        <v>100</v>
      </c>
    </row>
    <row r="27" spans="1:20">
      <c r="A27" s="51" t="s">
        <v>103</v>
      </c>
      <c r="B27" s="75">
        <f>+D25/B4</f>
        <v>0.9760416666666667</v>
      </c>
      <c r="H27" s="51" t="s">
        <v>103</v>
      </c>
      <c r="I27" s="75">
        <f>+K25/I4</f>
        <v>0.97599999999999998</v>
      </c>
      <c r="O27" s="51" t="s">
        <v>103</v>
      </c>
      <c r="P27" s="75">
        <f>+R25/P4</f>
        <v>0.97599999999999998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5"/>
  <dimension ref="A1:Y74"/>
  <sheetViews>
    <sheetView topLeftCell="A13" workbookViewId="0">
      <selection activeCell="A21" sqref="A21:E2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21" t="s">
        <v>104</v>
      </c>
      <c r="B1" s="121"/>
      <c r="C1" s="121"/>
      <c r="D1" s="121"/>
      <c r="E1" s="121"/>
    </row>
    <row r="2" spans="1:25">
      <c r="A2" t="s">
        <v>105</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106</v>
      </c>
    </row>
    <row r="5" spans="1:25">
      <c r="A5" t="s">
        <v>107</v>
      </c>
    </row>
    <row r="6" spans="1:25">
      <c r="A6" s="25" t="s">
        <v>108</v>
      </c>
    </row>
    <row r="8" spans="1:25" ht="18">
      <c r="A8" s="122" t="s">
        <v>109</v>
      </c>
      <c r="B8" s="122"/>
      <c r="C8" s="122"/>
      <c r="D8" s="122"/>
      <c r="E8" s="122"/>
    </row>
    <row r="9" spans="1:25" ht="15" thickBot="1"/>
    <row r="10" spans="1:25" ht="15" thickBot="1">
      <c r="B10" s="118" t="s">
        <v>13</v>
      </c>
      <c r="C10" s="119"/>
      <c r="D10" s="119"/>
      <c r="E10" s="120"/>
      <c r="G10" s="118" t="s">
        <v>54</v>
      </c>
      <c r="H10" s="119"/>
      <c r="I10" s="119"/>
      <c r="J10" s="120"/>
      <c r="L10" s="118" t="s">
        <v>55</v>
      </c>
      <c r="M10" s="119"/>
      <c r="N10" s="119"/>
      <c r="O10" s="120"/>
      <c r="Q10" s="118" t="s">
        <v>56</v>
      </c>
      <c r="R10" s="119"/>
      <c r="S10" s="119"/>
      <c r="T10" s="120"/>
      <c r="V10" s="118" t="s">
        <v>57</v>
      </c>
      <c r="W10" s="119"/>
      <c r="X10" s="119"/>
      <c r="Y10" s="120"/>
    </row>
    <row r="11" spans="1:25">
      <c r="A11" s="25" t="s">
        <v>110</v>
      </c>
      <c r="B11" s="86" t="s">
        <v>44</v>
      </c>
      <c r="C11" s="86" t="s">
        <v>2</v>
      </c>
      <c r="D11" s="86" t="s">
        <v>3</v>
      </c>
      <c r="E11" s="86" t="s">
        <v>7</v>
      </c>
      <c r="G11" s="1" t="s">
        <v>44</v>
      </c>
      <c r="H11" s="1" t="s">
        <v>2</v>
      </c>
      <c r="I11" s="1" t="s">
        <v>3</v>
      </c>
      <c r="J11" s="1" t="s">
        <v>154</v>
      </c>
      <c r="L11" s="1" t="s">
        <v>44</v>
      </c>
      <c r="M11" s="1" t="s">
        <v>2</v>
      </c>
      <c r="N11" s="1" t="s">
        <v>3</v>
      </c>
      <c r="O11" s="1" t="s">
        <v>154</v>
      </c>
      <c r="Q11" s="1" t="s">
        <v>44</v>
      </c>
      <c r="R11" s="1" t="s">
        <v>2</v>
      </c>
      <c r="S11" s="1" t="s">
        <v>3</v>
      </c>
      <c r="T11" s="1" t="s">
        <v>154</v>
      </c>
      <c r="V11" s="1" t="s">
        <v>44</v>
      </c>
      <c r="W11" s="1" t="s">
        <v>2</v>
      </c>
      <c r="X11" s="1" t="s">
        <v>3</v>
      </c>
      <c r="Y11" s="1" t="s">
        <v>154</v>
      </c>
    </row>
    <row r="12" spans="1:25">
      <c r="B12" s="87">
        <v>5</v>
      </c>
      <c r="C12" s="7">
        <v>8.3000000000000004E-2</v>
      </c>
      <c r="D12" s="7">
        <f>+SUM(C$11:$C12)</f>
        <v>8.3000000000000004E-2</v>
      </c>
      <c r="E12" s="7">
        <f t="shared" ref="E12:E17" si="0">+B12*C12</f>
        <v>0.41500000000000004</v>
      </c>
      <c r="G12" s="87">
        <v>20</v>
      </c>
      <c r="H12" s="7">
        <v>7.0000000000000007E-2</v>
      </c>
      <c r="I12" s="7">
        <f>+SUM($H$12:H12)</f>
        <v>7.0000000000000007E-2</v>
      </c>
      <c r="J12" s="7">
        <f t="shared" ref="J12:J17" si="1">+G12*H12</f>
        <v>1.4000000000000001</v>
      </c>
      <c r="L12" s="87">
        <v>25</v>
      </c>
      <c r="M12" s="7">
        <v>0.06</v>
      </c>
      <c r="N12" s="7">
        <f>+SUM($M$12:M12)</f>
        <v>0.06</v>
      </c>
      <c r="O12" s="7">
        <f t="shared" ref="O12:O17" si="2">+L12*M12</f>
        <v>1.5</v>
      </c>
      <c r="Q12" s="87">
        <v>30</v>
      </c>
      <c r="R12" s="7">
        <v>0.06</v>
      </c>
      <c r="S12" s="7">
        <f>+SUM($R$11:R12)</f>
        <v>0.06</v>
      </c>
      <c r="T12" s="7">
        <f t="shared" ref="T12:T17" si="3">+Q12*R12</f>
        <v>1.7999999999999998</v>
      </c>
      <c r="V12" s="87">
        <v>50</v>
      </c>
      <c r="W12" s="7">
        <v>0.15</v>
      </c>
      <c r="X12" s="7">
        <f>+SUM($W$12:W12)</f>
        <v>0.15</v>
      </c>
      <c r="Y12" s="7">
        <f t="shared" ref="Y12:Y17" si="4">+V12*W12</f>
        <v>7.5</v>
      </c>
    </row>
    <row r="13" spans="1:25">
      <c r="B13" s="87">
        <v>10</v>
      </c>
      <c r="C13" s="7">
        <v>3.15E-2</v>
      </c>
      <c r="D13" s="7">
        <f>+SUM(C$11:$C13)</f>
        <v>0.1145</v>
      </c>
      <c r="E13" s="7">
        <f t="shared" si="0"/>
        <v>0.315</v>
      </c>
      <c r="G13" s="87">
        <v>30</v>
      </c>
      <c r="H13" s="7">
        <v>0.05</v>
      </c>
      <c r="I13" s="7">
        <f>+SUM($H$12:H13)</f>
        <v>0.12000000000000001</v>
      </c>
      <c r="J13" s="7">
        <f t="shared" si="1"/>
        <v>1.5</v>
      </c>
      <c r="L13" s="87">
        <v>35</v>
      </c>
      <c r="M13" s="7">
        <v>0.04</v>
      </c>
      <c r="N13" s="7">
        <f>+SUM($M$12:M13)</f>
        <v>0.1</v>
      </c>
      <c r="O13" s="7">
        <f t="shared" si="2"/>
        <v>1.4000000000000001</v>
      </c>
      <c r="Q13" s="87">
        <v>50</v>
      </c>
      <c r="R13" s="7">
        <v>3.1E-2</v>
      </c>
      <c r="S13" s="7">
        <f>+SUM($R$11:R13)</f>
        <v>9.0999999999999998E-2</v>
      </c>
      <c r="T13" s="7">
        <f t="shared" si="3"/>
        <v>1.55</v>
      </c>
      <c r="V13" s="87">
        <v>75</v>
      </c>
      <c r="W13" s="7">
        <v>0.1</v>
      </c>
      <c r="X13" s="7">
        <f>+SUM($W$12:W13)</f>
        <v>0.25</v>
      </c>
      <c r="Y13" s="7">
        <f t="shared" si="4"/>
        <v>7.5</v>
      </c>
    </row>
    <row r="14" spans="1:25">
      <c r="B14" s="87">
        <v>15</v>
      </c>
      <c r="C14" s="7">
        <v>8.0000000000000002E-3</v>
      </c>
      <c r="D14" s="7">
        <f>+SUM(C$11:$C14)</f>
        <v>0.1225</v>
      </c>
      <c r="E14" s="7">
        <f t="shared" si="0"/>
        <v>0.12</v>
      </c>
      <c r="G14" s="87">
        <v>40</v>
      </c>
      <c r="H14" s="7">
        <v>0.04</v>
      </c>
      <c r="I14" s="7">
        <f>+SUM($H$12:H14)</f>
        <v>0.16</v>
      </c>
      <c r="J14" s="7">
        <f t="shared" si="1"/>
        <v>1.6</v>
      </c>
      <c r="L14" s="87">
        <v>50</v>
      </c>
      <c r="M14" s="7">
        <v>3.3000000000000002E-2</v>
      </c>
      <c r="N14" s="7">
        <f>+SUM($M$12:M14)</f>
        <v>0.13300000000000001</v>
      </c>
      <c r="O14" s="7">
        <f t="shared" si="2"/>
        <v>1.6500000000000001</v>
      </c>
      <c r="Q14" s="87">
        <v>75</v>
      </c>
      <c r="R14" s="7">
        <v>1.7999999999999999E-2</v>
      </c>
      <c r="S14" s="7">
        <f>+SUM($R$11:R14)</f>
        <v>0.109</v>
      </c>
      <c r="T14" s="7">
        <f t="shared" si="3"/>
        <v>1.3499999999999999</v>
      </c>
      <c r="V14" s="87">
        <v>100</v>
      </c>
      <c r="W14" s="7">
        <v>0.1</v>
      </c>
      <c r="X14" s="7">
        <f>+SUM($W$12:W14)</f>
        <v>0.35</v>
      </c>
      <c r="Y14" s="7">
        <f t="shared" si="4"/>
        <v>10</v>
      </c>
    </row>
    <row r="15" spans="1:25">
      <c r="B15" s="87">
        <v>20</v>
      </c>
      <c r="C15" s="7">
        <v>1E-3</v>
      </c>
      <c r="D15" s="7">
        <f>+SUM(C$11:$C15)</f>
        <v>0.1235</v>
      </c>
      <c r="E15" s="7">
        <f t="shared" si="0"/>
        <v>0.02</v>
      </c>
      <c r="G15" s="87">
        <v>75</v>
      </c>
      <c r="H15" s="7">
        <v>0.03</v>
      </c>
      <c r="I15" s="7">
        <f>+SUM($H$12:H15)</f>
        <v>0.19</v>
      </c>
      <c r="J15" s="7">
        <f t="shared" si="1"/>
        <v>2.25</v>
      </c>
      <c r="L15" s="87">
        <v>80</v>
      </c>
      <c r="M15" s="7">
        <v>1.4999999999999999E-2</v>
      </c>
      <c r="N15" s="7">
        <f>+SUM($M$12:M15)</f>
        <v>0.14800000000000002</v>
      </c>
      <c r="O15" s="7">
        <f t="shared" si="2"/>
        <v>1.2</v>
      </c>
      <c r="Q15" s="87">
        <v>100</v>
      </c>
      <c r="R15" s="7">
        <v>1E-3</v>
      </c>
      <c r="S15" s="7">
        <f>+SUM($R$11:R15)</f>
        <v>0.11</v>
      </c>
      <c r="T15" s="7">
        <f t="shared" si="3"/>
        <v>0.1</v>
      </c>
      <c r="V15" s="87">
        <v>200</v>
      </c>
      <c r="W15" s="7">
        <v>0.05</v>
      </c>
      <c r="X15" s="7">
        <f>+SUM($W$12:W15)</f>
        <v>0.39999999999999997</v>
      </c>
      <c r="Y15" s="7">
        <f t="shared" si="4"/>
        <v>10</v>
      </c>
    </row>
    <row r="16" spans="1:25">
      <c r="B16" s="87">
        <v>35</v>
      </c>
      <c r="C16" s="7">
        <v>1E-3</v>
      </c>
      <c r="D16" s="7">
        <f>+SUM(C$11:$C16)</f>
        <v>0.1245</v>
      </c>
      <c r="E16" s="7">
        <f t="shared" si="0"/>
        <v>3.5000000000000003E-2</v>
      </c>
      <c r="G16" s="87">
        <v>125</v>
      </c>
      <c r="H16" s="7">
        <v>0.01</v>
      </c>
      <c r="I16" s="7">
        <f>+SUM($H$12:H16)</f>
        <v>0.2</v>
      </c>
      <c r="J16" s="7">
        <f t="shared" si="1"/>
        <v>1.25</v>
      </c>
      <c r="L16" s="87">
        <v>150</v>
      </c>
      <c r="M16" s="7">
        <v>5.0000000000000001E-3</v>
      </c>
      <c r="N16" s="7">
        <f>+SUM($M$12:M16)</f>
        <v>0.15300000000000002</v>
      </c>
      <c r="O16" s="7">
        <f t="shared" si="2"/>
        <v>0.75</v>
      </c>
      <c r="Q16" s="87">
        <v>200</v>
      </c>
      <c r="R16" s="7">
        <v>5.0000000000000001E-4</v>
      </c>
      <c r="S16" s="7">
        <f>+SUM($R$11:R16)</f>
        <v>0.1105</v>
      </c>
      <c r="T16" s="7">
        <f t="shared" si="3"/>
        <v>0.1</v>
      </c>
      <c r="V16" s="87">
        <v>500</v>
      </c>
      <c r="W16" s="7">
        <v>0.02</v>
      </c>
      <c r="X16" s="7">
        <f>+SUM($W$12:W16)</f>
        <v>0.42</v>
      </c>
      <c r="Y16" s="7">
        <f t="shared" si="4"/>
        <v>10</v>
      </c>
    </row>
    <row r="17" spans="1:25">
      <c r="B17" s="87">
        <v>50</v>
      </c>
      <c r="C17" s="7">
        <v>1E-3</v>
      </c>
      <c r="D17" s="7">
        <f>+SUM(C$11:$C17)</f>
        <v>0.1255</v>
      </c>
      <c r="E17" s="7">
        <f t="shared" si="0"/>
        <v>0.05</v>
      </c>
      <c r="G17" s="87">
        <v>200</v>
      </c>
      <c r="H17" s="7">
        <v>0.01</v>
      </c>
      <c r="I17" s="7">
        <f>+SUM($H$12:H17)</f>
        <v>0.21000000000000002</v>
      </c>
      <c r="J17" s="7">
        <f t="shared" si="1"/>
        <v>2</v>
      </c>
      <c r="L17" s="87">
        <v>300</v>
      </c>
      <c r="M17" s="7">
        <v>5.0000000000000001E-3</v>
      </c>
      <c r="N17" s="7">
        <f>+SUM($M$12:M17)</f>
        <v>0.15800000000000003</v>
      </c>
      <c r="O17" s="7">
        <f t="shared" si="2"/>
        <v>1.5</v>
      </c>
      <c r="Q17" s="87">
        <v>500</v>
      </c>
      <c r="R17" s="7">
        <v>2.0000000000000001E-4</v>
      </c>
      <c r="S17" s="7">
        <f>+SUM($R$11:R17)</f>
        <v>0.11070000000000001</v>
      </c>
      <c r="T17" s="7">
        <f t="shared" si="3"/>
        <v>0.1</v>
      </c>
      <c r="V17" s="87">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22" t="s">
        <v>111</v>
      </c>
      <c r="B21" s="122"/>
      <c r="C21" s="122"/>
      <c r="D21" s="122"/>
      <c r="E21" s="122"/>
    </row>
    <row r="22" spans="1:25" ht="15" thickBot="1"/>
    <row r="23" spans="1:25" ht="15" thickBot="1">
      <c r="A23" s="30" t="s">
        <v>112</v>
      </c>
      <c r="B23" s="76">
        <f>+Summary!E7</f>
        <v>100</v>
      </c>
    </row>
    <row r="24" spans="1:25">
      <c r="A24" s="49" t="s">
        <v>113</v>
      </c>
      <c r="B24" s="77"/>
    </row>
    <row r="25" spans="1:25">
      <c r="A25" s="78" t="s">
        <v>114</v>
      </c>
    </row>
    <row r="26" spans="1:25">
      <c r="A26" s="78" t="s">
        <v>115</v>
      </c>
    </row>
    <row r="27" spans="1:25">
      <c r="A27" t="s">
        <v>116</v>
      </c>
    </row>
    <row r="28" spans="1:25">
      <c r="A28" s="24" t="s">
        <v>117</v>
      </c>
    </row>
    <row r="29" spans="1:25">
      <c r="A29" s="24" t="s">
        <v>118</v>
      </c>
    </row>
    <row r="30" spans="1:25">
      <c r="A30" s="51" t="s">
        <v>155</v>
      </c>
    </row>
    <row r="31" spans="1:25" ht="15" thickBot="1"/>
    <row r="32" spans="1:25">
      <c r="A32" s="25" t="s">
        <v>119</v>
      </c>
      <c r="B32" s="1" t="s">
        <v>120</v>
      </c>
      <c r="C32" s="1" t="s">
        <v>121</v>
      </c>
      <c r="D32" s="1" t="s">
        <v>7</v>
      </c>
      <c r="F32" s="59" t="s">
        <v>159</v>
      </c>
      <c r="G32" s="61">
        <f>+SUMPRODUCT(B33:B37,C33:C37)</f>
        <v>0.14499999999999999</v>
      </c>
    </row>
    <row r="33" spans="1:7" ht="15" thickBot="1">
      <c r="B33" s="7">
        <v>1</v>
      </c>
      <c r="C33" s="7">
        <v>0.01</v>
      </c>
      <c r="D33" s="7">
        <f>+B33*C33</f>
        <v>0.01</v>
      </c>
      <c r="F33" s="37" t="s">
        <v>160</v>
      </c>
      <c r="G33" s="67">
        <f>+B23/G32</f>
        <v>689.65517241379314</v>
      </c>
    </row>
    <row r="34" spans="1:7">
      <c r="B34" s="7">
        <v>2</v>
      </c>
      <c r="C34" s="7">
        <v>0.02</v>
      </c>
      <c r="D34" s="7">
        <f t="shared" ref="D34:D36" si="5">+B34*C34</f>
        <v>0.04</v>
      </c>
    </row>
    <row r="35" spans="1:7">
      <c r="B35" s="7">
        <v>3</v>
      </c>
      <c r="C35" s="7">
        <v>0.01</v>
      </c>
      <c r="D35" s="7">
        <f t="shared" si="5"/>
        <v>0.03</v>
      </c>
    </row>
    <row r="36" spans="1:7">
      <c r="B36" s="7">
        <v>4</v>
      </c>
      <c r="C36" s="7">
        <v>0.01</v>
      </c>
      <c r="D36" s="7">
        <f t="shared" si="5"/>
        <v>0.04</v>
      </c>
    </row>
    <row r="37" spans="1:7">
      <c r="B37" s="7">
        <v>5</v>
      </c>
      <c r="C37" s="7">
        <v>5.0000000000000001E-3</v>
      </c>
      <c r="D37" s="7">
        <f>+B37*C37</f>
        <v>2.5000000000000001E-2</v>
      </c>
    </row>
    <row r="38" spans="1:7">
      <c r="B38" s="4" t="s">
        <v>34</v>
      </c>
      <c r="C38" s="4">
        <f>+SUM(C33:C37)</f>
        <v>5.5E-2</v>
      </c>
      <c r="D38" s="4">
        <f>+SUM(D33:D37)</f>
        <v>0.14499999999999999</v>
      </c>
      <c r="E38" t="s">
        <v>122</v>
      </c>
    </row>
    <row r="40" spans="1:7">
      <c r="A40" t="s">
        <v>123</v>
      </c>
    </row>
    <row r="42" spans="1:7">
      <c r="A42" s="25" t="s">
        <v>124</v>
      </c>
      <c r="B42" s="1" t="s">
        <v>120</v>
      </c>
      <c r="C42" s="1" t="s">
        <v>121</v>
      </c>
      <c r="D42" s="1" t="s">
        <v>7</v>
      </c>
    </row>
    <row r="43" spans="1:7">
      <c r="B43" s="7">
        <v>1</v>
      </c>
      <c r="C43" s="7">
        <f>+SUMPRODUCT(B33:B37,C33:C37)</f>
        <v>0.14499999999999999</v>
      </c>
      <c r="D43" s="7">
        <f>+C43*B43</f>
        <v>0.14499999999999999</v>
      </c>
    </row>
    <row r="44" spans="1:7">
      <c r="B44" s="4" t="s">
        <v>34</v>
      </c>
      <c r="C44" s="4">
        <f>+SUM(C43)</f>
        <v>0.14499999999999999</v>
      </c>
      <c r="D44" s="4">
        <f>+D43</f>
        <v>0.14499999999999999</v>
      </c>
    </row>
    <row r="46" spans="1:7">
      <c r="A46" s="25" t="s">
        <v>125</v>
      </c>
    </row>
    <row r="47" spans="1:7">
      <c r="A47" t="s">
        <v>126</v>
      </c>
    </row>
    <row r="48" spans="1:7">
      <c r="A48" t="s">
        <v>127</v>
      </c>
    </row>
    <row r="49" spans="1:6">
      <c r="A49" s="24" t="s">
        <v>128</v>
      </c>
    </row>
    <row r="51" spans="1:6">
      <c r="A51" t="s">
        <v>129</v>
      </c>
    </row>
    <row r="53" spans="1:6">
      <c r="B53" s="25" t="s">
        <v>130</v>
      </c>
      <c r="C53" s="25" t="s">
        <v>131</v>
      </c>
    </row>
    <row r="54" spans="1:6">
      <c r="B54" s="1" t="s">
        <v>120</v>
      </c>
      <c r="C54" s="1" t="s">
        <v>121</v>
      </c>
      <c r="D54" s="79" t="s">
        <v>132</v>
      </c>
      <c r="E54" s="1" t="s">
        <v>133</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9"/>
      <c r="C61" s="49"/>
      <c r="D61" s="49"/>
      <c r="E61" s="49"/>
      <c r="F61" s="49"/>
    </row>
    <row r="62" spans="1:6">
      <c r="B62" s="25" t="s">
        <v>134</v>
      </c>
      <c r="C62" s="25" t="s">
        <v>135</v>
      </c>
    </row>
    <row r="63" spans="1:6">
      <c r="B63" s="1" t="s">
        <v>120</v>
      </c>
      <c r="C63" s="1" t="s">
        <v>121</v>
      </c>
      <c r="D63" s="79" t="s">
        <v>132</v>
      </c>
      <c r="E63" s="1" t="s">
        <v>133</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136</v>
      </c>
    </row>
    <row r="73" spans="1:6">
      <c r="A73" t="s">
        <v>137</v>
      </c>
    </row>
    <row r="74" spans="1:6">
      <c r="A74" t="s">
        <v>138</v>
      </c>
    </row>
  </sheetData>
  <mergeCells count="8">
    <mergeCell ref="V10:Y10"/>
    <mergeCell ref="A1:E1"/>
    <mergeCell ref="A8:E8"/>
    <mergeCell ref="A21:E21"/>
    <mergeCell ref="B10:E10"/>
    <mergeCell ref="G10:J10"/>
    <mergeCell ref="L10:O10"/>
    <mergeCell ref="Q10:T10"/>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16"/>
  <dimension ref="A1:Y74"/>
  <sheetViews>
    <sheetView workbookViewId="0">
      <selection sqref="A1:E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21" t="s">
        <v>104</v>
      </c>
      <c r="B1" s="121"/>
      <c r="C1" s="121"/>
      <c r="D1" s="121"/>
      <c r="E1" s="121"/>
    </row>
    <row r="2" spans="1:25">
      <c r="A2" t="s">
        <v>105</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106</v>
      </c>
    </row>
    <row r="5" spans="1:25">
      <c r="A5" t="s">
        <v>107</v>
      </c>
    </row>
    <row r="6" spans="1:25">
      <c r="A6" s="25" t="s">
        <v>108</v>
      </c>
    </row>
    <row r="8" spans="1:25" ht="18">
      <c r="A8" s="122" t="s">
        <v>109</v>
      </c>
      <c r="B8" s="122"/>
      <c r="C8" s="122"/>
      <c r="D8" s="122"/>
      <c r="E8" s="122"/>
    </row>
    <row r="9" spans="1:25" ht="15" thickBot="1"/>
    <row r="10" spans="1:25" ht="15" thickBot="1">
      <c r="B10" s="118" t="s">
        <v>13</v>
      </c>
      <c r="C10" s="119"/>
      <c r="D10" s="119"/>
      <c r="E10" s="120"/>
      <c r="G10" s="118" t="s">
        <v>54</v>
      </c>
      <c r="H10" s="119"/>
      <c r="I10" s="119"/>
      <c r="J10" s="120"/>
      <c r="L10" s="118" t="s">
        <v>55</v>
      </c>
      <c r="M10" s="119"/>
      <c r="N10" s="119"/>
      <c r="O10" s="120"/>
      <c r="Q10" s="118" t="s">
        <v>56</v>
      </c>
      <c r="R10" s="119"/>
      <c r="S10" s="119"/>
      <c r="T10" s="120"/>
      <c r="V10" s="118" t="s">
        <v>57</v>
      </c>
      <c r="W10" s="119"/>
      <c r="X10" s="119"/>
      <c r="Y10" s="120"/>
    </row>
    <row r="11" spans="1:25">
      <c r="A11" s="25" t="s">
        <v>110</v>
      </c>
      <c r="B11" s="86" t="s">
        <v>44</v>
      </c>
      <c r="C11" s="86" t="s">
        <v>2</v>
      </c>
      <c r="D11" s="86" t="s">
        <v>3</v>
      </c>
      <c r="E11" s="86" t="s">
        <v>7</v>
      </c>
      <c r="G11" s="1" t="s">
        <v>44</v>
      </c>
      <c r="H11" s="1" t="s">
        <v>2</v>
      </c>
      <c r="I11" s="1" t="s">
        <v>3</v>
      </c>
      <c r="J11" s="1" t="s">
        <v>154</v>
      </c>
      <c r="L11" s="1" t="s">
        <v>44</v>
      </c>
      <c r="M11" s="1" t="s">
        <v>2</v>
      </c>
      <c r="N11" s="1" t="s">
        <v>3</v>
      </c>
      <c r="O11" s="1" t="s">
        <v>154</v>
      </c>
      <c r="Q11" s="1" t="s">
        <v>44</v>
      </c>
      <c r="R11" s="1" t="s">
        <v>2</v>
      </c>
      <c r="S11" s="1" t="s">
        <v>3</v>
      </c>
      <c r="T11" s="1" t="s">
        <v>154</v>
      </c>
      <c r="V11" s="1" t="s">
        <v>44</v>
      </c>
      <c r="W11" s="1" t="s">
        <v>2</v>
      </c>
      <c r="X11" s="1" t="s">
        <v>3</v>
      </c>
      <c r="Y11" s="1" t="s">
        <v>154</v>
      </c>
    </row>
    <row r="12" spans="1:25">
      <c r="B12" s="87">
        <v>5</v>
      </c>
      <c r="C12" s="7">
        <v>8.3000000000000004E-2</v>
      </c>
      <c r="D12" s="7">
        <f>+SUM(C$11:$C12)</f>
        <v>8.3000000000000004E-2</v>
      </c>
      <c r="E12" s="7">
        <f t="shared" ref="E12:E17" si="0">+B12*C12</f>
        <v>0.41500000000000004</v>
      </c>
      <c r="G12" s="87">
        <v>20</v>
      </c>
      <c r="H12" s="7">
        <v>7.0000000000000007E-2</v>
      </c>
      <c r="I12" s="7">
        <f>+SUM($H$12:H12)</f>
        <v>7.0000000000000007E-2</v>
      </c>
      <c r="J12" s="7">
        <f t="shared" ref="J12:J17" si="1">+G12*H12</f>
        <v>1.4000000000000001</v>
      </c>
      <c r="L12" s="87">
        <v>25</v>
      </c>
      <c r="M12" s="7">
        <v>0.06</v>
      </c>
      <c r="N12" s="7">
        <f>+SUM($M$12:M12)</f>
        <v>0.06</v>
      </c>
      <c r="O12" s="7">
        <f t="shared" ref="O12:O17" si="2">+L12*M12</f>
        <v>1.5</v>
      </c>
      <c r="Q12" s="87">
        <v>30</v>
      </c>
      <c r="R12" s="7">
        <v>0.06</v>
      </c>
      <c r="S12" s="7">
        <f>+SUM($R$11:R12)</f>
        <v>0.06</v>
      </c>
      <c r="T12" s="7">
        <f t="shared" ref="T12:T17" si="3">+Q12*R12</f>
        <v>1.7999999999999998</v>
      </c>
      <c r="V12" s="87">
        <v>50</v>
      </c>
      <c r="W12" s="7">
        <v>0.15</v>
      </c>
      <c r="X12" s="7">
        <f>+SUM($W$12:W12)</f>
        <v>0.15</v>
      </c>
      <c r="Y12" s="7">
        <f t="shared" ref="Y12:Y17" si="4">+V12*W12</f>
        <v>7.5</v>
      </c>
    </row>
    <row r="13" spans="1:25">
      <c r="B13" s="87">
        <v>10</v>
      </c>
      <c r="C13" s="7">
        <v>3.15E-2</v>
      </c>
      <c r="D13" s="7">
        <f>+SUM(C$11:$C13)</f>
        <v>0.1145</v>
      </c>
      <c r="E13" s="7">
        <f t="shared" si="0"/>
        <v>0.315</v>
      </c>
      <c r="G13" s="87">
        <v>30</v>
      </c>
      <c r="H13" s="7">
        <v>0.05</v>
      </c>
      <c r="I13" s="7">
        <f>+SUM($H$12:H13)</f>
        <v>0.12000000000000001</v>
      </c>
      <c r="J13" s="7">
        <f t="shared" si="1"/>
        <v>1.5</v>
      </c>
      <c r="L13" s="87">
        <v>35</v>
      </c>
      <c r="M13" s="7">
        <v>0.04</v>
      </c>
      <c r="N13" s="7">
        <f>+SUM($M$12:M13)</f>
        <v>0.1</v>
      </c>
      <c r="O13" s="7">
        <f t="shared" si="2"/>
        <v>1.4000000000000001</v>
      </c>
      <c r="Q13" s="87">
        <v>50</v>
      </c>
      <c r="R13" s="7">
        <v>3.1E-2</v>
      </c>
      <c r="S13" s="7">
        <f>+SUM($R$11:R13)</f>
        <v>9.0999999999999998E-2</v>
      </c>
      <c r="T13" s="7">
        <f t="shared" si="3"/>
        <v>1.55</v>
      </c>
      <c r="V13" s="87">
        <v>75</v>
      </c>
      <c r="W13" s="7">
        <v>0.1</v>
      </c>
      <c r="X13" s="7">
        <f>+SUM($W$12:W13)</f>
        <v>0.25</v>
      </c>
      <c r="Y13" s="7">
        <f t="shared" si="4"/>
        <v>7.5</v>
      </c>
    </row>
    <row r="14" spans="1:25">
      <c r="B14" s="87">
        <v>15</v>
      </c>
      <c r="C14" s="7">
        <v>8.0000000000000002E-3</v>
      </c>
      <c r="D14" s="7">
        <f>+SUM(C$11:$C14)</f>
        <v>0.1225</v>
      </c>
      <c r="E14" s="7">
        <f t="shared" si="0"/>
        <v>0.12</v>
      </c>
      <c r="G14" s="87">
        <v>40</v>
      </c>
      <c r="H14" s="7">
        <v>0.04</v>
      </c>
      <c r="I14" s="7">
        <f>+SUM($H$12:H14)</f>
        <v>0.16</v>
      </c>
      <c r="J14" s="7">
        <f t="shared" si="1"/>
        <v>1.6</v>
      </c>
      <c r="L14" s="87">
        <v>50</v>
      </c>
      <c r="M14" s="7">
        <v>3.3000000000000002E-2</v>
      </c>
      <c r="N14" s="7">
        <f>+SUM($M$12:M14)</f>
        <v>0.13300000000000001</v>
      </c>
      <c r="O14" s="7">
        <f t="shared" si="2"/>
        <v>1.6500000000000001</v>
      </c>
      <c r="Q14" s="87">
        <v>75</v>
      </c>
      <c r="R14" s="7">
        <v>1.7999999999999999E-2</v>
      </c>
      <c r="S14" s="7">
        <f>+SUM($R$11:R14)</f>
        <v>0.109</v>
      </c>
      <c r="T14" s="7">
        <f t="shared" si="3"/>
        <v>1.3499999999999999</v>
      </c>
      <c r="V14" s="87">
        <v>100</v>
      </c>
      <c r="W14" s="7">
        <v>0.1</v>
      </c>
      <c r="X14" s="7">
        <f>+SUM($W$12:W14)</f>
        <v>0.35</v>
      </c>
      <c r="Y14" s="7">
        <f t="shared" si="4"/>
        <v>10</v>
      </c>
    </row>
    <row r="15" spans="1:25">
      <c r="B15" s="87">
        <v>20</v>
      </c>
      <c r="C15" s="7">
        <v>1E-3</v>
      </c>
      <c r="D15" s="7">
        <f>+SUM(C$11:$C15)</f>
        <v>0.1235</v>
      </c>
      <c r="E15" s="7">
        <f t="shared" si="0"/>
        <v>0.02</v>
      </c>
      <c r="G15" s="87">
        <v>75</v>
      </c>
      <c r="H15" s="7">
        <v>0.03</v>
      </c>
      <c r="I15" s="7">
        <f>+SUM($H$12:H15)</f>
        <v>0.19</v>
      </c>
      <c r="J15" s="7">
        <f t="shared" si="1"/>
        <v>2.25</v>
      </c>
      <c r="L15" s="87">
        <v>80</v>
      </c>
      <c r="M15" s="7">
        <v>1.4999999999999999E-2</v>
      </c>
      <c r="N15" s="7">
        <f>+SUM($M$12:M15)</f>
        <v>0.14800000000000002</v>
      </c>
      <c r="O15" s="7">
        <f t="shared" si="2"/>
        <v>1.2</v>
      </c>
      <c r="Q15" s="87">
        <v>100</v>
      </c>
      <c r="R15" s="7">
        <v>1E-3</v>
      </c>
      <c r="S15" s="7">
        <f>+SUM($R$11:R15)</f>
        <v>0.11</v>
      </c>
      <c r="T15" s="7">
        <f t="shared" si="3"/>
        <v>0.1</v>
      </c>
      <c r="V15" s="87">
        <v>200</v>
      </c>
      <c r="W15" s="7">
        <v>0.05</v>
      </c>
      <c r="X15" s="7">
        <f>+SUM($W$12:W15)</f>
        <v>0.39999999999999997</v>
      </c>
      <c r="Y15" s="7">
        <f t="shared" si="4"/>
        <v>10</v>
      </c>
    </row>
    <row r="16" spans="1:25">
      <c r="B16" s="87">
        <v>35</v>
      </c>
      <c r="C16" s="7">
        <v>1E-3</v>
      </c>
      <c r="D16" s="7">
        <f>+SUM(C$11:$C16)</f>
        <v>0.1245</v>
      </c>
      <c r="E16" s="7">
        <f t="shared" si="0"/>
        <v>3.5000000000000003E-2</v>
      </c>
      <c r="G16" s="87">
        <v>125</v>
      </c>
      <c r="H16" s="7">
        <v>0.01</v>
      </c>
      <c r="I16" s="7">
        <f>+SUM($H$12:H16)</f>
        <v>0.2</v>
      </c>
      <c r="J16" s="7">
        <f t="shared" si="1"/>
        <v>1.25</v>
      </c>
      <c r="L16" s="87">
        <v>150</v>
      </c>
      <c r="M16" s="7">
        <v>5.0000000000000001E-3</v>
      </c>
      <c r="N16" s="7">
        <f>+SUM($M$12:M16)</f>
        <v>0.15300000000000002</v>
      </c>
      <c r="O16" s="7">
        <f t="shared" si="2"/>
        <v>0.75</v>
      </c>
      <c r="Q16" s="87">
        <v>200</v>
      </c>
      <c r="R16" s="7">
        <v>5.0000000000000001E-4</v>
      </c>
      <c r="S16" s="7">
        <f>+SUM($R$11:R16)</f>
        <v>0.1105</v>
      </c>
      <c r="T16" s="7">
        <f t="shared" si="3"/>
        <v>0.1</v>
      </c>
      <c r="V16" s="87">
        <v>500</v>
      </c>
      <c r="W16" s="7">
        <v>0.02</v>
      </c>
      <c r="X16" s="7">
        <f>+SUM($W$12:W16)</f>
        <v>0.42</v>
      </c>
      <c r="Y16" s="7">
        <f t="shared" si="4"/>
        <v>10</v>
      </c>
    </row>
    <row r="17" spans="1:25">
      <c r="B17" s="87">
        <v>50</v>
      </c>
      <c r="C17" s="7">
        <v>1E-3</v>
      </c>
      <c r="D17" s="7">
        <f>+SUM(C$11:$C17)</f>
        <v>0.1255</v>
      </c>
      <c r="E17" s="7">
        <f t="shared" si="0"/>
        <v>0.05</v>
      </c>
      <c r="G17" s="87">
        <v>200</v>
      </c>
      <c r="H17" s="7">
        <v>0.01</v>
      </c>
      <c r="I17" s="7">
        <f>+SUM($H$12:H17)</f>
        <v>0.21000000000000002</v>
      </c>
      <c r="J17" s="7">
        <f t="shared" si="1"/>
        <v>2</v>
      </c>
      <c r="L17" s="87">
        <v>300</v>
      </c>
      <c r="M17" s="7">
        <v>5.0000000000000001E-3</v>
      </c>
      <c r="N17" s="7">
        <f>+SUM($M$12:M17)</f>
        <v>0.15800000000000003</v>
      </c>
      <c r="O17" s="7">
        <f t="shared" si="2"/>
        <v>1.5</v>
      </c>
      <c r="Q17" s="87">
        <v>500</v>
      </c>
      <c r="R17" s="7">
        <v>2.0000000000000001E-4</v>
      </c>
      <c r="S17" s="7">
        <f>+SUM($R$11:R17)</f>
        <v>0.11070000000000001</v>
      </c>
      <c r="T17" s="7">
        <f t="shared" si="3"/>
        <v>0.1</v>
      </c>
      <c r="V17" s="87">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22" t="s">
        <v>111</v>
      </c>
      <c r="B21" s="122"/>
      <c r="C21" s="122"/>
      <c r="D21" s="122"/>
      <c r="E21" s="122"/>
    </row>
    <row r="22" spans="1:25" ht="15" thickBot="1"/>
    <row r="23" spans="1:25" ht="15" thickBot="1">
      <c r="A23" s="30" t="s">
        <v>112</v>
      </c>
      <c r="B23" s="76">
        <f>+Summary!E7</f>
        <v>100</v>
      </c>
    </row>
    <row r="24" spans="1:25">
      <c r="A24" s="49" t="s">
        <v>113</v>
      </c>
      <c r="B24" s="77"/>
    </row>
    <row r="25" spans="1:25">
      <c r="A25" s="78" t="s">
        <v>114</v>
      </c>
    </row>
    <row r="26" spans="1:25">
      <c r="A26" s="78" t="s">
        <v>115</v>
      </c>
    </row>
    <row r="27" spans="1:25">
      <c r="A27" t="s">
        <v>116</v>
      </c>
    </row>
    <row r="28" spans="1:25">
      <c r="A28" s="24" t="s">
        <v>117</v>
      </c>
    </row>
    <row r="29" spans="1:25">
      <c r="A29" s="24" t="s">
        <v>118</v>
      </c>
    </row>
    <row r="30" spans="1:25">
      <c r="A30" s="51" t="s">
        <v>155</v>
      </c>
    </row>
    <row r="31" spans="1:25" ht="15" thickBot="1"/>
    <row r="32" spans="1:25">
      <c r="A32" s="25" t="s">
        <v>119</v>
      </c>
      <c r="B32" s="1" t="s">
        <v>120</v>
      </c>
      <c r="C32" s="1" t="s">
        <v>121</v>
      </c>
      <c r="D32" s="1" t="s">
        <v>7</v>
      </c>
      <c r="F32" s="59" t="s">
        <v>159</v>
      </c>
      <c r="G32" s="61">
        <f>+SUMPRODUCT(B33:B37,C33:C37)</f>
        <v>0.1</v>
      </c>
    </row>
    <row r="33" spans="1:7" ht="15" thickBot="1">
      <c r="B33" s="7">
        <v>1</v>
      </c>
      <c r="C33" s="7">
        <v>0.01</v>
      </c>
      <c r="D33" s="7">
        <f>+B33*C33</f>
        <v>0.01</v>
      </c>
      <c r="F33" s="37" t="s">
        <v>160</v>
      </c>
      <c r="G33" s="67">
        <f>+B23/G32</f>
        <v>1000</v>
      </c>
    </row>
    <row r="34" spans="1:7">
      <c r="B34" s="7">
        <v>2</v>
      </c>
      <c r="C34" s="7">
        <v>1.4999999999999999E-2</v>
      </c>
      <c r="D34" s="7">
        <f t="shared" ref="D34:D36" si="5">+B34*C34</f>
        <v>0.03</v>
      </c>
    </row>
    <row r="35" spans="1:7">
      <c r="B35" s="7">
        <v>3</v>
      </c>
      <c r="C35" s="7">
        <v>5.0000000000000001E-3</v>
      </c>
      <c r="D35" s="7">
        <f t="shared" si="5"/>
        <v>1.4999999999999999E-2</v>
      </c>
    </row>
    <row r="36" spans="1:7">
      <c r="B36" s="7">
        <v>4</v>
      </c>
      <c r="C36" s="7">
        <v>5.0000000000000001E-3</v>
      </c>
      <c r="D36" s="7">
        <f t="shared" si="5"/>
        <v>0.02</v>
      </c>
    </row>
    <row r="37" spans="1:7">
      <c r="B37" s="7">
        <v>5</v>
      </c>
      <c r="C37" s="7">
        <v>5.0000000000000001E-3</v>
      </c>
      <c r="D37" s="7">
        <f>+B37*C37</f>
        <v>2.5000000000000001E-2</v>
      </c>
    </row>
    <row r="38" spans="1:7">
      <c r="B38" s="4" t="s">
        <v>34</v>
      </c>
      <c r="C38" s="4">
        <f>+SUM(C33:C37)</f>
        <v>0.04</v>
      </c>
      <c r="D38" s="4">
        <f>+SUM(D33:D37)</f>
        <v>0.1</v>
      </c>
      <c r="E38" t="s">
        <v>122</v>
      </c>
    </row>
    <row r="40" spans="1:7">
      <c r="A40" t="s">
        <v>123</v>
      </c>
    </row>
    <row r="42" spans="1:7">
      <c r="A42" s="25" t="s">
        <v>124</v>
      </c>
      <c r="B42" s="1" t="s">
        <v>120</v>
      </c>
      <c r="C42" s="1" t="s">
        <v>121</v>
      </c>
      <c r="D42" s="1" t="s">
        <v>7</v>
      </c>
    </row>
    <row r="43" spans="1:7">
      <c r="B43" s="7">
        <v>1</v>
      </c>
      <c r="C43" s="7">
        <f>+D38</f>
        <v>0.1</v>
      </c>
      <c r="D43" s="7">
        <f>+C43*B43</f>
        <v>0.1</v>
      </c>
    </row>
    <row r="44" spans="1:7">
      <c r="B44" s="4" t="s">
        <v>34</v>
      </c>
      <c r="C44" s="4">
        <f>+SUM(C43)</f>
        <v>0.1</v>
      </c>
      <c r="D44" s="4">
        <f>+D43</f>
        <v>0.1</v>
      </c>
    </row>
    <row r="46" spans="1:7">
      <c r="A46" s="25" t="s">
        <v>125</v>
      </c>
    </row>
    <row r="47" spans="1:7">
      <c r="A47" t="s">
        <v>126</v>
      </c>
    </row>
    <row r="48" spans="1:7">
      <c r="A48" t="s">
        <v>127</v>
      </c>
    </row>
    <row r="49" spans="1:6">
      <c r="A49" s="24" t="s">
        <v>128</v>
      </c>
    </row>
    <row r="51" spans="1:6">
      <c r="A51" t="s">
        <v>129</v>
      </c>
    </row>
    <row r="53" spans="1:6">
      <c r="B53" s="25" t="s">
        <v>130</v>
      </c>
      <c r="C53" s="25" t="s">
        <v>131</v>
      </c>
    </row>
    <row r="54" spans="1:6">
      <c r="B54" s="1" t="s">
        <v>120</v>
      </c>
      <c r="C54" s="1" t="s">
        <v>121</v>
      </c>
      <c r="D54" s="79" t="s">
        <v>132</v>
      </c>
      <c r="E54" s="1" t="s">
        <v>133</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9"/>
      <c r="C61" s="49"/>
      <c r="D61" s="49"/>
      <c r="E61" s="49"/>
      <c r="F61" s="49"/>
    </row>
    <row r="62" spans="1:6">
      <c r="B62" s="25" t="s">
        <v>134</v>
      </c>
      <c r="C62" s="25" t="s">
        <v>135</v>
      </c>
    </row>
    <row r="63" spans="1:6">
      <c r="B63" s="1" t="s">
        <v>120</v>
      </c>
      <c r="C63" s="1" t="s">
        <v>121</v>
      </c>
      <c r="D63" s="79" t="s">
        <v>132</v>
      </c>
      <c r="E63" s="1" t="s">
        <v>133</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136</v>
      </c>
    </row>
    <row r="73" spans="1:6">
      <c r="A73" t="s">
        <v>137</v>
      </c>
    </row>
    <row r="74" spans="1:6">
      <c r="A74" t="s">
        <v>138</v>
      </c>
    </row>
  </sheetData>
  <mergeCells count="8">
    <mergeCell ref="Q10:T10"/>
    <mergeCell ref="V10:Y10"/>
    <mergeCell ref="A1:E1"/>
    <mergeCell ref="A8:E8"/>
    <mergeCell ref="A21:E21"/>
    <mergeCell ref="B10:E10"/>
    <mergeCell ref="G10:J10"/>
    <mergeCell ref="L10:O1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Hoja1"/>
  <dimension ref="A1:AN26"/>
  <sheetViews>
    <sheetView workbookViewId="0">
      <pane xSplit="6" ySplit="1" topLeftCell="G2" activePane="bottomRight" state="frozen"/>
      <selection pane="topRight" activeCell="G1" sqref="G1"/>
      <selection pane="bottomLeft" activeCell="A2" sqref="A2"/>
      <selection pane="bottomRight" activeCell="A10" sqref="A10"/>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17</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0.21300813008130121</v>
      </c>
      <c r="C3" s="7">
        <f>1/B3/Summary!$C$7</f>
        <v>4.6946564885496098E-3</v>
      </c>
      <c r="D3" s="85">
        <f>+K10</f>
        <v>3.0749999999999944</v>
      </c>
      <c r="E3" s="7">
        <v>0.65500000000000003</v>
      </c>
      <c r="G3" s="2">
        <v>1</v>
      </c>
      <c r="H3" s="9">
        <v>0.5</v>
      </c>
      <c r="I3" s="6">
        <f>+SUM($H3:H3)</f>
        <v>0.5</v>
      </c>
      <c r="J3" s="15">
        <v>2</v>
      </c>
      <c r="K3" s="3">
        <f>+H3*J3</f>
        <v>1</v>
      </c>
      <c r="L3" s="11">
        <v>0</v>
      </c>
      <c r="N3" s="2">
        <v>1</v>
      </c>
      <c r="O3" s="9">
        <v>0.2</v>
      </c>
      <c r="P3" s="6">
        <f>+SUM($O3:O$3)</f>
        <v>0.2</v>
      </c>
      <c r="Q3" s="3">
        <f>+J3</f>
        <v>2</v>
      </c>
      <c r="R3" s="3">
        <f>+O3*Q3</f>
        <v>0.4</v>
      </c>
      <c r="S3" s="11">
        <v>0</v>
      </c>
      <c r="U3" s="2">
        <v>1</v>
      </c>
      <c r="V3" s="9">
        <v>0.15</v>
      </c>
      <c r="W3" s="6">
        <f>+SUM($V3:V$3)</f>
        <v>0.15</v>
      </c>
      <c r="X3" s="3">
        <f>+J3</f>
        <v>2</v>
      </c>
      <c r="Y3" s="3">
        <f>+V3*X3</f>
        <v>0.3</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148</v>
      </c>
      <c r="B4" s="7">
        <f>+E4/D4</f>
        <v>0.6535947712418303</v>
      </c>
      <c r="C4" s="7">
        <v>0</v>
      </c>
      <c r="D4" s="16">
        <f>+R10</f>
        <v>7.6499999999999977</v>
      </c>
      <c r="E4" s="7">
        <v>5</v>
      </c>
      <c r="G4" s="2">
        <v>2</v>
      </c>
      <c r="H4" s="9">
        <v>0.32</v>
      </c>
      <c r="I4" s="6">
        <f>+SUM($H$3:H4)</f>
        <v>0.82000000000000006</v>
      </c>
      <c r="J4" s="15">
        <v>3</v>
      </c>
      <c r="K4" s="3">
        <f t="shared" ref="K4:K9" si="0">+H4*J4</f>
        <v>0.96</v>
      </c>
      <c r="L4" s="11">
        <v>0</v>
      </c>
      <c r="N4" s="2">
        <v>2</v>
      </c>
      <c r="O4" s="9">
        <v>0.25</v>
      </c>
      <c r="P4" s="6">
        <f>+SUM($O$3:O4)</f>
        <v>0.45</v>
      </c>
      <c r="Q4" s="3">
        <f t="shared" ref="Q4:Q9" si="1">+J4</f>
        <v>3</v>
      </c>
      <c r="R4" s="3">
        <f t="shared" ref="R4:R9" si="2">+O4*Q4</f>
        <v>0.75</v>
      </c>
      <c r="S4" s="11">
        <v>0</v>
      </c>
      <c r="U4" s="2">
        <v>2</v>
      </c>
      <c r="V4" s="9">
        <v>0.28000000000000003</v>
      </c>
      <c r="W4" s="6">
        <f>+SUM($V$3:V4)</f>
        <v>0.43000000000000005</v>
      </c>
      <c r="X4" s="3">
        <f t="shared" ref="X4:X9" si="3">+J4</f>
        <v>3</v>
      </c>
      <c r="Y4" s="3">
        <f t="shared" ref="Y4:Y9" si="4">+V4*X4</f>
        <v>0.84000000000000008</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0.85653104925053569</v>
      </c>
      <c r="C5" s="7">
        <v>0</v>
      </c>
      <c r="D5" s="16">
        <f>+Y10</f>
        <v>9.3399999999999963</v>
      </c>
      <c r="E5" s="7">
        <v>8</v>
      </c>
      <c r="G5" s="2">
        <v>3</v>
      </c>
      <c r="H5" s="9">
        <v>0.105</v>
      </c>
      <c r="I5" s="6">
        <f>+SUM($H$3:H5)</f>
        <v>0.92500000000000004</v>
      </c>
      <c r="J5" s="15">
        <v>5</v>
      </c>
      <c r="K5" s="3">
        <f t="shared" si="0"/>
        <v>0.52500000000000002</v>
      </c>
      <c r="L5" s="11">
        <v>0</v>
      </c>
      <c r="N5" s="2">
        <v>3</v>
      </c>
      <c r="O5" s="9">
        <v>0.18</v>
      </c>
      <c r="P5" s="6">
        <f>+SUM($O$3:O5)</f>
        <v>0.63</v>
      </c>
      <c r="Q5" s="3">
        <f t="shared" si="1"/>
        <v>5</v>
      </c>
      <c r="R5" s="3">
        <f t="shared" si="2"/>
        <v>0.89999999999999991</v>
      </c>
      <c r="S5" s="11">
        <v>0</v>
      </c>
      <c r="U5" s="2">
        <v>3</v>
      </c>
      <c r="V5" s="9">
        <v>0.2</v>
      </c>
      <c r="W5" s="6">
        <f>+SUM($V$3:V5)</f>
        <v>0.63000000000000012</v>
      </c>
      <c r="X5" s="3">
        <f t="shared" si="3"/>
        <v>5</v>
      </c>
      <c r="Y5" s="3">
        <f t="shared" si="4"/>
        <v>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0.95510983763132773</v>
      </c>
      <c r="C6" s="7">
        <v>0</v>
      </c>
      <c r="D6" s="16">
        <f>+AF10</f>
        <v>10.469999999999999</v>
      </c>
      <c r="E6" s="7">
        <v>10</v>
      </c>
      <c r="G6" s="2">
        <v>4</v>
      </c>
      <c r="H6" s="9">
        <v>7.0000000000000007E-2</v>
      </c>
      <c r="I6" s="6">
        <f>+SUM($H$3:H6)</f>
        <v>0.99500000000000011</v>
      </c>
      <c r="J6" s="15">
        <v>7</v>
      </c>
      <c r="K6" s="3">
        <f t="shared" si="0"/>
        <v>0.49000000000000005</v>
      </c>
      <c r="L6" s="11">
        <v>0</v>
      </c>
      <c r="N6" s="2">
        <v>4</v>
      </c>
      <c r="O6" s="9">
        <v>0.2</v>
      </c>
      <c r="P6" s="6">
        <f>+SUM($O$3:O6)</f>
        <v>0.83000000000000007</v>
      </c>
      <c r="Q6" s="3">
        <f t="shared" si="1"/>
        <v>7</v>
      </c>
      <c r="R6" s="3">
        <f t="shared" si="2"/>
        <v>1.4000000000000001</v>
      </c>
      <c r="S6" s="11">
        <v>0</v>
      </c>
      <c r="U6" s="2">
        <v>4</v>
      </c>
      <c r="V6" s="9">
        <v>0.1</v>
      </c>
      <c r="W6" s="6">
        <f>+SUM($V$3:V6)</f>
        <v>0.73000000000000009</v>
      </c>
      <c r="X6" s="3">
        <f t="shared" si="3"/>
        <v>7</v>
      </c>
      <c r="Y6" s="3">
        <f t="shared" si="4"/>
        <v>0.70000000000000007</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0</v>
      </c>
      <c r="N7" s="2">
        <v>5</v>
      </c>
      <c r="O7" s="9">
        <v>0.1</v>
      </c>
      <c r="P7" s="6">
        <f>+SUM($O$3:O7)</f>
        <v>0.93</v>
      </c>
      <c r="Q7" s="3">
        <f t="shared" si="1"/>
        <v>10</v>
      </c>
      <c r="R7" s="3">
        <f t="shared" si="2"/>
        <v>1</v>
      </c>
      <c r="S7" s="11">
        <v>0</v>
      </c>
      <c r="U7" s="2">
        <v>5</v>
      </c>
      <c r="V7" s="9">
        <v>0.1</v>
      </c>
      <c r="W7" s="6">
        <f>+SUM($V$3:V7)</f>
        <v>0.83000000000000007</v>
      </c>
      <c r="X7" s="3">
        <f t="shared" si="3"/>
        <v>10</v>
      </c>
      <c r="Y7" s="3">
        <f t="shared" si="4"/>
        <v>1</v>
      </c>
      <c r="Z7" s="11">
        <v>0</v>
      </c>
      <c r="AB7" s="2">
        <v>5</v>
      </c>
      <c r="AC7" s="9">
        <v>0.6</v>
      </c>
      <c r="AD7" s="6">
        <f>+SUM($AC$3:AC7)</f>
        <v>0.89</v>
      </c>
      <c r="AE7" s="3">
        <f t="shared" si="5"/>
        <v>10</v>
      </c>
      <c r="AF7" s="3">
        <f t="shared" si="6"/>
        <v>6</v>
      </c>
      <c r="AG7" s="11">
        <v>0</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0.1</v>
      </c>
      <c r="W8" s="6">
        <f>+SUM($V$3:V8)</f>
        <v>0.93</v>
      </c>
      <c r="X8" s="3">
        <f t="shared" si="3"/>
        <v>20</v>
      </c>
      <c r="Y8" s="3">
        <f t="shared" si="4"/>
        <v>2</v>
      </c>
      <c r="Z8" s="11">
        <v>0</v>
      </c>
      <c r="AB8" s="2">
        <v>6</v>
      </c>
      <c r="AC8" s="9">
        <v>0.1</v>
      </c>
      <c r="AD8" s="6">
        <f>+SUM($AC$3:AC8)</f>
        <v>0.99</v>
      </c>
      <c r="AE8" s="3">
        <f t="shared" si="5"/>
        <v>20</v>
      </c>
      <c r="AF8" s="3">
        <f t="shared" si="6"/>
        <v>2</v>
      </c>
      <c r="AG8" s="11">
        <v>0</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6.9999999999999951E-2</v>
      </c>
      <c r="W9" s="6">
        <f>+SUM($V$3:V9)</f>
        <v>1</v>
      </c>
      <c r="X9" s="3">
        <f t="shared" si="3"/>
        <v>50</v>
      </c>
      <c r="Y9" s="3">
        <f t="shared" si="4"/>
        <v>3.4999999999999973</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c r="A10" s="14" t="s">
        <v>13</v>
      </c>
      <c r="G10" s="4" t="s">
        <v>6</v>
      </c>
      <c r="H10" s="4">
        <f>+SUM(H3:H9)</f>
        <v>1</v>
      </c>
      <c r="I10" s="4"/>
      <c r="J10" s="4"/>
      <c r="K10" s="5">
        <f>+SUM(K3:K9)</f>
        <v>3.0749999999999944</v>
      </c>
      <c r="L10" s="5"/>
      <c r="N10" s="4" t="s">
        <v>6</v>
      </c>
      <c r="O10" s="4">
        <f>+SUM(O3:O9)</f>
        <v>1</v>
      </c>
      <c r="P10" s="4"/>
      <c r="Q10" s="4"/>
      <c r="R10" s="5">
        <f>+SUM(R3:R9)</f>
        <v>7.6499999999999977</v>
      </c>
      <c r="S10" s="5"/>
      <c r="U10" s="4" t="s">
        <v>6</v>
      </c>
      <c r="V10" s="4">
        <f>+SUM(V3:V9)</f>
        <v>1</v>
      </c>
      <c r="W10" s="4"/>
      <c r="X10" s="4"/>
      <c r="Y10" s="5">
        <f>+SUM(Y3:Y9)</f>
        <v>9.3399999999999963</v>
      </c>
      <c r="Z10" s="5"/>
      <c r="AB10" s="4" t="s">
        <v>6</v>
      </c>
      <c r="AC10" s="4">
        <f>+SUM(AC3:AC9)</f>
        <v>1</v>
      </c>
      <c r="AD10" s="4"/>
      <c r="AE10" s="4"/>
      <c r="AF10" s="5">
        <f>+SUM(AF3:AF9)</f>
        <v>10.469999999999999</v>
      </c>
      <c r="AG10" s="5"/>
      <c r="AI10" s="4" t="s">
        <v>6</v>
      </c>
      <c r="AJ10" s="4">
        <f>+SUM(AJ3:AJ9)</f>
        <v>1</v>
      </c>
      <c r="AK10" s="4"/>
      <c r="AL10" s="4"/>
      <c r="AM10" s="5">
        <f>+SUM(AM3:AM9)</f>
        <v>50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81" priority="17" operator="lessThan">
      <formula>0</formula>
    </cfRule>
    <cfRule type="cellIs" dxfId="80" priority="18" operator="greaterThan">
      <formula>1</formula>
    </cfRule>
  </conditionalFormatting>
  <conditionalFormatting sqref="H3:H9 O3:O9 AJ3:AJ9 V3:V9 AC3:AC9">
    <cfRule type="cellIs" dxfId="79" priority="16" operator="equal">
      <formula>0</formula>
    </cfRule>
  </conditionalFormatting>
  <conditionalFormatting sqref="B3:B7">
    <cfRule type="cellIs" dxfId="78" priority="1" operator="greaterThan">
      <formula>1</formula>
    </cfRule>
    <cfRule type="cellIs" dxfId="77"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Hoja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87</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0.19758672699849203</v>
      </c>
      <c r="C3" s="7">
        <f>1/B3/Summary!$C$7</f>
        <v>5.0610687022900683E-3</v>
      </c>
      <c r="D3" s="85">
        <f>+K10</f>
        <v>3.3149999999999946</v>
      </c>
      <c r="E3" s="7">
        <v>0.65500000000000003</v>
      </c>
      <c r="G3" s="2">
        <v>1</v>
      </c>
      <c r="H3" s="9">
        <v>0.3</v>
      </c>
      <c r="I3" s="6">
        <f>+SUM($H3:H3)</f>
        <v>0.3</v>
      </c>
      <c r="J3" s="15">
        <v>2</v>
      </c>
      <c r="K3" s="3">
        <f>+H3*J3</f>
        <v>0.6</v>
      </c>
      <c r="L3" s="11">
        <v>0</v>
      </c>
      <c r="N3" s="2">
        <v>1</v>
      </c>
      <c r="O3" s="9">
        <v>0.1</v>
      </c>
      <c r="P3" s="6">
        <f>+SUM($O3:O$3)</f>
        <v>0.1</v>
      </c>
      <c r="Q3" s="3">
        <f>+J3</f>
        <v>2</v>
      </c>
      <c r="R3" s="3">
        <f>+O3*Q3</f>
        <v>0.2</v>
      </c>
      <c r="S3" s="11">
        <v>0</v>
      </c>
      <c r="U3" s="2">
        <v>1</v>
      </c>
      <c r="V3" s="9">
        <v>0.1</v>
      </c>
      <c r="W3" s="6">
        <f>+SUM($V3:V$3)</f>
        <v>0.1</v>
      </c>
      <c r="X3" s="3">
        <f>+J3</f>
        <v>2</v>
      </c>
      <c r="Y3" s="3">
        <f>+V3*X3</f>
        <v>0.2</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148</v>
      </c>
      <c r="B4" s="7">
        <f>+E4/D4</f>
        <v>0.60679611650485443</v>
      </c>
      <c r="C4" s="7">
        <v>0</v>
      </c>
      <c r="D4" s="16">
        <f>+R10</f>
        <v>8.2399999999999984</v>
      </c>
      <c r="E4" s="7">
        <v>5</v>
      </c>
      <c r="G4" s="2">
        <v>2</v>
      </c>
      <c r="H4" s="9">
        <v>0.5</v>
      </c>
      <c r="I4" s="6">
        <f>+SUM($H$3:H4)</f>
        <v>0.8</v>
      </c>
      <c r="J4" s="15">
        <v>3</v>
      </c>
      <c r="K4" s="3">
        <f t="shared" ref="K4:K9" si="0">+H4*J4</f>
        <v>1.5</v>
      </c>
      <c r="L4" s="11">
        <v>0</v>
      </c>
      <c r="N4" s="2">
        <v>2</v>
      </c>
      <c r="O4" s="9">
        <v>0.23</v>
      </c>
      <c r="P4" s="6">
        <f>+SUM($O$3:O4)</f>
        <v>0.33</v>
      </c>
      <c r="Q4" s="3">
        <f t="shared" ref="Q4:Q9" si="1">+J4</f>
        <v>3</v>
      </c>
      <c r="R4" s="3">
        <f t="shared" ref="R4:R9" si="2">+O4*Q4</f>
        <v>0.69000000000000006</v>
      </c>
      <c r="S4" s="11">
        <v>0</v>
      </c>
      <c r="U4" s="2">
        <v>2</v>
      </c>
      <c r="V4" s="9">
        <v>0.25</v>
      </c>
      <c r="W4" s="6">
        <f>+SUM($V$3:V4)</f>
        <v>0.35</v>
      </c>
      <c r="X4" s="3">
        <f t="shared" ref="X4:X9" si="3">+J4</f>
        <v>3</v>
      </c>
      <c r="Y4" s="3">
        <f t="shared" ref="Y4:Y9" si="4">+V4*X4</f>
        <v>0.75</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0.79601990049751215</v>
      </c>
      <c r="C5" s="7">
        <v>0</v>
      </c>
      <c r="D5" s="16">
        <f>+Y10</f>
        <v>10.050000000000004</v>
      </c>
      <c r="E5" s="7">
        <v>8</v>
      </c>
      <c r="G5" s="2">
        <v>3</v>
      </c>
      <c r="H5" s="9">
        <v>0.125</v>
      </c>
      <c r="I5" s="6">
        <f>+SUM($H$3:H5)</f>
        <v>0.92500000000000004</v>
      </c>
      <c r="J5" s="15">
        <v>5</v>
      </c>
      <c r="K5" s="3">
        <f t="shared" si="0"/>
        <v>0.625</v>
      </c>
      <c r="L5" s="11">
        <v>0</v>
      </c>
      <c r="N5" s="2">
        <v>3</v>
      </c>
      <c r="O5" s="9">
        <v>0.25</v>
      </c>
      <c r="P5" s="6">
        <f>+SUM($O$3:O5)</f>
        <v>0.58000000000000007</v>
      </c>
      <c r="Q5" s="3">
        <f t="shared" si="1"/>
        <v>5</v>
      </c>
      <c r="R5" s="3">
        <f t="shared" si="2"/>
        <v>1.25</v>
      </c>
      <c r="S5" s="11">
        <v>0</v>
      </c>
      <c r="U5" s="2">
        <v>3</v>
      </c>
      <c r="V5" s="9">
        <v>0.18</v>
      </c>
      <c r="W5" s="6">
        <f>+SUM($V$3:V5)</f>
        <v>0.53</v>
      </c>
      <c r="X5" s="3">
        <f t="shared" si="3"/>
        <v>5</v>
      </c>
      <c r="Y5" s="3">
        <f t="shared" si="4"/>
        <v>0.89999999999999991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0.88731144631765757</v>
      </c>
      <c r="C6" s="7">
        <v>0</v>
      </c>
      <c r="D6" s="16">
        <f>+AF10</f>
        <v>11.27</v>
      </c>
      <c r="E6" s="7">
        <v>10</v>
      </c>
      <c r="G6" s="2">
        <v>4</v>
      </c>
      <c r="H6" s="9">
        <v>7.0000000000000007E-2</v>
      </c>
      <c r="I6" s="6">
        <f>+SUM($H$3:H6)</f>
        <v>0.99500000000000011</v>
      </c>
      <c r="J6" s="15">
        <v>7</v>
      </c>
      <c r="K6" s="3">
        <f t="shared" si="0"/>
        <v>0.49000000000000005</v>
      </c>
      <c r="L6" s="11">
        <v>0</v>
      </c>
      <c r="N6" s="2">
        <v>4</v>
      </c>
      <c r="O6" s="9">
        <v>0.2</v>
      </c>
      <c r="P6" s="6">
        <f>+SUM($O$3:O6)</f>
        <v>0.78</v>
      </c>
      <c r="Q6" s="3">
        <f t="shared" si="1"/>
        <v>7</v>
      </c>
      <c r="R6" s="3">
        <f t="shared" si="2"/>
        <v>1.4000000000000001</v>
      </c>
      <c r="S6" s="11">
        <v>0</v>
      </c>
      <c r="U6" s="2">
        <v>4</v>
      </c>
      <c r="V6" s="9">
        <v>0.2</v>
      </c>
      <c r="W6" s="6">
        <f>+SUM($V$3:V6)</f>
        <v>0.73</v>
      </c>
      <c r="X6" s="3">
        <f t="shared" si="3"/>
        <v>7</v>
      </c>
      <c r="Y6" s="3">
        <f t="shared" si="4"/>
        <v>1.4000000000000001</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0</v>
      </c>
      <c r="N7" s="2">
        <v>5</v>
      </c>
      <c r="O7" s="9">
        <v>0.15</v>
      </c>
      <c r="P7" s="6">
        <f>+SUM($O$3:O7)</f>
        <v>0.93</v>
      </c>
      <c r="Q7" s="3">
        <f t="shared" si="1"/>
        <v>10</v>
      </c>
      <c r="R7" s="3">
        <f t="shared" si="2"/>
        <v>1.5</v>
      </c>
      <c r="S7" s="11">
        <v>0</v>
      </c>
      <c r="U7" s="2">
        <v>5</v>
      </c>
      <c r="V7" s="9">
        <v>0.1</v>
      </c>
      <c r="W7" s="6">
        <f>+SUM($V$3:V7)</f>
        <v>0.83</v>
      </c>
      <c r="X7" s="3">
        <f t="shared" si="3"/>
        <v>10</v>
      </c>
      <c r="Y7" s="3">
        <f t="shared" si="4"/>
        <v>1</v>
      </c>
      <c r="Z7" s="11">
        <v>0</v>
      </c>
      <c r="AB7" s="2">
        <v>5</v>
      </c>
      <c r="AC7" s="9">
        <v>0.52</v>
      </c>
      <c r="AD7" s="6">
        <f>+SUM($AC$3:AC7)</f>
        <v>0.81</v>
      </c>
      <c r="AE7" s="3">
        <f t="shared" si="5"/>
        <v>10</v>
      </c>
      <c r="AF7" s="3">
        <f t="shared" si="6"/>
        <v>5.2</v>
      </c>
      <c r="AG7" s="11">
        <v>0</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0.09</v>
      </c>
      <c r="W8" s="6">
        <f>+SUM($V$3:V8)</f>
        <v>0.91999999999999993</v>
      </c>
      <c r="X8" s="3">
        <f t="shared" si="3"/>
        <v>20</v>
      </c>
      <c r="Y8" s="3">
        <f t="shared" si="4"/>
        <v>1.7999999999999998</v>
      </c>
      <c r="Z8" s="11">
        <v>0</v>
      </c>
      <c r="AB8" s="2">
        <v>6</v>
      </c>
      <c r="AC8" s="9">
        <v>0.18</v>
      </c>
      <c r="AD8" s="6">
        <f>+SUM($AC$3:AC8)</f>
        <v>0.99</v>
      </c>
      <c r="AE8" s="3">
        <f t="shared" si="5"/>
        <v>20</v>
      </c>
      <c r="AF8" s="3">
        <f t="shared" si="6"/>
        <v>3.5999999999999996</v>
      </c>
      <c r="AG8" s="11">
        <v>0</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8.0000000000000071E-2</v>
      </c>
      <c r="W9" s="6">
        <f>+SUM($V$3:V9)</f>
        <v>1</v>
      </c>
      <c r="X9" s="3">
        <f t="shared" si="3"/>
        <v>50</v>
      </c>
      <c r="Y9" s="3">
        <f t="shared" si="4"/>
        <v>4.0000000000000036</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c r="A10" s="14" t="s">
        <v>13</v>
      </c>
      <c r="G10" s="4" t="s">
        <v>6</v>
      </c>
      <c r="H10" s="4">
        <f>+SUM(H3:H9)</f>
        <v>1</v>
      </c>
      <c r="I10" s="4"/>
      <c r="J10" s="4"/>
      <c r="K10" s="5">
        <f>+SUM(K3:K9)</f>
        <v>3.3149999999999946</v>
      </c>
      <c r="L10" s="5"/>
      <c r="N10" s="4" t="s">
        <v>6</v>
      </c>
      <c r="O10" s="4">
        <f>+SUM(O3:O9)</f>
        <v>1</v>
      </c>
      <c r="P10" s="4"/>
      <c r="Q10" s="4"/>
      <c r="R10" s="5">
        <f>+SUM(R3:R9)</f>
        <v>8.2399999999999984</v>
      </c>
      <c r="S10" s="5"/>
      <c r="U10" s="4" t="s">
        <v>6</v>
      </c>
      <c r="V10" s="4">
        <f>+SUM(V3:V9)</f>
        <v>1</v>
      </c>
      <c r="W10" s="4"/>
      <c r="X10" s="4"/>
      <c r="Y10" s="5">
        <f>+SUM(Y3:Y9)</f>
        <v>10.050000000000004</v>
      </c>
      <c r="Z10" s="5"/>
      <c r="AB10" s="4" t="s">
        <v>6</v>
      </c>
      <c r="AC10" s="4">
        <f>+SUM(AC3:AC9)</f>
        <v>1</v>
      </c>
      <c r="AD10" s="4"/>
      <c r="AE10" s="4"/>
      <c r="AF10" s="5">
        <f>+SUM(AF3:AF9)</f>
        <v>11.27</v>
      </c>
      <c r="AG10" s="5"/>
      <c r="AI10" s="4" t="s">
        <v>6</v>
      </c>
      <c r="AJ10" s="4">
        <f>+SUM(AJ3:AJ9)</f>
        <v>1</v>
      </c>
      <c r="AK10" s="4"/>
      <c r="AL10" s="4"/>
      <c r="AM10" s="5">
        <f>+SUM(AM3:AM9)</f>
        <v>50</v>
      </c>
      <c r="AN10" s="5"/>
    </row>
    <row r="12" spans="1:40">
      <c r="C12" s="1" t="s">
        <v>49</v>
      </c>
      <c r="D12" s="12">
        <v>1</v>
      </c>
    </row>
    <row r="13" spans="1:40">
      <c r="C13" s="1" t="s">
        <v>10</v>
      </c>
      <c r="D13" s="12">
        <v>1</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76" priority="10" operator="lessThan">
      <formula>0</formula>
    </cfRule>
    <cfRule type="cellIs" dxfId="75" priority="11" operator="greaterThan">
      <formula>1</formula>
    </cfRule>
  </conditionalFormatting>
  <conditionalFormatting sqref="H3:H9 O3:O9 AJ3:AJ9 V3:V9 AC3:AC9">
    <cfRule type="cellIs" dxfId="74" priority="9" operator="equal">
      <formula>0</formula>
    </cfRule>
  </conditionalFormatting>
  <conditionalFormatting sqref="B3:B7">
    <cfRule type="cellIs" dxfId="73" priority="7" operator="greaterThan">
      <formula>1</formula>
    </cfRule>
    <cfRule type="cellIs" dxfId="72" priority="8" operator="lessThan">
      <formula>0</formula>
    </cfRule>
  </conditionalFormatting>
  <conditionalFormatting sqref="H3:H9">
    <cfRule type="cellIs" dxfId="71" priority="5" operator="lessThan">
      <formula>0</formula>
    </cfRule>
    <cfRule type="cellIs" dxfId="70" priority="6" operator="greaterThan">
      <formula>1</formula>
    </cfRule>
  </conditionalFormatting>
  <conditionalFormatting sqref="H3:H9">
    <cfRule type="cellIs" dxfId="69" priority="4" operator="equal">
      <formula>0</formula>
    </cfRule>
  </conditionalFormatting>
  <conditionalFormatting sqref="H3:H9">
    <cfRule type="cellIs" dxfId="68" priority="2" operator="lessThan">
      <formula>0</formula>
    </cfRule>
    <cfRule type="cellIs" dxfId="67" priority="3" operator="greaterThan">
      <formula>1</formula>
    </cfRule>
  </conditionalFormatting>
  <conditionalFormatting sqref="H3:H9">
    <cfRule type="cellIs" dxfId="66"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sheetPr codeName="Hoja5"/>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88</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0.16637033274066576</v>
      </c>
      <c r="C3" s="7">
        <f>1/B3/Summary!$C$7</f>
        <v>6.0106870229007531E-3</v>
      </c>
      <c r="D3" s="85">
        <f>+K10</f>
        <v>3.9369999999999936</v>
      </c>
      <c r="E3" s="7">
        <v>0.65500000000000003</v>
      </c>
      <c r="G3" s="2">
        <v>1</v>
      </c>
      <c r="H3" s="9">
        <v>0.55600000000000005</v>
      </c>
      <c r="I3" s="6">
        <f>+SUM($H3:H3)</f>
        <v>0.55600000000000005</v>
      </c>
      <c r="J3" s="15">
        <v>3</v>
      </c>
      <c r="K3" s="3">
        <f>+H3*J3</f>
        <v>1.6680000000000001</v>
      </c>
      <c r="L3" s="11">
        <v>2</v>
      </c>
      <c r="N3" s="2">
        <v>1</v>
      </c>
      <c r="O3" s="9">
        <v>0.1</v>
      </c>
      <c r="P3" s="6">
        <f>+SUM($O3:O$3)</f>
        <v>0.1</v>
      </c>
      <c r="Q3" s="3">
        <f>+J3</f>
        <v>3</v>
      </c>
      <c r="R3" s="3">
        <f>+O3*Q3</f>
        <v>0.30000000000000004</v>
      </c>
      <c r="S3" s="11">
        <v>0</v>
      </c>
      <c r="U3" s="2">
        <v>1</v>
      </c>
      <c r="V3" s="9">
        <v>0.1</v>
      </c>
      <c r="W3" s="6">
        <f>+SUM($V3:V$3)</f>
        <v>0.1</v>
      </c>
      <c r="X3" s="3">
        <f>+J3</f>
        <v>3</v>
      </c>
      <c r="Y3" s="3">
        <f>+V3*X3</f>
        <v>0.30000000000000004</v>
      </c>
      <c r="Z3" s="11">
        <v>0</v>
      </c>
      <c r="AB3" s="2">
        <v>1</v>
      </c>
      <c r="AC3" s="9">
        <v>0</v>
      </c>
      <c r="AD3" s="6">
        <f>+SUM($AC$3:AC3)</f>
        <v>0</v>
      </c>
      <c r="AE3" s="3">
        <f>+J3</f>
        <v>3</v>
      </c>
      <c r="AF3" s="3">
        <f>+AC3*AE3</f>
        <v>0</v>
      </c>
      <c r="AG3" s="11">
        <v>0</v>
      </c>
      <c r="AI3" s="2">
        <v>1</v>
      </c>
      <c r="AJ3" s="9">
        <v>0</v>
      </c>
      <c r="AK3" s="6">
        <f>+SUM($AJ$3:AJ3)</f>
        <v>0</v>
      </c>
      <c r="AL3" s="3">
        <f>+J3</f>
        <v>3</v>
      </c>
      <c r="AM3" s="3">
        <f>+AJ3*AL3</f>
        <v>0</v>
      </c>
      <c r="AN3" s="11">
        <v>0</v>
      </c>
    </row>
    <row r="4" spans="1:40">
      <c r="A4" s="7" t="s">
        <v>148</v>
      </c>
      <c r="B4" s="7">
        <f>+E4/D4</f>
        <v>0.50864699898270616</v>
      </c>
      <c r="C4" s="7">
        <v>0</v>
      </c>
      <c r="D4" s="16">
        <f>+R10</f>
        <v>9.8299999999999965</v>
      </c>
      <c r="E4" s="7">
        <v>5</v>
      </c>
      <c r="G4" s="2">
        <v>2</v>
      </c>
      <c r="H4" s="9">
        <v>0.28999999999999998</v>
      </c>
      <c r="I4" s="6">
        <f>+SUM($H$3:H4)</f>
        <v>0.84600000000000009</v>
      </c>
      <c r="J4" s="15">
        <v>4</v>
      </c>
      <c r="K4" s="3">
        <f t="shared" ref="K4:K9" si="0">+H4*J4</f>
        <v>1.1599999999999999</v>
      </c>
      <c r="L4" s="11">
        <v>1</v>
      </c>
      <c r="N4" s="2">
        <v>2</v>
      </c>
      <c r="O4" s="9">
        <v>0.2</v>
      </c>
      <c r="P4" s="6">
        <f>+SUM($O$3:O4)</f>
        <v>0.30000000000000004</v>
      </c>
      <c r="Q4" s="3">
        <f t="shared" ref="Q4:Q9" si="1">+J4</f>
        <v>4</v>
      </c>
      <c r="R4" s="3">
        <f t="shared" ref="R4:R9" si="2">+O4*Q4</f>
        <v>0.8</v>
      </c>
      <c r="S4" s="11">
        <v>0</v>
      </c>
      <c r="U4" s="2">
        <v>2</v>
      </c>
      <c r="V4" s="9">
        <v>0.25</v>
      </c>
      <c r="W4" s="6">
        <f>+SUM($V$3:V4)</f>
        <v>0.35</v>
      </c>
      <c r="X4" s="3">
        <f t="shared" ref="X4:X9" si="3">+J4</f>
        <v>4</v>
      </c>
      <c r="Y4" s="3">
        <f t="shared" ref="Y4:Y9" si="4">+V4*X4</f>
        <v>1</v>
      </c>
      <c r="Z4" s="11">
        <v>0</v>
      </c>
      <c r="AB4" s="2">
        <v>2</v>
      </c>
      <c r="AC4" s="9">
        <v>0</v>
      </c>
      <c r="AD4" s="6">
        <f>+SUM($AC$3:AC4)</f>
        <v>0</v>
      </c>
      <c r="AE4" s="3">
        <f t="shared" ref="AE4:AE9" si="5">+J4</f>
        <v>4</v>
      </c>
      <c r="AF4" s="3">
        <f t="shared" ref="AF4:AF9" si="6">+AC4*AE4</f>
        <v>0</v>
      </c>
      <c r="AG4" s="11">
        <v>0</v>
      </c>
      <c r="AI4" s="2">
        <v>2</v>
      </c>
      <c r="AJ4" s="9">
        <v>0</v>
      </c>
      <c r="AK4" s="6">
        <f>+SUM($AJ$3:AJ4)</f>
        <v>0</v>
      </c>
      <c r="AL4" s="3">
        <f t="shared" ref="AL4:AL9" si="7">+J4</f>
        <v>4</v>
      </c>
      <c r="AM4" s="3">
        <f t="shared" ref="AM4:AM9" si="8">+AJ4*AL4</f>
        <v>0</v>
      </c>
      <c r="AN4" s="11">
        <v>0</v>
      </c>
    </row>
    <row r="5" spans="1:40">
      <c r="A5" s="7" t="s">
        <v>51</v>
      </c>
      <c r="B5" s="7">
        <f>+E5/D5</f>
        <v>0.66390041493775909</v>
      </c>
      <c r="C5" s="7">
        <v>0</v>
      </c>
      <c r="D5" s="16">
        <f>+Y10</f>
        <v>12.050000000000004</v>
      </c>
      <c r="E5" s="7">
        <v>8</v>
      </c>
      <c r="G5" s="2">
        <v>3</v>
      </c>
      <c r="H5" s="9">
        <v>0.1</v>
      </c>
      <c r="I5" s="6">
        <f>+SUM($H$3:H5)</f>
        <v>0.94600000000000006</v>
      </c>
      <c r="J5" s="15">
        <v>6</v>
      </c>
      <c r="K5" s="3">
        <f t="shared" si="0"/>
        <v>0.60000000000000009</v>
      </c>
      <c r="L5" s="11">
        <v>2</v>
      </c>
      <c r="N5" s="2">
        <v>3</v>
      </c>
      <c r="O5" s="9">
        <v>0.28000000000000003</v>
      </c>
      <c r="P5" s="6">
        <f>+SUM($O$3:O5)</f>
        <v>0.58000000000000007</v>
      </c>
      <c r="Q5" s="3">
        <f t="shared" si="1"/>
        <v>6</v>
      </c>
      <c r="R5" s="3">
        <f t="shared" si="2"/>
        <v>1.6800000000000002</v>
      </c>
      <c r="S5" s="11">
        <v>0</v>
      </c>
      <c r="U5" s="2">
        <v>3</v>
      </c>
      <c r="V5" s="9">
        <v>0.23</v>
      </c>
      <c r="W5" s="6">
        <f>+SUM($V$3:V5)</f>
        <v>0.57999999999999996</v>
      </c>
      <c r="X5" s="3">
        <f t="shared" si="3"/>
        <v>6</v>
      </c>
      <c r="Y5" s="3">
        <f t="shared" si="4"/>
        <v>1.3800000000000001</v>
      </c>
      <c r="Z5" s="11">
        <v>0</v>
      </c>
      <c r="AB5" s="2">
        <v>3</v>
      </c>
      <c r="AC5" s="9">
        <v>0.03</v>
      </c>
      <c r="AD5" s="6">
        <f>+SUM($AC$3:AC5)</f>
        <v>0.03</v>
      </c>
      <c r="AE5" s="3">
        <f t="shared" si="5"/>
        <v>6</v>
      </c>
      <c r="AF5" s="3">
        <f t="shared" si="6"/>
        <v>0.18</v>
      </c>
      <c r="AG5" s="11">
        <v>0</v>
      </c>
      <c r="AI5" s="2">
        <v>3</v>
      </c>
      <c r="AJ5" s="9">
        <v>0</v>
      </c>
      <c r="AK5" s="6">
        <f>+SUM($AJ$3:AJ5)</f>
        <v>0</v>
      </c>
      <c r="AL5" s="3">
        <f t="shared" si="7"/>
        <v>6</v>
      </c>
      <c r="AM5" s="3">
        <f t="shared" si="8"/>
        <v>0</v>
      </c>
      <c r="AN5" s="11">
        <v>0</v>
      </c>
    </row>
    <row r="6" spans="1:40">
      <c r="A6" s="7" t="s">
        <v>52</v>
      </c>
      <c r="B6" s="7">
        <f>+E6/D6</f>
        <v>0.75700227100681328</v>
      </c>
      <c r="C6" s="7">
        <v>0</v>
      </c>
      <c r="D6" s="16">
        <f>+AF10</f>
        <v>13.209999999999996</v>
      </c>
      <c r="E6" s="7">
        <v>10</v>
      </c>
      <c r="G6" s="2">
        <v>4</v>
      </c>
      <c r="H6" s="9">
        <v>0.05</v>
      </c>
      <c r="I6" s="6">
        <f>+SUM($H$3:H6)</f>
        <v>0.99600000000000011</v>
      </c>
      <c r="J6" s="15">
        <v>8</v>
      </c>
      <c r="K6" s="3">
        <f t="shared" si="0"/>
        <v>0.4</v>
      </c>
      <c r="L6" s="11">
        <v>0</v>
      </c>
      <c r="N6" s="2">
        <v>4</v>
      </c>
      <c r="O6" s="9">
        <v>0.25</v>
      </c>
      <c r="P6" s="6">
        <f>+SUM($O$3:O6)</f>
        <v>0.83000000000000007</v>
      </c>
      <c r="Q6" s="3">
        <f t="shared" si="1"/>
        <v>8</v>
      </c>
      <c r="R6" s="3">
        <f t="shared" si="2"/>
        <v>2</v>
      </c>
      <c r="S6" s="11">
        <v>0</v>
      </c>
      <c r="U6" s="2">
        <v>4</v>
      </c>
      <c r="V6" s="9">
        <v>0.17</v>
      </c>
      <c r="W6" s="6">
        <f>+SUM($V$3:V6)</f>
        <v>0.75</v>
      </c>
      <c r="X6" s="3">
        <f t="shared" si="3"/>
        <v>8</v>
      </c>
      <c r="Y6" s="3">
        <f t="shared" si="4"/>
        <v>1.36</v>
      </c>
      <c r="Z6" s="11">
        <v>0</v>
      </c>
      <c r="AB6" s="2">
        <v>4</v>
      </c>
      <c r="AC6" s="9">
        <v>0.26</v>
      </c>
      <c r="AD6" s="6">
        <f>+SUM($AC$3:AC6)</f>
        <v>0.29000000000000004</v>
      </c>
      <c r="AE6" s="3">
        <f t="shared" si="5"/>
        <v>8</v>
      </c>
      <c r="AF6" s="3">
        <f t="shared" si="6"/>
        <v>2.08</v>
      </c>
      <c r="AG6" s="11">
        <v>0</v>
      </c>
      <c r="AI6" s="2">
        <v>4</v>
      </c>
      <c r="AJ6" s="9">
        <v>0</v>
      </c>
      <c r="AK6" s="6">
        <f>+SUM($AJ$3:AJ6)</f>
        <v>0</v>
      </c>
      <c r="AL6" s="3">
        <f t="shared" si="7"/>
        <v>8</v>
      </c>
      <c r="AM6" s="3">
        <f t="shared" si="8"/>
        <v>0</v>
      </c>
      <c r="AN6" s="11">
        <v>0</v>
      </c>
    </row>
    <row r="7" spans="1:40">
      <c r="A7" s="7" t="s">
        <v>53</v>
      </c>
      <c r="B7" s="7">
        <f>+E7/D7</f>
        <v>0.94250706880301593</v>
      </c>
      <c r="C7" s="7">
        <v>0</v>
      </c>
      <c r="D7" s="16">
        <f>+AM10</f>
        <v>53.050000000000004</v>
      </c>
      <c r="E7" s="7">
        <v>50</v>
      </c>
      <c r="G7" s="2">
        <v>5</v>
      </c>
      <c r="H7" s="9">
        <v>2E-3</v>
      </c>
      <c r="I7" s="6">
        <f>+SUM($H$3:H7)</f>
        <v>0.99800000000000011</v>
      </c>
      <c r="J7" s="15">
        <v>12</v>
      </c>
      <c r="K7" s="3">
        <f t="shared" si="0"/>
        <v>2.4E-2</v>
      </c>
      <c r="L7" s="11">
        <v>0</v>
      </c>
      <c r="N7" s="2">
        <v>5</v>
      </c>
      <c r="O7" s="9">
        <v>0.1</v>
      </c>
      <c r="P7" s="6">
        <f>+SUM($O$3:O7)</f>
        <v>0.93</v>
      </c>
      <c r="Q7" s="3">
        <f t="shared" si="1"/>
        <v>12</v>
      </c>
      <c r="R7" s="3">
        <f t="shared" si="2"/>
        <v>1.2000000000000002</v>
      </c>
      <c r="S7" s="11">
        <v>0</v>
      </c>
      <c r="U7" s="2">
        <v>5</v>
      </c>
      <c r="V7" s="9">
        <v>0.08</v>
      </c>
      <c r="W7" s="6">
        <f>+SUM($V$3:V7)</f>
        <v>0.83</v>
      </c>
      <c r="X7" s="3">
        <f t="shared" si="3"/>
        <v>12</v>
      </c>
      <c r="Y7" s="3">
        <f t="shared" si="4"/>
        <v>0.96</v>
      </c>
      <c r="Z7" s="11">
        <v>0</v>
      </c>
      <c r="AB7" s="2">
        <v>5</v>
      </c>
      <c r="AC7" s="9">
        <v>0.55000000000000004</v>
      </c>
      <c r="AD7" s="6">
        <f>+SUM($AC$3:AC7)</f>
        <v>0.84000000000000008</v>
      </c>
      <c r="AE7" s="3">
        <f t="shared" si="5"/>
        <v>12</v>
      </c>
      <c r="AF7" s="3">
        <f t="shared" si="6"/>
        <v>6.6000000000000005</v>
      </c>
      <c r="AG7" s="11">
        <v>0</v>
      </c>
      <c r="AI7" s="2">
        <v>5</v>
      </c>
      <c r="AJ7" s="9">
        <v>0.05</v>
      </c>
      <c r="AK7" s="6">
        <f>+SUM($AJ$3:AJ7)</f>
        <v>0.05</v>
      </c>
      <c r="AL7" s="3">
        <f t="shared" si="7"/>
        <v>12</v>
      </c>
      <c r="AM7" s="3">
        <f t="shared" si="8"/>
        <v>0.60000000000000009</v>
      </c>
      <c r="AN7" s="11">
        <v>0</v>
      </c>
    </row>
    <row r="8" spans="1:40">
      <c r="A8" s="7" t="s">
        <v>0</v>
      </c>
      <c r="B8" s="10" t="str">
        <f>+CONCATENATE("x",J3," - x",J9)</f>
        <v>x3 - x60</v>
      </c>
      <c r="G8" s="2">
        <v>6</v>
      </c>
      <c r="H8" s="9">
        <v>1E-3</v>
      </c>
      <c r="I8" s="6">
        <f>+SUM($H$3:H8)</f>
        <v>0.99900000000000011</v>
      </c>
      <c r="J8" s="15">
        <v>25</v>
      </c>
      <c r="K8" s="3">
        <f t="shared" si="0"/>
        <v>2.5000000000000001E-2</v>
      </c>
      <c r="L8" s="11">
        <v>0</v>
      </c>
      <c r="N8" s="2">
        <v>6</v>
      </c>
      <c r="O8" s="9">
        <v>0.01</v>
      </c>
      <c r="P8" s="6">
        <f>+SUM($O$3:O8)</f>
        <v>0.94000000000000006</v>
      </c>
      <c r="Q8" s="3">
        <f t="shared" si="1"/>
        <v>25</v>
      </c>
      <c r="R8" s="3">
        <f t="shared" si="2"/>
        <v>0.25</v>
      </c>
      <c r="S8" s="11">
        <v>0</v>
      </c>
      <c r="U8" s="2">
        <v>6</v>
      </c>
      <c r="V8" s="9">
        <v>0.09</v>
      </c>
      <c r="W8" s="6">
        <f>+SUM($V$3:V8)</f>
        <v>0.91999999999999993</v>
      </c>
      <c r="X8" s="3">
        <f t="shared" si="3"/>
        <v>25</v>
      </c>
      <c r="Y8" s="3">
        <f t="shared" si="4"/>
        <v>2.25</v>
      </c>
      <c r="Z8" s="11">
        <v>0</v>
      </c>
      <c r="AB8" s="2">
        <v>6</v>
      </c>
      <c r="AC8" s="9">
        <v>0.15</v>
      </c>
      <c r="AD8" s="6">
        <f>+SUM($AC$3:AC8)</f>
        <v>0.9900000000000001</v>
      </c>
      <c r="AE8" s="3">
        <f t="shared" si="5"/>
        <v>25</v>
      </c>
      <c r="AF8" s="3">
        <f t="shared" si="6"/>
        <v>3.75</v>
      </c>
      <c r="AG8" s="11">
        <v>0</v>
      </c>
      <c r="AI8" s="2">
        <v>6</v>
      </c>
      <c r="AJ8" s="9">
        <v>0.13</v>
      </c>
      <c r="AK8" s="6">
        <f>+SUM($AJ$3:AJ8)</f>
        <v>0.18</v>
      </c>
      <c r="AL8" s="3">
        <f t="shared" si="7"/>
        <v>25</v>
      </c>
      <c r="AM8" s="3">
        <f t="shared" si="8"/>
        <v>3.25</v>
      </c>
      <c r="AN8" s="11">
        <v>0</v>
      </c>
    </row>
    <row r="9" spans="1:40">
      <c r="G9" s="2">
        <v>7</v>
      </c>
      <c r="H9" s="8">
        <f>1-SUM(H3:H8)</f>
        <v>9.9999999999988987E-4</v>
      </c>
      <c r="I9" s="6">
        <f>+SUM($H$3:H9)</f>
        <v>1</v>
      </c>
      <c r="J9" s="15">
        <v>60</v>
      </c>
      <c r="K9" s="3">
        <f t="shared" si="0"/>
        <v>5.9999999999993392E-2</v>
      </c>
      <c r="L9" s="11">
        <v>0</v>
      </c>
      <c r="N9" s="2">
        <v>7</v>
      </c>
      <c r="O9" s="8">
        <f>1-SUM(O3:O8)</f>
        <v>5.9999999999999942E-2</v>
      </c>
      <c r="P9" s="6">
        <f>+SUM($O$3:O9)</f>
        <v>1</v>
      </c>
      <c r="Q9" s="3">
        <f t="shared" si="1"/>
        <v>60</v>
      </c>
      <c r="R9" s="3">
        <f t="shared" si="2"/>
        <v>3.5999999999999965</v>
      </c>
      <c r="S9" s="11">
        <v>0</v>
      </c>
      <c r="U9" s="2">
        <v>7</v>
      </c>
      <c r="V9" s="8">
        <f>1-SUM(V3:V8)</f>
        <v>8.0000000000000071E-2</v>
      </c>
      <c r="W9" s="6">
        <f>+SUM($V$3:V9)</f>
        <v>1</v>
      </c>
      <c r="X9" s="3">
        <f t="shared" si="3"/>
        <v>60</v>
      </c>
      <c r="Y9" s="3">
        <f t="shared" si="4"/>
        <v>4.8000000000000043</v>
      </c>
      <c r="Z9" s="11">
        <v>0</v>
      </c>
      <c r="AB9" s="2">
        <v>7</v>
      </c>
      <c r="AC9" s="8">
        <f>1-SUM(AC3:AC8)</f>
        <v>9.9999999999998979E-3</v>
      </c>
      <c r="AD9" s="6">
        <f>+SUM($AC$3:AC9)</f>
        <v>1</v>
      </c>
      <c r="AE9" s="3">
        <f t="shared" si="5"/>
        <v>60</v>
      </c>
      <c r="AF9" s="3">
        <f t="shared" si="6"/>
        <v>0.59999999999999387</v>
      </c>
      <c r="AG9" s="11">
        <v>0</v>
      </c>
      <c r="AI9" s="2">
        <v>7</v>
      </c>
      <c r="AJ9" s="8">
        <f>1-SUM(AJ3:AJ8)</f>
        <v>0.82000000000000006</v>
      </c>
      <c r="AK9" s="6">
        <f>+SUM($AJ$3:AJ9)</f>
        <v>1</v>
      </c>
      <c r="AL9" s="3">
        <f t="shared" si="7"/>
        <v>60</v>
      </c>
      <c r="AM9" s="3">
        <f t="shared" si="8"/>
        <v>49.2</v>
      </c>
      <c r="AN9" s="11">
        <v>0</v>
      </c>
    </row>
    <row r="10" spans="1:40">
      <c r="A10" s="14" t="s">
        <v>13</v>
      </c>
      <c r="G10" s="4" t="s">
        <v>6</v>
      </c>
      <c r="H10" s="4">
        <f>+SUM(H3:H9)</f>
        <v>1</v>
      </c>
      <c r="I10" s="4"/>
      <c r="J10" s="4"/>
      <c r="K10" s="5">
        <f>+SUM(K3:K9)</f>
        <v>3.9369999999999936</v>
      </c>
      <c r="L10" s="5"/>
      <c r="N10" s="4" t="s">
        <v>6</v>
      </c>
      <c r="O10" s="4">
        <f>+SUM(O3:O9)</f>
        <v>1</v>
      </c>
      <c r="P10" s="4"/>
      <c r="Q10" s="4"/>
      <c r="R10" s="5">
        <f>+SUM(R3:R9)</f>
        <v>9.8299999999999965</v>
      </c>
      <c r="S10" s="5"/>
      <c r="U10" s="4" t="s">
        <v>6</v>
      </c>
      <c r="V10" s="4">
        <f>+SUM(V3:V9)</f>
        <v>1</v>
      </c>
      <c r="W10" s="4"/>
      <c r="X10" s="4"/>
      <c r="Y10" s="5">
        <f>+SUM(Y3:Y9)</f>
        <v>12.050000000000004</v>
      </c>
      <c r="Z10" s="5"/>
      <c r="AB10" s="4" t="s">
        <v>6</v>
      </c>
      <c r="AC10" s="4">
        <f>+SUM(AC3:AC9)</f>
        <v>1</v>
      </c>
      <c r="AD10" s="4"/>
      <c r="AE10" s="4"/>
      <c r="AF10" s="5">
        <f>+SUM(AF3:AF9)</f>
        <v>13.209999999999996</v>
      </c>
      <c r="AG10" s="5"/>
      <c r="AI10" s="4" t="s">
        <v>6</v>
      </c>
      <c r="AJ10" s="4">
        <f>+SUM(AJ3:AJ9)</f>
        <v>1</v>
      </c>
      <c r="AK10" s="4"/>
      <c r="AL10" s="4"/>
      <c r="AM10" s="5">
        <f>+SUM(AM3:AM9)</f>
        <v>53.050000000000004</v>
      </c>
      <c r="AN10" s="5"/>
    </row>
    <row r="12" spans="1:40">
      <c r="C12" s="1" t="s">
        <v>49</v>
      </c>
      <c r="D12" s="12">
        <v>35</v>
      </c>
    </row>
    <row r="13" spans="1:40">
      <c r="C13" s="1" t="s">
        <v>10</v>
      </c>
      <c r="D13" s="12">
        <v>35</v>
      </c>
    </row>
    <row r="14" spans="1:40">
      <c r="C14" s="1" t="s">
        <v>11</v>
      </c>
      <c r="D14" s="12">
        <v>5</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0.14285714285714285</v>
      </c>
    </row>
    <row r="25" spans="1:4">
      <c r="A25" s="1" t="s">
        <v>85</v>
      </c>
      <c r="B25" s="13">
        <f>IF(D12=0,0,+(SUMPRODUCT(L3:L9,J3:J9))/D12)</f>
        <v>0.62857142857142856</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5" priority="4" operator="lessThan">
      <formula>0</formula>
    </cfRule>
    <cfRule type="cellIs" dxfId="64" priority="5" operator="greaterThan">
      <formula>1</formula>
    </cfRule>
  </conditionalFormatting>
  <conditionalFormatting sqref="H3:H9 O3:O9 AJ3:AJ9 V3:V9 AC3:AC9">
    <cfRule type="cellIs" dxfId="63" priority="3" operator="equal">
      <formula>0</formula>
    </cfRule>
  </conditionalFormatting>
  <conditionalFormatting sqref="B3:B7">
    <cfRule type="cellIs" dxfId="62" priority="1" operator="greaterThan">
      <formula>1</formula>
    </cfRule>
    <cfRule type="cellIs" dxfId="61"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sheetPr codeName="Hoja6"/>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89</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5">
        <f>+K10</f>
        <v>7.0649999999999888</v>
      </c>
      <c r="E3" s="7">
        <v>0.65500000000000003</v>
      </c>
      <c r="G3" s="2">
        <v>1</v>
      </c>
      <c r="H3" s="9">
        <v>0.5</v>
      </c>
      <c r="I3" s="6">
        <f>+SUM($H3:H3)</f>
        <v>0.5</v>
      </c>
      <c r="J3" s="15">
        <v>5</v>
      </c>
      <c r="K3" s="3">
        <f>+H3*J3</f>
        <v>2.5</v>
      </c>
      <c r="L3" s="11">
        <v>458</v>
      </c>
      <c r="N3" s="2">
        <v>1</v>
      </c>
      <c r="O3" s="9">
        <v>0.1</v>
      </c>
      <c r="P3" s="6">
        <f>+SUM($O3:O$3)</f>
        <v>0.1</v>
      </c>
      <c r="Q3" s="3">
        <f>+J3</f>
        <v>5</v>
      </c>
      <c r="R3" s="3">
        <f>+O3*Q3</f>
        <v>0.5</v>
      </c>
      <c r="S3" s="11">
        <v>1</v>
      </c>
      <c r="U3" s="2">
        <v>1</v>
      </c>
      <c r="V3" s="9">
        <v>0.1</v>
      </c>
      <c r="W3" s="6">
        <f>+SUM($V3:V$3)</f>
        <v>0.1</v>
      </c>
      <c r="X3" s="3">
        <f>+J3</f>
        <v>5</v>
      </c>
      <c r="Y3" s="3">
        <f>+V3*X3</f>
        <v>0.5</v>
      </c>
      <c r="Z3" s="11">
        <v>5</v>
      </c>
      <c r="AB3" s="2">
        <v>1</v>
      </c>
      <c r="AC3" s="9">
        <v>0.05</v>
      </c>
      <c r="AD3" s="6">
        <f>+SUM($AC$3:AC3)</f>
        <v>0.05</v>
      </c>
      <c r="AE3" s="3">
        <f>+J3</f>
        <v>5</v>
      </c>
      <c r="AF3" s="3">
        <f>+AC3*AE3</f>
        <v>0.25</v>
      </c>
      <c r="AG3" s="11">
        <v>6</v>
      </c>
      <c r="AI3" s="2">
        <v>1</v>
      </c>
      <c r="AJ3" s="9">
        <v>0</v>
      </c>
      <c r="AK3" s="6">
        <f>+SUM($AJ$3:AJ3)</f>
        <v>0</v>
      </c>
      <c r="AL3" s="3">
        <f>+J3</f>
        <v>5</v>
      </c>
      <c r="AM3" s="3">
        <f>+AJ3*AL3</f>
        <v>0</v>
      </c>
      <c r="AN3" s="11">
        <v>0</v>
      </c>
    </row>
    <row r="4" spans="1:40">
      <c r="A4" s="7" t="s">
        <v>148</v>
      </c>
      <c r="B4" s="7">
        <f>+E4/D4</f>
        <v>0.27762354247640209</v>
      </c>
      <c r="C4" s="7">
        <v>0</v>
      </c>
      <c r="D4" s="16">
        <f>+R10</f>
        <v>18.009999999999994</v>
      </c>
      <c r="E4" s="7">
        <v>5</v>
      </c>
      <c r="G4" s="2">
        <v>2</v>
      </c>
      <c r="H4" s="9">
        <v>0.32</v>
      </c>
      <c r="I4" s="6">
        <f>+SUM($H$3:H4)</f>
        <v>0.82000000000000006</v>
      </c>
      <c r="J4" s="15">
        <v>7</v>
      </c>
      <c r="K4" s="3">
        <f t="shared" ref="K4:K9" si="0">+H4*J4</f>
        <v>2.2400000000000002</v>
      </c>
      <c r="L4" s="11">
        <v>302</v>
      </c>
      <c r="N4" s="2">
        <v>2</v>
      </c>
      <c r="O4" s="9">
        <v>0.18</v>
      </c>
      <c r="P4" s="6">
        <f>+SUM($O$3:O4)</f>
        <v>0.28000000000000003</v>
      </c>
      <c r="Q4" s="3">
        <f t="shared" ref="Q4:Q9" si="1">+J4</f>
        <v>7</v>
      </c>
      <c r="R4" s="3">
        <f t="shared" ref="R4:R9" si="2">+O4*Q4</f>
        <v>1.26</v>
      </c>
      <c r="S4" s="11">
        <v>1</v>
      </c>
      <c r="U4" s="2">
        <v>2</v>
      </c>
      <c r="V4" s="9">
        <v>0.25</v>
      </c>
      <c r="W4" s="6">
        <f>+SUM($V$3:V4)</f>
        <v>0.35</v>
      </c>
      <c r="X4" s="3">
        <f t="shared" ref="X4:X9" si="3">+J4</f>
        <v>7</v>
      </c>
      <c r="Y4" s="3">
        <f t="shared" ref="Y4:Y9" si="4">+V4*X4</f>
        <v>1.75</v>
      </c>
      <c r="Z4" s="11">
        <v>11</v>
      </c>
      <c r="AB4" s="2">
        <v>2</v>
      </c>
      <c r="AC4" s="9">
        <v>0.05</v>
      </c>
      <c r="AD4" s="6">
        <f>+SUM($AC$3:AC4)</f>
        <v>0.1</v>
      </c>
      <c r="AE4" s="3">
        <f t="shared" ref="AE4:AE9" si="5">+J4</f>
        <v>7</v>
      </c>
      <c r="AF4" s="3">
        <f t="shared" ref="AF4:AF9" si="6">+AC4*AE4</f>
        <v>0.35000000000000003</v>
      </c>
      <c r="AG4" s="11">
        <v>1</v>
      </c>
      <c r="AI4" s="2">
        <v>2</v>
      </c>
      <c r="AJ4" s="9">
        <v>0</v>
      </c>
      <c r="AK4" s="6">
        <f>+SUM($AJ$3:AJ4)</f>
        <v>0</v>
      </c>
      <c r="AL4" s="3">
        <f t="shared" ref="AL4:AL9" si="7">+J4</f>
        <v>7</v>
      </c>
      <c r="AM4" s="3">
        <f t="shared" ref="AM4:AM9" si="8">+AJ4*AL4</f>
        <v>0</v>
      </c>
      <c r="AN4" s="11">
        <v>0</v>
      </c>
    </row>
    <row r="5" spans="1:40">
      <c r="A5" s="7" t="s">
        <v>51</v>
      </c>
      <c r="B5" s="7">
        <f>+E5/D5</f>
        <v>0.36281179138321984</v>
      </c>
      <c r="C5" s="7">
        <v>0</v>
      </c>
      <c r="D5" s="16">
        <f>+Y10</f>
        <v>22.050000000000008</v>
      </c>
      <c r="E5" s="7">
        <v>8</v>
      </c>
      <c r="G5" s="2">
        <v>3</v>
      </c>
      <c r="H5" s="9">
        <v>0.105</v>
      </c>
      <c r="I5" s="6">
        <f>+SUM($H$3:H5)</f>
        <v>0.92500000000000004</v>
      </c>
      <c r="J5" s="15">
        <v>10</v>
      </c>
      <c r="K5" s="3">
        <f t="shared" si="0"/>
        <v>1.05</v>
      </c>
      <c r="L5" s="11">
        <v>106</v>
      </c>
      <c r="N5" s="2">
        <v>3</v>
      </c>
      <c r="O5" s="9">
        <v>0.2</v>
      </c>
      <c r="P5" s="6">
        <f>+SUM($O$3:O5)</f>
        <v>0.48000000000000004</v>
      </c>
      <c r="Q5" s="3">
        <f t="shared" si="1"/>
        <v>10</v>
      </c>
      <c r="R5" s="3">
        <f t="shared" si="2"/>
        <v>2</v>
      </c>
      <c r="S5" s="11">
        <v>4</v>
      </c>
      <c r="U5" s="2">
        <v>3</v>
      </c>
      <c r="V5" s="9">
        <v>0.18</v>
      </c>
      <c r="W5" s="6">
        <f>+SUM($V$3:V5)</f>
        <v>0.53</v>
      </c>
      <c r="X5" s="3">
        <f t="shared" si="3"/>
        <v>10</v>
      </c>
      <c r="Y5" s="3">
        <f t="shared" si="4"/>
        <v>1.7999999999999998</v>
      </c>
      <c r="Z5" s="11">
        <v>12</v>
      </c>
      <c r="AB5" s="2">
        <v>3</v>
      </c>
      <c r="AC5" s="9">
        <v>0.01</v>
      </c>
      <c r="AD5" s="6">
        <f>+SUM($AC$3:AC5)</f>
        <v>0.11</v>
      </c>
      <c r="AE5" s="3">
        <f t="shared" si="5"/>
        <v>10</v>
      </c>
      <c r="AF5" s="3">
        <f t="shared" si="6"/>
        <v>0.1</v>
      </c>
      <c r="AG5" s="11">
        <v>0</v>
      </c>
      <c r="AI5" s="2">
        <v>3</v>
      </c>
      <c r="AJ5" s="9">
        <v>0</v>
      </c>
      <c r="AK5" s="6">
        <f>+SUM($AJ$3:AJ5)</f>
        <v>0</v>
      </c>
      <c r="AL5" s="3">
        <f t="shared" si="7"/>
        <v>10</v>
      </c>
      <c r="AM5" s="3">
        <f t="shared" si="8"/>
        <v>0</v>
      </c>
      <c r="AN5" s="11">
        <v>0</v>
      </c>
    </row>
    <row r="6" spans="1:40">
      <c r="A6" s="7" t="s">
        <v>52</v>
      </c>
      <c r="B6" s="7">
        <f>+E6/D6</f>
        <v>0.41753653444676408</v>
      </c>
      <c r="C6" s="7">
        <v>0</v>
      </c>
      <c r="D6" s="16">
        <f>+AF10</f>
        <v>23.95</v>
      </c>
      <c r="E6" s="7">
        <v>10</v>
      </c>
      <c r="G6" s="2">
        <v>4</v>
      </c>
      <c r="H6" s="9">
        <v>7.0000000000000007E-2</v>
      </c>
      <c r="I6" s="6">
        <f>+SUM($H$3:H6)</f>
        <v>0.99500000000000011</v>
      </c>
      <c r="J6" s="15">
        <v>15</v>
      </c>
      <c r="K6" s="3">
        <f t="shared" si="0"/>
        <v>1.05</v>
      </c>
      <c r="L6" s="11">
        <v>73</v>
      </c>
      <c r="N6" s="2">
        <v>4</v>
      </c>
      <c r="O6" s="9">
        <v>0.35</v>
      </c>
      <c r="P6" s="6">
        <f>+SUM($O$3:O6)</f>
        <v>0.83000000000000007</v>
      </c>
      <c r="Q6" s="3">
        <f t="shared" si="1"/>
        <v>15</v>
      </c>
      <c r="R6" s="3">
        <f t="shared" si="2"/>
        <v>5.25</v>
      </c>
      <c r="S6" s="11">
        <v>7</v>
      </c>
      <c r="U6" s="2">
        <v>4</v>
      </c>
      <c r="V6" s="9">
        <v>0.2</v>
      </c>
      <c r="W6" s="6">
        <f>+SUM($V$3:V6)</f>
        <v>0.73</v>
      </c>
      <c r="X6" s="3">
        <f t="shared" si="3"/>
        <v>15</v>
      </c>
      <c r="Y6" s="3">
        <f t="shared" si="4"/>
        <v>3</v>
      </c>
      <c r="Z6" s="11">
        <v>9</v>
      </c>
      <c r="AB6" s="2">
        <v>4</v>
      </c>
      <c r="AC6" s="9">
        <v>0.3</v>
      </c>
      <c r="AD6" s="6">
        <f>+SUM($AC$3:AC6)</f>
        <v>0.41</v>
      </c>
      <c r="AE6" s="3">
        <f t="shared" si="5"/>
        <v>15</v>
      </c>
      <c r="AF6" s="3">
        <f t="shared" si="6"/>
        <v>4.5</v>
      </c>
      <c r="AG6" s="11">
        <v>8</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4</v>
      </c>
      <c r="N7" s="2">
        <v>5</v>
      </c>
      <c r="O7" s="9">
        <v>0.1</v>
      </c>
      <c r="P7" s="6">
        <f>+SUM($O$3:O7)</f>
        <v>0.93</v>
      </c>
      <c r="Q7" s="3">
        <f t="shared" si="1"/>
        <v>25</v>
      </c>
      <c r="R7" s="3">
        <f t="shared" si="2"/>
        <v>2.5</v>
      </c>
      <c r="S7" s="11">
        <v>2</v>
      </c>
      <c r="U7" s="2">
        <v>5</v>
      </c>
      <c r="V7" s="9">
        <v>0.1</v>
      </c>
      <c r="W7" s="6">
        <f>+SUM($V$3:V7)</f>
        <v>0.83</v>
      </c>
      <c r="X7" s="3">
        <f t="shared" si="3"/>
        <v>25</v>
      </c>
      <c r="Y7" s="3">
        <f t="shared" si="4"/>
        <v>2.5</v>
      </c>
      <c r="Z7" s="11">
        <v>5</v>
      </c>
      <c r="AB7" s="2">
        <v>5</v>
      </c>
      <c r="AC7" s="9">
        <v>0.45</v>
      </c>
      <c r="AD7" s="6">
        <f>+SUM($AC$3:AC7)</f>
        <v>0.86</v>
      </c>
      <c r="AE7" s="3">
        <f t="shared" si="5"/>
        <v>25</v>
      </c>
      <c r="AF7" s="3">
        <f t="shared" si="6"/>
        <v>11.25</v>
      </c>
      <c r="AG7" s="11">
        <v>20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0.91999999999999993</v>
      </c>
      <c r="X8" s="3">
        <f t="shared" si="3"/>
        <v>50</v>
      </c>
      <c r="Y8" s="3">
        <f t="shared" si="4"/>
        <v>4.5</v>
      </c>
      <c r="Z8" s="11">
        <v>7</v>
      </c>
      <c r="AB8" s="2">
        <v>6</v>
      </c>
      <c r="AC8" s="9">
        <v>0.13</v>
      </c>
      <c r="AD8" s="6">
        <f>+SUM($AC$3:AC8)</f>
        <v>0.99</v>
      </c>
      <c r="AE8" s="3">
        <f t="shared" si="5"/>
        <v>50</v>
      </c>
      <c r="AF8" s="3">
        <f t="shared" si="6"/>
        <v>6.5</v>
      </c>
      <c r="AG8" s="11">
        <v>2</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1</v>
      </c>
      <c r="N9" s="2">
        <v>7</v>
      </c>
      <c r="O9" s="8">
        <f>1-SUM(O3:O8)</f>
        <v>5.9999999999999942E-2</v>
      </c>
      <c r="P9" s="6">
        <f>+SUM($O$3:O9)</f>
        <v>1</v>
      </c>
      <c r="Q9" s="3">
        <f t="shared" si="1"/>
        <v>100</v>
      </c>
      <c r="R9" s="3">
        <f t="shared" si="2"/>
        <v>5.9999999999999947</v>
      </c>
      <c r="S9" s="11">
        <v>2</v>
      </c>
      <c r="U9" s="2">
        <v>7</v>
      </c>
      <c r="V9" s="8">
        <f>1-SUM(V3:V8)</f>
        <v>8.0000000000000071E-2</v>
      </c>
      <c r="W9" s="6">
        <f>+SUM($V$3:V9)</f>
        <v>1</v>
      </c>
      <c r="X9" s="3">
        <f t="shared" si="3"/>
        <v>100</v>
      </c>
      <c r="Y9" s="3">
        <f t="shared" si="4"/>
        <v>8.0000000000000071</v>
      </c>
      <c r="Z9" s="11">
        <v>5</v>
      </c>
      <c r="AB9" s="2">
        <v>7</v>
      </c>
      <c r="AC9" s="8">
        <f>1-SUM(AC3:AC8)</f>
        <v>1.0000000000000009E-2</v>
      </c>
      <c r="AD9" s="6">
        <f>+SUM($AC$3:AC9)</f>
        <v>1</v>
      </c>
      <c r="AE9" s="3">
        <f t="shared" si="5"/>
        <v>100</v>
      </c>
      <c r="AF9" s="3">
        <f t="shared" si="6"/>
        <v>1.0000000000000009</v>
      </c>
      <c r="AG9" s="11">
        <v>1</v>
      </c>
      <c r="AI9" s="2">
        <v>7</v>
      </c>
      <c r="AJ9" s="8">
        <f>1-SUM(AJ3:AJ8)</f>
        <v>0.35</v>
      </c>
      <c r="AK9" s="6">
        <f>+SUM($AJ$3:AJ9)</f>
        <v>1</v>
      </c>
      <c r="AL9" s="3">
        <f t="shared" si="7"/>
        <v>100</v>
      </c>
      <c r="AM9" s="3">
        <f t="shared" si="8"/>
        <v>35</v>
      </c>
      <c r="AN9" s="11">
        <v>0</v>
      </c>
    </row>
    <row r="10" spans="1:40">
      <c r="A10" s="14" t="s">
        <v>57</v>
      </c>
      <c r="G10" s="4" t="s">
        <v>6</v>
      </c>
      <c r="H10" s="4">
        <f>+SUM(H3:H9)</f>
        <v>1</v>
      </c>
      <c r="I10" s="4"/>
      <c r="J10" s="4"/>
      <c r="K10" s="5">
        <f>+SUM(K3:K9)</f>
        <v>7.0649999999999888</v>
      </c>
      <c r="L10" s="5"/>
      <c r="N10" s="4" t="s">
        <v>6</v>
      </c>
      <c r="O10" s="4">
        <f>+SUM(O3:O9)</f>
        <v>1</v>
      </c>
      <c r="P10" s="4"/>
      <c r="Q10" s="4"/>
      <c r="R10" s="5">
        <f>+SUM(R3:R9)</f>
        <v>18.009999999999994</v>
      </c>
      <c r="S10" s="5"/>
      <c r="U10" s="4" t="s">
        <v>6</v>
      </c>
      <c r="V10" s="4">
        <f>+SUM(V3:V9)</f>
        <v>1</v>
      </c>
      <c r="W10" s="4"/>
      <c r="X10" s="4"/>
      <c r="Y10" s="5">
        <f>+SUM(Y3:Y9)</f>
        <v>22.050000000000008</v>
      </c>
      <c r="Z10" s="5"/>
      <c r="AB10" s="4" t="s">
        <v>6</v>
      </c>
      <c r="AC10" s="4">
        <f>+SUM(AC3:AC9)</f>
        <v>1</v>
      </c>
      <c r="AD10" s="4"/>
      <c r="AE10" s="4"/>
      <c r="AF10" s="5">
        <f>+SUM(AF3:AF9)</f>
        <v>23.95</v>
      </c>
      <c r="AG10" s="5"/>
      <c r="AI10" s="4" t="s">
        <v>6</v>
      </c>
      <c r="AJ10" s="4">
        <f>+SUM(AJ3:AJ9)</f>
        <v>1</v>
      </c>
      <c r="AK10" s="4"/>
      <c r="AL10" s="4"/>
      <c r="AM10" s="5">
        <f>+SUM(AM3:AM9)</f>
        <v>63.75</v>
      </c>
      <c r="AN10" s="5"/>
    </row>
    <row r="12" spans="1:40">
      <c r="C12" s="1" t="s">
        <v>49</v>
      </c>
      <c r="D12" s="12">
        <v>10000</v>
      </c>
    </row>
    <row r="13" spans="1:40">
      <c r="C13" s="1" t="s">
        <v>10</v>
      </c>
      <c r="D13" s="12">
        <v>10300</v>
      </c>
    </row>
    <row r="14" spans="1:40">
      <c r="C14" s="1" t="s">
        <v>11</v>
      </c>
      <c r="D14" s="12">
        <v>1053</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0.10223300970873786</v>
      </c>
    </row>
    <row r="25" spans="1:4">
      <c r="A25" s="1" t="s">
        <v>85</v>
      </c>
      <c r="B25" s="13">
        <f>IF(D12=0,0,+(SUMPRODUCT(L3:L9,J3:J9))/D12)</f>
        <v>0.67589999999999995</v>
      </c>
    </row>
    <row r="26" spans="1:4">
      <c r="A26" s="1" t="s">
        <v>86</v>
      </c>
      <c r="B26" s="13">
        <f>IF(D12=0,0,+(SUMPRODUCT(Q3:Q9,S3:S9)+SUMPRODUCT(X3:X9,Z3:Z9)+SUMPRODUCT(AE3:AE9,AG3:AG9)+SUMPRODUCT(AL3:AL9,AN3:AN9))/D12)</f>
        <v>0.2596</v>
      </c>
    </row>
  </sheetData>
  <mergeCells count="5">
    <mergeCell ref="G1:L1"/>
    <mergeCell ref="N1:S1"/>
    <mergeCell ref="U1:Z1"/>
    <mergeCell ref="AB1:AG1"/>
    <mergeCell ref="AI1:AN1"/>
  </mergeCells>
  <conditionalFormatting sqref="H3:H9 O3:O9 AJ3:AJ9 V3:V9 AC3:AC9">
    <cfRule type="cellIs" dxfId="60" priority="7" operator="lessThan">
      <formula>0</formula>
    </cfRule>
    <cfRule type="cellIs" dxfId="59" priority="8" operator="greaterThan">
      <formula>1</formula>
    </cfRule>
  </conditionalFormatting>
  <conditionalFormatting sqref="H3:H9 O3:O9 AJ3:AJ9 V3:V9 AC3:AC9">
    <cfRule type="cellIs" dxfId="58" priority="6" operator="equal">
      <formula>0</formula>
    </cfRule>
  </conditionalFormatting>
  <conditionalFormatting sqref="B3:B7">
    <cfRule type="cellIs" dxfId="57" priority="4" operator="greaterThan">
      <formula>1</formula>
    </cfRule>
    <cfRule type="cellIs" dxfId="56" priority="5" operator="lessThan">
      <formula>0</formula>
    </cfRule>
  </conditionalFormatting>
  <conditionalFormatting sqref="AJ7:AJ8">
    <cfRule type="cellIs" dxfId="55" priority="2" operator="lessThan">
      <formula>0</formula>
    </cfRule>
    <cfRule type="cellIs" dxfId="54" priority="3" operator="greaterThan">
      <formula>1</formula>
    </cfRule>
  </conditionalFormatting>
  <conditionalFormatting sqref="AJ7:AJ8">
    <cfRule type="cellIs" dxfId="53"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Hoja7"/>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91</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5">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148</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52" priority="7" operator="lessThan">
      <formula>0</formula>
    </cfRule>
    <cfRule type="cellIs" dxfId="51" priority="8" operator="greaterThan">
      <formula>1</formula>
    </cfRule>
  </conditionalFormatting>
  <conditionalFormatting sqref="H3:H9 O3:O9 AJ3:AJ9 V3:V9 AC3:AC9">
    <cfRule type="cellIs" dxfId="50" priority="6" operator="equal">
      <formula>0</formula>
    </cfRule>
  </conditionalFormatting>
  <conditionalFormatting sqref="B3:B7">
    <cfRule type="cellIs" dxfId="49" priority="4" operator="greaterThan">
      <formula>1</formula>
    </cfRule>
    <cfRule type="cellIs" dxfId="48" priority="5" operator="lessThan">
      <formula>0</formula>
    </cfRule>
  </conditionalFormatting>
  <conditionalFormatting sqref="AJ7:AJ8">
    <cfRule type="cellIs" dxfId="47" priority="2" operator="lessThan">
      <formula>0</formula>
    </cfRule>
    <cfRule type="cellIs" dxfId="46" priority="3" operator="greaterThan">
      <formula>1</formula>
    </cfRule>
  </conditionalFormatting>
  <conditionalFormatting sqref="AJ7:AJ8">
    <cfRule type="cellIs" dxfId="45"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Hoja8"/>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92</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85">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148</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44" priority="13" operator="lessThan">
      <formula>0</formula>
    </cfRule>
    <cfRule type="cellIs" dxfId="43" priority="14" operator="greaterThan">
      <formula>1</formula>
    </cfRule>
  </conditionalFormatting>
  <conditionalFormatting sqref="H3:H9 O3:O9 AJ3:AJ9 V3:V9 AC3:AC9">
    <cfRule type="cellIs" dxfId="42" priority="12" operator="equal">
      <formula>0</formula>
    </cfRule>
  </conditionalFormatting>
  <conditionalFormatting sqref="B3:B7">
    <cfRule type="cellIs" dxfId="41" priority="10" operator="greaterThan">
      <formula>1</formula>
    </cfRule>
    <cfRule type="cellIs" dxfId="40" priority="11" operator="lessThan">
      <formula>0</formula>
    </cfRule>
  </conditionalFormatting>
  <conditionalFormatting sqref="O3:O9">
    <cfRule type="cellIs" dxfId="39" priority="8" operator="lessThan">
      <formula>0</formula>
    </cfRule>
    <cfRule type="cellIs" dxfId="38" priority="9" operator="greaterThan">
      <formula>1</formula>
    </cfRule>
  </conditionalFormatting>
  <conditionalFormatting sqref="O3:O9">
    <cfRule type="cellIs" dxfId="37" priority="7" operator="equal">
      <formula>0</formula>
    </cfRule>
  </conditionalFormatting>
  <conditionalFormatting sqref="V3:V8">
    <cfRule type="cellIs" dxfId="36" priority="5" operator="lessThan">
      <formula>0</formula>
    </cfRule>
    <cfRule type="cellIs" dxfId="35" priority="6" operator="greaterThan">
      <formula>1</formula>
    </cfRule>
  </conditionalFormatting>
  <conditionalFormatting sqref="V3:V8">
    <cfRule type="cellIs" dxfId="34" priority="4" operator="equal">
      <formula>0</formula>
    </cfRule>
  </conditionalFormatting>
  <conditionalFormatting sqref="AC3:AC8">
    <cfRule type="cellIs" dxfId="33" priority="2" operator="lessThan">
      <formula>0</formula>
    </cfRule>
    <cfRule type="cellIs" dxfId="32" priority="3" operator="greaterThan">
      <formula>1</formula>
    </cfRule>
  </conditionalFormatting>
  <conditionalFormatting sqref="AC3:AC8">
    <cfRule type="cellIs" dxfId="31"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sheetPr codeName="Hoja9"/>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93</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6.5369261477046026E-2</v>
      </c>
      <c r="C3" s="7">
        <f>1/B3/Summary!$C$7</f>
        <v>1.5297709923664094E-2</v>
      </c>
      <c r="D3" s="85">
        <f>+K10</f>
        <v>10.019999999999982</v>
      </c>
      <c r="E3" s="7">
        <v>0.65500000000000003</v>
      </c>
      <c r="G3" s="2">
        <v>1</v>
      </c>
      <c r="H3" s="9">
        <v>0.5</v>
      </c>
      <c r="I3" s="6">
        <f>+SUM($H3:H3)</f>
        <v>0.5</v>
      </c>
      <c r="J3" s="15">
        <v>7</v>
      </c>
      <c r="K3" s="3">
        <f>+H3*J3</f>
        <v>3.5</v>
      </c>
      <c r="L3" s="11">
        <v>351</v>
      </c>
      <c r="N3" s="2">
        <v>1</v>
      </c>
      <c r="O3" s="9">
        <v>0.18</v>
      </c>
      <c r="P3" s="6">
        <f>+SUM($O3:O$3)</f>
        <v>0.18</v>
      </c>
      <c r="Q3" s="3">
        <f>+J3</f>
        <v>7</v>
      </c>
      <c r="R3" s="3">
        <f>+O3*Q3</f>
        <v>1.26</v>
      </c>
      <c r="S3" s="11">
        <v>1</v>
      </c>
      <c r="U3" s="2">
        <v>1</v>
      </c>
      <c r="V3" s="9">
        <v>0.1</v>
      </c>
      <c r="W3" s="6">
        <f>+SUM($V3:V$3)</f>
        <v>0.1</v>
      </c>
      <c r="X3" s="3">
        <f>+J3</f>
        <v>7</v>
      </c>
      <c r="Y3" s="3">
        <f>+V3*X3</f>
        <v>0.70000000000000007</v>
      </c>
      <c r="Z3" s="11">
        <v>3</v>
      </c>
      <c r="AB3" s="2">
        <v>1</v>
      </c>
      <c r="AC3" s="9">
        <v>0</v>
      </c>
      <c r="AD3" s="6">
        <f>+SUM($AC$3:AC3)</f>
        <v>0</v>
      </c>
      <c r="AE3" s="3">
        <f>+J3</f>
        <v>7</v>
      </c>
      <c r="AF3" s="3">
        <f>+AC3*AE3</f>
        <v>0</v>
      </c>
      <c r="AG3" s="11">
        <v>0</v>
      </c>
      <c r="AI3" s="2">
        <v>1</v>
      </c>
      <c r="AJ3" s="9">
        <v>0</v>
      </c>
      <c r="AK3" s="6">
        <f>+SUM($AJ$3:AJ3)</f>
        <v>0</v>
      </c>
      <c r="AL3" s="3">
        <f>+J3</f>
        <v>7</v>
      </c>
      <c r="AM3" s="3">
        <f>+AJ3*AL3</f>
        <v>0</v>
      </c>
      <c r="AN3" s="11">
        <v>0</v>
      </c>
    </row>
    <row r="4" spans="1:40">
      <c r="A4" s="7" t="s">
        <v>148</v>
      </c>
      <c r="B4" s="7">
        <f>+E4/D4</f>
        <v>0.1999200319872052</v>
      </c>
      <c r="C4" s="7">
        <v>0</v>
      </c>
      <c r="D4" s="16">
        <f>+R10</f>
        <v>25.009999999999991</v>
      </c>
      <c r="E4" s="7">
        <v>5</v>
      </c>
      <c r="G4" s="2">
        <v>2</v>
      </c>
      <c r="H4" s="9">
        <v>0.32</v>
      </c>
      <c r="I4" s="6">
        <f>+SUM($H$3:H4)</f>
        <v>0.82000000000000006</v>
      </c>
      <c r="J4" s="15">
        <v>10</v>
      </c>
      <c r="K4" s="3">
        <f t="shared" ref="K4:K9" si="0">+H4*J4</f>
        <v>3.2</v>
      </c>
      <c r="L4" s="11">
        <v>218</v>
      </c>
      <c r="N4" s="2">
        <v>2</v>
      </c>
      <c r="O4" s="9">
        <v>0.2</v>
      </c>
      <c r="P4" s="6">
        <f>+SUM($O$3:O4)</f>
        <v>0.38</v>
      </c>
      <c r="Q4" s="3">
        <f t="shared" ref="Q4:Q9" si="1">+J4</f>
        <v>10</v>
      </c>
      <c r="R4" s="3">
        <f t="shared" ref="R4:R9" si="2">+O4*Q4</f>
        <v>2</v>
      </c>
      <c r="S4" s="11">
        <v>1</v>
      </c>
      <c r="U4" s="2">
        <v>2</v>
      </c>
      <c r="V4" s="9">
        <v>0.25</v>
      </c>
      <c r="W4" s="6">
        <f>+SUM($V$3:V4)</f>
        <v>0.35</v>
      </c>
      <c r="X4" s="3">
        <f t="shared" ref="X4:X9" si="3">+J4</f>
        <v>10</v>
      </c>
      <c r="Y4" s="3">
        <f t="shared" ref="Y4:Y9" si="4">+V4*X4</f>
        <v>2.5</v>
      </c>
      <c r="Z4" s="11">
        <v>8</v>
      </c>
      <c r="AB4" s="2">
        <v>2</v>
      </c>
      <c r="AC4" s="9">
        <v>0</v>
      </c>
      <c r="AD4" s="6">
        <f>+SUM($AC$3:AC4)</f>
        <v>0</v>
      </c>
      <c r="AE4" s="3">
        <f t="shared" ref="AE4:AE9" si="5">+J4</f>
        <v>10</v>
      </c>
      <c r="AF4" s="3">
        <f t="shared" ref="AF4:AF9" si="6">+AC4*AE4</f>
        <v>0</v>
      </c>
      <c r="AG4" s="11">
        <v>0</v>
      </c>
      <c r="AI4" s="2">
        <v>2</v>
      </c>
      <c r="AJ4" s="9">
        <v>0</v>
      </c>
      <c r="AK4" s="6">
        <f>+SUM($AJ$3:AJ4)</f>
        <v>0</v>
      </c>
      <c r="AL4" s="3">
        <f t="shared" ref="AL4:AL9" si="7">+J4</f>
        <v>10</v>
      </c>
      <c r="AM4" s="3">
        <f t="shared" ref="AM4:AM9" si="8">+AJ4*AL4</f>
        <v>0</v>
      </c>
      <c r="AN4" s="11">
        <v>0</v>
      </c>
    </row>
    <row r="5" spans="1:40">
      <c r="A5" s="7" t="s">
        <v>51</v>
      </c>
      <c r="B5" s="7">
        <f>+E5/D5</f>
        <v>0.26272577996715923</v>
      </c>
      <c r="C5" s="7">
        <v>0</v>
      </c>
      <c r="D5" s="16">
        <f>+Y10</f>
        <v>30.450000000000006</v>
      </c>
      <c r="E5" s="7">
        <v>8</v>
      </c>
      <c r="G5" s="2">
        <v>3</v>
      </c>
      <c r="H5" s="9">
        <v>0.105</v>
      </c>
      <c r="I5" s="6">
        <f>+SUM($H$3:H5)</f>
        <v>0.92500000000000004</v>
      </c>
      <c r="J5" s="15">
        <v>15</v>
      </c>
      <c r="K5" s="3">
        <f t="shared" si="0"/>
        <v>1.575</v>
      </c>
      <c r="L5" s="11">
        <v>49</v>
      </c>
      <c r="N5" s="2">
        <v>3</v>
      </c>
      <c r="O5" s="9">
        <v>0.2</v>
      </c>
      <c r="P5" s="6">
        <f>+SUM($O$3:O5)</f>
        <v>0.58000000000000007</v>
      </c>
      <c r="Q5" s="3">
        <f t="shared" si="1"/>
        <v>15</v>
      </c>
      <c r="R5" s="3">
        <f t="shared" si="2"/>
        <v>3</v>
      </c>
      <c r="S5" s="11">
        <v>1</v>
      </c>
      <c r="U5" s="2">
        <v>3</v>
      </c>
      <c r="V5" s="9">
        <v>0.22</v>
      </c>
      <c r="W5" s="6">
        <f>+SUM($V$3:V5)</f>
        <v>0.56999999999999995</v>
      </c>
      <c r="X5" s="3">
        <f t="shared" si="3"/>
        <v>15</v>
      </c>
      <c r="Y5" s="3">
        <f t="shared" si="4"/>
        <v>3.3</v>
      </c>
      <c r="Z5" s="11">
        <v>2</v>
      </c>
      <c r="AB5" s="2">
        <v>3</v>
      </c>
      <c r="AC5" s="9">
        <v>0.15</v>
      </c>
      <c r="AD5" s="6">
        <f>+SUM($AC$3:AC5)</f>
        <v>0.15</v>
      </c>
      <c r="AE5" s="3">
        <f t="shared" si="5"/>
        <v>15</v>
      </c>
      <c r="AF5" s="3">
        <f t="shared" si="6"/>
        <v>2.25</v>
      </c>
      <c r="AG5" s="11">
        <v>11</v>
      </c>
      <c r="AI5" s="2">
        <v>3</v>
      </c>
      <c r="AJ5" s="9">
        <v>0</v>
      </c>
      <c r="AK5" s="6">
        <f>+SUM($AJ$3:AJ5)</f>
        <v>0</v>
      </c>
      <c r="AL5" s="3">
        <f t="shared" si="7"/>
        <v>15</v>
      </c>
      <c r="AM5" s="3">
        <f t="shared" si="8"/>
        <v>0</v>
      </c>
      <c r="AN5" s="11">
        <v>0</v>
      </c>
    </row>
    <row r="6" spans="1:40">
      <c r="A6" s="7" t="s">
        <v>52</v>
      </c>
      <c r="B6" s="7">
        <f>+E6/D6</f>
        <v>0.29197080291970801</v>
      </c>
      <c r="C6" s="7">
        <v>0</v>
      </c>
      <c r="D6" s="16">
        <f>+AF10</f>
        <v>34.25</v>
      </c>
      <c r="E6" s="7">
        <v>10</v>
      </c>
      <c r="G6" s="2">
        <v>4</v>
      </c>
      <c r="H6" s="9">
        <v>7.0000000000000007E-2</v>
      </c>
      <c r="I6" s="6">
        <f>+SUM($H$3:H6)</f>
        <v>0.99500000000000011</v>
      </c>
      <c r="J6" s="15">
        <v>20</v>
      </c>
      <c r="K6" s="3">
        <f t="shared" si="0"/>
        <v>1.4000000000000001</v>
      </c>
      <c r="L6" s="11">
        <v>41</v>
      </c>
      <c r="N6" s="2">
        <v>4</v>
      </c>
      <c r="O6" s="9">
        <v>0.25</v>
      </c>
      <c r="P6" s="6">
        <f>+SUM($O$3:O6)</f>
        <v>0.83000000000000007</v>
      </c>
      <c r="Q6" s="3">
        <f t="shared" si="1"/>
        <v>20</v>
      </c>
      <c r="R6" s="3">
        <f t="shared" si="2"/>
        <v>5</v>
      </c>
      <c r="S6" s="11">
        <v>0</v>
      </c>
      <c r="U6" s="2">
        <v>4</v>
      </c>
      <c r="V6" s="9">
        <v>0.15</v>
      </c>
      <c r="W6" s="6">
        <f>+SUM($V$3:V6)</f>
        <v>0.72</v>
      </c>
      <c r="X6" s="3">
        <f t="shared" si="3"/>
        <v>20</v>
      </c>
      <c r="Y6" s="3">
        <f t="shared" si="4"/>
        <v>3</v>
      </c>
      <c r="Z6" s="11">
        <v>3</v>
      </c>
      <c r="AB6" s="2">
        <v>4</v>
      </c>
      <c r="AC6" s="9">
        <v>0.35</v>
      </c>
      <c r="AD6" s="6">
        <f>+SUM($AC$3:AC6)</f>
        <v>0.5</v>
      </c>
      <c r="AE6" s="3">
        <f t="shared" si="5"/>
        <v>20</v>
      </c>
      <c r="AF6" s="3">
        <f t="shared" si="6"/>
        <v>7</v>
      </c>
      <c r="AG6" s="11">
        <v>28</v>
      </c>
      <c r="AI6" s="2">
        <v>4</v>
      </c>
      <c r="AJ6" s="9">
        <v>0</v>
      </c>
      <c r="AK6" s="6">
        <f>+SUM($AJ$3:AJ6)</f>
        <v>0</v>
      </c>
      <c r="AL6" s="3">
        <f t="shared" si="7"/>
        <v>20</v>
      </c>
      <c r="AM6" s="3">
        <f t="shared" si="8"/>
        <v>0</v>
      </c>
      <c r="AN6" s="11">
        <v>0</v>
      </c>
    </row>
    <row r="7" spans="1:40">
      <c r="A7" s="7" t="s">
        <v>53</v>
      </c>
      <c r="B7" s="7">
        <f>+E7/D7</f>
        <v>0.71174377224199292</v>
      </c>
      <c r="C7" s="7">
        <v>0</v>
      </c>
      <c r="D7" s="16">
        <f>+AM10</f>
        <v>70.25</v>
      </c>
      <c r="E7" s="7">
        <v>50</v>
      </c>
      <c r="G7" s="2">
        <v>5</v>
      </c>
      <c r="H7" s="9">
        <v>3.0000000000000001E-3</v>
      </c>
      <c r="I7" s="6">
        <f>+SUM($H$3:H7)</f>
        <v>0.99800000000000011</v>
      </c>
      <c r="J7" s="15">
        <v>40</v>
      </c>
      <c r="K7" s="3">
        <f t="shared" si="0"/>
        <v>0.12</v>
      </c>
      <c r="L7" s="11">
        <v>1</v>
      </c>
      <c r="N7" s="2">
        <v>5</v>
      </c>
      <c r="O7" s="9">
        <v>0.1</v>
      </c>
      <c r="P7" s="6">
        <f>+SUM($O$3:O7)</f>
        <v>0.93</v>
      </c>
      <c r="Q7" s="3">
        <f t="shared" si="1"/>
        <v>40</v>
      </c>
      <c r="R7" s="3">
        <f t="shared" si="2"/>
        <v>4</v>
      </c>
      <c r="S7" s="11">
        <v>1</v>
      </c>
      <c r="U7" s="2">
        <v>5</v>
      </c>
      <c r="V7" s="9">
        <v>0.13</v>
      </c>
      <c r="W7" s="6">
        <f>+SUM($V$3:V7)</f>
        <v>0.85</v>
      </c>
      <c r="X7" s="3">
        <f t="shared" si="3"/>
        <v>40</v>
      </c>
      <c r="Y7" s="3">
        <f t="shared" si="4"/>
        <v>5.2</v>
      </c>
      <c r="Z7" s="11">
        <v>1</v>
      </c>
      <c r="AB7" s="2">
        <v>5</v>
      </c>
      <c r="AC7" s="9">
        <v>0.4</v>
      </c>
      <c r="AD7" s="6">
        <f>+SUM($AC$3:AC7)</f>
        <v>0.9</v>
      </c>
      <c r="AE7" s="3">
        <f t="shared" si="5"/>
        <v>40</v>
      </c>
      <c r="AF7" s="3">
        <f t="shared" si="6"/>
        <v>16</v>
      </c>
      <c r="AG7" s="11">
        <v>30</v>
      </c>
      <c r="AI7" s="2">
        <v>5</v>
      </c>
      <c r="AJ7" s="9">
        <v>0.35</v>
      </c>
      <c r="AK7" s="6">
        <f>+SUM($AJ$3:AJ7)</f>
        <v>0.35</v>
      </c>
      <c r="AL7" s="3">
        <f t="shared" si="7"/>
        <v>40</v>
      </c>
      <c r="AM7" s="3">
        <f t="shared" si="8"/>
        <v>14</v>
      </c>
      <c r="AN7" s="11">
        <v>2</v>
      </c>
    </row>
    <row r="8" spans="1:40">
      <c r="A8" s="7" t="s">
        <v>0</v>
      </c>
      <c r="B8" s="10" t="str">
        <f>+CONCATENATE("x",J3," - x",J9)</f>
        <v>x7 - x150</v>
      </c>
      <c r="G8" s="2">
        <v>6</v>
      </c>
      <c r="H8" s="9">
        <v>1E-3</v>
      </c>
      <c r="I8" s="6">
        <f>+SUM($H$3:H8)</f>
        <v>0.99900000000000011</v>
      </c>
      <c r="J8" s="15">
        <v>75</v>
      </c>
      <c r="K8" s="3">
        <f t="shared" si="0"/>
        <v>7.4999999999999997E-2</v>
      </c>
      <c r="L8" s="11">
        <v>0</v>
      </c>
      <c r="N8" s="2">
        <v>6</v>
      </c>
      <c r="O8" s="9">
        <v>0.01</v>
      </c>
      <c r="P8" s="6">
        <f>+SUM($O$3:O8)</f>
        <v>0.94000000000000006</v>
      </c>
      <c r="Q8" s="3">
        <f t="shared" si="1"/>
        <v>75</v>
      </c>
      <c r="R8" s="3">
        <f t="shared" si="2"/>
        <v>0.75</v>
      </c>
      <c r="S8" s="11">
        <v>0</v>
      </c>
      <c r="U8" s="2">
        <v>6</v>
      </c>
      <c r="V8" s="9">
        <v>0.09</v>
      </c>
      <c r="W8" s="6">
        <f>+SUM($V$3:V8)</f>
        <v>0.94</v>
      </c>
      <c r="X8" s="3">
        <f t="shared" si="3"/>
        <v>75</v>
      </c>
      <c r="Y8" s="3">
        <f t="shared" si="4"/>
        <v>6.75</v>
      </c>
      <c r="Z8" s="11">
        <v>2</v>
      </c>
      <c r="AB8" s="2">
        <v>6</v>
      </c>
      <c r="AC8" s="9">
        <v>0.08</v>
      </c>
      <c r="AD8" s="6">
        <f>+SUM($AC$3:AC8)</f>
        <v>0.98</v>
      </c>
      <c r="AE8" s="3">
        <f t="shared" si="5"/>
        <v>75</v>
      </c>
      <c r="AF8" s="3">
        <f t="shared" si="6"/>
        <v>6</v>
      </c>
      <c r="AG8" s="11">
        <v>8</v>
      </c>
      <c r="AI8" s="2">
        <v>6</v>
      </c>
      <c r="AJ8" s="9">
        <v>0.55000000000000004</v>
      </c>
      <c r="AK8" s="6">
        <f>+SUM($AJ$3:AJ8)</f>
        <v>0.9</v>
      </c>
      <c r="AL8" s="3">
        <f t="shared" si="7"/>
        <v>75</v>
      </c>
      <c r="AM8" s="3">
        <f t="shared" si="8"/>
        <v>41.25</v>
      </c>
      <c r="AN8" s="11">
        <v>0</v>
      </c>
    </row>
    <row r="9" spans="1:40">
      <c r="G9" s="2">
        <v>7</v>
      </c>
      <c r="H9" s="8">
        <f>1-SUM(H3:H8)</f>
        <v>9.9999999999988987E-4</v>
      </c>
      <c r="I9" s="6">
        <f>+SUM($H$3:H9)</f>
        <v>1</v>
      </c>
      <c r="J9" s="15">
        <v>150</v>
      </c>
      <c r="K9" s="3">
        <f t="shared" si="0"/>
        <v>0.14999999999998348</v>
      </c>
      <c r="L9" s="11">
        <v>0</v>
      </c>
      <c r="N9" s="2">
        <v>7</v>
      </c>
      <c r="O9" s="8">
        <f>1-SUM(O3:O8)</f>
        <v>5.9999999999999942E-2</v>
      </c>
      <c r="P9" s="6">
        <f>+SUM($O$3:O9)</f>
        <v>1</v>
      </c>
      <c r="Q9" s="3">
        <f t="shared" si="1"/>
        <v>150</v>
      </c>
      <c r="R9" s="3">
        <f t="shared" si="2"/>
        <v>8.9999999999999911</v>
      </c>
      <c r="S9" s="11">
        <v>0</v>
      </c>
      <c r="U9" s="2">
        <v>7</v>
      </c>
      <c r="V9" s="8">
        <f>1-SUM(V3:V8)</f>
        <v>6.0000000000000053E-2</v>
      </c>
      <c r="W9" s="6">
        <f>+SUM($V$3:V9)</f>
        <v>1</v>
      </c>
      <c r="X9" s="3">
        <f t="shared" si="3"/>
        <v>150</v>
      </c>
      <c r="Y9" s="3">
        <f t="shared" si="4"/>
        <v>9.0000000000000071</v>
      </c>
      <c r="Z9" s="11">
        <v>1</v>
      </c>
      <c r="AB9" s="2">
        <v>7</v>
      </c>
      <c r="AC9" s="8">
        <f>1-SUM(AC3:AC8)</f>
        <v>2.0000000000000018E-2</v>
      </c>
      <c r="AD9" s="6">
        <f>+SUM($AC$3:AC9)</f>
        <v>1</v>
      </c>
      <c r="AE9" s="3">
        <f t="shared" si="5"/>
        <v>150</v>
      </c>
      <c r="AF9" s="3">
        <f t="shared" si="6"/>
        <v>3.0000000000000027</v>
      </c>
      <c r="AG9" s="11">
        <v>1</v>
      </c>
      <c r="AI9" s="2">
        <v>7</v>
      </c>
      <c r="AJ9" s="8">
        <f>1-SUM(AJ3:AJ8)</f>
        <v>9.9999999999999978E-2</v>
      </c>
      <c r="AK9" s="6">
        <f>+SUM($AJ$3:AJ9)</f>
        <v>1</v>
      </c>
      <c r="AL9" s="3">
        <f t="shared" si="7"/>
        <v>150</v>
      </c>
      <c r="AM9" s="3">
        <f t="shared" si="8"/>
        <v>14.999999999999996</v>
      </c>
      <c r="AN9" s="11">
        <v>1</v>
      </c>
    </row>
    <row r="10" spans="1:40">
      <c r="A10" s="14" t="s">
        <v>57</v>
      </c>
      <c r="G10" s="4" t="s">
        <v>6</v>
      </c>
      <c r="H10" s="4">
        <f>+SUM(H3:H9)</f>
        <v>1</v>
      </c>
      <c r="I10" s="4"/>
      <c r="J10" s="4"/>
      <c r="K10" s="5">
        <f>+SUM(K3:K9)</f>
        <v>10.019999999999982</v>
      </c>
      <c r="L10" s="5"/>
      <c r="N10" s="4" t="s">
        <v>6</v>
      </c>
      <c r="O10" s="4">
        <f>+SUM(O3:O9)</f>
        <v>1</v>
      </c>
      <c r="P10" s="4"/>
      <c r="Q10" s="4"/>
      <c r="R10" s="5">
        <f>+SUM(R3:R9)</f>
        <v>25.009999999999991</v>
      </c>
      <c r="S10" s="5"/>
      <c r="U10" s="4" t="s">
        <v>6</v>
      </c>
      <c r="V10" s="4">
        <f>+SUM(V3:V9)</f>
        <v>1</v>
      </c>
      <c r="W10" s="4"/>
      <c r="X10" s="4"/>
      <c r="Y10" s="5">
        <f>+SUM(Y3:Y9)</f>
        <v>30.450000000000006</v>
      </c>
      <c r="Z10" s="5"/>
      <c r="AB10" s="4" t="s">
        <v>6</v>
      </c>
      <c r="AC10" s="4">
        <f>+SUM(AC3:AC9)</f>
        <v>1</v>
      </c>
      <c r="AD10" s="4"/>
      <c r="AE10" s="4"/>
      <c r="AF10" s="5">
        <f>+SUM(AF3:AF9)</f>
        <v>34.25</v>
      </c>
      <c r="AG10" s="5"/>
      <c r="AI10" s="4" t="s">
        <v>6</v>
      </c>
      <c r="AJ10" s="4">
        <f>+SUM(AJ3:AJ9)</f>
        <v>1</v>
      </c>
      <c r="AK10" s="4"/>
      <c r="AL10" s="4"/>
      <c r="AM10" s="5">
        <f>+SUM(AM3:AM9)</f>
        <v>70.25</v>
      </c>
      <c r="AN10" s="5"/>
    </row>
    <row r="12" spans="1:40">
      <c r="C12" s="1" t="s">
        <v>49</v>
      </c>
      <c r="D12" s="12">
        <v>10000</v>
      </c>
    </row>
    <row r="13" spans="1:40">
      <c r="C13" s="1" t="s">
        <v>10</v>
      </c>
      <c r="D13" s="12">
        <v>10378</v>
      </c>
    </row>
    <row r="14" spans="1:40">
      <c r="C14" s="1" t="s">
        <v>11</v>
      </c>
      <c r="D14" s="12">
        <v>765</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7.371362497591058E-2</v>
      </c>
    </row>
    <row r="25" spans="1:4">
      <c r="A25" s="1" t="s">
        <v>85</v>
      </c>
      <c r="B25" s="13">
        <f>IF(D12=0,0,+(SUMPRODUCT(L3:L9,J3:J9))/D12)</f>
        <v>0.62319999999999998</v>
      </c>
    </row>
    <row r="26" spans="1:4">
      <c r="A26" s="1" t="s">
        <v>86</v>
      </c>
      <c r="B26" s="13">
        <f>IF(D12=0,0,+(SUMPRODUCT(Q3:Q9,S3:S9)+SUMPRODUCT(X3:X9,Z3:Z9)+SUMPRODUCT(AE3:AE9,AG3:AG9)+SUMPRODUCT(AL3:AL9,AN3:AN9))/D12)</f>
        <v>0.3508</v>
      </c>
    </row>
  </sheetData>
  <mergeCells count="5">
    <mergeCell ref="G1:L1"/>
    <mergeCell ref="N1:S1"/>
    <mergeCell ref="U1:Z1"/>
    <mergeCell ref="AB1:AG1"/>
    <mergeCell ref="AI1:AN1"/>
  </mergeCells>
  <conditionalFormatting sqref="H3:H9 O3:O9 AJ3:AJ9 V3:V9 AC3:AC9">
    <cfRule type="cellIs" dxfId="30" priority="4" operator="lessThan">
      <formula>0</formula>
    </cfRule>
    <cfRule type="cellIs" dxfId="29" priority="5" operator="greaterThan">
      <formula>1</formula>
    </cfRule>
  </conditionalFormatting>
  <conditionalFormatting sqref="H3:H9 O3:O9 AJ3:AJ9 V3:V9 AC3:AC9">
    <cfRule type="cellIs" dxfId="28" priority="3" operator="equal">
      <formula>0</formula>
    </cfRule>
  </conditionalFormatting>
  <conditionalFormatting sqref="B3:B7">
    <cfRule type="cellIs" dxfId="27" priority="1" operator="greaterThan">
      <formula>1</formula>
    </cfRule>
    <cfRule type="cellIs" dxfId="26"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sheetPr codeName="Hoja10"/>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94</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85">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0.1</v>
      </c>
      <c r="W3" s="6">
        <f>+SUM($V3:V$3)</f>
        <v>0.1</v>
      </c>
      <c r="X3" s="3">
        <f>+J3</f>
        <v>10</v>
      </c>
      <c r="Y3" s="3">
        <f>+V3*X3</f>
        <v>1</v>
      </c>
      <c r="Z3" s="11">
        <v>0</v>
      </c>
      <c r="AB3" s="2">
        <v>1</v>
      </c>
      <c r="AC3" s="9">
        <v>0.01</v>
      </c>
      <c r="AD3" s="6">
        <f>+SUM($AC$3:AC3)</f>
        <v>0.01</v>
      </c>
      <c r="AE3" s="3">
        <f>+J3</f>
        <v>10</v>
      </c>
      <c r="AF3" s="3">
        <f>+AC3*AE3</f>
        <v>0.1</v>
      </c>
      <c r="AG3" s="11">
        <v>0</v>
      </c>
      <c r="AI3" s="2">
        <v>1</v>
      </c>
      <c r="AJ3" s="9">
        <v>0</v>
      </c>
      <c r="AK3" s="6">
        <f>+SUM($AJ$3:AJ3)</f>
        <v>0</v>
      </c>
      <c r="AL3" s="3">
        <f>+J3</f>
        <v>10</v>
      </c>
      <c r="AM3" s="3">
        <f>+AJ3*AL3</f>
        <v>0</v>
      </c>
      <c r="AN3" s="11">
        <v>0</v>
      </c>
    </row>
    <row r="4" spans="1:40">
      <c r="A4" s="7" t="s">
        <v>148</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0.25</v>
      </c>
      <c r="W4" s="6">
        <f>+SUM($V$3:V4)</f>
        <v>0.35</v>
      </c>
      <c r="X4" s="3">
        <f t="shared" ref="X4:X9" si="3">+J4</f>
        <v>15</v>
      </c>
      <c r="Y4" s="3">
        <f t="shared" ref="Y4:Y9" si="4">+V4*X4</f>
        <v>3.75</v>
      </c>
      <c r="Z4" s="11">
        <v>0</v>
      </c>
      <c r="AB4" s="2">
        <v>2</v>
      </c>
      <c r="AC4" s="9">
        <v>0.05</v>
      </c>
      <c r="AD4" s="6">
        <f>+SUM($AC$3:AC4)</f>
        <v>6.0000000000000005E-2</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0.17297297297297293</v>
      </c>
      <c r="C5" s="7">
        <v>0</v>
      </c>
      <c r="D5" s="16">
        <f>+Y10</f>
        <v>46.250000000000014</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0.2</v>
      </c>
      <c r="W5" s="6">
        <f>+SUM($V$3:V5)</f>
        <v>0.55000000000000004</v>
      </c>
      <c r="X5" s="3">
        <f t="shared" si="3"/>
        <v>20</v>
      </c>
      <c r="Y5" s="3">
        <f t="shared" si="4"/>
        <v>4</v>
      </c>
      <c r="Z5" s="11">
        <v>0</v>
      </c>
      <c r="AB5" s="2">
        <v>3</v>
      </c>
      <c r="AC5" s="9">
        <v>0.16</v>
      </c>
      <c r="AD5" s="6">
        <f>+SUM($AC$3:AC5)</f>
        <v>0.22</v>
      </c>
      <c r="AE5" s="3">
        <f t="shared" si="5"/>
        <v>20</v>
      </c>
      <c r="AF5" s="3">
        <f t="shared" si="6"/>
        <v>3.2</v>
      </c>
      <c r="AG5" s="11">
        <v>0</v>
      </c>
      <c r="AI5" s="2">
        <v>3</v>
      </c>
      <c r="AJ5" s="9">
        <v>0</v>
      </c>
      <c r="AK5" s="6">
        <f>+SUM($AJ$3:AJ5)</f>
        <v>0</v>
      </c>
      <c r="AL5" s="3">
        <f t="shared" si="7"/>
        <v>20</v>
      </c>
      <c r="AM5" s="3">
        <f t="shared" si="8"/>
        <v>0</v>
      </c>
      <c r="AN5" s="11">
        <v>0</v>
      </c>
    </row>
    <row r="6" spans="1:40">
      <c r="A6" s="7" t="s">
        <v>52</v>
      </c>
      <c r="B6" s="7">
        <f>+E6/D6</f>
        <v>0.19342359767891681</v>
      </c>
      <c r="C6" s="7">
        <v>0</v>
      </c>
      <c r="D6" s="16">
        <f>+AF10</f>
        <v>51.7</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0.75</v>
      </c>
      <c r="X6" s="3">
        <f t="shared" si="3"/>
        <v>40</v>
      </c>
      <c r="Y6" s="3">
        <f t="shared" si="4"/>
        <v>8</v>
      </c>
      <c r="Z6" s="11">
        <v>0</v>
      </c>
      <c r="AB6" s="2">
        <v>4</v>
      </c>
      <c r="AC6" s="9">
        <v>0.36</v>
      </c>
      <c r="AD6" s="6">
        <f>+SUM($AC$3:AC6)</f>
        <v>0.57999999999999996</v>
      </c>
      <c r="AE6" s="3">
        <f t="shared" si="5"/>
        <v>40</v>
      </c>
      <c r="AF6" s="3">
        <f t="shared" si="6"/>
        <v>14.399999999999999</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v>
      </c>
      <c r="W7" s="6">
        <f>+SUM($V$3:V7)</f>
        <v>0.85</v>
      </c>
      <c r="X7" s="3">
        <f t="shared" si="3"/>
        <v>75</v>
      </c>
      <c r="Y7" s="3">
        <f t="shared" si="4"/>
        <v>7.5</v>
      </c>
      <c r="Z7" s="11">
        <v>0</v>
      </c>
      <c r="AB7" s="2">
        <v>5</v>
      </c>
      <c r="AC7" s="9">
        <v>0.39</v>
      </c>
      <c r="AD7" s="6">
        <f>+SUM($AC$3:AC7)</f>
        <v>0.97</v>
      </c>
      <c r="AE7" s="3">
        <f t="shared" si="5"/>
        <v>75</v>
      </c>
      <c r="AF7" s="3">
        <f t="shared" si="6"/>
        <v>29.25</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0.08</v>
      </c>
      <c r="W8" s="6">
        <f>+SUM($V$3:V8)</f>
        <v>0.92999999999999994</v>
      </c>
      <c r="X8" s="3">
        <f t="shared" si="3"/>
        <v>100</v>
      </c>
      <c r="Y8" s="3">
        <f t="shared" si="4"/>
        <v>8</v>
      </c>
      <c r="Z8" s="11">
        <v>0</v>
      </c>
      <c r="AB8" s="2">
        <v>6</v>
      </c>
      <c r="AC8" s="9">
        <v>0.02</v>
      </c>
      <c r="AD8" s="6">
        <f>+SUM($AC$3:AC8)</f>
        <v>0.99</v>
      </c>
      <c r="AE8" s="3">
        <f t="shared" si="5"/>
        <v>100</v>
      </c>
      <c r="AF8" s="3">
        <f t="shared" si="6"/>
        <v>2</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7.0000000000000062E-2</v>
      </c>
      <c r="W9" s="6">
        <f>+SUM($V$3:V9)</f>
        <v>1</v>
      </c>
      <c r="X9" s="3">
        <f t="shared" si="3"/>
        <v>200</v>
      </c>
      <c r="Y9" s="3">
        <f t="shared" si="4"/>
        <v>14.000000000000012</v>
      </c>
      <c r="Z9" s="11">
        <v>0</v>
      </c>
      <c r="AB9" s="2">
        <v>7</v>
      </c>
      <c r="AC9" s="8">
        <f>1-SUM(AC3:AC8)</f>
        <v>1.0000000000000009E-2</v>
      </c>
      <c r="AD9" s="6">
        <f>+SUM($AC$3:AC9)</f>
        <v>1</v>
      </c>
      <c r="AE9" s="3">
        <f t="shared" si="5"/>
        <v>200</v>
      </c>
      <c r="AF9" s="3">
        <f t="shared" si="6"/>
        <v>2.0000000000000018</v>
      </c>
      <c r="AG9" s="11">
        <v>0</v>
      </c>
      <c r="AI9" s="2">
        <v>7</v>
      </c>
      <c r="AJ9" s="8">
        <f>1-SUM(AJ3:AJ8)</f>
        <v>0.13</v>
      </c>
      <c r="AK9" s="6">
        <f>+SUM($AJ$3:AJ9)</f>
        <v>1</v>
      </c>
      <c r="AL9" s="3">
        <f t="shared" si="7"/>
        <v>200</v>
      </c>
      <c r="AM9" s="3">
        <f t="shared" si="8"/>
        <v>26</v>
      </c>
      <c r="AN9" s="11">
        <v>0</v>
      </c>
    </row>
    <row r="10" spans="1:40">
      <c r="A10" s="14" t="s">
        <v>13</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46.250000000000014</v>
      </c>
      <c r="Z10" s="5"/>
      <c r="AB10" s="4" t="s">
        <v>6</v>
      </c>
      <c r="AC10" s="4">
        <f>+SUM(AC3:AC9)</f>
        <v>1</v>
      </c>
      <c r="AD10" s="4"/>
      <c r="AE10" s="4"/>
      <c r="AF10" s="5">
        <f>+SUM(AF3:AF9)</f>
        <v>51.7</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25" priority="7" operator="lessThan">
      <formula>0</formula>
    </cfRule>
    <cfRule type="cellIs" dxfId="24" priority="8" operator="greaterThan">
      <formula>1</formula>
    </cfRule>
  </conditionalFormatting>
  <conditionalFormatting sqref="H3:H9 O3:O9 AJ3:AJ9 V3:V9 AC3:AC9">
    <cfRule type="cellIs" dxfId="23" priority="6" operator="equal">
      <formula>0</formula>
    </cfRule>
  </conditionalFormatting>
  <conditionalFormatting sqref="B3:B7">
    <cfRule type="cellIs" dxfId="22" priority="4" operator="greaterThan">
      <formula>1</formula>
    </cfRule>
    <cfRule type="cellIs" dxfId="21" priority="5" operator="lessThan">
      <formula>0</formula>
    </cfRule>
  </conditionalFormatting>
  <conditionalFormatting sqref="AJ3:AJ8">
    <cfRule type="cellIs" dxfId="20" priority="2" operator="lessThan">
      <formula>0</formula>
    </cfRule>
    <cfRule type="cellIs" dxfId="19" priority="3" operator="greaterThan">
      <formula>1</formula>
    </cfRule>
  </conditionalFormatting>
  <conditionalFormatting sqref="AJ3:AJ8">
    <cfRule type="cellIs" dxfId="18"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sheetPr codeName="Hoja11"/>
  <dimension ref="A1:AN26"/>
  <sheetViews>
    <sheetView workbookViewId="0">
      <pane xSplit="6" ySplit="1" topLeftCell="G2" activePane="bottomRight" state="frozen"/>
      <selection pane="topRight" activeCell="G1" sqref="G1"/>
      <selection pane="bottomLeft" activeCell="A2" sqref="A2"/>
      <selection pane="bottomRight" activeCell="D20" sqref="D20"/>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95</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163</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85">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0.05</v>
      </c>
      <c r="W3" s="6">
        <f>+SUM($V3:V$3)</f>
        <v>0.05</v>
      </c>
      <c r="X3" s="3">
        <f>+J3</f>
        <v>10</v>
      </c>
      <c r="Y3" s="3">
        <f>+V3*X3</f>
        <v>0.5</v>
      </c>
      <c r="Z3" s="11">
        <v>0</v>
      </c>
      <c r="AB3" s="2">
        <v>1</v>
      </c>
      <c r="AC3" s="9">
        <v>0.03</v>
      </c>
      <c r="AD3" s="6">
        <f>+SUM($AC$3:AC3)</f>
        <v>0.03</v>
      </c>
      <c r="AE3" s="3">
        <f>+J3</f>
        <v>10</v>
      </c>
      <c r="AF3" s="3">
        <f>+AC3*AE3</f>
        <v>0.3</v>
      </c>
      <c r="AG3" s="11">
        <v>0</v>
      </c>
      <c r="AI3" s="2">
        <v>1</v>
      </c>
      <c r="AJ3" s="9">
        <v>0</v>
      </c>
      <c r="AK3" s="6">
        <f>+SUM($AJ$3:AJ3)</f>
        <v>0</v>
      </c>
      <c r="AL3" s="3">
        <f>+J3</f>
        <v>10</v>
      </c>
      <c r="AM3" s="3">
        <f>+AJ3*AL3</f>
        <v>0</v>
      </c>
      <c r="AN3" s="11">
        <v>0</v>
      </c>
    </row>
    <row r="4" spans="1:40">
      <c r="A4" s="7" t="s">
        <v>148</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0.3</v>
      </c>
      <c r="W4" s="6">
        <f>+SUM($V$3:V4)</f>
        <v>0.35</v>
      </c>
      <c r="X4" s="3">
        <f t="shared" ref="X4:X9" si="3">+J4</f>
        <v>15</v>
      </c>
      <c r="Y4" s="3">
        <f t="shared" ref="Y4:Y9" si="4">+V4*X4</f>
        <v>4.5</v>
      </c>
      <c r="Z4" s="11">
        <v>0</v>
      </c>
      <c r="AB4" s="2">
        <v>2</v>
      </c>
      <c r="AC4" s="9">
        <v>0.05</v>
      </c>
      <c r="AD4" s="6">
        <f>+SUM($AC$3:AC4)</f>
        <v>0.08</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0.17167381974248924</v>
      </c>
      <c r="C5" s="7">
        <v>0</v>
      </c>
      <c r="D5" s="16">
        <f>+Y10</f>
        <v>46.600000000000009</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0.18</v>
      </c>
      <c r="W5" s="6">
        <f>+SUM($V$3:V5)</f>
        <v>0.53</v>
      </c>
      <c r="X5" s="3">
        <f t="shared" si="3"/>
        <v>20</v>
      </c>
      <c r="Y5" s="3">
        <f t="shared" si="4"/>
        <v>3.5999999999999996</v>
      </c>
      <c r="Z5" s="11">
        <v>0</v>
      </c>
      <c r="AB5" s="2">
        <v>3</v>
      </c>
      <c r="AC5" s="9">
        <v>0.23</v>
      </c>
      <c r="AD5" s="6">
        <f>+SUM($AC$3:AC5)</f>
        <v>0.31</v>
      </c>
      <c r="AE5" s="3">
        <f t="shared" si="5"/>
        <v>20</v>
      </c>
      <c r="AF5" s="3">
        <f t="shared" si="6"/>
        <v>4.6000000000000005</v>
      </c>
      <c r="AG5" s="11">
        <v>0</v>
      </c>
      <c r="AI5" s="2">
        <v>3</v>
      </c>
      <c r="AJ5" s="9">
        <v>0</v>
      </c>
      <c r="AK5" s="6">
        <f>+SUM($AJ$3:AJ5)</f>
        <v>0</v>
      </c>
      <c r="AL5" s="3">
        <f t="shared" si="7"/>
        <v>20</v>
      </c>
      <c r="AM5" s="3">
        <f t="shared" si="8"/>
        <v>0</v>
      </c>
      <c r="AN5" s="11">
        <v>0</v>
      </c>
    </row>
    <row r="6" spans="1:40">
      <c r="A6" s="7" t="s">
        <v>52</v>
      </c>
      <c r="B6" s="7">
        <f>+E6/D6</f>
        <v>0.19286403085824502</v>
      </c>
      <c r="C6" s="7">
        <v>0</v>
      </c>
      <c r="D6" s="16">
        <f>+AF10</f>
        <v>51.84999999999998</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0.73</v>
      </c>
      <c r="X6" s="3">
        <f t="shared" si="3"/>
        <v>40</v>
      </c>
      <c r="Y6" s="3">
        <f t="shared" si="4"/>
        <v>8</v>
      </c>
      <c r="Z6" s="11">
        <v>0</v>
      </c>
      <c r="AB6" s="2">
        <v>4</v>
      </c>
      <c r="AC6" s="9">
        <v>0.23</v>
      </c>
      <c r="AD6" s="6">
        <f>+SUM($AC$3:AC6)</f>
        <v>0.54</v>
      </c>
      <c r="AE6" s="3">
        <f t="shared" si="5"/>
        <v>40</v>
      </c>
      <c r="AF6" s="3">
        <f t="shared" si="6"/>
        <v>9.2000000000000011</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0.12</v>
      </c>
      <c r="W7" s="6">
        <f>+SUM($V$3:V7)</f>
        <v>0.85</v>
      </c>
      <c r="X7" s="3">
        <f t="shared" si="3"/>
        <v>75</v>
      </c>
      <c r="Y7" s="3">
        <f t="shared" si="4"/>
        <v>9</v>
      </c>
      <c r="Z7" s="11">
        <v>0</v>
      </c>
      <c r="AB7" s="2">
        <v>5</v>
      </c>
      <c r="AC7" s="9">
        <v>0.4</v>
      </c>
      <c r="AD7" s="6">
        <f>+SUM($AC$3:AC7)</f>
        <v>0.94000000000000006</v>
      </c>
      <c r="AE7" s="3">
        <f t="shared" si="5"/>
        <v>75</v>
      </c>
      <c r="AF7" s="3">
        <f t="shared" si="6"/>
        <v>30</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0.09</v>
      </c>
      <c r="W8" s="6">
        <f>+SUM($V$3:V8)</f>
        <v>0.94</v>
      </c>
      <c r="X8" s="3">
        <f t="shared" si="3"/>
        <v>100</v>
      </c>
      <c r="Y8" s="3">
        <f t="shared" si="4"/>
        <v>9</v>
      </c>
      <c r="Z8" s="11">
        <v>0</v>
      </c>
      <c r="AB8" s="2">
        <v>6</v>
      </c>
      <c r="AC8" s="9">
        <v>0.05</v>
      </c>
      <c r="AD8" s="6">
        <f>+SUM($AC$3:AC8)</f>
        <v>0.9900000000000001</v>
      </c>
      <c r="AE8" s="3">
        <f t="shared" si="5"/>
        <v>100</v>
      </c>
      <c r="AF8" s="3">
        <f t="shared" si="6"/>
        <v>5</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6.0000000000000053E-2</v>
      </c>
      <c r="W9" s="6">
        <f>+SUM($V$3:V9)</f>
        <v>1</v>
      </c>
      <c r="X9" s="3">
        <f t="shared" si="3"/>
        <v>200</v>
      </c>
      <c r="Y9" s="3">
        <f t="shared" si="4"/>
        <v>12.000000000000011</v>
      </c>
      <c r="Z9" s="11">
        <v>0</v>
      </c>
      <c r="AB9" s="2">
        <v>7</v>
      </c>
      <c r="AC9" s="8">
        <f>1-SUM(AC3:AC8)</f>
        <v>9.9999999999998979E-3</v>
      </c>
      <c r="AD9" s="6">
        <f>+SUM($AC$3:AC9)</f>
        <v>1</v>
      </c>
      <c r="AE9" s="3">
        <f t="shared" si="5"/>
        <v>200</v>
      </c>
      <c r="AF9" s="3">
        <f t="shared" si="6"/>
        <v>1.9999999999999796</v>
      </c>
      <c r="AG9" s="11">
        <v>0</v>
      </c>
      <c r="AI9" s="2">
        <v>7</v>
      </c>
      <c r="AJ9" s="8">
        <f>1-SUM(AJ3:AJ8)</f>
        <v>0.13</v>
      </c>
      <c r="AK9" s="6">
        <f>+SUM($AJ$3:AJ9)</f>
        <v>1</v>
      </c>
      <c r="AL9" s="3">
        <f t="shared" si="7"/>
        <v>200</v>
      </c>
      <c r="AM9" s="3">
        <f t="shared" si="8"/>
        <v>26</v>
      </c>
      <c r="AN9" s="11">
        <v>0</v>
      </c>
    </row>
    <row r="10" spans="1:40">
      <c r="A10" s="14" t="s">
        <v>57</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46.600000000000009</v>
      </c>
      <c r="Z10" s="5"/>
      <c r="AB10" s="4" t="s">
        <v>6</v>
      </c>
      <c r="AC10" s="4">
        <f>+SUM(AC3:AC9)</f>
        <v>1</v>
      </c>
      <c r="AD10" s="4"/>
      <c r="AE10" s="4"/>
      <c r="AF10" s="5">
        <f>+SUM(AF3:AF9)</f>
        <v>51.84999999999998</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17" priority="4" operator="lessThan">
      <formula>0</formula>
    </cfRule>
    <cfRule type="cellIs" dxfId="16" priority="5" operator="greaterThan">
      <formula>1</formula>
    </cfRule>
  </conditionalFormatting>
  <conditionalFormatting sqref="H3:H9 O3:O9 AJ3:AJ9 V3:V9 AC3:AC9">
    <cfRule type="cellIs" dxfId="15" priority="3" operator="equal">
      <formula>0</formula>
    </cfRule>
  </conditionalFormatting>
  <conditionalFormatting sqref="B3:B7">
    <cfRule type="cellIs" dxfId="14" priority="1" operator="greaterThan">
      <formula>1</formula>
    </cfRule>
    <cfRule type="cellIs" dxfId="13"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sheetPr codeName="Hoja1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96</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5.7878787878787863E-3</v>
      </c>
      <c r="C3" s="7">
        <v>0</v>
      </c>
      <c r="D3" s="85">
        <f>+K10</f>
        <v>165.00000000000003</v>
      </c>
      <c r="E3" s="7">
        <v>0.95499999999999996</v>
      </c>
      <c r="G3" s="2">
        <v>1</v>
      </c>
      <c r="H3" s="9">
        <v>0.3</v>
      </c>
      <c r="I3" s="6">
        <f>+SUM($H3:H3)</f>
        <v>0.3</v>
      </c>
      <c r="J3" s="15">
        <v>50</v>
      </c>
      <c r="K3" s="3">
        <f>+H3*J3</f>
        <v>15</v>
      </c>
      <c r="L3" s="11">
        <v>0</v>
      </c>
      <c r="N3" s="2">
        <v>1</v>
      </c>
      <c r="O3" s="9">
        <v>0.04</v>
      </c>
      <c r="P3" s="6">
        <f>+SUM($O3:O$3)</f>
        <v>0.04</v>
      </c>
      <c r="Q3" s="3">
        <f>+J3</f>
        <v>50</v>
      </c>
      <c r="R3" s="3">
        <f>+O3*Q3</f>
        <v>2</v>
      </c>
      <c r="S3" s="11">
        <v>0</v>
      </c>
      <c r="U3" s="2">
        <v>1</v>
      </c>
      <c r="V3" s="9">
        <v>0.04</v>
      </c>
      <c r="W3" s="6">
        <f>+SUM($V3:V$3)</f>
        <v>0.04</v>
      </c>
      <c r="X3" s="3">
        <f>+J3</f>
        <v>50</v>
      </c>
      <c r="Y3" s="3">
        <f>+V3*X3</f>
        <v>2</v>
      </c>
      <c r="Z3" s="11">
        <v>0</v>
      </c>
      <c r="AB3" s="2">
        <v>1</v>
      </c>
      <c r="AC3" s="9">
        <v>0</v>
      </c>
      <c r="AD3" s="6">
        <f>+SUM($AC$3:AC3)</f>
        <v>0</v>
      </c>
      <c r="AE3" s="3">
        <f>+J3</f>
        <v>50</v>
      </c>
      <c r="AF3" s="3">
        <f>+AC3*AE3</f>
        <v>0</v>
      </c>
      <c r="AG3" s="11">
        <v>0</v>
      </c>
      <c r="AI3" s="2">
        <v>1</v>
      </c>
      <c r="AJ3" s="9">
        <v>0</v>
      </c>
      <c r="AK3" s="6">
        <f>+SUM($AJ$3:AJ3)</f>
        <v>0</v>
      </c>
      <c r="AL3" s="3">
        <f>+J3</f>
        <v>50</v>
      </c>
      <c r="AM3" s="3">
        <f>+AJ3*AL3</f>
        <v>0</v>
      </c>
      <c r="AN3" s="11">
        <v>0</v>
      </c>
    </row>
    <row r="4" spans="1:40">
      <c r="A4" s="7" t="s">
        <v>148</v>
      </c>
      <c r="B4" s="7">
        <f>+E4/D4</f>
        <v>1.7574692442882248E-2</v>
      </c>
      <c r="C4" s="7">
        <v>0</v>
      </c>
      <c r="D4" s="16">
        <f>+R10</f>
        <v>284.50000000000006</v>
      </c>
      <c r="E4" s="7">
        <v>5</v>
      </c>
      <c r="G4" s="2">
        <v>2</v>
      </c>
      <c r="H4" s="9">
        <v>0.45</v>
      </c>
      <c r="I4" s="6">
        <f>+SUM($H$3:H4)</f>
        <v>0.75</v>
      </c>
      <c r="J4" s="15">
        <v>100</v>
      </c>
      <c r="K4" s="3">
        <f t="shared" ref="K4:K9" si="0">+H4*J4</f>
        <v>45</v>
      </c>
      <c r="L4" s="11">
        <v>0</v>
      </c>
      <c r="N4" s="2">
        <v>2</v>
      </c>
      <c r="O4" s="9">
        <v>0.3</v>
      </c>
      <c r="P4" s="6">
        <f>+SUM($O$3:O4)</f>
        <v>0.33999999999999997</v>
      </c>
      <c r="Q4" s="3">
        <f t="shared" ref="Q4:Q9" si="1">+J4</f>
        <v>100</v>
      </c>
      <c r="R4" s="3">
        <f t="shared" ref="R4:R9" si="2">+O4*Q4</f>
        <v>30</v>
      </c>
      <c r="S4" s="11">
        <v>0</v>
      </c>
      <c r="U4" s="2">
        <v>2</v>
      </c>
      <c r="V4" s="9">
        <v>0.2</v>
      </c>
      <c r="W4" s="6">
        <f>+SUM($V$3:V4)</f>
        <v>0.24000000000000002</v>
      </c>
      <c r="X4" s="3">
        <f t="shared" ref="X4:X9" si="3">+J4</f>
        <v>100</v>
      </c>
      <c r="Y4" s="3">
        <f t="shared" ref="Y4:Y9" si="4">+V4*X4</f>
        <v>20</v>
      </c>
      <c r="Z4" s="11">
        <v>0</v>
      </c>
      <c r="AB4" s="2">
        <v>2</v>
      </c>
      <c r="AC4" s="9">
        <v>0.15</v>
      </c>
      <c r="AD4" s="6">
        <f>+SUM($AC$3:AC4)</f>
        <v>0.15</v>
      </c>
      <c r="AE4" s="3">
        <f t="shared" ref="AE4:AE9" si="5">+J4</f>
        <v>100</v>
      </c>
      <c r="AF4" s="3">
        <f t="shared" ref="AF4:AF9" si="6">+AC4*AE4</f>
        <v>15</v>
      </c>
      <c r="AG4" s="11">
        <v>0</v>
      </c>
      <c r="AI4" s="2">
        <v>2</v>
      </c>
      <c r="AJ4" s="9">
        <v>0.1</v>
      </c>
      <c r="AK4" s="6">
        <f>+SUM($AJ$3:AJ4)</f>
        <v>0.1</v>
      </c>
      <c r="AL4" s="3">
        <f t="shared" ref="AL4:AL9" si="7">+J4</f>
        <v>100</v>
      </c>
      <c r="AM4" s="3">
        <f t="shared" ref="AM4:AM9" si="8">+AJ4*AL4</f>
        <v>10</v>
      </c>
      <c r="AN4" s="11">
        <v>0</v>
      </c>
    </row>
    <row r="5" spans="1:40">
      <c r="A5" s="7" t="s">
        <v>51</v>
      </c>
      <c r="B5" s="7">
        <f>+E5/D5</f>
        <v>2.3564064801178199E-2</v>
      </c>
      <c r="C5" s="7">
        <v>0</v>
      </c>
      <c r="D5" s="16">
        <f>+Y10</f>
        <v>339.50000000000006</v>
      </c>
      <c r="E5" s="7">
        <v>8</v>
      </c>
      <c r="G5" s="2">
        <v>3</v>
      </c>
      <c r="H5" s="9">
        <v>0.15</v>
      </c>
      <c r="I5" s="6">
        <f>+SUM($H$3:H5)</f>
        <v>0.9</v>
      </c>
      <c r="J5" s="15">
        <v>200</v>
      </c>
      <c r="K5" s="3">
        <f t="shared" si="0"/>
        <v>30</v>
      </c>
      <c r="L5" s="11">
        <v>0</v>
      </c>
      <c r="N5" s="2">
        <v>3</v>
      </c>
      <c r="O5" s="9">
        <v>0.45</v>
      </c>
      <c r="P5" s="6">
        <f>+SUM($O$3:O5)</f>
        <v>0.79</v>
      </c>
      <c r="Q5" s="3">
        <f t="shared" si="1"/>
        <v>200</v>
      </c>
      <c r="R5" s="3">
        <f t="shared" si="2"/>
        <v>90</v>
      </c>
      <c r="S5" s="11">
        <v>0</v>
      </c>
      <c r="U5" s="2">
        <v>3</v>
      </c>
      <c r="V5" s="9">
        <v>0.4</v>
      </c>
      <c r="W5" s="6">
        <f>+SUM($V$3:V5)</f>
        <v>0.64</v>
      </c>
      <c r="X5" s="3">
        <f t="shared" si="3"/>
        <v>200</v>
      </c>
      <c r="Y5" s="3">
        <f t="shared" si="4"/>
        <v>80</v>
      </c>
      <c r="Z5" s="11">
        <v>0</v>
      </c>
      <c r="AB5" s="2">
        <v>3</v>
      </c>
      <c r="AC5" s="9">
        <v>0.4</v>
      </c>
      <c r="AD5" s="6">
        <f>+SUM($AC$3:AC5)</f>
        <v>0.55000000000000004</v>
      </c>
      <c r="AE5" s="3">
        <f t="shared" si="5"/>
        <v>200</v>
      </c>
      <c r="AF5" s="3">
        <f t="shared" si="6"/>
        <v>80</v>
      </c>
      <c r="AG5" s="11">
        <v>0</v>
      </c>
      <c r="AI5" s="2">
        <v>3</v>
      </c>
      <c r="AJ5" s="9">
        <v>0.4</v>
      </c>
      <c r="AK5" s="6">
        <f>+SUM($AJ$3:AJ5)</f>
        <v>0.5</v>
      </c>
      <c r="AL5" s="3">
        <f t="shared" si="7"/>
        <v>200</v>
      </c>
      <c r="AM5" s="3">
        <f t="shared" si="8"/>
        <v>80</v>
      </c>
      <c r="AN5" s="11">
        <v>0</v>
      </c>
    </row>
    <row r="6" spans="1:40">
      <c r="A6" s="7" t="s">
        <v>52</v>
      </c>
      <c r="B6" s="7">
        <f>+E6/D6</f>
        <v>2.5641025641025651E-2</v>
      </c>
      <c r="C6" s="7">
        <v>0</v>
      </c>
      <c r="D6" s="16">
        <f>+AF10</f>
        <v>389.99999999999983</v>
      </c>
      <c r="E6" s="7">
        <v>10</v>
      </c>
      <c r="G6" s="2">
        <v>4</v>
      </c>
      <c r="H6" s="9">
        <v>0.06</v>
      </c>
      <c r="I6" s="6">
        <f>+SUM($H$3:H6)</f>
        <v>0.96</v>
      </c>
      <c r="J6" s="15">
        <v>500</v>
      </c>
      <c r="K6" s="3">
        <f t="shared" si="0"/>
        <v>30</v>
      </c>
      <c r="L6" s="11">
        <v>0</v>
      </c>
      <c r="N6" s="2">
        <v>4</v>
      </c>
      <c r="O6" s="9">
        <v>0.1</v>
      </c>
      <c r="P6" s="6">
        <f>+SUM($O$3:O6)</f>
        <v>0.89</v>
      </c>
      <c r="Q6" s="3">
        <f t="shared" si="1"/>
        <v>500</v>
      </c>
      <c r="R6" s="3">
        <f t="shared" si="2"/>
        <v>50</v>
      </c>
      <c r="S6" s="11">
        <v>0</v>
      </c>
      <c r="U6" s="2">
        <v>4</v>
      </c>
      <c r="V6" s="9">
        <v>0.25</v>
      </c>
      <c r="W6" s="6">
        <f>+SUM($V$3:V6)</f>
        <v>0.89</v>
      </c>
      <c r="X6" s="3">
        <f t="shared" si="3"/>
        <v>500</v>
      </c>
      <c r="Y6" s="3">
        <f t="shared" si="4"/>
        <v>125</v>
      </c>
      <c r="Z6" s="11">
        <v>0</v>
      </c>
      <c r="AB6" s="2">
        <v>4</v>
      </c>
      <c r="AC6" s="9">
        <v>0.3</v>
      </c>
      <c r="AD6" s="6">
        <f>+SUM($AC$3:AC6)</f>
        <v>0.85000000000000009</v>
      </c>
      <c r="AE6" s="3">
        <f t="shared" si="5"/>
        <v>500</v>
      </c>
      <c r="AF6" s="3">
        <f t="shared" si="6"/>
        <v>150</v>
      </c>
      <c r="AG6" s="11">
        <v>0</v>
      </c>
      <c r="AI6" s="2">
        <v>4</v>
      </c>
      <c r="AJ6" s="9">
        <v>0.35</v>
      </c>
      <c r="AK6" s="6">
        <f>+SUM($AJ$3:AJ6)</f>
        <v>0.85</v>
      </c>
      <c r="AL6" s="3">
        <f t="shared" si="7"/>
        <v>500</v>
      </c>
      <c r="AM6" s="3">
        <f t="shared" si="8"/>
        <v>175</v>
      </c>
      <c r="AN6" s="11">
        <v>0</v>
      </c>
    </row>
    <row r="7" spans="1:40">
      <c r="A7" s="7" t="s">
        <v>53</v>
      </c>
      <c r="B7" s="7">
        <f>+E7/D7</f>
        <v>0.12195121951219511</v>
      </c>
      <c r="C7" s="7">
        <v>0</v>
      </c>
      <c r="D7" s="16">
        <f>+AM10</f>
        <v>410.00000000000006</v>
      </c>
      <c r="E7" s="7">
        <v>50</v>
      </c>
      <c r="G7" s="2">
        <v>5</v>
      </c>
      <c r="H7" s="9">
        <v>0.02</v>
      </c>
      <c r="I7" s="6">
        <f>+SUM($H$3:H7)</f>
        <v>0.98</v>
      </c>
      <c r="J7" s="15">
        <v>750</v>
      </c>
      <c r="K7" s="3">
        <f t="shared" si="0"/>
        <v>15</v>
      </c>
      <c r="L7" s="11">
        <v>0</v>
      </c>
      <c r="N7" s="2">
        <v>5</v>
      </c>
      <c r="O7" s="9">
        <v>7.0000000000000007E-2</v>
      </c>
      <c r="P7" s="6">
        <f>+SUM($O$3:O7)</f>
        <v>0.96</v>
      </c>
      <c r="Q7" s="3">
        <f t="shared" si="1"/>
        <v>750</v>
      </c>
      <c r="R7" s="3">
        <f t="shared" si="2"/>
        <v>52.500000000000007</v>
      </c>
      <c r="S7" s="11">
        <v>0</v>
      </c>
      <c r="U7" s="2">
        <v>5</v>
      </c>
      <c r="V7" s="9">
        <v>7.0000000000000007E-2</v>
      </c>
      <c r="W7" s="6">
        <f>+SUM($V$3:V7)</f>
        <v>0.96</v>
      </c>
      <c r="X7" s="3">
        <f t="shared" si="3"/>
        <v>750</v>
      </c>
      <c r="Y7" s="3">
        <f t="shared" si="4"/>
        <v>52.500000000000007</v>
      </c>
      <c r="Z7" s="11">
        <v>0</v>
      </c>
      <c r="AB7" s="2">
        <v>5</v>
      </c>
      <c r="AC7" s="9">
        <v>0.1</v>
      </c>
      <c r="AD7" s="6">
        <f>+SUM($AC$3:AC7)</f>
        <v>0.95000000000000007</v>
      </c>
      <c r="AE7" s="3">
        <f t="shared" si="5"/>
        <v>750</v>
      </c>
      <c r="AF7" s="3">
        <f t="shared" si="6"/>
        <v>75</v>
      </c>
      <c r="AG7" s="11">
        <v>0</v>
      </c>
      <c r="AI7" s="2">
        <v>5</v>
      </c>
      <c r="AJ7" s="9">
        <v>0.1</v>
      </c>
      <c r="AK7" s="6">
        <f>+SUM($AJ$3:AJ7)</f>
        <v>0.95</v>
      </c>
      <c r="AL7" s="3">
        <f t="shared" si="7"/>
        <v>750</v>
      </c>
      <c r="AM7" s="3">
        <f t="shared" si="8"/>
        <v>75</v>
      </c>
      <c r="AN7" s="11">
        <v>0</v>
      </c>
    </row>
    <row r="8" spans="1:40">
      <c r="A8" s="7" t="s">
        <v>0</v>
      </c>
      <c r="B8" s="10" t="str">
        <f>+CONCATENATE("x",J3," - x",J9)</f>
        <v>x50 - x2000</v>
      </c>
      <c r="G8" s="2">
        <v>6</v>
      </c>
      <c r="H8" s="9">
        <v>0.01</v>
      </c>
      <c r="I8" s="6">
        <f>+SUM($H$3:H8)</f>
        <v>0.99</v>
      </c>
      <c r="J8" s="15">
        <v>1000</v>
      </c>
      <c r="K8" s="3">
        <f t="shared" si="0"/>
        <v>10</v>
      </c>
      <c r="L8" s="11">
        <v>0</v>
      </c>
      <c r="N8" s="2">
        <v>6</v>
      </c>
      <c r="O8" s="9">
        <v>0.02</v>
      </c>
      <c r="P8" s="6">
        <f>+SUM($O$3:O8)</f>
        <v>0.98</v>
      </c>
      <c r="Q8" s="3">
        <f t="shared" si="1"/>
        <v>1000</v>
      </c>
      <c r="R8" s="3">
        <f t="shared" si="2"/>
        <v>20</v>
      </c>
      <c r="S8" s="11">
        <v>0</v>
      </c>
      <c r="U8" s="2">
        <v>6</v>
      </c>
      <c r="V8" s="9">
        <v>0.02</v>
      </c>
      <c r="W8" s="6">
        <f>+SUM($V$3:V8)</f>
        <v>0.98</v>
      </c>
      <c r="X8" s="3">
        <f t="shared" si="3"/>
        <v>1000</v>
      </c>
      <c r="Y8" s="3">
        <f t="shared" si="4"/>
        <v>20</v>
      </c>
      <c r="Z8" s="11">
        <v>0</v>
      </c>
      <c r="AB8" s="2">
        <v>6</v>
      </c>
      <c r="AC8" s="9">
        <v>0.03</v>
      </c>
      <c r="AD8" s="6">
        <f>+SUM($AC$3:AC8)</f>
        <v>0.98000000000000009</v>
      </c>
      <c r="AE8" s="3">
        <f t="shared" si="5"/>
        <v>1000</v>
      </c>
      <c r="AF8" s="3">
        <f t="shared" si="6"/>
        <v>30</v>
      </c>
      <c r="AG8" s="11">
        <v>0</v>
      </c>
      <c r="AI8" s="2">
        <v>6</v>
      </c>
      <c r="AJ8" s="9">
        <v>0.03</v>
      </c>
      <c r="AK8" s="6">
        <f>+SUM($AJ$3:AJ8)</f>
        <v>0.98</v>
      </c>
      <c r="AL8" s="3">
        <f t="shared" si="7"/>
        <v>1000</v>
      </c>
      <c r="AM8" s="3">
        <f t="shared" si="8"/>
        <v>30</v>
      </c>
      <c r="AN8" s="11">
        <v>0</v>
      </c>
    </row>
    <row r="9" spans="1:40">
      <c r="G9" s="2">
        <v>7</v>
      </c>
      <c r="H9" s="8">
        <f>1-SUM(H3:H8)</f>
        <v>1.0000000000000009E-2</v>
      </c>
      <c r="I9" s="6">
        <f>+SUM($H$3:H9)</f>
        <v>1</v>
      </c>
      <c r="J9" s="15">
        <v>2000</v>
      </c>
      <c r="K9" s="3">
        <f t="shared" si="0"/>
        <v>20.000000000000018</v>
      </c>
      <c r="L9" s="11">
        <v>0</v>
      </c>
      <c r="N9" s="2">
        <v>7</v>
      </c>
      <c r="O9" s="8">
        <f>1-SUM(O3:O8)</f>
        <v>2.0000000000000018E-2</v>
      </c>
      <c r="P9" s="6">
        <f>+SUM($O$3:O9)</f>
        <v>1</v>
      </c>
      <c r="Q9" s="3">
        <f t="shared" si="1"/>
        <v>2000</v>
      </c>
      <c r="R9" s="3">
        <f t="shared" si="2"/>
        <v>40.000000000000036</v>
      </c>
      <c r="S9" s="11">
        <v>0</v>
      </c>
      <c r="U9" s="2">
        <v>7</v>
      </c>
      <c r="V9" s="8">
        <f>1-SUM(V3:V8)</f>
        <v>2.0000000000000018E-2</v>
      </c>
      <c r="W9" s="6">
        <f>+SUM($V$3:V9)</f>
        <v>1</v>
      </c>
      <c r="X9" s="3">
        <f t="shared" si="3"/>
        <v>2000</v>
      </c>
      <c r="Y9" s="3">
        <f t="shared" si="4"/>
        <v>40.000000000000036</v>
      </c>
      <c r="Z9" s="11">
        <v>0</v>
      </c>
      <c r="AB9" s="2">
        <v>7</v>
      </c>
      <c r="AC9" s="8">
        <f>1-SUM(AC3:AC8)</f>
        <v>1.9999999999999907E-2</v>
      </c>
      <c r="AD9" s="6">
        <f>+SUM($AC$3:AC9)</f>
        <v>1</v>
      </c>
      <c r="AE9" s="3">
        <f t="shared" si="5"/>
        <v>2000</v>
      </c>
      <c r="AF9" s="3">
        <f t="shared" si="6"/>
        <v>39.999999999999815</v>
      </c>
      <c r="AG9" s="11">
        <v>0</v>
      </c>
      <c r="AI9" s="2">
        <v>7</v>
      </c>
      <c r="AJ9" s="8">
        <f>1-SUM(AJ3:AJ8)</f>
        <v>2.0000000000000018E-2</v>
      </c>
      <c r="AK9" s="6">
        <f>+SUM($AJ$3:AJ9)</f>
        <v>1</v>
      </c>
      <c r="AL9" s="3">
        <f t="shared" si="7"/>
        <v>2000</v>
      </c>
      <c r="AM9" s="3">
        <f t="shared" si="8"/>
        <v>40.000000000000036</v>
      </c>
      <c r="AN9" s="11">
        <v>0</v>
      </c>
    </row>
    <row r="10" spans="1:40">
      <c r="A10" s="14" t="s">
        <v>57</v>
      </c>
      <c r="G10" s="4" t="s">
        <v>6</v>
      </c>
      <c r="H10" s="4">
        <f>+SUM(H3:H9)</f>
        <v>1</v>
      </c>
      <c r="I10" s="4"/>
      <c r="J10" s="4"/>
      <c r="K10" s="5">
        <f>+SUM(K3:K9)</f>
        <v>165.00000000000003</v>
      </c>
      <c r="L10" s="5"/>
      <c r="N10" s="4" t="s">
        <v>6</v>
      </c>
      <c r="O10" s="4">
        <f>+SUM(O3:O9)</f>
        <v>1</v>
      </c>
      <c r="P10" s="4"/>
      <c r="Q10" s="4"/>
      <c r="R10" s="5">
        <f>+SUM(R3:R9)</f>
        <v>284.50000000000006</v>
      </c>
      <c r="S10" s="5"/>
      <c r="U10" s="4" t="s">
        <v>6</v>
      </c>
      <c r="V10" s="4">
        <f>+SUM(V3:V9)</f>
        <v>1</v>
      </c>
      <c r="W10" s="4"/>
      <c r="X10" s="4"/>
      <c r="Y10" s="5">
        <f>+SUM(Y3:Y9)</f>
        <v>339.50000000000006</v>
      </c>
      <c r="Z10" s="5"/>
      <c r="AB10" s="4" t="s">
        <v>6</v>
      </c>
      <c r="AC10" s="4">
        <f>+SUM(AC3:AC9)</f>
        <v>1</v>
      </c>
      <c r="AD10" s="4"/>
      <c r="AE10" s="4"/>
      <c r="AF10" s="5">
        <f>+SUM(AF3:AF9)</f>
        <v>389.99999999999983</v>
      </c>
      <c r="AG10" s="5"/>
      <c r="AI10" s="4" t="s">
        <v>6</v>
      </c>
      <c r="AJ10" s="4">
        <f>+SUM(AJ3:AJ9)</f>
        <v>1</v>
      </c>
      <c r="AK10" s="4"/>
      <c r="AL10" s="4"/>
      <c r="AM10" s="5">
        <f>+SUM(AM3:AM9)</f>
        <v>410.00000000000006</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dxfId="12" priority="4" operator="lessThan">
      <formula>0</formula>
    </cfRule>
    <cfRule type="cellIs" dxfId="11" priority="5" operator="greaterThan">
      <formula>1</formula>
    </cfRule>
  </conditionalFormatting>
  <conditionalFormatting sqref="H3:H9 O3:O9 V3:V9 AC3:AC9 AJ3:AJ9">
    <cfRule type="cellIs" dxfId="10" priority="3" operator="equal">
      <formula>0</formula>
    </cfRule>
  </conditionalFormatting>
  <conditionalFormatting sqref="B3:B7">
    <cfRule type="cellIs" dxfId="9" priority="1" operator="greaterThan">
      <formula>1</formula>
    </cfRule>
    <cfRule type="cellIs" dxfId="8"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sheetPr codeName="Hoja13"/>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97</v>
      </c>
      <c r="G1" s="123" t="s">
        <v>14</v>
      </c>
      <c r="H1" s="124"/>
      <c r="I1" s="124"/>
      <c r="J1" s="124"/>
      <c r="K1" s="124"/>
      <c r="L1" s="124"/>
      <c r="N1" s="123" t="s">
        <v>20</v>
      </c>
      <c r="O1" s="124"/>
      <c r="P1" s="124"/>
      <c r="Q1" s="124"/>
      <c r="R1" s="124"/>
      <c r="S1" s="124"/>
      <c r="U1" s="123" t="s">
        <v>19</v>
      </c>
      <c r="V1" s="124"/>
      <c r="W1" s="124"/>
      <c r="X1" s="124"/>
      <c r="Y1" s="124"/>
      <c r="Z1" s="124"/>
      <c r="AB1" s="123" t="s">
        <v>18</v>
      </c>
      <c r="AC1" s="124"/>
      <c r="AD1" s="124"/>
      <c r="AE1" s="124"/>
      <c r="AF1" s="124"/>
      <c r="AG1" s="124"/>
      <c r="AI1" s="123" t="s">
        <v>21</v>
      </c>
      <c r="AJ1" s="124"/>
      <c r="AK1" s="124"/>
      <c r="AL1" s="124"/>
      <c r="AM1" s="124"/>
      <c r="AN1" s="124"/>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3.7747035573122522E-3</v>
      </c>
      <c r="C3" s="7">
        <v>0</v>
      </c>
      <c r="D3" s="85">
        <f>+K10</f>
        <v>253.00000000000003</v>
      </c>
      <c r="E3" s="7">
        <v>0.95499999999999996</v>
      </c>
      <c r="G3" s="2">
        <v>1</v>
      </c>
      <c r="H3" s="9">
        <v>0.2</v>
      </c>
      <c r="I3" s="6">
        <f>+SUM($H3:H3)</f>
        <v>0.2</v>
      </c>
      <c r="J3" s="15">
        <v>75</v>
      </c>
      <c r="K3" s="3">
        <f>+H3*J3</f>
        <v>15</v>
      </c>
      <c r="L3" s="11">
        <v>0</v>
      </c>
      <c r="N3" s="2">
        <v>1</v>
      </c>
      <c r="O3" s="9">
        <v>0.1</v>
      </c>
      <c r="P3" s="6">
        <f>+SUM($O3:O$3)</f>
        <v>0.1</v>
      </c>
      <c r="Q3" s="3">
        <f>+J3</f>
        <v>75</v>
      </c>
      <c r="R3" s="3">
        <f>+O3*Q3</f>
        <v>7.5</v>
      </c>
      <c r="S3" s="11">
        <v>0</v>
      </c>
      <c r="U3" s="2">
        <v>1</v>
      </c>
      <c r="V3" s="9">
        <v>0.19</v>
      </c>
      <c r="W3" s="6">
        <f>+SUM($V3:V$3)</f>
        <v>0.19</v>
      </c>
      <c r="X3" s="3">
        <f>+J3</f>
        <v>75</v>
      </c>
      <c r="Y3" s="3">
        <f>+V3*X3</f>
        <v>14.25</v>
      </c>
      <c r="Z3" s="11">
        <v>0</v>
      </c>
      <c r="AB3" s="2">
        <v>1</v>
      </c>
      <c r="AC3" s="9">
        <v>0.05</v>
      </c>
      <c r="AD3" s="6">
        <f>+SUM($AC$3:AC3)</f>
        <v>0.05</v>
      </c>
      <c r="AE3" s="3">
        <f>+J3</f>
        <v>75</v>
      </c>
      <c r="AF3" s="3">
        <f>+AC3*AE3</f>
        <v>3.75</v>
      </c>
      <c r="AG3" s="11">
        <v>0</v>
      </c>
      <c r="AI3" s="2">
        <v>1</v>
      </c>
      <c r="AJ3" s="9">
        <v>0</v>
      </c>
      <c r="AK3" s="6">
        <f>+SUM($AJ$3:AJ3)</f>
        <v>0</v>
      </c>
      <c r="AL3" s="3">
        <f>+J3</f>
        <v>75</v>
      </c>
      <c r="AM3" s="3">
        <f>+AJ3*AL3</f>
        <v>0</v>
      </c>
      <c r="AN3" s="11">
        <v>0</v>
      </c>
    </row>
    <row r="4" spans="1:40">
      <c r="A4" s="7" t="s">
        <v>148</v>
      </c>
      <c r="B4" s="7">
        <f>+E4/D4</f>
        <v>1.1627906976744184E-2</v>
      </c>
      <c r="C4" s="7">
        <v>0</v>
      </c>
      <c r="D4" s="16">
        <f>+R10</f>
        <v>430.00000000000006</v>
      </c>
      <c r="E4" s="7">
        <v>5</v>
      </c>
      <c r="G4" s="2">
        <v>2</v>
      </c>
      <c r="H4" s="9">
        <v>0.32</v>
      </c>
      <c r="I4" s="6">
        <f>+SUM($H$3:H4)</f>
        <v>0.52</v>
      </c>
      <c r="J4" s="15">
        <v>150</v>
      </c>
      <c r="K4" s="3">
        <f t="shared" ref="K4:K9" si="0">+H4*J4</f>
        <v>48</v>
      </c>
      <c r="L4" s="11">
        <v>0</v>
      </c>
      <c r="N4" s="2">
        <v>2</v>
      </c>
      <c r="O4" s="9">
        <v>0.25</v>
      </c>
      <c r="P4" s="6">
        <f>+SUM($O$3:O4)</f>
        <v>0.35</v>
      </c>
      <c r="Q4" s="3">
        <f t="shared" ref="Q4:Q9" si="1">+J4</f>
        <v>150</v>
      </c>
      <c r="R4" s="3">
        <f t="shared" ref="R4:R9" si="2">+O4*Q4</f>
        <v>37.5</v>
      </c>
      <c r="S4" s="11">
        <v>0</v>
      </c>
      <c r="U4" s="2">
        <v>2</v>
      </c>
      <c r="V4" s="9">
        <v>0.24</v>
      </c>
      <c r="W4" s="6">
        <f>+SUM($V$3:V4)</f>
        <v>0.43</v>
      </c>
      <c r="X4" s="3">
        <f t="shared" ref="X4:X9" si="3">+J4</f>
        <v>150</v>
      </c>
      <c r="Y4" s="3">
        <f t="shared" ref="Y4:Y9" si="4">+V4*X4</f>
        <v>36</v>
      </c>
      <c r="Z4" s="11">
        <v>0</v>
      </c>
      <c r="AB4" s="2">
        <v>2</v>
      </c>
      <c r="AC4" s="9">
        <v>0.25</v>
      </c>
      <c r="AD4" s="6">
        <f>+SUM($AC$3:AC4)</f>
        <v>0.3</v>
      </c>
      <c r="AE4" s="3">
        <f t="shared" ref="AE4:AE9" si="5">+J4</f>
        <v>150</v>
      </c>
      <c r="AF4" s="3">
        <f t="shared" ref="AF4:AF9" si="6">+AC4*AE4</f>
        <v>37.5</v>
      </c>
      <c r="AG4" s="11">
        <v>0</v>
      </c>
      <c r="AI4" s="2">
        <v>2</v>
      </c>
      <c r="AJ4" s="9">
        <v>0.1</v>
      </c>
      <c r="AK4" s="6">
        <f>+SUM($AJ$3:AJ4)</f>
        <v>0.1</v>
      </c>
      <c r="AL4" s="3">
        <f t="shared" ref="AL4:AL9" si="7">+J4</f>
        <v>150</v>
      </c>
      <c r="AM4" s="3">
        <f t="shared" ref="AM4:AM9" si="8">+AJ4*AL4</f>
        <v>15</v>
      </c>
      <c r="AN4" s="11">
        <v>0</v>
      </c>
    </row>
    <row r="5" spans="1:40">
      <c r="A5" s="7" t="s">
        <v>51</v>
      </c>
      <c r="B5" s="7">
        <f>+E5/D5</f>
        <v>1.5377222489187888E-2</v>
      </c>
      <c r="C5" s="7">
        <v>0</v>
      </c>
      <c r="D5" s="16">
        <f>+Y10</f>
        <v>520.25000000000011</v>
      </c>
      <c r="E5" s="7">
        <v>8</v>
      </c>
      <c r="G5" s="2">
        <v>3</v>
      </c>
      <c r="H5" s="9">
        <v>0.4</v>
      </c>
      <c r="I5" s="6">
        <f>+SUM($H$3:H5)</f>
        <v>0.92</v>
      </c>
      <c r="J5" s="15">
        <v>300</v>
      </c>
      <c r="K5" s="3">
        <f t="shared" si="0"/>
        <v>120</v>
      </c>
      <c r="L5" s="11">
        <v>0</v>
      </c>
      <c r="N5" s="2">
        <v>3</v>
      </c>
      <c r="O5" s="9">
        <v>0.4</v>
      </c>
      <c r="P5" s="6">
        <f>+SUM($O$3:O5)</f>
        <v>0.75</v>
      </c>
      <c r="Q5" s="3">
        <f t="shared" si="1"/>
        <v>300</v>
      </c>
      <c r="R5" s="3">
        <f t="shared" si="2"/>
        <v>120</v>
      </c>
      <c r="S5" s="11">
        <v>0</v>
      </c>
      <c r="U5" s="2">
        <v>3</v>
      </c>
      <c r="V5" s="9">
        <v>0.2</v>
      </c>
      <c r="W5" s="6">
        <f>+SUM($V$3:V5)</f>
        <v>0.63</v>
      </c>
      <c r="X5" s="3">
        <f t="shared" si="3"/>
        <v>300</v>
      </c>
      <c r="Y5" s="3">
        <f t="shared" si="4"/>
        <v>60</v>
      </c>
      <c r="Z5" s="11">
        <v>0</v>
      </c>
      <c r="AB5" s="2">
        <v>3</v>
      </c>
      <c r="AC5" s="9">
        <v>0.3</v>
      </c>
      <c r="AD5" s="6">
        <f>+SUM($AC$3:AC5)</f>
        <v>0.6</v>
      </c>
      <c r="AE5" s="3">
        <f t="shared" si="5"/>
        <v>300</v>
      </c>
      <c r="AF5" s="3">
        <f t="shared" si="6"/>
        <v>90</v>
      </c>
      <c r="AG5" s="11">
        <v>0</v>
      </c>
      <c r="AI5" s="2">
        <v>3</v>
      </c>
      <c r="AJ5" s="9">
        <v>0.4</v>
      </c>
      <c r="AK5" s="6">
        <f>+SUM($AJ$3:AJ5)</f>
        <v>0.5</v>
      </c>
      <c r="AL5" s="3">
        <f t="shared" si="7"/>
        <v>300</v>
      </c>
      <c r="AM5" s="3">
        <f t="shared" si="8"/>
        <v>120</v>
      </c>
      <c r="AN5" s="11">
        <v>0</v>
      </c>
    </row>
    <row r="6" spans="1:40">
      <c r="A6" s="7" t="s">
        <v>52</v>
      </c>
      <c r="B6" s="7">
        <f>+E6/D6</f>
        <v>1.8306636155606404E-2</v>
      </c>
      <c r="C6" s="7">
        <v>0</v>
      </c>
      <c r="D6" s="16">
        <f>+AF10</f>
        <v>546.25000000000011</v>
      </c>
      <c r="E6" s="7">
        <v>10</v>
      </c>
      <c r="G6" s="2">
        <v>4</v>
      </c>
      <c r="H6" s="9">
        <v>7.0000000000000007E-2</v>
      </c>
      <c r="I6" s="6">
        <f>+SUM($H$3:H6)</f>
        <v>0.99</v>
      </c>
      <c r="J6" s="15">
        <v>500</v>
      </c>
      <c r="K6" s="3">
        <f t="shared" si="0"/>
        <v>35</v>
      </c>
      <c r="L6" s="11">
        <v>0</v>
      </c>
      <c r="N6" s="2">
        <v>4</v>
      </c>
      <c r="O6" s="9">
        <v>0.13</v>
      </c>
      <c r="P6" s="6">
        <f>+SUM($O$3:O6)</f>
        <v>0.88</v>
      </c>
      <c r="Q6" s="3">
        <f t="shared" si="1"/>
        <v>500</v>
      </c>
      <c r="R6" s="3">
        <f t="shared" si="2"/>
        <v>65</v>
      </c>
      <c r="S6" s="11">
        <v>0</v>
      </c>
      <c r="U6" s="2">
        <v>4</v>
      </c>
      <c r="V6" s="9">
        <v>0.2</v>
      </c>
      <c r="W6" s="6">
        <f>+SUM($V$3:V6)</f>
        <v>0.83000000000000007</v>
      </c>
      <c r="X6" s="3">
        <f t="shared" si="3"/>
        <v>500</v>
      </c>
      <c r="Y6" s="3">
        <f t="shared" si="4"/>
        <v>100</v>
      </c>
      <c r="Z6" s="11">
        <v>0</v>
      </c>
      <c r="AB6" s="2">
        <v>4</v>
      </c>
      <c r="AC6" s="9">
        <v>0.23</v>
      </c>
      <c r="AD6" s="6">
        <f>+SUM($AC$3:AC6)</f>
        <v>0.83</v>
      </c>
      <c r="AE6" s="3">
        <f t="shared" si="5"/>
        <v>500</v>
      </c>
      <c r="AF6" s="3">
        <f t="shared" si="6"/>
        <v>115</v>
      </c>
      <c r="AG6" s="11">
        <v>0</v>
      </c>
      <c r="AI6" s="2">
        <v>4</v>
      </c>
      <c r="AJ6" s="9">
        <v>0.35</v>
      </c>
      <c r="AK6" s="6">
        <f>+SUM($AJ$3:AJ6)</f>
        <v>0.85</v>
      </c>
      <c r="AL6" s="3">
        <f t="shared" si="7"/>
        <v>500</v>
      </c>
      <c r="AM6" s="3">
        <f t="shared" si="8"/>
        <v>175</v>
      </c>
      <c r="AN6" s="11">
        <v>0</v>
      </c>
    </row>
    <row r="7" spans="1:40">
      <c r="A7" s="7" t="s">
        <v>53</v>
      </c>
      <c r="B7" s="7">
        <f>+E7/D7</f>
        <v>8.7719298245614016E-2</v>
      </c>
      <c r="C7" s="7">
        <v>0</v>
      </c>
      <c r="D7" s="16">
        <f>+AM10</f>
        <v>570.00000000000011</v>
      </c>
      <c r="E7" s="7">
        <v>50</v>
      </c>
      <c r="G7" s="2">
        <v>5</v>
      </c>
      <c r="H7" s="9">
        <v>3.0000000000000001E-3</v>
      </c>
      <c r="I7" s="6">
        <f>+SUM($H$3:H7)</f>
        <v>0.99299999999999999</v>
      </c>
      <c r="J7" s="15">
        <v>1000</v>
      </c>
      <c r="K7" s="3">
        <f t="shared" si="0"/>
        <v>3</v>
      </c>
      <c r="L7" s="11">
        <v>0</v>
      </c>
      <c r="N7" s="2">
        <v>5</v>
      </c>
      <c r="O7" s="9">
        <v>7.0000000000000007E-2</v>
      </c>
      <c r="P7" s="6">
        <f>+SUM($O$3:O7)</f>
        <v>0.95</v>
      </c>
      <c r="Q7" s="3">
        <f t="shared" si="1"/>
        <v>1000</v>
      </c>
      <c r="R7" s="3">
        <f t="shared" si="2"/>
        <v>70</v>
      </c>
      <c r="S7" s="11">
        <v>0</v>
      </c>
      <c r="U7" s="2">
        <v>5</v>
      </c>
      <c r="V7" s="9">
        <v>0.09</v>
      </c>
      <c r="W7" s="6">
        <f>+SUM($V$3:V7)</f>
        <v>0.92</v>
      </c>
      <c r="X7" s="3">
        <f t="shared" si="3"/>
        <v>1000</v>
      </c>
      <c r="Y7" s="3">
        <f t="shared" si="4"/>
        <v>90</v>
      </c>
      <c r="Z7" s="11">
        <v>0</v>
      </c>
      <c r="AB7" s="2">
        <v>5</v>
      </c>
      <c r="AC7" s="9">
        <v>0.1</v>
      </c>
      <c r="AD7" s="6">
        <f>+SUM($AC$3:AC7)</f>
        <v>0.92999999999999994</v>
      </c>
      <c r="AE7" s="3">
        <f t="shared" si="5"/>
        <v>1000</v>
      </c>
      <c r="AF7" s="3">
        <f t="shared" si="6"/>
        <v>100</v>
      </c>
      <c r="AG7" s="11">
        <v>0</v>
      </c>
      <c r="AI7" s="2">
        <v>5</v>
      </c>
      <c r="AJ7" s="9">
        <v>0.1</v>
      </c>
      <c r="AK7" s="6">
        <f>+SUM($AJ$3:AJ7)</f>
        <v>0.95</v>
      </c>
      <c r="AL7" s="3">
        <f t="shared" si="7"/>
        <v>1000</v>
      </c>
      <c r="AM7" s="3">
        <f t="shared" si="8"/>
        <v>100</v>
      </c>
      <c r="AN7" s="11">
        <v>0</v>
      </c>
    </row>
    <row r="8" spans="1:40">
      <c r="A8" s="7" t="s">
        <v>0</v>
      </c>
      <c r="B8" s="10" t="str">
        <f>+CONCATENATE("x",J3," - x",J9)</f>
        <v>x75 - x5000</v>
      </c>
      <c r="G8" s="2">
        <v>6</v>
      </c>
      <c r="H8" s="9">
        <v>1E-3</v>
      </c>
      <c r="I8" s="6">
        <f>+SUM($H$3:H8)</f>
        <v>0.99399999999999999</v>
      </c>
      <c r="J8" s="15">
        <v>2000</v>
      </c>
      <c r="K8" s="3">
        <f t="shared" si="0"/>
        <v>2</v>
      </c>
      <c r="L8" s="11">
        <v>0</v>
      </c>
      <c r="N8" s="2">
        <v>6</v>
      </c>
      <c r="O8" s="9">
        <v>0.04</v>
      </c>
      <c r="P8" s="6">
        <f>+SUM($O$3:O8)</f>
        <v>0.99</v>
      </c>
      <c r="Q8" s="3">
        <f t="shared" si="1"/>
        <v>2000</v>
      </c>
      <c r="R8" s="3">
        <f t="shared" si="2"/>
        <v>80</v>
      </c>
      <c r="S8" s="11">
        <v>0</v>
      </c>
      <c r="U8" s="2">
        <v>6</v>
      </c>
      <c r="V8" s="9">
        <v>0.06</v>
      </c>
      <c r="W8" s="6">
        <f>+SUM($V$3:V8)</f>
        <v>0.98</v>
      </c>
      <c r="X8" s="3">
        <f t="shared" si="3"/>
        <v>2000</v>
      </c>
      <c r="Y8" s="3">
        <f t="shared" si="4"/>
        <v>120</v>
      </c>
      <c r="Z8" s="11">
        <v>0</v>
      </c>
      <c r="AB8" s="2">
        <v>6</v>
      </c>
      <c r="AC8" s="9">
        <v>0.05</v>
      </c>
      <c r="AD8" s="6">
        <f>+SUM($AC$3:AC8)</f>
        <v>0.98</v>
      </c>
      <c r="AE8" s="3">
        <f t="shared" si="5"/>
        <v>2000</v>
      </c>
      <c r="AF8" s="3">
        <f t="shared" si="6"/>
        <v>100</v>
      </c>
      <c r="AG8" s="11">
        <v>0</v>
      </c>
      <c r="AI8" s="2">
        <v>6</v>
      </c>
      <c r="AJ8" s="9">
        <v>0.03</v>
      </c>
      <c r="AK8" s="6">
        <f>+SUM($AJ$3:AJ8)</f>
        <v>0.98</v>
      </c>
      <c r="AL8" s="3">
        <f t="shared" si="7"/>
        <v>2000</v>
      </c>
      <c r="AM8" s="3">
        <f t="shared" si="8"/>
        <v>60</v>
      </c>
      <c r="AN8" s="11">
        <v>0</v>
      </c>
    </row>
    <row r="9" spans="1:40">
      <c r="G9" s="2">
        <v>7</v>
      </c>
      <c r="H9" s="8">
        <f>1-SUM(H3:H8)</f>
        <v>6.0000000000000053E-3</v>
      </c>
      <c r="I9" s="6">
        <f>+SUM($H$3:H9)</f>
        <v>1</v>
      </c>
      <c r="J9" s="15">
        <v>5000</v>
      </c>
      <c r="K9" s="3">
        <f t="shared" si="0"/>
        <v>30.000000000000028</v>
      </c>
      <c r="L9" s="11">
        <v>0</v>
      </c>
      <c r="N9" s="2">
        <v>7</v>
      </c>
      <c r="O9" s="8">
        <f>1-SUM(O3:O8)</f>
        <v>1.0000000000000009E-2</v>
      </c>
      <c r="P9" s="6">
        <f>+SUM($O$3:O9)</f>
        <v>1</v>
      </c>
      <c r="Q9" s="3">
        <f t="shared" si="1"/>
        <v>5000</v>
      </c>
      <c r="R9" s="3">
        <f t="shared" si="2"/>
        <v>50.000000000000043</v>
      </c>
      <c r="S9" s="11">
        <v>0</v>
      </c>
      <c r="U9" s="2">
        <v>7</v>
      </c>
      <c r="V9" s="8">
        <f>1-SUM(V3:V8)</f>
        <v>2.0000000000000018E-2</v>
      </c>
      <c r="W9" s="6">
        <f>+SUM($V$3:V9)</f>
        <v>1</v>
      </c>
      <c r="X9" s="3">
        <f t="shared" si="3"/>
        <v>5000</v>
      </c>
      <c r="Y9" s="3">
        <f t="shared" si="4"/>
        <v>100.00000000000009</v>
      </c>
      <c r="Z9" s="11">
        <v>0</v>
      </c>
      <c r="AB9" s="2">
        <v>7</v>
      </c>
      <c r="AC9" s="8">
        <f>1-SUM(AC3:AC8)</f>
        <v>2.0000000000000018E-2</v>
      </c>
      <c r="AD9" s="6">
        <f>+SUM($AC$3:AC9)</f>
        <v>1</v>
      </c>
      <c r="AE9" s="3">
        <f t="shared" si="5"/>
        <v>5000</v>
      </c>
      <c r="AF9" s="3">
        <f t="shared" si="6"/>
        <v>100.00000000000009</v>
      </c>
      <c r="AG9" s="11">
        <v>0</v>
      </c>
      <c r="AI9" s="2">
        <v>7</v>
      </c>
      <c r="AJ9" s="8">
        <f>1-SUM(AJ3:AJ8)</f>
        <v>2.0000000000000018E-2</v>
      </c>
      <c r="AK9" s="6">
        <f>+SUM($AJ$3:AJ9)</f>
        <v>1</v>
      </c>
      <c r="AL9" s="3">
        <f t="shared" si="7"/>
        <v>5000</v>
      </c>
      <c r="AM9" s="3">
        <f t="shared" si="8"/>
        <v>100.00000000000009</v>
      </c>
      <c r="AN9" s="11">
        <v>0</v>
      </c>
    </row>
    <row r="10" spans="1:40">
      <c r="A10" s="14" t="s">
        <v>13</v>
      </c>
      <c r="G10" s="4" t="s">
        <v>6</v>
      </c>
      <c r="H10" s="4">
        <f>+SUM(H3:H9)</f>
        <v>1</v>
      </c>
      <c r="I10" s="4"/>
      <c r="J10" s="4"/>
      <c r="K10" s="5">
        <f>+SUM(K3:K9)</f>
        <v>253.00000000000003</v>
      </c>
      <c r="L10" s="5"/>
      <c r="N10" s="4" t="s">
        <v>6</v>
      </c>
      <c r="O10" s="4">
        <f>+SUM(O3:O9)</f>
        <v>1</v>
      </c>
      <c r="P10" s="4"/>
      <c r="Q10" s="4"/>
      <c r="R10" s="5">
        <f>+SUM(R3:R9)</f>
        <v>430.00000000000006</v>
      </c>
      <c r="S10" s="5"/>
      <c r="U10" s="4" t="s">
        <v>6</v>
      </c>
      <c r="V10" s="4">
        <f>+SUM(V3:V9)</f>
        <v>1</v>
      </c>
      <c r="W10" s="4"/>
      <c r="X10" s="4"/>
      <c r="Y10" s="5">
        <f>+SUM(Y3:Y9)</f>
        <v>520.25000000000011</v>
      </c>
      <c r="Z10" s="5"/>
      <c r="AB10" s="4" t="s">
        <v>6</v>
      </c>
      <c r="AC10" s="4">
        <f>+SUM(AC3:AC9)</f>
        <v>1</v>
      </c>
      <c r="AD10" s="4"/>
      <c r="AE10" s="4"/>
      <c r="AF10" s="5">
        <f>+SUM(AF3:AF9)</f>
        <v>546.25000000000011</v>
      </c>
      <c r="AG10" s="5"/>
      <c r="AI10" s="4" t="s">
        <v>6</v>
      </c>
      <c r="AJ10" s="4">
        <f>+SUM(AJ3:AJ9)</f>
        <v>1</v>
      </c>
      <c r="AK10" s="4"/>
      <c r="AL10" s="4"/>
      <c r="AM10" s="5">
        <f>+SUM(AM3:AM9)</f>
        <v>570.00000000000011</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dxfId="7" priority="7" operator="lessThan">
      <formula>0</formula>
    </cfRule>
    <cfRule type="cellIs" dxfId="6" priority="8" operator="greaterThan">
      <formula>1</formula>
    </cfRule>
  </conditionalFormatting>
  <conditionalFormatting sqref="H3:H9 AJ3:AJ9 V3:V9 O3:O9 AC3:AC9">
    <cfRule type="cellIs" dxfId="5" priority="6" operator="equal">
      <formula>0</formula>
    </cfRule>
  </conditionalFormatting>
  <conditionalFormatting sqref="B3:B7">
    <cfRule type="cellIs" dxfId="4" priority="4" operator="greaterThan">
      <formula>1</formula>
    </cfRule>
    <cfRule type="cellIs" dxfId="3" priority="5" operator="lessThan">
      <formula>0</formula>
    </cfRule>
  </conditionalFormatting>
  <conditionalFormatting sqref="AJ3:AJ8">
    <cfRule type="cellIs" dxfId="2" priority="2" operator="lessThan">
      <formula>0</formula>
    </cfRule>
    <cfRule type="cellIs" dxfId="1" priority="3" operator="greaterThan">
      <formula>1</formula>
    </cfRule>
  </conditionalFormatting>
  <conditionalFormatting sqref="AJ3:AJ8">
    <cfRule type="cellIs" dxfId="0" priority="1" operator="equal">
      <formula>0</formula>
    </cfRule>
  </conditionalFormatting>
  <dataValidations count="1">
    <dataValidation type="list" allowBlank="1" showInputMessage="1" showErrorMessage="1" sqref="A10">
      <formula1>"Regular weapon"</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Hoja17"/>
  <dimension ref="A1:L29"/>
  <sheetViews>
    <sheetView workbookViewId="0">
      <selection activeCell="G20" sqref="G20"/>
    </sheetView>
  </sheetViews>
  <sheetFormatPr baseColWidth="10" defaultRowHeight="14.4"/>
  <cols>
    <col min="1" max="2" width="18" bestFit="1" customWidth="1"/>
    <col min="3" max="3" width="14.6640625" bestFit="1" customWidth="1"/>
    <col min="4" max="4" width="10.6640625" customWidth="1"/>
    <col min="5" max="5" width="15" customWidth="1"/>
    <col min="7" max="8" width="13.33203125" bestFit="1" customWidth="1"/>
    <col min="12" max="12" width="13.33203125" bestFit="1" customWidth="1"/>
  </cols>
  <sheetData>
    <row r="1" spans="1:12" ht="15" thickBot="1">
      <c r="B1" s="125" t="s">
        <v>156</v>
      </c>
      <c r="C1" s="126"/>
      <c r="D1" s="126"/>
      <c r="E1" s="126"/>
      <c r="F1" s="127"/>
      <c r="G1" s="125" t="s">
        <v>157</v>
      </c>
      <c r="H1" s="126"/>
      <c r="I1" s="126"/>
      <c r="J1" s="126"/>
      <c r="K1" s="127"/>
    </row>
    <row r="2" spans="1:12">
      <c r="A2" s="62"/>
      <c r="B2" s="59" t="s">
        <v>149</v>
      </c>
      <c r="C2" s="60" t="s">
        <v>150</v>
      </c>
      <c r="D2" s="60" t="s">
        <v>151</v>
      </c>
      <c r="E2" s="60" t="s">
        <v>152</v>
      </c>
      <c r="F2" s="61" t="s">
        <v>153</v>
      </c>
      <c r="G2" s="59" t="s">
        <v>149</v>
      </c>
      <c r="H2" s="60" t="s">
        <v>150</v>
      </c>
      <c r="I2" s="60" t="s">
        <v>151</v>
      </c>
      <c r="J2" s="60" t="s">
        <v>152</v>
      </c>
      <c r="K2" s="61" t="s">
        <v>153</v>
      </c>
      <c r="L2" s="62" t="s">
        <v>0</v>
      </c>
    </row>
    <row r="3" spans="1:12">
      <c r="A3" s="65" t="s">
        <v>139</v>
      </c>
      <c r="B3" s="82">
        <f>+'Scarab Black'!$B$3</f>
        <v>0.21300813008130121</v>
      </c>
      <c r="C3" s="83">
        <f>+'Scarab Black'!$B$4</f>
        <v>0.6535947712418303</v>
      </c>
      <c r="D3" s="83">
        <f>+'Scarab Black'!$B$5</f>
        <v>0.85653104925053569</v>
      </c>
      <c r="E3" s="83">
        <f>+'Scarab Black'!$B$6</f>
        <v>0.95510983763132773</v>
      </c>
      <c r="F3" s="84">
        <f>+'Scarab Black'!$B$7</f>
        <v>1</v>
      </c>
      <c r="G3" s="88">
        <f>1/B3</f>
        <v>4.6946564885496098</v>
      </c>
      <c r="H3" s="89">
        <f>1/C3</f>
        <v>1.5299999999999994</v>
      </c>
      <c r="I3" s="89">
        <f>1/D3</f>
        <v>1.1674999999999995</v>
      </c>
      <c r="J3" s="89">
        <f>1/E3</f>
        <v>1.0469999999999999</v>
      </c>
      <c r="K3" s="90">
        <f>1/F3</f>
        <v>1</v>
      </c>
      <c r="L3" s="105" t="str">
        <f>+'Scarab Black'!$B$8</f>
        <v>x2 - x50</v>
      </c>
    </row>
    <row r="4" spans="1:12">
      <c r="A4" s="65" t="s">
        <v>140</v>
      </c>
      <c r="B4" s="82">
        <f>+'Scarab Gold'!$B$3</f>
        <v>0.19758672699849203</v>
      </c>
      <c r="C4" s="83">
        <f>+'Scarab Gold'!$B$4</f>
        <v>0.60679611650485443</v>
      </c>
      <c r="D4" s="83">
        <f>+'Scarab Gold'!$B$5</f>
        <v>0.79601990049751215</v>
      </c>
      <c r="E4" s="83">
        <f>+'Scarab Gold'!$B$6</f>
        <v>0.88731144631765757</v>
      </c>
      <c r="F4" s="84">
        <f>+'Scarab Gold'!$B$7</f>
        <v>1</v>
      </c>
      <c r="G4" s="88">
        <f t="shared" ref="G4:G11" si="0">1/B4</f>
        <v>5.0610687022900684</v>
      </c>
      <c r="H4" s="89">
        <f t="shared" ref="H4:H11" si="1">1/C4</f>
        <v>1.6479999999999999</v>
      </c>
      <c r="I4" s="89">
        <f t="shared" ref="I4:I11" si="2">1/D4</f>
        <v>1.2562500000000005</v>
      </c>
      <c r="J4" s="89">
        <f t="shared" ref="J4:J11" si="3">1/E4</f>
        <v>1.127</v>
      </c>
      <c r="K4" s="90">
        <f t="shared" ref="K4:K11" si="4">1/F4</f>
        <v>1</v>
      </c>
      <c r="L4" s="105" t="str">
        <f>+'Scarab Gold'!$B$8</f>
        <v>x2 - x50</v>
      </c>
    </row>
    <row r="5" spans="1:12">
      <c r="A5" s="65" t="s">
        <v>141</v>
      </c>
      <c r="B5" s="82">
        <f>+'Scarab Gem Covered'!$B$3</f>
        <v>0.16637033274066576</v>
      </c>
      <c r="C5" s="83">
        <f>+'Scarab Gem Covered'!$B$4</f>
        <v>0.50864699898270616</v>
      </c>
      <c r="D5" s="83">
        <f>+'Scarab Gem Covered'!$B$5</f>
        <v>0.66390041493775909</v>
      </c>
      <c r="E5" s="83">
        <f>+'Scarab Gem Covered'!$B$6</f>
        <v>0.75700227100681328</v>
      </c>
      <c r="F5" s="84">
        <f>+'Scarab Gem Covered'!$B$7</f>
        <v>0.94250706880301593</v>
      </c>
      <c r="G5" s="88">
        <f t="shared" si="0"/>
        <v>6.0106870229007532</v>
      </c>
      <c r="H5" s="89">
        <f t="shared" si="1"/>
        <v>1.9659999999999993</v>
      </c>
      <c r="I5" s="89">
        <f t="shared" si="2"/>
        <v>1.5062500000000005</v>
      </c>
      <c r="J5" s="89">
        <f t="shared" si="3"/>
        <v>1.3209999999999995</v>
      </c>
      <c r="K5" s="90">
        <f t="shared" si="4"/>
        <v>1.0610000000000002</v>
      </c>
      <c r="L5" s="105" t="str">
        <f>+'Scarab Gem Covered'!$B$8</f>
        <v>x3 - x60</v>
      </c>
    </row>
    <row r="6" spans="1:12">
      <c r="A6" s="65" t="s">
        <v>40</v>
      </c>
      <c r="B6" s="82">
        <f>+'Standard Mummy'!$B$3</f>
        <v>9.2710544939844458E-2</v>
      </c>
      <c r="C6" s="83">
        <f>+'Standard Mummy'!$B$4</f>
        <v>0.27762354247640209</v>
      </c>
      <c r="D6" s="83">
        <f>+'Standard Mummy'!$B$5</f>
        <v>0.36281179138321984</v>
      </c>
      <c r="E6" s="83">
        <f>+'Standard Mummy'!$B$6</f>
        <v>0.41753653444676408</v>
      </c>
      <c r="F6" s="84">
        <f>+'Standard Mummy'!$B$7</f>
        <v>0.78431372549019607</v>
      </c>
      <c r="G6" s="88">
        <f t="shared" si="0"/>
        <v>10.786259541984714</v>
      </c>
      <c r="H6" s="89">
        <f t="shared" si="1"/>
        <v>3.601999999999999</v>
      </c>
      <c r="I6" s="89">
        <f t="shared" si="2"/>
        <v>2.756250000000001</v>
      </c>
      <c r="J6" s="89">
        <f t="shared" si="3"/>
        <v>2.395</v>
      </c>
      <c r="K6" s="90">
        <f t="shared" si="4"/>
        <v>1.2749999999999999</v>
      </c>
      <c r="L6" s="105" t="str">
        <f>+'Standard Mummy'!$B$8</f>
        <v>x5 - x100</v>
      </c>
    </row>
    <row r="7" spans="1:12">
      <c r="A7" s="65" t="s">
        <v>90</v>
      </c>
      <c r="B7" s="82">
        <f>+'Mummy A'!$B$3</f>
        <v>9.2710544939844458E-2</v>
      </c>
      <c r="C7" s="83">
        <f>+'Mummy A'!$B$4</f>
        <v>0.28653295128939837</v>
      </c>
      <c r="D7" s="83">
        <f>+'Mummy A'!$B$5</f>
        <v>0.3773584905660376</v>
      </c>
      <c r="E7" s="83">
        <f>+'Mummy A'!$B$6</f>
        <v>0.41580041580041582</v>
      </c>
      <c r="F7" s="84">
        <f>+'Mummy A'!$B$7</f>
        <v>0.78431372549019607</v>
      </c>
      <c r="G7" s="88">
        <f t="shared" si="0"/>
        <v>10.786259541984714</v>
      </c>
      <c r="H7" s="89">
        <f t="shared" si="1"/>
        <v>3.4899999999999989</v>
      </c>
      <c r="I7" s="89">
        <f t="shared" si="2"/>
        <v>2.6500000000000008</v>
      </c>
      <c r="J7" s="89">
        <f t="shared" si="3"/>
        <v>2.4049999999999998</v>
      </c>
      <c r="K7" s="90">
        <f t="shared" si="4"/>
        <v>1.2749999999999999</v>
      </c>
      <c r="L7" s="105" t="str">
        <f>+'Mummy A'!$B$8</f>
        <v>x5 - x100</v>
      </c>
    </row>
    <row r="8" spans="1:12">
      <c r="A8" s="65" t="s">
        <v>142</v>
      </c>
      <c r="B8" s="82">
        <f>+'Mummy B'!$B$3</f>
        <v>9.2710544939844458E-2</v>
      </c>
      <c r="C8" s="83">
        <f>+'Mummy B'!$B$4</f>
        <v>0.28653295128939837</v>
      </c>
      <c r="D8" s="83">
        <f>+'Mummy B'!$B$5</f>
        <v>0.3773584905660376</v>
      </c>
      <c r="E8" s="83">
        <f>+'Mummy B'!$B$6</f>
        <v>0.41580041580041582</v>
      </c>
      <c r="F8" s="84">
        <f>+'Mummy B'!$B$7</f>
        <v>0.78431372549019607</v>
      </c>
      <c r="G8" s="88">
        <f t="shared" si="0"/>
        <v>10.786259541984714</v>
      </c>
      <c r="H8" s="89">
        <f t="shared" si="1"/>
        <v>3.4899999999999989</v>
      </c>
      <c r="I8" s="89">
        <f t="shared" si="2"/>
        <v>2.6500000000000008</v>
      </c>
      <c r="J8" s="89">
        <f t="shared" si="3"/>
        <v>2.4049999999999998</v>
      </c>
      <c r="K8" s="90">
        <f t="shared" si="4"/>
        <v>1.2749999999999999</v>
      </c>
      <c r="L8" s="105" t="str">
        <f>+'Mummy B'!$B$8</f>
        <v>x5 - x100</v>
      </c>
    </row>
    <row r="9" spans="1:12">
      <c r="A9" s="65" t="s">
        <v>143</v>
      </c>
      <c r="B9" s="82">
        <f>+'Mummy C'!$B$3</f>
        <v>6.5369261477046026E-2</v>
      </c>
      <c r="C9" s="83">
        <f>+'Mummy C'!$B$4</f>
        <v>0.1999200319872052</v>
      </c>
      <c r="D9" s="83">
        <f>+'Mummy C'!$B$5</f>
        <v>0.26272577996715923</v>
      </c>
      <c r="E9" s="83">
        <f>+'Mummy C'!$B$6</f>
        <v>0.29197080291970801</v>
      </c>
      <c r="F9" s="84">
        <f>+'Mummy C'!$B$7</f>
        <v>0.71174377224199292</v>
      </c>
      <c r="G9" s="88">
        <f t="shared" si="0"/>
        <v>15.297709923664094</v>
      </c>
      <c r="H9" s="89">
        <f t="shared" si="1"/>
        <v>5.001999999999998</v>
      </c>
      <c r="I9" s="89">
        <f t="shared" si="2"/>
        <v>3.8062500000000008</v>
      </c>
      <c r="J9" s="89">
        <f t="shared" si="3"/>
        <v>3.4250000000000003</v>
      </c>
      <c r="K9" s="90">
        <f t="shared" si="4"/>
        <v>1.405</v>
      </c>
      <c r="L9" s="105" t="str">
        <f>+'Mummy C'!$B$8</f>
        <v>x7 - x150</v>
      </c>
    </row>
    <row r="10" spans="1:12">
      <c r="A10" s="65" t="s">
        <v>144</v>
      </c>
      <c r="B10" s="82">
        <f>+'Pharaoh A'!$B$3</f>
        <v>4.3021346469622392E-2</v>
      </c>
      <c r="C10" s="83">
        <f>+'Pharaoh A'!$B$4</f>
        <v>0.13210039630118892</v>
      </c>
      <c r="D10" s="83">
        <f>+'Pharaoh A'!$B$5</f>
        <v>0.17297297297297293</v>
      </c>
      <c r="E10" s="83">
        <f>+'Pharaoh A'!$B$6</f>
        <v>0.19342359767891681</v>
      </c>
      <c r="F10" s="84">
        <f>+'Pharaoh A'!$B$7</f>
        <v>0.5</v>
      </c>
      <c r="G10" s="88">
        <f t="shared" si="0"/>
        <v>23.244274809160274</v>
      </c>
      <c r="H10" s="89">
        <f t="shared" si="1"/>
        <v>7.5699999999999994</v>
      </c>
      <c r="I10" s="89">
        <f t="shared" si="2"/>
        <v>5.7812500000000018</v>
      </c>
      <c r="J10" s="89">
        <f t="shared" si="3"/>
        <v>5.17</v>
      </c>
      <c r="K10" s="90">
        <f t="shared" si="4"/>
        <v>2</v>
      </c>
      <c r="L10" s="105" t="str">
        <f>+'Pharaoh A'!$B$8</f>
        <v>x10 - x200</v>
      </c>
    </row>
    <row r="11" spans="1:12">
      <c r="A11" s="65" t="s">
        <v>145</v>
      </c>
      <c r="B11" s="82">
        <f>+'Pharaoh B'!$B$3</f>
        <v>4.3021346469622392E-2</v>
      </c>
      <c r="C11" s="83">
        <f>+'Pharaoh B'!$B$4</f>
        <v>0.13210039630118892</v>
      </c>
      <c r="D11" s="83">
        <f>+'Pharaoh B'!$B$5</f>
        <v>0.17167381974248924</v>
      </c>
      <c r="E11" s="83">
        <f>+'Pharaoh B'!$B$6</f>
        <v>0.19286403085824502</v>
      </c>
      <c r="F11" s="84">
        <f>+'Pharaoh B'!$B$7</f>
        <v>0.5</v>
      </c>
      <c r="G11" s="88">
        <f t="shared" si="0"/>
        <v>23.244274809160274</v>
      </c>
      <c r="H11" s="89">
        <f t="shared" si="1"/>
        <v>7.5699999999999994</v>
      </c>
      <c r="I11" s="89">
        <f t="shared" si="2"/>
        <v>5.8250000000000011</v>
      </c>
      <c r="J11" s="89">
        <f t="shared" si="3"/>
        <v>5.1849999999999978</v>
      </c>
      <c r="K11" s="90">
        <f t="shared" si="4"/>
        <v>2</v>
      </c>
      <c r="L11" s="105" t="str">
        <f>+'Pharaoh B'!$B$8</f>
        <v>x10 - x200</v>
      </c>
    </row>
    <row r="12" spans="1:12">
      <c r="A12" s="91" t="s">
        <v>146</v>
      </c>
      <c r="B12" s="92">
        <f>+'HV enemy'!$B$3</f>
        <v>5.7878787878787863E-3</v>
      </c>
      <c r="C12" s="93">
        <f>+'HV enemy'!$B$4</f>
        <v>1.7574692442882248E-2</v>
      </c>
      <c r="D12" s="93">
        <f>+'HV enemy'!$B$5</f>
        <v>2.3564064801178199E-2</v>
      </c>
      <c r="E12" s="93">
        <f>+'HV enemy'!$B$6</f>
        <v>2.5641025641025651E-2</v>
      </c>
      <c r="F12" s="94">
        <f>+'HV enemy'!$B$7</f>
        <v>0.12195121951219511</v>
      </c>
      <c r="G12" s="95">
        <f>1/B12</f>
        <v>172.7748691099477</v>
      </c>
      <c r="H12" s="96">
        <f t="shared" ref="H12:H13" si="5">1/C12</f>
        <v>56.900000000000006</v>
      </c>
      <c r="I12" s="96">
        <f t="shared" ref="I12:I13" si="6">1/D12</f>
        <v>42.437500000000007</v>
      </c>
      <c r="J12" s="96">
        <f t="shared" ref="J12:J13" si="7">1/E12</f>
        <v>38.999999999999986</v>
      </c>
      <c r="K12" s="97">
        <f t="shared" ref="K12:K13" si="8">1/F12</f>
        <v>8.2000000000000011</v>
      </c>
      <c r="L12" s="106" t="str">
        <f>+'HV enemy'!$B$8</f>
        <v>x50 - x2000</v>
      </c>
    </row>
    <row r="13" spans="1:12">
      <c r="A13" s="91" t="s">
        <v>147</v>
      </c>
      <c r="B13" s="92">
        <f>+'HV scarab'!$B$3</f>
        <v>3.7747035573122522E-3</v>
      </c>
      <c r="C13" s="93">
        <f>+'HV scarab'!$B$4</f>
        <v>1.1627906976744184E-2</v>
      </c>
      <c r="D13" s="93">
        <f>+'HV scarab'!$B$5</f>
        <v>1.5377222489187888E-2</v>
      </c>
      <c r="E13" s="93">
        <f>+'HV scarab'!$B$6</f>
        <v>1.8306636155606404E-2</v>
      </c>
      <c r="F13" s="94">
        <f>+'HV scarab'!$B$7</f>
        <v>8.7719298245614016E-2</v>
      </c>
      <c r="G13" s="95">
        <f t="shared" ref="G13" si="9">1/B13</f>
        <v>264.92146596858646</v>
      </c>
      <c r="H13" s="96">
        <f t="shared" si="5"/>
        <v>86.000000000000014</v>
      </c>
      <c r="I13" s="96">
        <f t="shared" si="6"/>
        <v>65.031250000000014</v>
      </c>
      <c r="J13" s="96">
        <f t="shared" si="7"/>
        <v>54.625000000000007</v>
      </c>
      <c r="K13" s="97">
        <f t="shared" si="8"/>
        <v>11.400000000000002</v>
      </c>
      <c r="L13" s="106" t="str">
        <f>+'HV scarab'!$B$8</f>
        <v>x75 - x5000</v>
      </c>
    </row>
    <row r="14" spans="1:12">
      <c r="A14" s="91" t="s">
        <v>161</v>
      </c>
      <c r="B14" s="92"/>
      <c r="C14" s="93"/>
      <c r="D14" s="93"/>
      <c r="E14" s="93"/>
      <c r="F14" s="94"/>
      <c r="G14" s="95">
        <f>+'Boss round (1,2,or 3 players)'!G33</f>
        <v>689.65517241379314</v>
      </c>
      <c r="H14" s="96">
        <f>+'Boss round (1,2,or 3 players)'!G33</f>
        <v>689.65517241379314</v>
      </c>
      <c r="I14" s="96">
        <f>+'Boss round (1,2,or 3 players)'!G33</f>
        <v>689.65517241379314</v>
      </c>
      <c r="J14" s="96">
        <f>+'Boss round (1,2,or 3 players)'!G33</f>
        <v>689.65517241379314</v>
      </c>
      <c r="K14" s="97">
        <f>+'Boss round (1,2,or 3 players)'!G33</f>
        <v>689.65517241379314</v>
      </c>
      <c r="L14" s="106"/>
    </row>
    <row r="15" spans="1:12" ht="15" thickBot="1">
      <c r="A15" s="98" t="s">
        <v>162</v>
      </c>
      <c r="B15" s="99"/>
      <c r="C15" s="100"/>
      <c r="D15" s="100"/>
      <c r="E15" s="100"/>
      <c r="F15" s="101"/>
      <c r="G15" s="102">
        <f>+'Boss round (4 or more players)'!G33</f>
        <v>1000</v>
      </c>
      <c r="H15" s="103">
        <f>+'Boss round (4 or more players)'!G33</f>
        <v>1000</v>
      </c>
      <c r="I15" s="103">
        <f>+'Boss round (4 or more players)'!G33</f>
        <v>1000</v>
      </c>
      <c r="J15" s="103">
        <f>+'Boss round (4 or more players)'!G33</f>
        <v>1000</v>
      </c>
      <c r="K15" s="104">
        <f>+'Boss round (4 or more players)'!G33</f>
        <v>1000</v>
      </c>
      <c r="L15" s="98"/>
    </row>
    <row r="16" spans="1:12" ht="15" thickBot="1"/>
    <row r="17" spans="1:6" ht="15" thickBot="1">
      <c r="B17" s="125" t="s">
        <v>158</v>
      </c>
      <c r="C17" s="126"/>
      <c r="D17" s="126"/>
      <c r="E17" s="126"/>
      <c r="F17" s="127"/>
    </row>
    <row r="18" spans="1:6">
      <c r="A18" s="62"/>
      <c r="B18" s="59" t="s">
        <v>149</v>
      </c>
      <c r="C18" s="60" t="s">
        <v>150</v>
      </c>
      <c r="D18" s="60" t="s">
        <v>151</v>
      </c>
      <c r="E18" s="60" t="s">
        <v>152</v>
      </c>
      <c r="F18" s="61" t="s">
        <v>153</v>
      </c>
    </row>
    <row r="19" spans="1:6">
      <c r="A19" s="65" t="s">
        <v>139</v>
      </c>
      <c r="B19" s="88">
        <v>1</v>
      </c>
      <c r="C19" s="89">
        <f>+C3/$B3</f>
        <v>3.0684029336925565</v>
      </c>
      <c r="D19" s="89">
        <f t="shared" ref="D19:F19" si="10">+D3/$B3</f>
        <v>4.0211190480082326</v>
      </c>
      <c r="E19" s="89">
        <f t="shared" si="10"/>
        <v>4.483912596513477</v>
      </c>
      <c r="F19" s="90">
        <f t="shared" si="10"/>
        <v>4.6946564885496098</v>
      </c>
    </row>
    <row r="20" spans="1:6">
      <c r="A20" s="65" t="s">
        <v>140</v>
      </c>
      <c r="B20" s="88">
        <v>1</v>
      </c>
      <c r="C20" s="89">
        <f t="shared" ref="C20:F29" si="11">+C4/$B4</f>
        <v>3.0710368339138765</v>
      </c>
      <c r="D20" s="89">
        <f t="shared" si="11"/>
        <v>4.0287114048080133</v>
      </c>
      <c r="E20" s="89">
        <f t="shared" si="11"/>
        <v>4.4907441901420304</v>
      </c>
      <c r="F20" s="90">
        <f t="shared" si="11"/>
        <v>5.0610687022900684</v>
      </c>
    </row>
    <row r="21" spans="1:6">
      <c r="A21" s="65" t="s">
        <v>141</v>
      </c>
      <c r="B21" s="88">
        <v>1</v>
      </c>
      <c r="C21" s="89">
        <f t="shared" si="11"/>
        <v>3.0573179160227646</v>
      </c>
      <c r="D21" s="89">
        <f t="shared" si="11"/>
        <v>3.9904976085648141</v>
      </c>
      <c r="E21" s="89">
        <f t="shared" si="11"/>
        <v>4.5501037266470519</v>
      </c>
      <c r="F21" s="90">
        <f t="shared" si="11"/>
        <v>5.6651150074465155</v>
      </c>
    </row>
    <row r="22" spans="1:6">
      <c r="A22" s="65" t="s">
        <v>40</v>
      </c>
      <c r="B22" s="88">
        <v>1</v>
      </c>
      <c r="C22" s="89">
        <f t="shared" si="11"/>
        <v>2.9945195841156909</v>
      </c>
      <c r="D22" s="89">
        <f t="shared" si="11"/>
        <v>3.9133821467518226</v>
      </c>
      <c r="E22" s="89">
        <f t="shared" si="11"/>
        <v>4.5036574288036384</v>
      </c>
      <c r="F22" s="90">
        <f t="shared" si="11"/>
        <v>8.4598114054782076</v>
      </c>
    </row>
    <row r="23" spans="1:6">
      <c r="A23" s="65" t="s">
        <v>90</v>
      </c>
      <c r="B23" s="88">
        <v>1</v>
      </c>
      <c r="C23" s="89">
        <f t="shared" si="11"/>
        <v>3.0906187799383149</v>
      </c>
      <c r="D23" s="89">
        <f t="shared" si="11"/>
        <v>4.0702866196168719</v>
      </c>
      <c r="E23" s="89">
        <f t="shared" si="11"/>
        <v>4.4849312024884469</v>
      </c>
      <c r="F23" s="90">
        <f t="shared" si="11"/>
        <v>8.4598114054782076</v>
      </c>
    </row>
    <row r="24" spans="1:6">
      <c r="A24" s="65" t="s">
        <v>142</v>
      </c>
      <c r="B24" s="88">
        <v>1</v>
      </c>
      <c r="C24" s="89">
        <f t="shared" si="11"/>
        <v>3.0906187799383149</v>
      </c>
      <c r="D24" s="89">
        <f t="shared" si="11"/>
        <v>4.0702866196168719</v>
      </c>
      <c r="E24" s="89">
        <f t="shared" si="11"/>
        <v>4.4849312024884469</v>
      </c>
      <c r="F24" s="90">
        <f t="shared" si="11"/>
        <v>8.4598114054782076</v>
      </c>
    </row>
    <row r="25" spans="1:6">
      <c r="A25" s="65" t="s">
        <v>143</v>
      </c>
      <c r="B25" s="88">
        <v>1</v>
      </c>
      <c r="C25" s="89">
        <f t="shared" si="11"/>
        <v>3.0583186572699121</v>
      </c>
      <c r="D25" s="89">
        <f t="shared" si="11"/>
        <v>4.0191027714060015</v>
      </c>
      <c r="E25" s="89">
        <f t="shared" si="11"/>
        <v>4.4664846492449906</v>
      </c>
      <c r="F25" s="90">
        <f t="shared" si="11"/>
        <v>10.888049767732452</v>
      </c>
    </row>
    <row r="26" spans="1:6">
      <c r="A26" s="65" t="s">
        <v>144</v>
      </c>
      <c r="B26" s="88">
        <v>1</v>
      </c>
      <c r="C26" s="89">
        <f t="shared" si="11"/>
        <v>3.0705779140238145</v>
      </c>
      <c r="D26" s="89">
        <f t="shared" si="11"/>
        <v>4.020631318341235</v>
      </c>
      <c r="E26" s="89">
        <f t="shared" si="11"/>
        <v>4.4959912590251978</v>
      </c>
      <c r="F26" s="90">
        <f t="shared" si="11"/>
        <v>11.622137404580137</v>
      </c>
    </row>
    <row r="27" spans="1:6">
      <c r="A27" s="65" t="s">
        <v>145</v>
      </c>
      <c r="B27" s="88">
        <v>1</v>
      </c>
      <c r="C27" s="89">
        <f t="shared" si="11"/>
        <v>3.0705779140238145</v>
      </c>
      <c r="D27" s="89">
        <f t="shared" si="11"/>
        <v>3.9904334436326643</v>
      </c>
      <c r="E27" s="89">
        <f t="shared" si="11"/>
        <v>4.4829845340714147</v>
      </c>
      <c r="F27" s="90">
        <f t="shared" si="11"/>
        <v>11.622137404580137</v>
      </c>
    </row>
    <row r="28" spans="1:6">
      <c r="A28" s="91" t="s">
        <v>146</v>
      </c>
      <c r="B28" s="88">
        <v>1</v>
      </c>
      <c r="C28" s="89">
        <f t="shared" si="11"/>
        <v>3.0364651864665673</v>
      </c>
      <c r="D28" s="89">
        <f t="shared" si="11"/>
        <v>4.0712782117218893</v>
      </c>
      <c r="E28" s="89">
        <f t="shared" si="11"/>
        <v>4.4301248489730192</v>
      </c>
      <c r="F28" s="90">
        <f t="shared" si="11"/>
        <v>21.070105989018007</v>
      </c>
    </row>
    <row r="29" spans="1:6" ht="15" thickBot="1">
      <c r="A29" s="98" t="s">
        <v>147</v>
      </c>
      <c r="B29" s="107">
        <v>1</v>
      </c>
      <c r="C29" s="108">
        <f t="shared" si="11"/>
        <v>3.0804821624254233</v>
      </c>
      <c r="D29" s="108">
        <f t="shared" si="11"/>
        <v>4.0737563243607706</v>
      </c>
      <c r="E29" s="108">
        <f t="shared" si="11"/>
        <v>4.8498208872967759</v>
      </c>
      <c r="F29" s="109">
        <f t="shared" si="11"/>
        <v>23.238725084963718</v>
      </c>
    </row>
  </sheetData>
  <mergeCells count="3">
    <mergeCell ref="B1:F1"/>
    <mergeCell ref="G1:K1"/>
    <mergeCell ref="B17:F1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(1,2,or 3 players)</vt:lpstr>
      <vt:lpstr>Boss round (4 or more players)</vt:lpstr>
      <vt:lpstr>Scarab Black</vt:lpstr>
      <vt:lpstr>Scarab Gold</vt:lpstr>
      <vt:lpstr>Scarab Gem Covered</vt:lpstr>
      <vt:lpstr>Standard Mummy</vt:lpstr>
      <vt:lpstr>Mummy A</vt:lpstr>
      <vt:lpstr>Mummy B</vt:lpstr>
      <vt:lpstr>Mummy C</vt:lpstr>
      <vt:lpstr>Pharaoh A</vt:lpstr>
      <vt:lpstr>Pharaoh B</vt:lpstr>
      <vt:lpstr>HV enemy</vt:lpstr>
      <vt:lpstr>HV scarab</vt:lpstr>
      <vt:lpstr>Profiles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cp:lastModifiedBy>
  <dcterms:created xsi:type="dcterms:W3CDTF">2018-09-08T09:54:06Z</dcterms:created>
  <dcterms:modified xsi:type="dcterms:W3CDTF">2018-09-24T21:18:01Z</dcterms:modified>
</cp:coreProperties>
</file>