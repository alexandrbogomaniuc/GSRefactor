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bookViews>
  <sheets>
    <sheet name="Summary" sheetId="2" r:id="rId1"/>
    <sheet name="Special weapon" sheetId="22" r:id="rId2"/>
    <sheet name="Base game (Mummy A)" sheetId="1" r:id="rId3"/>
    <sheet name="Base game (Mummy B)" sheetId="4" r:id="rId4"/>
    <sheet name="Base game (Mummy C)" sheetId="5" r:id="rId5"/>
    <sheet name="Base game (Standard Mummy)" sheetId="24" r:id="rId6"/>
    <sheet name="Base game (Scarabs)" sheetId="23" r:id="rId7"/>
    <sheet name="Base game (Pharaoh A &amp; B)" sheetId="25" r:id="rId8"/>
    <sheet name="Special weapon 1 (Mummy A) " sheetId="13" r:id="rId9"/>
    <sheet name="Special weapon 1 (Mummy B)" sheetId="14" r:id="rId10"/>
    <sheet name="Special weapon 1 (Mummy C)" sheetId="15" r:id="rId11"/>
    <sheet name="Special weapon 1 (Std Mummy)" sheetId="27" r:id="rId12"/>
    <sheet name="Special weapon 1 (Scarabs)" sheetId="28" r:id="rId13"/>
    <sheet name="Special weapon 1 (Pharaoh A&amp;B)" sheetId="29" r:id="rId14"/>
    <sheet name="Special weapon 2 (Mummy A)" sheetId="16" r:id="rId15"/>
    <sheet name="Special weapon 2 (Mummy B)" sheetId="17" r:id="rId16"/>
    <sheet name="Special weapon 2 (Mummy C)" sheetId="18" r:id="rId17"/>
    <sheet name="Special weapon 2 (Std Mummy)" sheetId="31" r:id="rId18"/>
    <sheet name="Special weapon 2 (Scarabs)" sheetId="32" r:id="rId19"/>
    <sheet name="Special weapon 2 (Pharaoh A&amp;B)" sheetId="33" r:id="rId20"/>
    <sheet name="Special weapon 3 (Mummy A)" sheetId="19" r:id="rId21"/>
    <sheet name="Special weapon 3 (Mummy B)" sheetId="20" r:id="rId22"/>
    <sheet name="Special weapon 3 (Mummy C)" sheetId="21" r:id="rId23"/>
    <sheet name="Special weapon 3 (Std Mummy)" sheetId="34" r:id="rId24"/>
    <sheet name="Special weapon 3 (Scarabs)" sheetId="35" r:id="rId25"/>
    <sheet name="Special weapon 3 (Pharaoh A&amp;B)" sheetId="36" r:id="rId26"/>
    <sheet name="Boss round" sheetId="6" r:id="rId27"/>
    <sheet name="Boss (Hoard)" sheetId="7" r:id="rId28"/>
    <sheet name="Hoard (Mummy A)" sheetId="10" r:id="rId29"/>
    <sheet name="Hoard (Mummy B)" sheetId="11" r:id="rId30"/>
    <sheet name="Hoard (Mummy C)" sheetId="12" r:id="rId31"/>
    <sheet name="Hord (Standard Mummy)" sheetId="37" r:id="rId32"/>
    <sheet name="Hoard (Scarabs)" sheetId="38" r:id="rId33"/>
  </sheets>
  <calcPr calcId="124519"/>
</workbook>
</file>

<file path=xl/calcChain.xml><?xml version="1.0" encoding="utf-8"?>
<calcChain xmlns="http://schemas.openxmlformats.org/spreadsheetml/2006/main">
  <c r="C16" i="38"/>
  <c r="E15"/>
  <c r="F15" s="1"/>
  <c r="F16" s="1"/>
  <c r="D15"/>
  <c r="C11"/>
  <c r="E10"/>
  <c r="F10" s="1"/>
  <c r="F11" s="1"/>
  <c r="D10"/>
  <c r="C6"/>
  <c r="E5"/>
  <c r="F5" s="1"/>
  <c r="F6" s="1"/>
  <c r="D5"/>
  <c r="C19" i="37"/>
  <c r="C14"/>
  <c r="E13"/>
  <c r="F13" s="1"/>
  <c r="F14" s="1"/>
  <c r="D13"/>
  <c r="C8"/>
  <c r="D7"/>
  <c r="E6"/>
  <c r="E18" s="1"/>
  <c r="F18" s="1"/>
  <c r="F19" s="1"/>
  <c r="D6"/>
  <c r="E5"/>
  <c r="F5" s="1"/>
  <c r="D5"/>
  <c r="D30" i="36"/>
  <c r="C48"/>
  <c r="D47"/>
  <c r="C43"/>
  <c r="D42"/>
  <c r="C38"/>
  <c r="D37"/>
  <c r="D36"/>
  <c r="D35"/>
  <c r="C26"/>
  <c r="D25"/>
  <c r="D24"/>
  <c r="D23"/>
  <c r="C19"/>
  <c r="D18"/>
  <c r="D17"/>
  <c r="D16"/>
  <c r="C12"/>
  <c r="D11"/>
  <c r="D10"/>
  <c r="D9"/>
  <c r="D8"/>
  <c r="E7"/>
  <c r="E17" s="1"/>
  <c r="F17" s="1"/>
  <c r="D7"/>
  <c r="E6"/>
  <c r="E16" s="1"/>
  <c r="D6"/>
  <c r="E5"/>
  <c r="E35" s="1"/>
  <c r="D5"/>
  <c r="C16" i="35"/>
  <c r="E15"/>
  <c r="F15" s="1"/>
  <c r="F16" s="1"/>
  <c r="D15"/>
  <c r="C11"/>
  <c r="E10"/>
  <c r="F10" s="1"/>
  <c r="F11" s="1"/>
  <c r="D10"/>
  <c r="C6"/>
  <c r="F5"/>
  <c r="F6" s="1"/>
  <c r="E5"/>
  <c r="D5"/>
  <c r="C19" i="34"/>
  <c r="E18"/>
  <c r="F18" s="1"/>
  <c r="F19" s="1"/>
  <c r="D18"/>
  <c r="C14"/>
  <c r="D13"/>
  <c r="C8"/>
  <c r="D7"/>
  <c r="F6"/>
  <c r="E6"/>
  <c r="D6"/>
  <c r="E5"/>
  <c r="F5" s="1"/>
  <c r="D5"/>
  <c r="C48" i="33"/>
  <c r="D47"/>
  <c r="C43"/>
  <c r="D42"/>
  <c r="C38"/>
  <c r="D37"/>
  <c r="D36"/>
  <c r="D35"/>
  <c r="C31"/>
  <c r="D30"/>
  <c r="C26"/>
  <c r="D25"/>
  <c r="D24"/>
  <c r="D23"/>
  <c r="C19"/>
  <c r="D18"/>
  <c r="D17"/>
  <c r="D16"/>
  <c r="C12"/>
  <c r="D11"/>
  <c r="D10"/>
  <c r="D9"/>
  <c r="D8"/>
  <c r="E7"/>
  <c r="F7" s="1"/>
  <c r="D7"/>
  <c r="E6"/>
  <c r="E16" s="1"/>
  <c r="D6"/>
  <c r="E5"/>
  <c r="D5"/>
  <c r="C16" i="32"/>
  <c r="E15"/>
  <c r="F15" s="1"/>
  <c r="F16" s="1"/>
  <c r="D15"/>
  <c r="C11"/>
  <c r="F10"/>
  <c r="F11" s="1"/>
  <c r="E10"/>
  <c r="D10"/>
  <c r="C6"/>
  <c r="F5"/>
  <c r="F6" s="1"/>
  <c r="E5"/>
  <c r="D5"/>
  <c r="C19" i="31"/>
  <c r="E18"/>
  <c r="F18" s="1"/>
  <c r="F19" s="1"/>
  <c r="D18"/>
  <c r="C14"/>
  <c r="D13"/>
  <c r="C8"/>
  <c r="D7"/>
  <c r="F6"/>
  <c r="E6"/>
  <c r="D6"/>
  <c r="E5"/>
  <c r="F5" s="1"/>
  <c r="D5"/>
  <c r="C48" i="29"/>
  <c r="D47"/>
  <c r="C43"/>
  <c r="D42"/>
  <c r="C38"/>
  <c r="D37"/>
  <c r="D36"/>
  <c r="D35"/>
  <c r="C31"/>
  <c r="D30"/>
  <c r="C26"/>
  <c r="D25"/>
  <c r="D24"/>
  <c r="D23"/>
  <c r="C19"/>
  <c r="D18"/>
  <c r="D17"/>
  <c r="D16"/>
  <c r="C12"/>
  <c r="D11"/>
  <c r="D10"/>
  <c r="D9"/>
  <c r="D8"/>
  <c r="E7"/>
  <c r="E17" s="1"/>
  <c r="F17" s="1"/>
  <c r="D7"/>
  <c r="E6"/>
  <c r="E47" s="1"/>
  <c r="F47" s="1"/>
  <c r="F48" s="1"/>
  <c r="D6"/>
  <c r="E5"/>
  <c r="E35" s="1"/>
  <c r="D5"/>
  <c r="C16" i="28"/>
  <c r="E15"/>
  <c r="F15" s="1"/>
  <c r="F16" s="1"/>
  <c r="D15"/>
  <c r="C11"/>
  <c r="E10"/>
  <c r="F10" s="1"/>
  <c r="F11" s="1"/>
  <c r="D10"/>
  <c r="C6"/>
  <c r="E5"/>
  <c r="F5" s="1"/>
  <c r="F6" s="1"/>
  <c r="D5"/>
  <c r="C19" i="27"/>
  <c r="C14"/>
  <c r="D13"/>
  <c r="C8"/>
  <c r="E7"/>
  <c r="F7" s="1"/>
  <c r="D7"/>
  <c r="E6"/>
  <c r="F6" s="1"/>
  <c r="D6"/>
  <c r="F5"/>
  <c r="E5"/>
  <c r="E13" s="1"/>
  <c r="F13" s="1"/>
  <c r="F14" s="1"/>
  <c r="D5"/>
  <c r="D25" i="25"/>
  <c r="D24"/>
  <c r="E7"/>
  <c r="E30" s="1"/>
  <c r="F30" s="1"/>
  <c r="F31" s="1"/>
  <c r="E6"/>
  <c r="E36" s="1"/>
  <c r="F36" s="1"/>
  <c r="E5"/>
  <c r="E42" s="1"/>
  <c r="F42" s="1"/>
  <c r="F43" s="1"/>
  <c r="C48"/>
  <c r="D47"/>
  <c r="C43"/>
  <c r="D42"/>
  <c r="C38"/>
  <c r="D37"/>
  <c r="D36"/>
  <c r="D35"/>
  <c r="C31"/>
  <c r="D30"/>
  <c r="C26"/>
  <c r="D23"/>
  <c r="C19"/>
  <c r="D18"/>
  <c r="D17"/>
  <c r="D16"/>
  <c r="C12"/>
  <c r="D11"/>
  <c r="D10"/>
  <c r="D9"/>
  <c r="D8"/>
  <c r="D7"/>
  <c r="D6"/>
  <c r="D5"/>
  <c r="E18" i="27" l="1"/>
  <c r="F18" s="1"/>
  <c r="F19" s="1"/>
  <c r="F6" i="33"/>
  <c r="F6" i="36"/>
  <c r="E11" i="33"/>
  <c r="F11" s="1"/>
  <c r="E47"/>
  <c r="F47" s="1"/>
  <c r="F48" s="1"/>
  <c r="E47" i="36"/>
  <c r="F47" s="1"/>
  <c r="F48" s="1"/>
  <c r="F6" i="37"/>
  <c r="D18"/>
  <c r="E7"/>
  <c r="F7" s="1"/>
  <c r="C31" i="36"/>
  <c r="F16"/>
  <c r="E18"/>
  <c r="F18" s="1"/>
  <c r="F35"/>
  <c r="F5"/>
  <c r="E8"/>
  <c r="F8" s="1"/>
  <c r="E24"/>
  <c r="F24" s="1"/>
  <c r="E30"/>
  <c r="F30" s="1"/>
  <c r="F31" s="1"/>
  <c r="E36"/>
  <c r="F36" s="1"/>
  <c r="E42"/>
  <c r="F42" s="1"/>
  <c r="F43" s="1"/>
  <c r="E9"/>
  <c r="F9" s="1"/>
  <c r="F7"/>
  <c r="E10"/>
  <c r="F10" s="1"/>
  <c r="E11"/>
  <c r="F11" s="1"/>
  <c r="E23"/>
  <c r="E13" i="34"/>
  <c r="F13" s="1"/>
  <c r="F14" s="1"/>
  <c r="E7"/>
  <c r="F7" s="1"/>
  <c r="F8" s="1"/>
  <c r="F16" i="33"/>
  <c r="E18"/>
  <c r="F18" s="1"/>
  <c r="E17"/>
  <c r="F17" s="1"/>
  <c r="E23"/>
  <c r="E35"/>
  <c r="F5"/>
  <c r="E8"/>
  <c r="F8" s="1"/>
  <c r="E24"/>
  <c r="F24" s="1"/>
  <c r="E30"/>
  <c r="F30" s="1"/>
  <c r="F31" s="1"/>
  <c r="E36"/>
  <c r="F36" s="1"/>
  <c r="E42"/>
  <c r="F42" s="1"/>
  <c r="F43" s="1"/>
  <c r="E9"/>
  <c r="F9" s="1"/>
  <c r="E10"/>
  <c r="F10" s="1"/>
  <c r="E13" i="31"/>
  <c r="F13" s="1"/>
  <c r="F14" s="1"/>
  <c r="E7"/>
  <c r="F7" s="1"/>
  <c r="F8" s="1"/>
  <c r="F35" i="29"/>
  <c r="F5"/>
  <c r="E8"/>
  <c r="F8" s="1"/>
  <c r="E24"/>
  <c r="F24" s="1"/>
  <c r="E30"/>
  <c r="F30" s="1"/>
  <c r="F31" s="1"/>
  <c r="E36"/>
  <c r="F36" s="1"/>
  <c r="E42"/>
  <c r="F42" s="1"/>
  <c r="F43" s="1"/>
  <c r="F6"/>
  <c r="E9"/>
  <c r="F9" s="1"/>
  <c r="F7"/>
  <c r="E10"/>
  <c r="F10" s="1"/>
  <c r="E16"/>
  <c r="E11"/>
  <c r="F11" s="1"/>
  <c r="E23"/>
  <c r="F8" i="27"/>
  <c r="D18"/>
  <c r="F7" i="25"/>
  <c r="F6"/>
  <c r="E9"/>
  <c r="F9" s="1"/>
  <c r="E10"/>
  <c r="F10" s="1"/>
  <c r="E16"/>
  <c r="E11"/>
  <c r="F11" s="1"/>
  <c r="E17"/>
  <c r="F17" s="1"/>
  <c r="E23"/>
  <c r="E35"/>
  <c r="E47"/>
  <c r="F47" s="1"/>
  <c r="F48" s="1"/>
  <c r="F5"/>
  <c r="E8"/>
  <c r="F8" s="1"/>
  <c r="E24"/>
  <c r="F24" s="1"/>
  <c r="C18" i="24"/>
  <c r="E6"/>
  <c r="E18" s="1"/>
  <c r="E5"/>
  <c r="E7" s="1"/>
  <c r="C19"/>
  <c r="D18"/>
  <c r="C14"/>
  <c r="D13"/>
  <c r="C8"/>
  <c r="D7"/>
  <c r="D6"/>
  <c r="D5"/>
  <c r="D15" i="23"/>
  <c r="D10"/>
  <c r="F10"/>
  <c r="E15"/>
  <c r="F15" s="1"/>
  <c r="F16" s="1"/>
  <c r="E10"/>
  <c r="E5"/>
  <c r="F5" s="1"/>
  <c r="F6" s="1"/>
  <c r="C16"/>
  <c r="C11"/>
  <c r="C6"/>
  <c r="D5"/>
  <c r="D21" i="22"/>
  <c r="E39" i="2"/>
  <c r="B39"/>
  <c r="B29"/>
  <c r="K30"/>
  <c r="H30"/>
  <c r="E30"/>
  <c r="E37" i="36" l="1"/>
  <c r="F37" s="1"/>
  <c r="F38" s="1"/>
  <c r="F8" i="37"/>
  <c r="F19" i="36"/>
  <c r="F23"/>
  <c r="E25"/>
  <c r="F25" s="1"/>
  <c r="F12"/>
  <c r="F23" i="33"/>
  <c r="E25"/>
  <c r="F25" s="1"/>
  <c r="F35"/>
  <c r="E37"/>
  <c r="F37" s="1"/>
  <c r="F19"/>
  <c r="F12"/>
  <c r="F23" i="29"/>
  <c r="E25"/>
  <c r="F25" s="1"/>
  <c r="F16"/>
  <c r="E18"/>
  <c r="F18" s="1"/>
  <c r="F12"/>
  <c r="E37"/>
  <c r="F37" s="1"/>
  <c r="F38" s="1"/>
  <c r="E18" i="25"/>
  <c r="F18" s="1"/>
  <c r="F16"/>
  <c r="F12"/>
  <c r="F35"/>
  <c r="E37"/>
  <c r="F37" s="1"/>
  <c r="F23"/>
  <c r="E25"/>
  <c r="F25" s="1"/>
  <c r="F18" i="24"/>
  <c r="F19" s="1"/>
  <c r="F7"/>
  <c r="E13"/>
  <c r="F13" s="1"/>
  <c r="F14" s="1"/>
  <c r="F5"/>
  <c r="F6"/>
  <c r="F11" i="23"/>
  <c r="D20" i="22"/>
  <c r="D19"/>
  <c r="D18"/>
  <c r="D10"/>
  <c r="D9"/>
  <c r="D8"/>
  <c r="D7"/>
  <c r="E7" i="21"/>
  <c r="E30" s="1"/>
  <c r="F30" s="1"/>
  <c r="F31" s="1"/>
  <c r="E6"/>
  <c r="E16" s="1"/>
  <c r="E5"/>
  <c r="F5" s="1"/>
  <c r="C48"/>
  <c r="D47"/>
  <c r="C43"/>
  <c r="D42"/>
  <c r="C38"/>
  <c r="D37"/>
  <c r="D36"/>
  <c r="D35"/>
  <c r="C31"/>
  <c r="D30"/>
  <c r="C26"/>
  <c r="D25"/>
  <c r="D24"/>
  <c r="D23"/>
  <c r="C19"/>
  <c r="D18"/>
  <c r="D17"/>
  <c r="D16"/>
  <c r="C12"/>
  <c r="D11"/>
  <c r="D10"/>
  <c r="D9"/>
  <c r="D8"/>
  <c r="D7"/>
  <c r="D6"/>
  <c r="D5"/>
  <c r="E7" i="20"/>
  <c r="F7" s="1"/>
  <c r="E6"/>
  <c r="F6" s="1"/>
  <c r="E5"/>
  <c r="F5" s="1"/>
  <c r="C48"/>
  <c r="D47"/>
  <c r="C43"/>
  <c r="D42"/>
  <c r="C38"/>
  <c r="D37"/>
  <c r="D36"/>
  <c r="D35"/>
  <c r="C31"/>
  <c r="D30"/>
  <c r="C26"/>
  <c r="D25"/>
  <c r="D24"/>
  <c r="D23"/>
  <c r="C19"/>
  <c r="D18"/>
  <c r="D17"/>
  <c r="D16"/>
  <c r="C12"/>
  <c r="D11"/>
  <c r="D10"/>
  <c r="D9"/>
  <c r="D8"/>
  <c r="D7"/>
  <c r="D6"/>
  <c r="D5"/>
  <c r="E7" i="19"/>
  <c r="E30" s="1"/>
  <c r="F30" s="1"/>
  <c r="F31" s="1"/>
  <c r="E6"/>
  <c r="E16" s="1"/>
  <c r="E5"/>
  <c r="F5" s="1"/>
  <c r="C48"/>
  <c r="D47"/>
  <c r="C43"/>
  <c r="D42"/>
  <c r="C38"/>
  <c r="D37"/>
  <c r="D36"/>
  <c r="D35"/>
  <c r="C31"/>
  <c r="D30"/>
  <c r="C26"/>
  <c r="D25"/>
  <c r="D24"/>
  <c r="D23"/>
  <c r="C19"/>
  <c r="D18"/>
  <c r="D17"/>
  <c r="D16"/>
  <c r="C12"/>
  <c r="D11"/>
  <c r="D10"/>
  <c r="D9"/>
  <c r="D8"/>
  <c r="D7"/>
  <c r="D6"/>
  <c r="D5"/>
  <c r="E7" i="18"/>
  <c r="E30" s="1"/>
  <c r="F30" s="1"/>
  <c r="F31" s="1"/>
  <c r="E6"/>
  <c r="E16" s="1"/>
  <c r="E5"/>
  <c r="F5" s="1"/>
  <c r="C48"/>
  <c r="D47"/>
  <c r="C43"/>
  <c r="D42"/>
  <c r="C38"/>
  <c r="D37"/>
  <c r="D36"/>
  <c r="D35"/>
  <c r="C31"/>
  <c r="D30"/>
  <c r="C26"/>
  <c r="D25"/>
  <c r="D24"/>
  <c r="D23"/>
  <c r="C19"/>
  <c r="D18"/>
  <c r="D17"/>
  <c r="D16"/>
  <c r="C12"/>
  <c r="D11"/>
  <c r="D10"/>
  <c r="D9"/>
  <c r="D8"/>
  <c r="D7"/>
  <c r="D6"/>
  <c r="D5"/>
  <c r="E7" i="17"/>
  <c r="E30" s="1"/>
  <c r="F30" s="1"/>
  <c r="F31" s="1"/>
  <c r="E6"/>
  <c r="E16" s="1"/>
  <c r="E5"/>
  <c r="F5" s="1"/>
  <c r="C48"/>
  <c r="D47"/>
  <c r="C43"/>
  <c r="D42"/>
  <c r="C38"/>
  <c r="D37"/>
  <c r="D36"/>
  <c r="D35"/>
  <c r="C31"/>
  <c r="D30"/>
  <c r="C26"/>
  <c r="D25"/>
  <c r="D24"/>
  <c r="D23"/>
  <c r="C19"/>
  <c r="D18"/>
  <c r="D17"/>
  <c r="D16"/>
  <c r="C12"/>
  <c r="D11"/>
  <c r="D10"/>
  <c r="D9"/>
  <c r="D8"/>
  <c r="D7"/>
  <c r="D6"/>
  <c r="D5"/>
  <c r="E7" i="16"/>
  <c r="F7" s="1"/>
  <c r="E6"/>
  <c r="F6" s="1"/>
  <c r="E5"/>
  <c r="F5" s="1"/>
  <c r="C48"/>
  <c r="D47"/>
  <c r="C43"/>
  <c r="D42"/>
  <c r="C38"/>
  <c r="D37"/>
  <c r="D36"/>
  <c r="D35"/>
  <c r="C31"/>
  <c r="D30"/>
  <c r="C26"/>
  <c r="D25"/>
  <c r="D24"/>
  <c r="D23"/>
  <c r="C19"/>
  <c r="D18"/>
  <c r="D17"/>
  <c r="D16"/>
  <c r="C12"/>
  <c r="D11"/>
  <c r="D10"/>
  <c r="D9"/>
  <c r="D8"/>
  <c r="D7"/>
  <c r="D6"/>
  <c r="D5"/>
  <c r="E7" i="15"/>
  <c r="E30" s="1"/>
  <c r="F30" s="1"/>
  <c r="F31" s="1"/>
  <c r="E6"/>
  <c r="E16" s="1"/>
  <c r="E5"/>
  <c r="F5" s="1"/>
  <c r="C48"/>
  <c r="D47"/>
  <c r="C43"/>
  <c r="D42"/>
  <c r="C38"/>
  <c r="D37"/>
  <c r="D36"/>
  <c r="D35"/>
  <c r="C31"/>
  <c r="D30"/>
  <c r="C26"/>
  <c r="D25"/>
  <c r="D24"/>
  <c r="D23"/>
  <c r="C19"/>
  <c r="D18"/>
  <c r="D17"/>
  <c r="D16"/>
  <c r="C12"/>
  <c r="D11"/>
  <c r="D10"/>
  <c r="D9"/>
  <c r="D8"/>
  <c r="D7"/>
  <c r="D6"/>
  <c r="D5"/>
  <c r="E7" i="14"/>
  <c r="E30" s="1"/>
  <c r="F30" s="1"/>
  <c r="F31" s="1"/>
  <c r="E6"/>
  <c r="E16" s="1"/>
  <c r="E5"/>
  <c r="E42" s="1"/>
  <c r="F42" s="1"/>
  <c r="F43" s="1"/>
  <c r="C48"/>
  <c r="D47"/>
  <c r="C43"/>
  <c r="D42"/>
  <c r="C38"/>
  <c r="D37"/>
  <c r="D36"/>
  <c r="D35"/>
  <c r="C31"/>
  <c r="D30"/>
  <c r="C26"/>
  <c r="D25"/>
  <c r="D24"/>
  <c r="D23"/>
  <c r="C19"/>
  <c r="D18"/>
  <c r="D17"/>
  <c r="D16"/>
  <c r="C12"/>
  <c r="D11"/>
  <c r="D10"/>
  <c r="D9"/>
  <c r="D8"/>
  <c r="D7"/>
  <c r="D6"/>
  <c r="D5"/>
  <c r="E7" i="13"/>
  <c r="F7" s="1"/>
  <c r="E6"/>
  <c r="F6" s="1"/>
  <c r="E5"/>
  <c r="C48"/>
  <c r="D47"/>
  <c r="C43"/>
  <c r="D42"/>
  <c r="C38"/>
  <c r="D37"/>
  <c r="D36"/>
  <c r="D35"/>
  <c r="C31"/>
  <c r="D30"/>
  <c r="C26"/>
  <c r="D25"/>
  <c r="D24"/>
  <c r="D23"/>
  <c r="C19"/>
  <c r="D18"/>
  <c r="D17"/>
  <c r="D16"/>
  <c r="C12"/>
  <c r="D11"/>
  <c r="D10"/>
  <c r="D9"/>
  <c r="D8"/>
  <c r="D7"/>
  <c r="D6"/>
  <c r="D5"/>
  <c r="E7" i="12"/>
  <c r="F7" s="1"/>
  <c r="E6"/>
  <c r="E16" s="1"/>
  <c r="E5"/>
  <c r="E35" s="1"/>
  <c r="C48"/>
  <c r="D47"/>
  <c r="C43"/>
  <c r="D42"/>
  <c r="C38"/>
  <c r="D37"/>
  <c r="D36"/>
  <c r="D35"/>
  <c r="C31"/>
  <c r="D30"/>
  <c r="C26"/>
  <c r="D25"/>
  <c r="D24"/>
  <c r="D23"/>
  <c r="C19"/>
  <c r="D18"/>
  <c r="D17"/>
  <c r="D16"/>
  <c r="C12"/>
  <c r="D11"/>
  <c r="D10"/>
  <c r="D9"/>
  <c r="D8"/>
  <c r="D7"/>
  <c r="D6"/>
  <c r="D5"/>
  <c r="E7" i="11"/>
  <c r="E17" s="1"/>
  <c r="F17" s="1"/>
  <c r="E6"/>
  <c r="E16" s="1"/>
  <c r="E5"/>
  <c r="E35" s="1"/>
  <c r="C48"/>
  <c r="D47"/>
  <c r="C43"/>
  <c r="D42"/>
  <c r="C38"/>
  <c r="D37"/>
  <c r="D36"/>
  <c r="D35"/>
  <c r="C31"/>
  <c r="D30"/>
  <c r="C26"/>
  <c r="D25"/>
  <c r="D24"/>
  <c r="D23"/>
  <c r="C19"/>
  <c r="D18"/>
  <c r="D17"/>
  <c r="D16"/>
  <c r="C12"/>
  <c r="D11"/>
  <c r="D10"/>
  <c r="D9"/>
  <c r="D8"/>
  <c r="D7"/>
  <c r="D6"/>
  <c r="D5"/>
  <c r="E7" i="10"/>
  <c r="E30" s="1"/>
  <c r="F30" s="1"/>
  <c r="F31" s="1"/>
  <c r="E6"/>
  <c r="E36" s="1"/>
  <c r="F36" s="1"/>
  <c r="E5"/>
  <c r="E35" s="1"/>
  <c r="C48"/>
  <c r="D47"/>
  <c r="C43"/>
  <c r="D42"/>
  <c r="C38"/>
  <c r="D37"/>
  <c r="D36"/>
  <c r="D35"/>
  <c r="C31"/>
  <c r="D30"/>
  <c r="C26"/>
  <c r="D25"/>
  <c r="D24"/>
  <c r="D23"/>
  <c r="C19"/>
  <c r="D18"/>
  <c r="D17"/>
  <c r="D16"/>
  <c r="C12"/>
  <c r="D11"/>
  <c r="D10"/>
  <c r="D9"/>
  <c r="D8"/>
  <c r="D7"/>
  <c r="D6"/>
  <c r="D5"/>
  <c r="D8" i="2"/>
  <c r="D9"/>
  <c r="D7"/>
  <c r="C29" i="1"/>
  <c r="D54"/>
  <c r="E61" i="6"/>
  <c r="E62"/>
  <c r="F62" s="1"/>
  <c r="E63"/>
  <c r="E64"/>
  <c r="F64" s="1"/>
  <c r="E60"/>
  <c r="F61"/>
  <c r="F63"/>
  <c r="F60"/>
  <c r="E56"/>
  <c r="F52"/>
  <c r="F53"/>
  <c r="F54"/>
  <c r="F55"/>
  <c r="F51"/>
  <c r="D61"/>
  <c r="D62"/>
  <c r="D63"/>
  <c r="D64"/>
  <c r="D60"/>
  <c r="E52"/>
  <c r="E53"/>
  <c r="E54"/>
  <c r="E55"/>
  <c r="E51"/>
  <c r="D52"/>
  <c r="D53"/>
  <c r="D54"/>
  <c r="D55"/>
  <c r="D51"/>
  <c r="D30"/>
  <c r="D31"/>
  <c r="D32"/>
  <c r="D33"/>
  <c r="D29"/>
  <c r="C65"/>
  <c r="F56"/>
  <c r="C56"/>
  <c r="C34"/>
  <c r="C40"/>
  <c r="D14"/>
  <c r="D12"/>
  <c r="D13"/>
  <c r="D11"/>
  <c r="E7" i="5"/>
  <c r="E30" s="1"/>
  <c r="F30" s="1"/>
  <c r="F31" s="1"/>
  <c r="E6"/>
  <c r="E36" s="1"/>
  <c r="F36" s="1"/>
  <c r="E5"/>
  <c r="E42" s="1"/>
  <c r="F42" s="1"/>
  <c r="F43" s="1"/>
  <c r="D47"/>
  <c r="D42"/>
  <c r="D37"/>
  <c r="D36"/>
  <c r="D35"/>
  <c r="D30"/>
  <c r="D25"/>
  <c r="D24"/>
  <c r="D23"/>
  <c r="D18"/>
  <c r="D17"/>
  <c r="D16"/>
  <c r="D11"/>
  <c r="D10"/>
  <c r="D9"/>
  <c r="D8"/>
  <c r="D7"/>
  <c r="D6"/>
  <c r="D5"/>
  <c r="D8" i="4"/>
  <c r="E7"/>
  <c r="E30" s="1"/>
  <c r="F30" s="1"/>
  <c r="F31" s="1"/>
  <c r="E6"/>
  <c r="E36" s="1"/>
  <c r="F36" s="1"/>
  <c r="E5"/>
  <c r="D18"/>
  <c r="D6"/>
  <c r="D47"/>
  <c r="D42"/>
  <c r="D37"/>
  <c r="D36"/>
  <c r="D35"/>
  <c r="D30"/>
  <c r="D25"/>
  <c r="D24"/>
  <c r="D23"/>
  <c r="D17"/>
  <c r="D16"/>
  <c r="D7"/>
  <c r="D5"/>
  <c r="E9" i="2"/>
  <c r="E7"/>
  <c r="B21" i="6" s="1"/>
  <c r="E8" i="2"/>
  <c r="D64" i="1"/>
  <c r="D59"/>
  <c r="D53"/>
  <c r="D52"/>
  <c r="D47"/>
  <c r="D41"/>
  <c r="D42"/>
  <c r="D40"/>
  <c r="D34"/>
  <c r="D35"/>
  <c r="D33"/>
  <c r="D22"/>
  <c r="D24"/>
  <c r="D25"/>
  <c r="D26"/>
  <c r="D27"/>
  <c r="D28"/>
  <c r="D23"/>
  <c r="E24"/>
  <c r="E23"/>
  <c r="E33" s="1"/>
  <c r="E22"/>
  <c r="E37" i="10" l="1"/>
  <c r="F24" i="1"/>
  <c r="E41"/>
  <c r="F5" i="13"/>
  <c r="E23"/>
  <c r="E42"/>
  <c r="E59" i="1"/>
  <c r="F59" s="1"/>
  <c r="F60" s="1"/>
  <c r="E52"/>
  <c r="F52" s="1"/>
  <c r="E40"/>
  <c r="F26" i="36"/>
  <c r="F26" i="33"/>
  <c r="F38"/>
  <c r="F26" i="29"/>
  <c r="F19"/>
  <c r="F19" i="25"/>
  <c r="F38"/>
  <c r="F26"/>
  <c r="F8" i="24"/>
  <c r="F7" i="14"/>
  <c r="F6" i="19"/>
  <c r="E8" i="10"/>
  <c r="F8" s="1"/>
  <c r="F6" i="11"/>
  <c r="F7" i="18"/>
  <c r="E42" i="17"/>
  <c r="F42" s="1"/>
  <c r="F43" s="1"/>
  <c r="F6" i="12"/>
  <c r="F6" i="14"/>
  <c r="F7" i="17"/>
  <c r="F23" i="1"/>
  <c r="E64"/>
  <c r="F6" i="17"/>
  <c r="F6" i="15"/>
  <c r="E42" i="18"/>
  <c r="F42" s="1"/>
  <c r="F43" s="1"/>
  <c r="E42" i="19"/>
  <c r="F42" s="1"/>
  <c r="F43" s="1"/>
  <c r="E47" i="10"/>
  <c r="F47" s="1"/>
  <c r="F48" s="1"/>
  <c r="F6" i="21"/>
  <c r="E42" i="15"/>
  <c r="F42" s="1"/>
  <c r="F43" s="1"/>
  <c r="F6" i="18"/>
  <c r="F5" i="14"/>
  <c r="F7" i="15"/>
  <c r="F5" i="10"/>
  <c r="E17"/>
  <c r="F17" s="1"/>
  <c r="E42" i="21"/>
  <c r="F42" s="1"/>
  <c r="F43" s="1"/>
  <c r="F7" i="19"/>
  <c r="D34" i="6"/>
  <c r="F7" i="21"/>
  <c r="D12" i="22"/>
  <c r="D23"/>
  <c r="F16" i="21"/>
  <c r="E8"/>
  <c r="F8" s="1"/>
  <c r="E9"/>
  <c r="F9" s="1"/>
  <c r="E10"/>
  <c r="F10" s="1"/>
  <c r="E11"/>
  <c r="F11" s="1"/>
  <c r="E23"/>
  <c r="E24"/>
  <c r="F24" s="1"/>
  <c r="E35"/>
  <c r="E36"/>
  <c r="F36" s="1"/>
  <c r="E47"/>
  <c r="F47" s="1"/>
  <c r="F48" s="1"/>
  <c r="E17"/>
  <c r="F17" s="1"/>
  <c r="E8" i="20"/>
  <c r="F8" s="1"/>
  <c r="E9"/>
  <c r="F9" s="1"/>
  <c r="E10"/>
  <c r="F10" s="1"/>
  <c r="E11"/>
  <c r="F11" s="1"/>
  <c r="E23"/>
  <c r="E24"/>
  <c r="F24" s="1"/>
  <c r="E35"/>
  <c r="E36"/>
  <c r="F36" s="1"/>
  <c r="E47"/>
  <c r="F47" s="1"/>
  <c r="F48" s="1"/>
  <c r="E16"/>
  <c r="E17"/>
  <c r="F17" s="1"/>
  <c r="E30"/>
  <c r="F30" s="1"/>
  <c r="F31" s="1"/>
  <c r="E42"/>
  <c r="F42" s="1"/>
  <c r="F43" s="1"/>
  <c r="F16" i="19"/>
  <c r="E8"/>
  <c r="F8" s="1"/>
  <c r="E9"/>
  <c r="F9" s="1"/>
  <c r="E10"/>
  <c r="F10" s="1"/>
  <c r="E11"/>
  <c r="F11" s="1"/>
  <c r="E23"/>
  <c r="E24"/>
  <c r="F24" s="1"/>
  <c r="E35"/>
  <c r="E36"/>
  <c r="F36" s="1"/>
  <c r="E47"/>
  <c r="F47" s="1"/>
  <c r="F48" s="1"/>
  <c r="E17"/>
  <c r="F17" s="1"/>
  <c r="F16" i="18"/>
  <c r="E8"/>
  <c r="F8" s="1"/>
  <c r="E9"/>
  <c r="F9" s="1"/>
  <c r="E10"/>
  <c r="F10" s="1"/>
  <c r="E11"/>
  <c r="F11" s="1"/>
  <c r="E23"/>
  <c r="E24"/>
  <c r="F24" s="1"/>
  <c r="E35"/>
  <c r="E36"/>
  <c r="F36" s="1"/>
  <c r="E47"/>
  <c r="F47" s="1"/>
  <c r="F48" s="1"/>
  <c r="E17"/>
  <c r="F17" s="1"/>
  <c r="F16" i="17"/>
  <c r="E8"/>
  <c r="F8" s="1"/>
  <c r="E9"/>
  <c r="F9" s="1"/>
  <c r="E10"/>
  <c r="F10" s="1"/>
  <c r="E11"/>
  <c r="F11" s="1"/>
  <c r="E23"/>
  <c r="E24"/>
  <c r="F24" s="1"/>
  <c r="E35"/>
  <c r="E36"/>
  <c r="F36" s="1"/>
  <c r="E47"/>
  <c r="F47" s="1"/>
  <c r="F48" s="1"/>
  <c r="E17"/>
  <c r="F17" s="1"/>
  <c r="E9" i="16"/>
  <c r="F9" s="1"/>
  <c r="E11"/>
  <c r="F11" s="1"/>
  <c r="E24"/>
  <c r="F24" s="1"/>
  <c r="E35"/>
  <c r="E16"/>
  <c r="E17"/>
  <c r="F17" s="1"/>
  <c r="E30"/>
  <c r="F30" s="1"/>
  <c r="F31" s="1"/>
  <c r="E42"/>
  <c r="F42" s="1"/>
  <c r="F43" s="1"/>
  <c r="E8"/>
  <c r="F8" s="1"/>
  <c r="E10"/>
  <c r="F10" s="1"/>
  <c r="E23"/>
  <c r="E36"/>
  <c r="F36" s="1"/>
  <c r="E47"/>
  <c r="F47" s="1"/>
  <c r="F48" s="1"/>
  <c r="F16" i="15"/>
  <c r="E8"/>
  <c r="F8" s="1"/>
  <c r="E9"/>
  <c r="F9" s="1"/>
  <c r="E10"/>
  <c r="F10" s="1"/>
  <c r="E11"/>
  <c r="F11" s="1"/>
  <c r="E23"/>
  <c r="E24"/>
  <c r="F24" s="1"/>
  <c r="E35"/>
  <c r="E36"/>
  <c r="F36" s="1"/>
  <c r="E47"/>
  <c r="F47" s="1"/>
  <c r="F48" s="1"/>
  <c r="E17"/>
  <c r="F17" s="1"/>
  <c r="F16" i="14"/>
  <c r="E8"/>
  <c r="F8" s="1"/>
  <c r="E9"/>
  <c r="F9" s="1"/>
  <c r="E10"/>
  <c r="F10" s="1"/>
  <c r="E11"/>
  <c r="F11" s="1"/>
  <c r="E23"/>
  <c r="E24"/>
  <c r="F24" s="1"/>
  <c r="E35"/>
  <c r="E36"/>
  <c r="F36" s="1"/>
  <c r="E47"/>
  <c r="F47" s="1"/>
  <c r="F48" s="1"/>
  <c r="E17"/>
  <c r="F17" s="1"/>
  <c r="E8" i="13"/>
  <c r="F8" s="1"/>
  <c r="E9"/>
  <c r="F9" s="1"/>
  <c r="E10"/>
  <c r="F10" s="1"/>
  <c r="E11"/>
  <c r="F11" s="1"/>
  <c r="E24"/>
  <c r="F24" s="1"/>
  <c r="E35"/>
  <c r="E36"/>
  <c r="F36" s="1"/>
  <c r="E47"/>
  <c r="F47" s="1"/>
  <c r="F48" s="1"/>
  <c r="E16"/>
  <c r="E17"/>
  <c r="F17" s="1"/>
  <c r="E30"/>
  <c r="F30" s="1"/>
  <c r="F31" s="1"/>
  <c r="F42"/>
  <c r="F43" s="1"/>
  <c r="E47" i="12"/>
  <c r="F47" s="1"/>
  <c r="F48" s="1"/>
  <c r="F16"/>
  <c r="F35"/>
  <c r="E17"/>
  <c r="F17" s="1"/>
  <c r="F5"/>
  <c r="E8"/>
  <c r="F8" s="1"/>
  <c r="E24"/>
  <c r="F24" s="1"/>
  <c r="E30"/>
  <c r="F30" s="1"/>
  <c r="F31" s="1"/>
  <c r="E36"/>
  <c r="F36" s="1"/>
  <c r="E42"/>
  <c r="F42" s="1"/>
  <c r="F43" s="1"/>
  <c r="E9"/>
  <c r="F9" s="1"/>
  <c r="E10"/>
  <c r="F10" s="1"/>
  <c r="E11"/>
  <c r="F11" s="1"/>
  <c r="E23"/>
  <c r="E47" i="11"/>
  <c r="F47" s="1"/>
  <c r="F48" s="1"/>
  <c r="F16"/>
  <c r="E18"/>
  <c r="F18" s="1"/>
  <c r="F35"/>
  <c r="F5"/>
  <c r="E8"/>
  <c r="F8" s="1"/>
  <c r="E24"/>
  <c r="F24" s="1"/>
  <c r="E30"/>
  <c r="F30" s="1"/>
  <c r="F31" s="1"/>
  <c r="E36"/>
  <c r="F36" s="1"/>
  <c r="E42"/>
  <c r="F42" s="1"/>
  <c r="F43" s="1"/>
  <c r="E9"/>
  <c r="F9" s="1"/>
  <c r="F7"/>
  <c r="E10"/>
  <c r="F10" s="1"/>
  <c r="E11"/>
  <c r="F11" s="1"/>
  <c r="E23"/>
  <c r="E24" i="10"/>
  <c r="F24" s="1"/>
  <c r="E42"/>
  <c r="F42" s="1"/>
  <c r="F43" s="1"/>
  <c r="F35"/>
  <c r="F37"/>
  <c r="F6"/>
  <c r="E9"/>
  <c r="F9" s="1"/>
  <c r="F7"/>
  <c r="E10"/>
  <c r="F10" s="1"/>
  <c r="E16"/>
  <c r="E11"/>
  <c r="F11" s="1"/>
  <c r="E23"/>
  <c r="E47" i="5"/>
  <c r="F47" s="1"/>
  <c r="F48" s="1"/>
  <c r="C48" i="4"/>
  <c r="C26" i="5"/>
  <c r="C12"/>
  <c r="E11" i="4"/>
  <c r="F11" s="1"/>
  <c r="C38" i="5"/>
  <c r="E65" i="6"/>
  <c r="F65"/>
  <c r="F7" i="5"/>
  <c r="E24"/>
  <c r="F24" s="1"/>
  <c r="E17"/>
  <c r="F17" s="1"/>
  <c r="E35"/>
  <c r="F35" s="1"/>
  <c r="E8"/>
  <c r="F8" s="1"/>
  <c r="F5"/>
  <c r="F6"/>
  <c r="E9"/>
  <c r="F9" s="1"/>
  <c r="C48"/>
  <c r="E10"/>
  <c r="F10" s="1"/>
  <c r="E16"/>
  <c r="C19"/>
  <c r="C31"/>
  <c r="C43"/>
  <c r="E11"/>
  <c r="F11" s="1"/>
  <c r="E23"/>
  <c r="D9" i="4"/>
  <c r="C12"/>
  <c r="D11"/>
  <c r="D10"/>
  <c r="F6"/>
  <c r="F7"/>
  <c r="E9"/>
  <c r="F9" s="1"/>
  <c r="E10"/>
  <c r="F10" s="1"/>
  <c r="E16"/>
  <c r="C19"/>
  <c r="C31"/>
  <c r="C43"/>
  <c r="E17"/>
  <c r="F17" s="1"/>
  <c r="E23"/>
  <c r="C26"/>
  <c r="E35"/>
  <c r="C38"/>
  <c r="E47"/>
  <c r="F47" s="1"/>
  <c r="F48" s="1"/>
  <c r="F5"/>
  <c r="E8"/>
  <c r="F8" s="1"/>
  <c r="E24"/>
  <c r="F24" s="1"/>
  <c r="E42"/>
  <c r="F42" s="1"/>
  <c r="F43" s="1"/>
  <c r="C65" i="1"/>
  <c r="C36"/>
  <c r="C55"/>
  <c r="C60"/>
  <c r="C48"/>
  <c r="C43"/>
  <c r="F33"/>
  <c r="F64"/>
  <c r="F65" s="1"/>
  <c r="F41"/>
  <c r="E53"/>
  <c r="F53" s="1"/>
  <c r="E34"/>
  <c r="F34" s="1"/>
  <c r="E47"/>
  <c r="F47" s="1"/>
  <c r="F48" s="1"/>
  <c r="E28"/>
  <c r="F28" s="1"/>
  <c r="F22"/>
  <c r="E25"/>
  <c r="F25" s="1"/>
  <c r="E27"/>
  <c r="F27" s="1"/>
  <c r="E26"/>
  <c r="F26" s="1"/>
  <c r="F12" i="19" l="1"/>
  <c r="E37" i="11"/>
  <c r="F37" s="1"/>
  <c r="F38" s="1"/>
  <c r="F12" i="13"/>
  <c r="F12" i="15"/>
  <c r="F12" i="17"/>
  <c r="F12" i="21"/>
  <c r="F23"/>
  <c r="E25"/>
  <c r="F25" s="1"/>
  <c r="E18"/>
  <c r="F18" s="1"/>
  <c r="F19" s="1"/>
  <c r="F35"/>
  <c r="E37"/>
  <c r="F37" s="1"/>
  <c r="F12" i="20"/>
  <c r="F23"/>
  <c r="E25"/>
  <c r="F25" s="1"/>
  <c r="E18"/>
  <c r="F18" s="1"/>
  <c r="F16"/>
  <c r="F35"/>
  <c r="E37"/>
  <c r="F37" s="1"/>
  <c r="E18" i="19"/>
  <c r="F18" s="1"/>
  <c r="F19" s="1"/>
  <c r="F35"/>
  <c r="E37"/>
  <c r="F37" s="1"/>
  <c r="F23"/>
  <c r="E25"/>
  <c r="F25" s="1"/>
  <c r="F12" i="18"/>
  <c r="F35"/>
  <c r="E37"/>
  <c r="F37" s="1"/>
  <c r="E18"/>
  <c r="F18" s="1"/>
  <c r="F19" s="1"/>
  <c r="F23"/>
  <c r="E25"/>
  <c r="F25" s="1"/>
  <c r="F23" i="17"/>
  <c r="E25"/>
  <c r="F25" s="1"/>
  <c r="E18"/>
  <c r="F18" s="1"/>
  <c r="F19" s="1"/>
  <c r="F35"/>
  <c r="E37"/>
  <c r="F37" s="1"/>
  <c r="F12" i="16"/>
  <c r="F35"/>
  <c r="E37"/>
  <c r="F37" s="1"/>
  <c r="F16"/>
  <c r="E18"/>
  <c r="F18" s="1"/>
  <c r="F23"/>
  <c r="E25"/>
  <c r="F25" s="1"/>
  <c r="F35" i="15"/>
  <c r="E37"/>
  <c r="F37" s="1"/>
  <c r="E18"/>
  <c r="F18" s="1"/>
  <c r="F19" s="1"/>
  <c r="F23"/>
  <c r="E25"/>
  <c r="F25" s="1"/>
  <c r="F12" i="14"/>
  <c r="E18"/>
  <c r="F18" s="1"/>
  <c r="F19" s="1"/>
  <c r="F35"/>
  <c r="E37"/>
  <c r="F37" s="1"/>
  <c r="F23"/>
  <c r="E25"/>
  <c r="F25" s="1"/>
  <c r="F23" i="13"/>
  <c r="E25"/>
  <c r="F25" s="1"/>
  <c r="E18"/>
  <c r="F18" s="1"/>
  <c r="F16"/>
  <c r="F35"/>
  <c r="E37"/>
  <c r="F37" s="1"/>
  <c r="E18" i="12"/>
  <c r="F18" s="1"/>
  <c r="F19" s="1"/>
  <c r="E37"/>
  <c r="F37" s="1"/>
  <c r="F38" s="1"/>
  <c r="F23"/>
  <c r="E25"/>
  <c r="F25" s="1"/>
  <c r="F12"/>
  <c r="F12" i="11"/>
  <c r="F19"/>
  <c r="F23"/>
  <c r="E25"/>
  <c r="F25" s="1"/>
  <c r="F12" i="10"/>
  <c r="F38"/>
  <c r="F23"/>
  <c r="E25"/>
  <c r="F25" s="1"/>
  <c r="F16"/>
  <c r="E18"/>
  <c r="F18" s="1"/>
  <c r="E54" i="1"/>
  <c r="F54" s="1"/>
  <c r="E37" i="5"/>
  <c r="F37" s="1"/>
  <c r="F38" s="1"/>
  <c r="F12"/>
  <c r="E18"/>
  <c r="F18" s="1"/>
  <c r="F16"/>
  <c r="F23"/>
  <c r="E25"/>
  <c r="F25" s="1"/>
  <c r="E37" i="4"/>
  <c r="F37" s="1"/>
  <c r="F35"/>
  <c r="F23"/>
  <c r="E25"/>
  <c r="F25" s="1"/>
  <c r="E18"/>
  <c r="F18" s="1"/>
  <c r="F16"/>
  <c r="F12"/>
  <c r="F29" i="1"/>
  <c r="E42"/>
  <c r="F42" s="1"/>
  <c r="F40"/>
  <c r="E35"/>
  <c r="F35" s="1"/>
  <c r="F36" s="1"/>
  <c r="F38" i="20" l="1"/>
  <c r="F26"/>
  <c r="F38" i="15"/>
  <c r="F26" i="16"/>
  <c r="F19" i="13"/>
  <c r="F38" i="16"/>
  <c r="F38" i="17"/>
  <c r="F26" i="12"/>
  <c r="F26" i="15"/>
  <c r="F26" i="21"/>
  <c r="F19" i="16"/>
  <c r="F38" i="21"/>
  <c r="F19" i="20"/>
  <c r="F26" i="19"/>
  <c r="F38"/>
  <c r="F26" i="18"/>
  <c r="F38"/>
  <c r="F26" i="17"/>
  <c r="F38" i="14"/>
  <c r="F26"/>
  <c r="F38" i="13"/>
  <c r="F26"/>
  <c r="F26" i="11"/>
  <c r="F26" i="10"/>
  <c r="F19"/>
  <c r="F19" i="5"/>
  <c r="F26"/>
  <c r="F19" i="4"/>
  <c r="F38"/>
  <c r="F26"/>
  <c r="F55" i="1"/>
  <c r="F43"/>
</calcChain>
</file>

<file path=xl/sharedStrings.xml><?xml version="1.0" encoding="utf-8"?>
<sst xmlns="http://schemas.openxmlformats.org/spreadsheetml/2006/main" count="2175" uniqueCount="152">
  <si>
    <t>Feature</t>
  </si>
  <si>
    <t>RTP</t>
  </si>
  <si>
    <t>Freq</t>
  </si>
  <si>
    <t>Avg pay</t>
  </si>
  <si>
    <t>Boss round</t>
  </si>
  <si>
    <t>Leaderboard</t>
  </si>
  <si>
    <t>Total</t>
  </si>
  <si>
    <t>Base game</t>
  </si>
  <si>
    <t>Special weapon (*)</t>
  </si>
  <si>
    <t>Award</t>
  </si>
  <si>
    <t>Table 1</t>
  </si>
  <si>
    <t>Probability</t>
  </si>
  <si>
    <t>Total (*)</t>
  </si>
  <si>
    <r>
      <t xml:space="preserve">(*) Total probability is </t>
    </r>
    <r>
      <rPr>
        <b/>
        <sz val="11"/>
        <color theme="1"/>
        <rFont val="Calibri"/>
        <family val="2"/>
        <scheme val="minor"/>
      </rPr>
      <t>hit rate</t>
    </r>
  </si>
  <si>
    <t>Table 2</t>
  </si>
  <si>
    <t>Table 3</t>
  </si>
  <si>
    <t>Table 4</t>
  </si>
  <si>
    <t>Table 5</t>
  </si>
  <si>
    <t>Table 6</t>
  </si>
  <si>
    <t>Table 7</t>
  </si>
  <si>
    <t>Cumulative prob.</t>
  </si>
  <si>
    <t>Draw a real number between 0 and 1 (uniform distribution).</t>
  </si>
  <si>
    <t>How to use tables: example using Table 1</t>
  </si>
  <si>
    <t>If the number drawn is greater than Total (*) probability (Cell C21) that will be a miss.</t>
  </si>
  <si>
    <t>Extra prize</t>
  </si>
  <si>
    <t xml:space="preserve">As each shot to boss is a bet, the RTP for this bet should be the same as base game (95%) to avoid player's strategies. </t>
  </si>
  <si>
    <t>Environmental Boss round</t>
  </si>
  <si>
    <t>Boss energy:</t>
  </si>
  <si>
    <t>So, each shot can grant an extra prize (Table 1) and cause a damage. The RTP of these shots will be 95% plus the RTP from Boss prize.</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</si>
  <si>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</si>
  <si>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</si>
  <si>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</si>
  <si>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</si>
  <si>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</si>
  <si>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</si>
  <si>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</si>
  <si>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</si>
  <si>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</si>
  <si>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</si>
  <si>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</si>
  <si>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</si>
  <si>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</si>
  <si>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</si>
  <si>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</si>
  <si>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</si>
  <si>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</si>
  <si>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</si>
  <si>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</si>
  <si>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With this numbers the RTP for player 1 is 95% due "extra prizes" plus 20.66% due Boss damage.</t>
  </si>
  <si>
    <t>RTP for player 2 is 95% due "extra prizes" plus 41.33% due Boss damage.</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</si>
  <si>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</si>
  <si>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</si>
  <si>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</si>
  <si>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</si>
  <si>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</si>
  <si>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</si>
  <si>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Boss round:</t>
  </si>
  <si>
    <t>Use the probability on last column of each table.</t>
  </si>
  <si>
    <t>Extra weapon: for each shot make a draw to decide if extra weapon is granted or not. The probability of extra weapon does not depend on any other event.</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</si>
  <si>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</si>
  <si>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</si>
  <si>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</si>
  <si>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</si>
  <si>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</si>
  <si>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</si>
  <si>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</si>
  <si>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</si>
  <si>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</si>
  <si>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</si>
  <si>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</si>
  <si>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Prize: 50x to be distributed between players according to damage done to boss</t>
  </si>
  <si>
    <t>Prize: 30x credits to be distributed between players according to contribution to completion + 50x to be distributed between players according to damage done to boss.</t>
  </si>
  <si>
    <t>(*) To use in MAIN only. Shots using special weapons are not paid. Each special weapon has a limited number of shots and could be used any time in base game.</t>
  </si>
  <si>
    <t>For each shot in base game with a regular weapon draw if player gets a special weapon or not.</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</si>
  <si>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</si>
  <si>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</si>
  <si>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</si>
  <si>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You can find the probability of extra weapon in "Summary" (is 1/60)</t>
  </si>
  <si>
    <t>There are several special weapons that can be granted (tab "Special weapon")</t>
  </si>
  <si>
    <t>But players are also competing by the Boss prize (50x) which will be distributed according to damage done by each player (or bot).</t>
  </si>
  <si>
    <t>Special Boss</t>
  </si>
  <si>
    <t>Hoard</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</si>
  <si>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</si>
  <si>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</si>
  <si>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</si>
  <si>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</si>
  <si>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</si>
  <si>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</si>
  <si>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</si>
  <si>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</si>
  <si>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</si>
  <si>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</si>
  <si>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</si>
  <si>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</si>
  <si>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</si>
  <si>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</si>
  <si>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</si>
  <si>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Medium Mummy A (golden wrist bands)</t>
  </si>
  <si>
    <t>For example, if player is shooting to an enemy that has granted prize #1 and prize #2, the only possible prize is #3. In that case use probabilities in Table 4.</t>
  </si>
  <si>
    <t>1 and 2</t>
  </si>
  <si>
    <t>1 and 3</t>
  </si>
  <si>
    <t>2 and 3</t>
  </si>
  <si>
    <t>1, 2 and 3 (*)</t>
  </si>
  <si>
    <t>(*) Total probability is hit rate</t>
  </si>
  <si>
    <t>But if player is shooting to an enemy with no damage at all, the damage caused by this shot must be drawn using Table 1.</t>
  </si>
  <si>
    <t xml:space="preserve">The Boss round can be triggered only when an enemy is defeated. </t>
  </si>
  <si>
    <t>When an enemy is killed draw at random a number to decide if the Boss round is triggered.</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</si>
  <si>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</si>
  <si>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</si>
  <si>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</si>
  <si>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</si>
  <si>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</si>
  <si>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</si>
  <si>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</si>
  <si>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</si>
  <si>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1 - Medium Mummy A (golden wrist bands)</t>
  </si>
  <si>
    <t>SPECIAL WEAPON 2 - Medium Mummy A (golden wrist bands)</t>
  </si>
  <si>
    <t>SPECIAL WEAPON 3 - Medium Mummy A (golden wrist bands)</t>
  </si>
  <si>
    <t>HOARD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</si>
  <si>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</si>
  <si>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</si>
  <si>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</si>
  <si>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</si>
  <si>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HOARD - Medium Mummy B (golden wrist bands and necklace)</t>
  </si>
  <si>
    <t>SPECIAL WEAPON 1 - Medium Mummy C (golden boots and wrist bands)</t>
  </si>
  <si>
    <t>SPECIAL WEAPON 2 - Medium Mummy C (golden boots and wrist bands)</t>
  </si>
  <si>
    <t>SPECIAL WEAPON 3 - Medium Mummy C (golden boots and wrist bands)</t>
  </si>
  <si>
    <t>HOARD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</si>
  <si>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</si>
  <si>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</si>
  <si>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</si>
  <si>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</si>
  <si>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</si>
  <si>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</si>
  <si>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</si>
  <si>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</si>
  <si>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</si>
  <si>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</si>
  <si>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NOTE: when Boss round ends draw if the Hoard is triggered. Probaility of triggering Hoard = 1/4.</t>
  </si>
  <si>
    <t>HOARD - Standard Mummy</t>
  </si>
  <si>
    <t>HOARD - Scarabs</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</si>
  <si>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</si>
  <si>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</si>
  <si>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</si>
  <si>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</si>
  <si>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When a player gets a GUARANTEE KNOCKOUT he/she can use it only in base game and optimal strategy is to kill a Powerful Pharaoh Mummy with no damage. The prize is x15 (see table below)</t>
  </si>
  <si>
    <t>If player uses the special weapon in other case (imperfect play) then he/she will get a prize lower than x15. The difference is added to leaderboard prize.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</si>
  <si>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</si>
  <si>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</si>
  <si>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If the number drawn is less than 0.13 (first cumulative probability) then the player receives a prize of 1x  (1st row, 4th column)</t>
  </si>
  <si>
    <t>If the number drawn is between 0.13 and 0.26 (first and second cumulative probabilities) then  the player receives a prize of 2x (2nd row, 4th column)</t>
  </si>
  <si>
    <t>If the number drawn is 0.28, that is between 0.2766666666 and 0.2816666666 (5th and 6th cumulative probabilities) then the player receives a prize of 5x (2 by prize #2 + 3 by prize #3).</t>
  </si>
</sst>
</file>

<file path=xl/styles.xml><?xml version="1.0" encoding="utf-8"?>
<styleSheet xmlns="http://schemas.openxmlformats.org/spreadsheetml/2006/main">
  <numFmts count="9">
    <numFmt numFmtId="164" formatCode="0.0000000"/>
    <numFmt numFmtId="165" formatCode="0.000000"/>
    <numFmt numFmtId="166" formatCode="0.0%"/>
    <numFmt numFmtId="167" formatCode="0.0000"/>
    <numFmt numFmtId="168" formatCode="0.000000000"/>
    <numFmt numFmtId="169" formatCode="0.000"/>
    <numFmt numFmtId="171" formatCode="\x0"/>
    <numFmt numFmtId="172" formatCode="\x0.00"/>
    <numFmt numFmtId="173" formatCode="0.00000"/>
  </numFmts>
  <fonts count="7">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rgb="FFFFC000"/>
        <bgColor indexed="64"/>
      </patternFill>
    </fill>
    <fill>
      <patternFill patternType="solid">
        <fgColor theme="8"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0" fontId="2" fillId="2" borderId="1" xfId="0" applyFont="1" applyFill="1" applyBorder="1"/>
    <xf numFmtId="166" fontId="0" fillId="0" borderId="1" xfId="1" applyNumberFormat="1" applyFont="1" applyBorder="1"/>
    <xf numFmtId="165" fontId="3" fillId="0" borderId="0" xfId="0" applyNumberFormat="1" applyFont="1" applyBorder="1"/>
    <xf numFmtId="0" fontId="0" fillId="0" borderId="0" xfId="0"/>
    <xf numFmtId="0" fontId="3" fillId="0" borderId="0" xfId="0" applyFont="1"/>
    <xf numFmtId="0" fontId="0" fillId="0" borderId="1" xfId="0" applyBorder="1"/>
    <xf numFmtId="0" fontId="3" fillId="0" borderId="1" xfId="0"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0" fillId="0" borderId="0" xfId="0"/>
    <xf numFmtId="16" fontId="0" fillId="0" borderId="0" xfId="0" applyNumberFormat="1"/>
    <xf numFmtId="0" fontId="3" fillId="0" borderId="0" xfId="0" applyFont="1"/>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167" fontId="0" fillId="0" borderId="0" xfId="0" applyNumberFormat="1"/>
    <xf numFmtId="0" fontId="0" fillId="4" borderId="1" xfId="0" applyFill="1" applyBorder="1"/>
    <xf numFmtId="0" fontId="0" fillId="0" borderId="0" xfId="0" applyFill="1" applyAlignment="1">
      <alignment horizontal="left"/>
    </xf>
    <xf numFmtId="0" fontId="0" fillId="0" borderId="0" xfId="0"/>
    <xf numFmtId="0" fontId="3" fillId="0" borderId="0" xfId="0" applyFont="1"/>
    <xf numFmtId="0" fontId="0" fillId="0" borderId="1" xfId="0" applyBorder="1"/>
    <xf numFmtId="0" fontId="3" fillId="0" borderId="1" xfId="0"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0" fontId="3" fillId="0" borderId="0" xfId="0" applyFont="1" applyFill="1" applyAlignment="1">
      <alignment horizontal="left"/>
    </xf>
    <xf numFmtId="10" fontId="2" fillId="2" borderId="1" xfId="1" applyNumberFormat="1" applyFont="1" applyFill="1" applyBorder="1"/>
    <xf numFmtId="164"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0" fontId="0" fillId="0" borderId="0" xfId="0"/>
    <xf numFmtId="0" fontId="0" fillId="0" borderId="0" xfId="0" applyFill="1" applyBorder="1"/>
    <xf numFmtId="0" fontId="3" fillId="0" borderId="0" xfId="0" applyFont="1"/>
    <xf numFmtId="0" fontId="0" fillId="0" borderId="1" xfId="0" applyBorder="1"/>
    <xf numFmtId="0" fontId="2" fillId="2" borderId="1" xfId="0" applyFont="1" applyFill="1" applyBorder="1"/>
    <xf numFmtId="0" fontId="3" fillId="0" borderId="1" xfId="0" applyFont="1" applyBorder="1"/>
    <xf numFmtId="164" fontId="3" fillId="0" borderId="1" xfId="0" applyNumberFormat="1" applyFont="1" applyBorder="1"/>
    <xf numFmtId="0" fontId="0" fillId="0" borderId="2" xfId="0" applyFill="1" applyBorder="1"/>
    <xf numFmtId="0" fontId="3" fillId="0" borderId="0" xfId="0" applyFont="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1" fontId="0" fillId="0" borderId="1" xfId="0" applyNumberFormat="1" applyBorder="1"/>
    <xf numFmtId="172" fontId="0" fillId="0" borderId="1" xfId="0" applyNumberFormat="1" applyBorder="1"/>
    <xf numFmtId="172" fontId="3" fillId="0" borderId="1" xfId="0" applyNumberFormat="1" applyFont="1" applyBorder="1"/>
    <xf numFmtId="0" fontId="0" fillId="0" borderId="1" xfId="0" applyBorder="1" applyAlignment="1">
      <alignment horizontal="right"/>
    </xf>
    <xf numFmtId="0" fontId="0" fillId="4" borderId="1" xfId="0" applyFill="1" applyBorder="1" applyAlignment="1">
      <alignment horizontal="right"/>
    </xf>
    <xf numFmtId="0" fontId="0" fillId="0" borderId="1" xfId="0" applyFill="1" applyBorder="1" applyAlignment="1">
      <alignment horizontal="right"/>
    </xf>
    <xf numFmtId="168" fontId="0" fillId="0" borderId="0" xfId="0" applyNumberFormat="1"/>
    <xf numFmtId="173" fontId="0" fillId="0" borderId="0" xfId="0" applyNumberFormat="1"/>
    <xf numFmtId="2" fontId="0" fillId="0" borderId="1" xfId="1" applyNumberFormat="1" applyFont="1" applyFill="1" applyBorder="1"/>
    <xf numFmtId="0" fontId="5" fillId="3" borderId="0" xfId="0" applyFont="1" applyFill="1" applyAlignment="1">
      <alignment horizontal="center"/>
    </xf>
    <xf numFmtId="0" fontId="0" fillId="4" borderId="0" xfId="0" applyFill="1" applyAlignment="1">
      <alignment horizontal="left"/>
    </xf>
    <xf numFmtId="0" fontId="6" fillId="5" borderId="0" xfId="0" applyFont="1" applyFill="1" applyAlignment="1">
      <alignment horizontal="center"/>
    </xf>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sheetPr codeName="Hoja1">
    <tabColor rgb="FFFF0000"/>
  </sheetPr>
  <dimension ref="A1:K39"/>
  <sheetViews>
    <sheetView tabSelected="1" workbookViewId="0"/>
  </sheetViews>
  <sheetFormatPr baseColWidth="10" defaultRowHeight="14.4"/>
  <cols>
    <col min="1" max="1" width="18" customWidth="1"/>
    <col min="4" max="4" width="11.5546875" style="40"/>
    <col min="5" max="5" width="14.88671875" customWidth="1"/>
    <col min="7" max="7" width="13.5546875" customWidth="1"/>
    <col min="8" max="8" width="15" customWidth="1"/>
  </cols>
  <sheetData>
    <row r="1" spans="1:8" s="106" customFormat="1">
      <c r="A1" s="106" t="s">
        <v>82</v>
      </c>
    </row>
    <row r="2" spans="1:8" s="106" customFormat="1">
      <c r="A2" s="106" t="s">
        <v>83</v>
      </c>
    </row>
    <row r="3" spans="1:8" s="106" customFormat="1"/>
    <row r="4" spans="1:8" s="106" customFormat="1"/>
    <row r="5" spans="1:8">
      <c r="A5" s="6" t="s">
        <v>0</v>
      </c>
      <c r="B5" s="6" t="s">
        <v>1</v>
      </c>
      <c r="C5" s="6" t="s">
        <v>2</v>
      </c>
      <c r="D5" s="45" t="s">
        <v>11</v>
      </c>
      <c r="E5" s="6" t="s">
        <v>3</v>
      </c>
      <c r="F5" s="3"/>
      <c r="G5" s="3"/>
      <c r="H5" s="3"/>
    </row>
    <row r="6" spans="1:8">
      <c r="A6" s="5" t="s">
        <v>7</v>
      </c>
      <c r="B6" s="7">
        <v>0.5</v>
      </c>
      <c r="C6" s="5"/>
      <c r="D6" s="42"/>
      <c r="E6" s="5"/>
      <c r="F6" s="3"/>
      <c r="G6" s="3"/>
      <c r="H6" s="3"/>
    </row>
    <row r="7" spans="1:8">
      <c r="A7" s="5" t="s">
        <v>4</v>
      </c>
      <c r="B7" s="7">
        <v>0.25</v>
      </c>
      <c r="C7" s="5">
        <v>200</v>
      </c>
      <c r="D7" s="42">
        <f>1/C7</f>
        <v>5.0000000000000001E-3</v>
      </c>
      <c r="E7" s="19">
        <f>+C7*B7</f>
        <v>50</v>
      </c>
      <c r="F7" s="106" t="s">
        <v>70</v>
      </c>
      <c r="G7" s="3"/>
      <c r="H7" s="3"/>
    </row>
    <row r="8" spans="1:8">
      <c r="A8" s="5" t="s">
        <v>8</v>
      </c>
      <c r="B8" s="7">
        <v>0.1</v>
      </c>
      <c r="C8" s="5">
        <v>60</v>
      </c>
      <c r="D8" s="42">
        <f t="shared" ref="D8:D9" si="0">1/C8</f>
        <v>1.6666666666666666E-2</v>
      </c>
      <c r="E8" s="5">
        <f>+C8*B8</f>
        <v>6</v>
      </c>
      <c r="F8" s="3"/>
      <c r="G8" s="26"/>
    </row>
    <row r="9" spans="1:8">
      <c r="A9" s="110" t="s">
        <v>81</v>
      </c>
      <c r="B9" s="7">
        <v>0.1</v>
      </c>
      <c r="C9" s="5">
        <v>800</v>
      </c>
      <c r="D9" s="42">
        <f t="shared" si="0"/>
        <v>1.25E-3</v>
      </c>
      <c r="E9" s="19">
        <f>+C9*B9</f>
        <v>80</v>
      </c>
      <c r="F9" s="106" t="s">
        <v>71</v>
      </c>
      <c r="G9" s="3"/>
      <c r="H9" s="3"/>
    </row>
    <row r="10" spans="1:8">
      <c r="A10" s="5" t="s">
        <v>5</v>
      </c>
      <c r="B10" s="7">
        <v>0</v>
      </c>
      <c r="C10" s="5"/>
      <c r="D10" s="42"/>
      <c r="E10" s="5"/>
      <c r="F10" s="3"/>
    </row>
    <row r="11" spans="1:8">
      <c r="A11" s="6" t="s">
        <v>6</v>
      </c>
      <c r="B11" s="50">
        <v>0.95000000000000007</v>
      </c>
      <c r="C11" s="6"/>
      <c r="D11" s="45"/>
      <c r="E11" s="6"/>
      <c r="F11" s="3"/>
    </row>
    <row r="12" spans="1:8">
      <c r="A12" s="114" t="s">
        <v>72</v>
      </c>
    </row>
    <row r="13" spans="1:8">
      <c r="A13" s="114" t="s">
        <v>145</v>
      </c>
    </row>
    <row r="14" spans="1:8" s="40" customFormat="1">
      <c r="A14" s="114" t="s">
        <v>146</v>
      </c>
    </row>
    <row r="15" spans="1:8" s="40" customFormat="1"/>
    <row r="16" spans="1:8">
      <c r="A16" s="108" t="s">
        <v>147</v>
      </c>
    </row>
    <row r="17" spans="1:11" s="106" customFormat="1">
      <c r="A17" s="108"/>
    </row>
    <row r="18" spans="1:11" s="106" customFormat="1">
      <c r="A18" s="108"/>
    </row>
    <row r="19" spans="1:11">
      <c r="A19" s="109" t="s">
        <v>85</v>
      </c>
      <c r="B19" s="106"/>
      <c r="D19" s="109" t="s">
        <v>86</v>
      </c>
      <c r="E19" s="106"/>
      <c r="G19" s="109" t="s">
        <v>87</v>
      </c>
      <c r="H19" s="106"/>
    </row>
    <row r="20" spans="1:11">
      <c r="A20" s="111" t="s">
        <v>96</v>
      </c>
      <c r="B20" s="111" t="s">
        <v>95</v>
      </c>
      <c r="D20" s="111" t="s">
        <v>96</v>
      </c>
      <c r="E20" s="111" t="s">
        <v>95</v>
      </c>
      <c r="G20" s="111" t="s">
        <v>96</v>
      </c>
      <c r="H20" s="111" t="s">
        <v>95</v>
      </c>
    </row>
    <row r="21" spans="1:11">
      <c r="A21" s="110">
        <v>1</v>
      </c>
      <c r="B21" s="136">
        <v>2</v>
      </c>
      <c r="D21" s="110">
        <v>1</v>
      </c>
      <c r="E21" s="136">
        <v>3</v>
      </c>
      <c r="G21" s="110">
        <v>1</v>
      </c>
      <c r="H21" s="136">
        <v>4</v>
      </c>
    </row>
    <row r="22" spans="1:11" s="106" customFormat="1">
      <c r="A22" s="108"/>
    </row>
    <row r="23" spans="1:11" s="106" customFormat="1">
      <c r="A23" s="108"/>
    </row>
    <row r="24" spans="1:11" s="3" customFormat="1">
      <c r="A24" s="2"/>
      <c r="D24" s="40"/>
    </row>
    <row r="25" spans="1:11">
      <c r="A25" s="109" t="s">
        <v>89</v>
      </c>
      <c r="B25" s="106"/>
      <c r="D25" s="4" t="s">
        <v>92</v>
      </c>
      <c r="G25" s="4" t="s">
        <v>93</v>
      </c>
      <c r="H25" s="3"/>
      <c r="J25" s="4" t="s">
        <v>94</v>
      </c>
      <c r="K25" s="3"/>
    </row>
    <row r="26" spans="1:11">
      <c r="A26" s="111" t="s">
        <v>88</v>
      </c>
      <c r="B26" s="111" t="s">
        <v>95</v>
      </c>
      <c r="D26" s="111" t="s">
        <v>96</v>
      </c>
      <c r="E26" s="111" t="s">
        <v>95</v>
      </c>
      <c r="G26" s="111" t="s">
        <v>96</v>
      </c>
      <c r="H26" s="111" t="s">
        <v>95</v>
      </c>
      <c r="J26" s="111" t="s">
        <v>96</v>
      </c>
      <c r="K26" s="111" t="s">
        <v>95</v>
      </c>
    </row>
    <row r="27" spans="1:11">
      <c r="A27" s="110">
        <v>1</v>
      </c>
      <c r="B27" s="135">
        <v>2</v>
      </c>
      <c r="D27" s="5">
        <v>1</v>
      </c>
      <c r="E27" s="135">
        <v>0</v>
      </c>
      <c r="G27" s="110">
        <v>1</v>
      </c>
      <c r="H27" s="135">
        <v>2</v>
      </c>
      <c r="J27" s="110">
        <v>1</v>
      </c>
      <c r="K27" s="135">
        <v>3</v>
      </c>
    </row>
    <row r="28" spans="1:11">
      <c r="A28" s="110">
        <v>2</v>
      </c>
      <c r="B28" s="135">
        <v>3</v>
      </c>
      <c r="D28" s="5">
        <v>2</v>
      </c>
      <c r="E28" s="135">
        <v>2</v>
      </c>
      <c r="G28" s="110">
        <v>2</v>
      </c>
      <c r="H28" s="135">
        <v>2</v>
      </c>
      <c r="J28" s="110">
        <v>2</v>
      </c>
      <c r="K28" s="135">
        <v>3</v>
      </c>
    </row>
    <row r="29" spans="1:11">
      <c r="A29" s="133" t="s">
        <v>6</v>
      </c>
      <c r="B29" s="136">
        <f>+SUM(B27:B28)</f>
        <v>5</v>
      </c>
      <c r="D29" s="1">
        <v>3</v>
      </c>
      <c r="E29" s="135">
        <v>3</v>
      </c>
      <c r="G29" s="107">
        <v>3</v>
      </c>
      <c r="H29" s="135">
        <v>4</v>
      </c>
      <c r="J29" s="107">
        <v>3</v>
      </c>
      <c r="K29" s="135">
        <v>6</v>
      </c>
    </row>
    <row r="30" spans="1:11" s="106" customFormat="1">
      <c r="D30" s="133" t="s">
        <v>6</v>
      </c>
      <c r="E30" s="136">
        <f>+SUM(E27:E29)</f>
        <v>5</v>
      </c>
      <c r="F30" s="109"/>
      <c r="G30" s="133" t="s">
        <v>6</v>
      </c>
      <c r="H30" s="136">
        <f>+SUM(H27:H29)</f>
        <v>8</v>
      </c>
      <c r="I30" s="109"/>
      <c r="J30" s="133" t="s">
        <v>6</v>
      </c>
      <c r="K30" s="136">
        <f>+SUM(K27:K29)</f>
        <v>12</v>
      </c>
    </row>
    <row r="34" spans="1:7">
      <c r="A34" s="109" t="s">
        <v>90</v>
      </c>
      <c r="B34" s="106"/>
      <c r="D34" s="109" t="s">
        <v>91</v>
      </c>
      <c r="E34" s="106"/>
    </row>
    <row r="35" spans="1:7">
      <c r="A35" s="111" t="s">
        <v>96</v>
      </c>
      <c r="B35" s="111" t="s">
        <v>95</v>
      </c>
      <c r="D35" s="111" t="s">
        <v>96</v>
      </c>
      <c r="E35" s="111" t="s">
        <v>95</v>
      </c>
    </row>
    <row r="36" spans="1:7">
      <c r="A36" s="110">
        <v>1</v>
      </c>
      <c r="B36" s="135">
        <v>2</v>
      </c>
      <c r="D36" s="110">
        <v>1</v>
      </c>
      <c r="E36" s="135">
        <v>2</v>
      </c>
      <c r="G36" s="108"/>
    </row>
    <row r="37" spans="1:7">
      <c r="A37" s="110">
        <v>2</v>
      </c>
      <c r="B37" s="135">
        <v>5</v>
      </c>
      <c r="D37" s="110">
        <v>2</v>
      </c>
      <c r="E37" s="135">
        <v>5</v>
      </c>
    </row>
    <row r="38" spans="1:7">
      <c r="A38" s="110">
        <v>3</v>
      </c>
      <c r="B38" s="135">
        <v>8</v>
      </c>
      <c r="D38" s="110">
        <v>3</v>
      </c>
      <c r="E38" s="135">
        <v>8</v>
      </c>
    </row>
    <row r="39" spans="1:7">
      <c r="A39" s="133" t="s">
        <v>6</v>
      </c>
      <c r="B39" s="136">
        <f>+SUM(B36:B38)</f>
        <v>15</v>
      </c>
      <c r="D39" s="133" t="s">
        <v>6</v>
      </c>
      <c r="E39" s="136">
        <f>+SUM(E36:E38)</f>
        <v>15</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codeName="Hoja8"/>
  <dimension ref="A1:F27"/>
  <sheetViews>
    <sheetView workbookViewId="0">
      <selection activeCell="A4" sqref="A4"/>
    </sheetView>
  </sheetViews>
  <sheetFormatPr baseColWidth="10" defaultRowHeight="14.4"/>
  <cols>
    <col min="1" max="1" width="19.5546875" style="106" customWidth="1"/>
    <col min="2" max="2" width="11.5546875" style="106"/>
    <col min="3" max="3" width="17" style="106" customWidth="1"/>
    <col min="4" max="4" width="13.5546875" style="106" bestFit="1" customWidth="1"/>
    <col min="5" max="16384" width="11.5546875" style="106"/>
  </cols>
  <sheetData>
    <row r="1" spans="1:6">
      <c r="A1" s="106" t="s">
        <v>73</v>
      </c>
    </row>
    <row r="2" spans="1:6">
      <c r="A2" s="106" t="s">
        <v>75</v>
      </c>
    </row>
    <row r="3" spans="1:6">
      <c r="A3" s="106" t="s">
        <v>84</v>
      </c>
    </row>
    <row r="5" spans="1:6" ht="15" thickBot="1"/>
    <row r="6" spans="1:6">
      <c r="A6" s="122" t="s">
        <v>59</v>
      </c>
      <c r="B6" s="123" t="s">
        <v>60</v>
      </c>
      <c r="C6" s="123" t="s">
        <v>61</v>
      </c>
      <c r="D6" s="123" t="s">
        <v>62</v>
      </c>
      <c r="E6" s="124" t="s">
        <v>63</v>
      </c>
    </row>
    <row r="7" spans="1:6">
      <c r="A7" s="125" t="s">
        <v>64</v>
      </c>
      <c r="B7" s="126">
        <v>3</v>
      </c>
      <c r="C7" s="126">
        <v>1.2</v>
      </c>
      <c r="D7" s="126">
        <f>+B7*C7</f>
        <v>3.5999999999999996</v>
      </c>
      <c r="E7" s="127">
        <v>330</v>
      </c>
    </row>
    <row r="8" spans="1:6">
      <c r="A8" s="125" t="s">
        <v>65</v>
      </c>
      <c r="B8" s="126">
        <v>5</v>
      </c>
      <c r="C8" s="126">
        <v>1.05</v>
      </c>
      <c r="D8" s="126">
        <f t="shared" ref="D8:D9" si="0">+B8*C8</f>
        <v>5.25</v>
      </c>
      <c r="E8" s="127">
        <v>180</v>
      </c>
    </row>
    <row r="9" spans="1:6">
      <c r="A9" s="125" t="s">
        <v>66</v>
      </c>
      <c r="B9" s="126">
        <v>10</v>
      </c>
      <c r="C9" s="126">
        <v>0.9</v>
      </c>
      <c r="D9" s="126">
        <f t="shared" si="0"/>
        <v>9</v>
      </c>
      <c r="E9" s="127">
        <v>309</v>
      </c>
    </row>
    <row r="10" spans="1:6" ht="15" thickBot="1">
      <c r="A10" s="128" t="s">
        <v>67</v>
      </c>
      <c r="B10" s="129">
        <v>0</v>
      </c>
      <c r="C10" s="129">
        <v>12</v>
      </c>
      <c r="D10" s="129">
        <f>+B10*C10</f>
        <v>0</v>
      </c>
      <c r="E10" s="130">
        <v>0</v>
      </c>
      <c r="F10" s="106" t="s">
        <v>141</v>
      </c>
    </row>
    <row r="11" spans="1:6" ht="15" thickBot="1">
      <c r="F11" s="106" t="s">
        <v>142</v>
      </c>
    </row>
    <row r="12" spans="1:6" ht="15" thickBot="1">
      <c r="C12" s="131" t="s">
        <v>74</v>
      </c>
      <c r="D12" s="132">
        <f>+SUMPRODUCT(D7:D9,E7:E9)/SUM(E7:E9)</f>
        <v>6</v>
      </c>
    </row>
    <row r="15" spans="1:6">
      <c r="A15" s="106" t="s">
        <v>69</v>
      </c>
    </row>
    <row r="16" spans="1:6" ht="15" thickBot="1"/>
    <row r="17" spans="1:6">
      <c r="A17" s="122" t="s">
        <v>59</v>
      </c>
      <c r="B17" s="123" t="s">
        <v>60</v>
      </c>
      <c r="C17" s="123" t="s">
        <v>61</v>
      </c>
      <c r="D17" s="123" t="s">
        <v>62</v>
      </c>
      <c r="E17" s="124" t="s">
        <v>63</v>
      </c>
    </row>
    <row r="18" spans="1:6">
      <c r="A18" s="125" t="s">
        <v>64</v>
      </c>
      <c r="B18" s="126">
        <v>3</v>
      </c>
      <c r="C18" s="126">
        <v>1.2</v>
      </c>
      <c r="D18" s="126">
        <f>+B18*C18</f>
        <v>3.5999999999999996</v>
      </c>
      <c r="E18" s="127">
        <v>10</v>
      </c>
    </row>
    <row r="19" spans="1:6">
      <c r="A19" s="125" t="s">
        <v>65</v>
      </c>
      <c r="B19" s="126">
        <v>5</v>
      </c>
      <c r="C19" s="126">
        <v>1.05</v>
      </c>
      <c r="D19" s="126">
        <f t="shared" ref="D19:D20" si="1">+B19*C19</f>
        <v>5.25</v>
      </c>
      <c r="E19" s="127">
        <v>8</v>
      </c>
    </row>
    <row r="20" spans="1:6">
      <c r="A20" s="125" t="s">
        <v>66</v>
      </c>
      <c r="B20" s="126">
        <v>10</v>
      </c>
      <c r="C20" s="126">
        <v>0.9</v>
      </c>
      <c r="D20" s="126">
        <f t="shared" si="1"/>
        <v>9</v>
      </c>
      <c r="E20" s="127">
        <v>7</v>
      </c>
    </row>
    <row r="21" spans="1:6" ht="15" thickBot="1">
      <c r="A21" s="128" t="s">
        <v>67</v>
      </c>
      <c r="B21" s="129">
        <v>1</v>
      </c>
      <c r="C21" s="129">
        <v>15</v>
      </c>
      <c r="D21" s="129">
        <f>+B21*C21</f>
        <v>15</v>
      </c>
      <c r="E21" s="130">
        <v>1</v>
      </c>
      <c r="F21" s="106" t="s">
        <v>143</v>
      </c>
    </row>
    <row r="22" spans="1:6" ht="15" thickBot="1">
      <c r="A22" s="108" t="s">
        <v>68</v>
      </c>
    </row>
    <row r="23" spans="1:6" ht="15" thickBot="1">
      <c r="C23" s="131" t="s">
        <v>74</v>
      </c>
      <c r="D23" s="132">
        <f>+SUMPRODUCT(D18:D21,E18:E21)/SUM(E18:E21)</f>
        <v>6</v>
      </c>
    </row>
    <row r="26" spans="1:6">
      <c r="A26" s="106" t="s">
        <v>144</v>
      </c>
    </row>
    <row r="27" spans="1:6">
      <c r="A27" s="106"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codeName="Hoja2"/>
  <dimension ref="A1:J149"/>
  <sheetViews>
    <sheetView topLeftCell="A10" workbookViewId="0">
      <selection sqref="A1:E1"/>
    </sheetView>
  </sheetViews>
  <sheetFormatPr baseColWidth="10" defaultRowHeight="14.4"/>
  <cols>
    <col min="1" max="1" width="40.6640625" customWidth="1"/>
    <col min="2" max="2" width="25.21875" bestFit="1" customWidth="1"/>
    <col min="4" max="4" width="15.5546875" style="16" bestFit="1" customWidth="1"/>
    <col min="6" max="6" width="13.33203125" customWidth="1"/>
    <col min="7" max="7" width="15.33203125" bestFit="1" customWidth="1"/>
    <col min="10" max="10" width="28.77734375" customWidth="1"/>
  </cols>
  <sheetData>
    <row r="1" spans="1:10" s="16" customFormat="1" ht="18">
      <c r="A1" s="143" t="s">
        <v>97</v>
      </c>
      <c r="B1" s="143"/>
      <c r="C1" s="143"/>
      <c r="D1" s="143"/>
      <c r="E1" s="143"/>
    </row>
    <row r="2" spans="1:10">
      <c r="A2" s="116" t="s">
        <v>114</v>
      </c>
    </row>
    <row r="3" spans="1:10" s="9" customFormat="1">
      <c r="A3" s="106" t="s">
        <v>98</v>
      </c>
      <c r="D3" s="16"/>
    </row>
    <row r="4" spans="1:10" s="16" customFormat="1">
      <c r="A4" s="106" t="s">
        <v>104</v>
      </c>
    </row>
    <row r="5" spans="1:10" s="16" customFormat="1">
      <c r="A5" s="18" t="s">
        <v>22</v>
      </c>
    </row>
    <row r="6" spans="1:10" s="16" customFormat="1">
      <c r="A6" s="16" t="s">
        <v>21</v>
      </c>
    </row>
    <row r="7" spans="1:10" s="16" customFormat="1">
      <c r="A7" s="16" t="s">
        <v>23</v>
      </c>
    </row>
    <row r="8" spans="1:10" s="16" customFormat="1">
      <c r="A8" s="106" t="s">
        <v>149</v>
      </c>
    </row>
    <row r="9" spans="1:10">
      <c r="A9" s="106" t="s">
        <v>150</v>
      </c>
    </row>
    <row r="10" spans="1:10" s="16" customFormat="1">
      <c r="A10" s="144" t="s">
        <v>151</v>
      </c>
      <c r="B10" s="144"/>
      <c r="C10" s="144"/>
      <c r="D10" s="144"/>
      <c r="E10" s="144"/>
      <c r="F10" s="144"/>
      <c r="G10" s="144"/>
      <c r="H10" s="144"/>
      <c r="I10" s="144"/>
      <c r="J10" s="144"/>
    </row>
    <row r="11" spans="1:10" s="16" customFormat="1">
      <c r="A11" s="28"/>
      <c r="B11" s="28"/>
      <c r="C11" s="28"/>
      <c r="D11" s="28"/>
      <c r="E11" s="28"/>
      <c r="F11" s="28"/>
      <c r="G11" s="28"/>
      <c r="H11" s="28"/>
      <c r="I11" s="28"/>
      <c r="J11" s="28"/>
    </row>
    <row r="12" spans="1:10" s="40" customFormat="1">
      <c r="A12" s="49" t="s">
        <v>56</v>
      </c>
      <c r="B12" s="28"/>
      <c r="C12" s="28"/>
      <c r="D12" s="28"/>
      <c r="E12" s="28"/>
      <c r="F12" s="28"/>
      <c r="G12" s="28"/>
      <c r="H12" s="28"/>
      <c r="I12" s="28"/>
      <c r="J12" s="28"/>
    </row>
    <row r="13" spans="1:10" s="40" customFormat="1">
      <c r="A13" s="49" t="s">
        <v>105</v>
      </c>
      <c r="B13" s="28"/>
      <c r="C13" s="28"/>
      <c r="D13" s="28"/>
      <c r="E13" s="28"/>
      <c r="F13" s="28"/>
      <c r="G13" s="28"/>
      <c r="H13" s="28"/>
      <c r="I13" s="28"/>
      <c r="J13" s="28"/>
    </row>
    <row r="14" spans="1:10" s="40" customFormat="1">
      <c r="A14" s="49" t="s">
        <v>106</v>
      </c>
      <c r="B14" s="28"/>
      <c r="C14" s="28"/>
      <c r="D14" s="28"/>
      <c r="E14" s="28"/>
      <c r="F14" s="28"/>
      <c r="G14" s="28"/>
      <c r="H14" s="28"/>
      <c r="I14" s="28"/>
      <c r="J14" s="28"/>
    </row>
    <row r="15" spans="1:10" s="40" customFormat="1">
      <c r="A15" s="28" t="s">
        <v>57</v>
      </c>
      <c r="B15" s="28"/>
      <c r="C15" s="28"/>
      <c r="D15" s="28"/>
      <c r="E15" s="28"/>
      <c r="F15" s="28"/>
      <c r="G15" s="28"/>
      <c r="H15" s="28"/>
      <c r="I15" s="28"/>
      <c r="J15" s="28"/>
    </row>
    <row r="16" spans="1:10" s="40" customFormat="1">
      <c r="A16" s="49"/>
      <c r="B16" s="28"/>
      <c r="C16" s="28"/>
      <c r="D16" s="28"/>
      <c r="E16" s="28"/>
      <c r="F16" s="28"/>
      <c r="G16" s="28"/>
      <c r="H16" s="28"/>
      <c r="I16" s="28"/>
      <c r="J16" s="28"/>
    </row>
    <row r="17" spans="1:10" s="40" customFormat="1">
      <c r="A17" s="49" t="s">
        <v>58</v>
      </c>
      <c r="B17" s="28"/>
      <c r="C17" s="28"/>
      <c r="D17" s="28"/>
      <c r="E17" s="28"/>
      <c r="F17" s="28"/>
      <c r="G17" s="28"/>
      <c r="H17" s="28"/>
      <c r="I17" s="28"/>
      <c r="J17" s="28"/>
    </row>
    <row r="18" spans="1:10" s="40" customFormat="1">
      <c r="A18" s="28" t="s">
        <v>77</v>
      </c>
      <c r="B18" s="28"/>
      <c r="C18" s="28"/>
      <c r="D18" s="28"/>
      <c r="E18" s="28"/>
      <c r="F18" s="28"/>
      <c r="G18" s="28"/>
      <c r="H18" s="28"/>
      <c r="I18" s="28"/>
      <c r="J18" s="28"/>
    </row>
    <row r="19" spans="1:10" s="106" customFormat="1">
      <c r="A19" s="28" t="s">
        <v>78</v>
      </c>
      <c r="B19" s="28"/>
      <c r="C19" s="28"/>
      <c r="D19" s="28"/>
      <c r="E19" s="28"/>
      <c r="F19" s="28"/>
      <c r="G19" s="28"/>
      <c r="H19" s="28"/>
      <c r="I19" s="28"/>
      <c r="J19" s="28"/>
    </row>
    <row r="20" spans="1:10" s="16" customFormat="1"/>
    <row r="21" spans="1:10">
      <c r="A21" s="10" t="s">
        <v>10</v>
      </c>
      <c r="B21" s="111" t="s">
        <v>96</v>
      </c>
      <c r="C21" s="13" t="s">
        <v>11</v>
      </c>
      <c r="D21" s="23" t="s">
        <v>20</v>
      </c>
      <c r="E21" s="13" t="s">
        <v>9</v>
      </c>
      <c r="F21" s="13" t="s">
        <v>1</v>
      </c>
      <c r="G21" s="58" t="s">
        <v>55</v>
      </c>
    </row>
    <row r="22" spans="1:10">
      <c r="A22" s="106" t="s">
        <v>108</v>
      </c>
      <c r="B22" s="137">
        <v>1</v>
      </c>
      <c r="C22" s="51">
        <v>0.13</v>
      </c>
      <c r="D22" s="19">
        <f>+SUM($C$22:C22)</f>
        <v>0.13</v>
      </c>
      <c r="E22" s="11">
        <f>+Summary!E27</f>
        <v>0</v>
      </c>
      <c r="F22" s="11">
        <f>+C22*E22</f>
        <v>0</v>
      </c>
      <c r="G22" s="62"/>
    </row>
    <row r="23" spans="1:10">
      <c r="A23" s="9"/>
      <c r="B23" s="137">
        <v>2</v>
      </c>
      <c r="C23" s="51">
        <v>0.19600000000000001</v>
      </c>
      <c r="D23" s="19">
        <f>+SUM($C$22:C23)</f>
        <v>0.32600000000000001</v>
      </c>
      <c r="E23" s="11">
        <f>+Summary!E28</f>
        <v>2</v>
      </c>
      <c r="F23" s="11">
        <f t="shared" ref="F23:F28" si="0">+C23*E23</f>
        <v>0.39200000000000002</v>
      </c>
      <c r="G23" s="62"/>
    </row>
    <row r="24" spans="1:10">
      <c r="A24" s="9"/>
      <c r="B24" s="137">
        <v>3</v>
      </c>
      <c r="C24" s="51">
        <v>1E-3</v>
      </c>
      <c r="D24" s="19">
        <f>+SUM($C$22:C24)</f>
        <v>0.32700000000000001</v>
      </c>
      <c r="E24" s="11">
        <f>+Summary!E29</f>
        <v>3</v>
      </c>
      <c r="F24" s="11">
        <f t="shared" si="0"/>
        <v>3.0000000000000001E-3</v>
      </c>
      <c r="G24" s="62"/>
    </row>
    <row r="25" spans="1:10">
      <c r="A25" s="9"/>
      <c r="B25" s="137" t="s">
        <v>99</v>
      </c>
      <c r="C25" s="51">
        <v>0.02</v>
      </c>
      <c r="D25" s="19">
        <f>+SUM($C$22:C25)</f>
        <v>0.34700000000000003</v>
      </c>
      <c r="E25" s="11">
        <f>+E22+E23</f>
        <v>2</v>
      </c>
      <c r="F25" s="11">
        <f t="shared" si="0"/>
        <v>0.04</v>
      </c>
      <c r="G25" s="62"/>
    </row>
    <row r="26" spans="1:10">
      <c r="A26" s="9"/>
      <c r="B26" s="137" t="s">
        <v>100</v>
      </c>
      <c r="C26" s="51">
        <v>5.0000000000000001E-3</v>
      </c>
      <c r="D26" s="27">
        <f>+SUM($C$22:C26)</f>
        <v>0.35200000000000004</v>
      </c>
      <c r="E26" s="11">
        <f>+E22+E24</f>
        <v>3</v>
      </c>
      <c r="F26" s="11">
        <f t="shared" si="0"/>
        <v>1.4999999999999999E-2</v>
      </c>
      <c r="G26" s="62"/>
    </row>
    <row r="27" spans="1:10">
      <c r="A27" s="9"/>
      <c r="B27" s="138" t="s">
        <v>101</v>
      </c>
      <c r="C27" s="51">
        <v>5.0000000000000001E-3</v>
      </c>
      <c r="D27" s="27">
        <f>+SUM($C$22:C27)</f>
        <v>0.35700000000000004</v>
      </c>
      <c r="E27" s="27">
        <f>+E23+E24</f>
        <v>5</v>
      </c>
      <c r="F27" s="11">
        <f t="shared" si="0"/>
        <v>2.5000000000000001E-2</v>
      </c>
      <c r="G27" s="62"/>
    </row>
    <row r="28" spans="1:10">
      <c r="A28" s="9"/>
      <c r="B28" s="137" t="s">
        <v>102</v>
      </c>
      <c r="C28" s="51">
        <v>5.0000000000000001E-3</v>
      </c>
      <c r="D28" s="19">
        <f>+SUM($C$22:C28)</f>
        <v>0.36200000000000004</v>
      </c>
      <c r="E28" s="11">
        <f>+E22+E23+E24</f>
        <v>5</v>
      </c>
      <c r="F28" s="11">
        <f t="shared" si="0"/>
        <v>2.5000000000000001E-2</v>
      </c>
      <c r="G28" s="62">
        <v>1</v>
      </c>
      <c r="H28" s="106" t="s">
        <v>107</v>
      </c>
    </row>
    <row r="29" spans="1:10">
      <c r="A29" s="9"/>
      <c r="B29" s="12" t="s">
        <v>12</v>
      </c>
      <c r="C29" s="12">
        <f>+SUM(C22:C28)</f>
        <v>0.36200000000000004</v>
      </c>
      <c r="D29" s="20"/>
      <c r="E29" s="12"/>
      <c r="F29" s="14">
        <f>+SUM(F22:F28)</f>
        <v>0.5</v>
      </c>
      <c r="G29" s="63"/>
    </row>
    <row r="30" spans="1:10">
      <c r="A30" s="9"/>
      <c r="B30" s="15" t="s">
        <v>13</v>
      </c>
      <c r="C30" s="9"/>
      <c r="E30" s="9"/>
      <c r="F30" s="9"/>
      <c r="G30" s="60"/>
    </row>
    <row r="31" spans="1:10">
      <c r="G31" s="60"/>
    </row>
    <row r="32" spans="1:10">
      <c r="A32" s="18" t="s">
        <v>14</v>
      </c>
      <c r="B32" s="111" t="s">
        <v>96</v>
      </c>
      <c r="C32" s="23" t="s">
        <v>11</v>
      </c>
      <c r="D32" s="23" t="s">
        <v>20</v>
      </c>
      <c r="E32" s="23" t="s">
        <v>9</v>
      </c>
      <c r="F32" s="23" t="s">
        <v>1</v>
      </c>
      <c r="G32" s="59"/>
    </row>
    <row r="33" spans="1:8">
      <c r="A33" s="106" t="s">
        <v>109</v>
      </c>
      <c r="B33" s="19">
        <v>2</v>
      </c>
      <c r="C33" s="52">
        <v>0.125</v>
      </c>
      <c r="D33" s="19">
        <f>+SUM(C33:$C$33)</f>
        <v>0.125</v>
      </c>
      <c r="E33" s="19">
        <f>+E23</f>
        <v>2</v>
      </c>
      <c r="F33" s="19">
        <f>+C33*E33</f>
        <v>0.25</v>
      </c>
      <c r="G33" s="62"/>
    </row>
    <row r="34" spans="1:8">
      <c r="A34" s="106" t="s">
        <v>110</v>
      </c>
      <c r="B34" s="19">
        <v>3</v>
      </c>
      <c r="C34" s="52">
        <v>0.05</v>
      </c>
      <c r="D34" s="19">
        <f>+SUM(C$33:$C34)</f>
        <v>0.17499999999999999</v>
      </c>
      <c r="E34" s="19">
        <f>+E24</f>
        <v>3</v>
      </c>
      <c r="F34" s="19">
        <f t="shared" ref="F34:F35" si="1">+C34*E34</f>
        <v>0.15000000000000002</v>
      </c>
      <c r="G34" s="62"/>
    </row>
    <row r="35" spans="1:8">
      <c r="A35" s="16"/>
      <c r="B35" s="137" t="s">
        <v>101</v>
      </c>
      <c r="C35" s="52">
        <v>0.02</v>
      </c>
      <c r="D35" s="19">
        <f>+SUM(C$33:$C35)</f>
        <v>0.19499999999999998</v>
      </c>
      <c r="E35" s="19">
        <f>+E33+E34</f>
        <v>5</v>
      </c>
      <c r="F35" s="19">
        <f t="shared" si="1"/>
        <v>0.1</v>
      </c>
      <c r="G35" s="62">
        <v>0.25</v>
      </c>
      <c r="H35" s="106" t="s">
        <v>107</v>
      </c>
    </row>
    <row r="36" spans="1:8">
      <c r="A36" s="16"/>
      <c r="B36" s="20" t="s">
        <v>6</v>
      </c>
      <c r="C36" s="20">
        <f>+SUM(C33:C35)</f>
        <v>0.19499999999999998</v>
      </c>
      <c r="D36" s="20"/>
      <c r="E36" s="20"/>
      <c r="F36" s="22">
        <f>+SUM(F33:F35)</f>
        <v>0.5</v>
      </c>
      <c r="G36" s="64"/>
    </row>
    <row r="37" spans="1:8" s="16" customFormat="1">
      <c r="B37" s="21"/>
      <c r="C37" s="21"/>
      <c r="D37" s="21"/>
      <c r="E37" s="21"/>
      <c r="F37" s="8"/>
      <c r="G37" s="65"/>
    </row>
    <row r="38" spans="1:8" s="16" customFormat="1">
      <c r="B38" s="21"/>
      <c r="C38" s="21"/>
      <c r="D38" s="21"/>
      <c r="E38" s="21"/>
      <c r="F38" s="8"/>
      <c r="G38" s="65"/>
    </row>
    <row r="39" spans="1:8" s="16" customFormat="1">
      <c r="A39" s="18" t="s">
        <v>15</v>
      </c>
      <c r="B39" s="111" t="s">
        <v>96</v>
      </c>
      <c r="C39" s="23" t="s">
        <v>11</v>
      </c>
      <c r="D39" s="23" t="s">
        <v>20</v>
      </c>
      <c r="E39" s="23" t="s">
        <v>9</v>
      </c>
      <c r="F39" s="23" t="s">
        <v>1</v>
      </c>
      <c r="G39" s="59"/>
    </row>
    <row r="40" spans="1:8" s="16" customFormat="1">
      <c r="A40" s="106" t="s">
        <v>109</v>
      </c>
      <c r="B40" s="137">
        <v>1</v>
      </c>
      <c r="C40" s="53">
        <v>0.3</v>
      </c>
      <c r="D40" s="19">
        <f>+SUM(C40:$C$40)</f>
        <v>0.3</v>
      </c>
      <c r="E40" s="19">
        <f>+E22</f>
        <v>0</v>
      </c>
      <c r="F40" s="19">
        <f>+C40*E40</f>
        <v>0</v>
      </c>
      <c r="G40" s="62"/>
    </row>
    <row r="41" spans="1:8" s="16" customFormat="1">
      <c r="A41" s="106" t="s">
        <v>111</v>
      </c>
      <c r="B41" s="137">
        <v>3</v>
      </c>
      <c r="C41" s="53">
        <v>0.146666666666666</v>
      </c>
      <c r="D41" s="19">
        <f>+SUM(C$40:$C41)</f>
        <v>0.44666666666666599</v>
      </c>
      <c r="E41" s="19">
        <f>+E24</f>
        <v>3</v>
      </c>
      <c r="F41" s="19">
        <f t="shared" ref="F41:F42" si="2">+C41*E41</f>
        <v>0.439999999999998</v>
      </c>
      <c r="G41" s="62"/>
    </row>
    <row r="42" spans="1:8" s="16" customFormat="1">
      <c r="B42" s="137" t="s">
        <v>100</v>
      </c>
      <c r="C42" s="53">
        <v>0.02</v>
      </c>
      <c r="D42" s="19">
        <f>+SUM(C$40:$C42)</f>
        <v>0.46666666666666601</v>
      </c>
      <c r="E42" s="19">
        <f>+E40+E41</f>
        <v>3</v>
      </c>
      <c r="F42" s="19">
        <f t="shared" si="2"/>
        <v>0.06</v>
      </c>
      <c r="G42" s="62">
        <v>0.25</v>
      </c>
      <c r="H42" s="106" t="s">
        <v>107</v>
      </c>
    </row>
    <row r="43" spans="1:8" s="16" customFormat="1">
      <c r="B43" s="20" t="s">
        <v>6</v>
      </c>
      <c r="C43" s="20">
        <f>+SUM(C40:C42)</f>
        <v>0.46666666666666601</v>
      </c>
      <c r="D43" s="20"/>
      <c r="E43" s="20"/>
      <c r="F43" s="22">
        <f>+SUM(F40:F42)</f>
        <v>0.499999999999998</v>
      </c>
      <c r="G43" s="64"/>
    </row>
    <row r="44" spans="1:8" s="16" customFormat="1">
      <c r="B44" s="21"/>
      <c r="C44" s="21"/>
      <c r="D44" s="21"/>
      <c r="E44" s="21"/>
      <c r="F44" s="8"/>
      <c r="G44" s="65"/>
    </row>
    <row r="45" spans="1:8">
      <c r="G45" s="60"/>
    </row>
    <row r="46" spans="1:8">
      <c r="A46" s="18" t="s">
        <v>16</v>
      </c>
      <c r="B46" s="111" t="s">
        <v>96</v>
      </c>
      <c r="C46" s="23" t="s">
        <v>11</v>
      </c>
      <c r="D46" s="23" t="s">
        <v>20</v>
      </c>
      <c r="E46" s="23" t="s">
        <v>9</v>
      </c>
      <c r="F46" s="23" t="s">
        <v>1</v>
      </c>
      <c r="G46" s="59"/>
    </row>
    <row r="47" spans="1:8">
      <c r="A47" s="106" t="s">
        <v>109</v>
      </c>
      <c r="B47" s="137">
        <v>3</v>
      </c>
      <c r="C47" s="54">
        <v>0.16666666666666666</v>
      </c>
      <c r="D47" s="19">
        <f>+SUM(C47:$C$47)</f>
        <v>0.16666666666666666</v>
      </c>
      <c r="E47" s="19">
        <f>+E24</f>
        <v>3</v>
      </c>
      <c r="F47" s="19">
        <f>+C47*E47</f>
        <v>0.5</v>
      </c>
      <c r="G47" s="62">
        <v>0.03</v>
      </c>
      <c r="H47" s="106" t="s">
        <v>107</v>
      </c>
    </row>
    <row r="48" spans="1:8" s="16" customFormat="1">
      <c r="A48" s="106" t="s">
        <v>110</v>
      </c>
      <c r="B48" s="20" t="s">
        <v>6</v>
      </c>
      <c r="C48" s="20">
        <f>+SUM(C47:C47)</f>
        <v>0.16666666666666666</v>
      </c>
      <c r="D48" s="20"/>
      <c r="E48" s="20"/>
      <c r="F48" s="22">
        <f>+SUM(F47:F47)</f>
        <v>0.5</v>
      </c>
      <c r="G48" s="64"/>
    </row>
    <row r="49" spans="1:8" s="16" customFormat="1">
      <c r="A49" s="106" t="s">
        <v>111</v>
      </c>
      <c r="B49"/>
      <c r="C49"/>
      <c r="E49"/>
      <c r="F49"/>
      <c r="G49" s="60"/>
    </row>
    <row r="50" spans="1:8">
      <c r="G50" s="60"/>
    </row>
    <row r="51" spans="1:8">
      <c r="A51" s="18" t="s">
        <v>17</v>
      </c>
      <c r="B51" s="111" t="s">
        <v>96</v>
      </c>
      <c r="C51" s="23" t="s">
        <v>11</v>
      </c>
      <c r="D51" s="23" t="s">
        <v>20</v>
      </c>
      <c r="E51" s="23" t="s">
        <v>9</v>
      </c>
      <c r="F51" s="23" t="s">
        <v>1</v>
      </c>
      <c r="G51" s="59"/>
    </row>
    <row r="52" spans="1:8">
      <c r="A52" s="106" t="s">
        <v>109</v>
      </c>
      <c r="B52" s="137">
        <v>1</v>
      </c>
      <c r="C52" s="55">
        <v>0.14000000000000001</v>
      </c>
      <c r="D52" s="19">
        <f>+SUM(C52:$C$52)</f>
        <v>0.14000000000000001</v>
      </c>
      <c r="E52" s="19">
        <f>+E22</f>
        <v>0</v>
      </c>
      <c r="F52" s="19">
        <f>+C52*E52</f>
        <v>0</v>
      </c>
      <c r="G52" s="62"/>
    </row>
    <row r="53" spans="1:8">
      <c r="A53" s="106" t="s">
        <v>112</v>
      </c>
      <c r="B53" s="137">
        <v>2</v>
      </c>
      <c r="C53" s="55">
        <v>0.223333333333333</v>
      </c>
      <c r="D53" s="19">
        <f>+SUM(C$52:$C53)</f>
        <v>0.36333333333333301</v>
      </c>
      <c r="E53" s="19">
        <f>+E23</f>
        <v>2</v>
      </c>
      <c r="F53" s="19">
        <f t="shared" ref="F53:F54" si="3">+C53*E53</f>
        <v>0.44666666666666599</v>
      </c>
      <c r="G53" s="62"/>
    </row>
    <row r="54" spans="1:8">
      <c r="B54" s="137" t="s">
        <v>99</v>
      </c>
      <c r="C54" s="55">
        <v>2.6666666666666668E-2</v>
      </c>
      <c r="D54" s="19">
        <f>+SUM(C$52:$C54)</f>
        <v>0.38999999999999968</v>
      </c>
      <c r="E54" s="19">
        <f>+E52+E53</f>
        <v>2</v>
      </c>
      <c r="F54" s="19">
        <f t="shared" si="3"/>
        <v>5.3333333333333337E-2</v>
      </c>
      <c r="G54" s="62">
        <v>0.1875</v>
      </c>
      <c r="H54" s="106" t="s">
        <v>107</v>
      </c>
    </row>
    <row r="55" spans="1:8" s="16" customFormat="1">
      <c r="A55" s="17"/>
      <c r="B55" s="20" t="s">
        <v>6</v>
      </c>
      <c r="C55" s="20">
        <f>+SUM(C52:C54)</f>
        <v>0.38999999999999968</v>
      </c>
      <c r="D55" s="20"/>
      <c r="E55" s="20"/>
      <c r="F55" s="22">
        <f>+SUM(F52:F54)</f>
        <v>0.49999999999999933</v>
      </c>
      <c r="G55" s="64"/>
    </row>
    <row r="56" spans="1:8" s="16" customFormat="1">
      <c r="A56" s="17"/>
      <c r="B56"/>
      <c r="C56"/>
      <c r="E56"/>
      <c r="F56"/>
      <c r="G56" s="60"/>
    </row>
    <row r="57" spans="1:8">
      <c r="A57" s="16"/>
      <c r="G57" s="60"/>
    </row>
    <row r="58" spans="1:8">
      <c r="A58" s="18" t="s">
        <v>18</v>
      </c>
      <c r="B58" s="111" t="s">
        <v>96</v>
      </c>
      <c r="C58" s="23" t="s">
        <v>11</v>
      </c>
      <c r="D58" s="23" t="s">
        <v>20</v>
      </c>
      <c r="E58" s="23" t="s">
        <v>9</v>
      </c>
      <c r="F58" s="23" t="s">
        <v>1</v>
      </c>
      <c r="G58" s="59"/>
    </row>
    <row r="59" spans="1:8">
      <c r="A59" s="106" t="s">
        <v>109</v>
      </c>
      <c r="B59" s="137">
        <v>1</v>
      </c>
      <c r="C59" s="57">
        <v>0.5</v>
      </c>
      <c r="D59" s="19">
        <f>+SUM(C59:$C$59)</f>
        <v>0.5</v>
      </c>
      <c r="E59" s="19">
        <f>+E22</f>
        <v>0</v>
      </c>
      <c r="F59" s="19">
        <f>+E59*C59</f>
        <v>0</v>
      </c>
      <c r="G59" s="62">
        <v>1.4999999999999999E-2</v>
      </c>
      <c r="H59" s="106" t="s">
        <v>107</v>
      </c>
    </row>
    <row r="60" spans="1:8">
      <c r="A60" s="106" t="s">
        <v>111</v>
      </c>
      <c r="B60" s="20" t="s">
        <v>6</v>
      </c>
      <c r="C60" s="20">
        <f>+SUM(C59:C59)</f>
        <v>0.5</v>
      </c>
      <c r="D60" s="20"/>
      <c r="E60" s="20"/>
      <c r="F60" s="22">
        <f>+SUM(F59:F59)</f>
        <v>0</v>
      </c>
      <c r="G60" s="64"/>
    </row>
    <row r="61" spans="1:8">
      <c r="A61" s="106" t="s">
        <v>112</v>
      </c>
      <c r="G61" s="60"/>
    </row>
    <row r="62" spans="1:8" s="16" customFormat="1">
      <c r="A62"/>
      <c r="B62"/>
      <c r="C62"/>
      <c r="E62"/>
      <c r="F62"/>
      <c r="G62" s="60"/>
    </row>
    <row r="63" spans="1:8" s="16" customFormat="1">
      <c r="A63" s="18" t="s">
        <v>19</v>
      </c>
      <c r="B63" s="111" t="s">
        <v>96</v>
      </c>
      <c r="C63" s="23" t="s">
        <v>11</v>
      </c>
      <c r="D63" s="23" t="s">
        <v>20</v>
      </c>
      <c r="E63" s="23" t="s">
        <v>9</v>
      </c>
      <c r="F63" s="23" t="s">
        <v>1</v>
      </c>
      <c r="G63" s="59"/>
    </row>
    <row r="64" spans="1:8">
      <c r="A64" s="106" t="s">
        <v>109</v>
      </c>
      <c r="B64" s="137">
        <v>2</v>
      </c>
      <c r="C64" s="56">
        <v>0.25</v>
      </c>
      <c r="D64" s="19">
        <f>+SUM(C$64:$C64)</f>
        <v>0.25</v>
      </c>
      <c r="E64" s="19">
        <f>+E23</f>
        <v>2</v>
      </c>
      <c r="F64" s="19">
        <f>+E64*C64</f>
        <v>0.5</v>
      </c>
      <c r="G64" s="62">
        <v>1.4999999999999999E-2</v>
      </c>
      <c r="H64" s="106" t="s">
        <v>107</v>
      </c>
    </row>
    <row r="65" spans="1:8">
      <c r="A65" s="106" t="s">
        <v>110</v>
      </c>
      <c r="B65" s="20" t="s">
        <v>6</v>
      </c>
      <c r="C65" s="20">
        <f>+SUM(C64:C64)</f>
        <v>0.25</v>
      </c>
      <c r="D65" s="20"/>
      <c r="E65" s="20"/>
      <c r="F65" s="22">
        <f>+SUM(F64:F64)</f>
        <v>0.5</v>
      </c>
      <c r="G65" s="64"/>
    </row>
    <row r="66" spans="1:8">
      <c r="A66" s="106" t="s">
        <v>112</v>
      </c>
      <c r="G66" s="61"/>
    </row>
    <row r="67" spans="1:8">
      <c r="G67" s="61"/>
      <c r="H67" s="16"/>
    </row>
    <row r="68" spans="1:8">
      <c r="G68" s="61"/>
    </row>
    <row r="69" spans="1:8" s="16" customFormat="1">
      <c r="A69"/>
      <c r="B69"/>
      <c r="C69"/>
      <c r="E69"/>
      <c r="F69"/>
      <c r="G69" s="61"/>
    </row>
    <row r="70" spans="1:8">
      <c r="G70" s="61"/>
      <c r="H70" s="16"/>
    </row>
    <row r="71" spans="1:8">
      <c r="G71" s="61"/>
      <c r="H71" s="16"/>
    </row>
    <row r="72" spans="1:8">
      <c r="G72" s="61"/>
    </row>
    <row r="73" spans="1:8">
      <c r="G73" s="61"/>
    </row>
    <row r="74" spans="1:8">
      <c r="G74" s="61"/>
    </row>
    <row r="75" spans="1:8">
      <c r="G75" s="61"/>
    </row>
    <row r="76" spans="1:8">
      <c r="G76" s="61"/>
    </row>
    <row r="77" spans="1:8">
      <c r="G77" s="61"/>
    </row>
    <row r="78" spans="1:8">
      <c r="G78" s="61"/>
    </row>
    <row r="79" spans="1:8">
      <c r="G79" s="61"/>
    </row>
    <row r="80" spans="1:8">
      <c r="G80" s="61"/>
    </row>
    <row r="81" spans="7:7">
      <c r="G81" s="61"/>
    </row>
    <row r="82" spans="7:7">
      <c r="G82" s="61"/>
    </row>
    <row r="83" spans="7:7">
      <c r="G83" s="61"/>
    </row>
    <row r="84" spans="7:7">
      <c r="G84" s="61"/>
    </row>
    <row r="85" spans="7:7">
      <c r="G85" s="61"/>
    </row>
    <row r="86" spans="7:7">
      <c r="G86" s="61"/>
    </row>
    <row r="87" spans="7:7">
      <c r="G87" s="61"/>
    </row>
    <row r="88" spans="7:7">
      <c r="G88" s="60"/>
    </row>
    <row r="89" spans="7:7">
      <c r="G89" s="46"/>
    </row>
    <row r="90" spans="7:7">
      <c r="G90" s="46"/>
    </row>
    <row r="91" spans="7:7">
      <c r="G91" s="46"/>
    </row>
    <row r="92" spans="7:7">
      <c r="G92" s="46"/>
    </row>
    <row r="93" spans="7:7">
      <c r="G93" s="46"/>
    </row>
    <row r="94" spans="7:7">
      <c r="G94" s="46"/>
    </row>
    <row r="95" spans="7:7">
      <c r="G95" s="46"/>
    </row>
    <row r="96" spans="7:7">
      <c r="G96" s="46"/>
    </row>
    <row r="97" spans="7:7">
      <c r="G97" s="46"/>
    </row>
    <row r="98" spans="7:7">
      <c r="G98" s="46"/>
    </row>
    <row r="99" spans="7:7">
      <c r="G99" s="46"/>
    </row>
    <row r="100" spans="7:7">
      <c r="G100" s="46"/>
    </row>
    <row r="101" spans="7:7">
      <c r="G101" s="46"/>
    </row>
    <row r="102" spans="7:7">
      <c r="G102" s="46"/>
    </row>
    <row r="103" spans="7:7">
      <c r="G103" s="46"/>
    </row>
    <row r="104" spans="7:7">
      <c r="G104" s="46"/>
    </row>
    <row r="105" spans="7:7">
      <c r="G105" s="46"/>
    </row>
    <row r="106" spans="7:7">
      <c r="G106" s="46"/>
    </row>
    <row r="107" spans="7:7">
      <c r="G107" s="46"/>
    </row>
    <row r="108" spans="7:7">
      <c r="G108" s="46"/>
    </row>
    <row r="109" spans="7:7">
      <c r="G109" s="46"/>
    </row>
    <row r="110" spans="7:7">
      <c r="G110" s="46"/>
    </row>
    <row r="111" spans="7:7">
      <c r="G111" s="46"/>
    </row>
    <row r="112" spans="7:7">
      <c r="G112" s="46"/>
    </row>
    <row r="113" spans="7:7">
      <c r="G113" s="46"/>
    </row>
    <row r="114" spans="7:7">
      <c r="G114" s="46"/>
    </row>
    <row r="115" spans="7:7">
      <c r="G115" s="46"/>
    </row>
    <row r="116" spans="7:7">
      <c r="G116" s="46"/>
    </row>
    <row r="117" spans="7:7">
      <c r="G117" s="46"/>
    </row>
    <row r="118" spans="7:7">
      <c r="G118" s="46"/>
    </row>
    <row r="119" spans="7:7">
      <c r="G119" s="46"/>
    </row>
    <row r="120" spans="7:7">
      <c r="G120" s="46"/>
    </row>
    <row r="121" spans="7:7">
      <c r="G121" s="46"/>
    </row>
    <row r="122" spans="7:7">
      <c r="G122" s="46"/>
    </row>
    <row r="123" spans="7:7">
      <c r="G123" s="46"/>
    </row>
    <row r="124" spans="7:7">
      <c r="G124" s="46"/>
    </row>
    <row r="125" spans="7:7">
      <c r="G125" s="46"/>
    </row>
    <row r="126" spans="7:7">
      <c r="G126" s="46"/>
    </row>
    <row r="127" spans="7:7">
      <c r="G127" s="46"/>
    </row>
    <row r="128" spans="7:7">
      <c r="G128" s="46"/>
    </row>
    <row r="129" spans="7:7">
      <c r="G129" s="46"/>
    </row>
    <row r="130" spans="7:7">
      <c r="G130" s="46"/>
    </row>
    <row r="131" spans="7:7">
      <c r="G131" s="46"/>
    </row>
    <row r="132" spans="7:7">
      <c r="G132" s="46"/>
    </row>
    <row r="133" spans="7:7">
      <c r="G133" s="46"/>
    </row>
    <row r="134" spans="7:7">
      <c r="G134" s="46"/>
    </row>
    <row r="135" spans="7:7">
      <c r="G135" s="46"/>
    </row>
    <row r="136" spans="7:7">
      <c r="G136" s="46"/>
    </row>
    <row r="137" spans="7:7">
      <c r="G137" s="46"/>
    </row>
    <row r="138" spans="7:7">
      <c r="G138" s="46"/>
    </row>
    <row r="139" spans="7:7">
      <c r="G139" s="46"/>
    </row>
    <row r="140" spans="7:7">
      <c r="G140" s="46"/>
    </row>
    <row r="141" spans="7:7">
      <c r="G141" s="46"/>
    </row>
    <row r="142" spans="7:7">
      <c r="G142" s="46"/>
    </row>
    <row r="143" spans="7:7">
      <c r="G143" s="46"/>
    </row>
    <row r="144" spans="7:7">
      <c r="G144" s="46"/>
    </row>
    <row r="145" spans="7:7">
      <c r="G145" s="46"/>
    </row>
    <row r="146" spans="7:7">
      <c r="G146" s="46"/>
    </row>
    <row r="147" spans="7:7">
      <c r="G147" s="46"/>
    </row>
    <row r="148" spans="7:7">
      <c r="G148" s="46"/>
    </row>
    <row r="149" spans="7:7">
      <c r="G149" s="46"/>
    </row>
  </sheetData>
  <mergeCells count="2">
    <mergeCell ref="A1:E1"/>
    <mergeCell ref="A10:J10"/>
  </mergeCells>
  <pageMargins left="0.7" right="0.7" top="0.75" bottom="0.75" header="0.3" footer="0.3"/>
  <pageSetup paperSize="9" orientation="portrait" horizontalDpi="200" verticalDpi="200" r:id="rId1"/>
  <ignoredErrors>
    <ignoredError sqref="D23 D24:D28 D34 D41 D53" formulaRange="1"/>
  </ignoredErrors>
</worksheet>
</file>

<file path=xl/worksheets/sheet4.xml><?xml version="1.0" encoding="utf-8"?>
<worksheet xmlns="http://schemas.openxmlformats.org/spreadsheetml/2006/main" xmlns:r="http://schemas.openxmlformats.org/officeDocument/2006/relationships">
  <sheetPr codeName="Hoja3"/>
  <dimension ref="A1:J126"/>
  <sheetViews>
    <sheetView workbookViewId="0">
      <selection activeCell="C31" sqref="C31"/>
    </sheetView>
  </sheetViews>
  <sheetFormatPr baseColWidth="10" defaultRowHeight="14.4"/>
  <cols>
    <col min="1" max="1" width="40.6640625" style="16" customWidth="1"/>
    <col min="2" max="2" width="25.21875" style="16" bestFit="1" customWidth="1"/>
    <col min="3" max="3" width="11.5546875" style="16"/>
    <col min="4" max="4" width="15.5546875" style="16" bestFit="1" customWidth="1"/>
    <col min="5" max="5" width="11.5546875" style="16"/>
    <col min="6" max="6" width="13.33203125" style="16" customWidth="1"/>
    <col min="7" max="7" width="15.33203125" style="16" bestFit="1" customWidth="1"/>
    <col min="8" max="8" width="15.109375" style="16" customWidth="1"/>
    <col min="9" max="9" width="11.5546875" style="16"/>
    <col min="10" max="10" width="12.5546875" style="16" bestFit="1" customWidth="1"/>
    <col min="11" max="16384" width="11.5546875" style="16"/>
  </cols>
  <sheetData>
    <row r="1" spans="1:9" ht="18">
      <c r="A1" s="143" t="s">
        <v>113</v>
      </c>
      <c r="B1" s="143"/>
      <c r="C1" s="143"/>
      <c r="D1" s="143"/>
      <c r="E1" s="143"/>
    </row>
    <row r="2" spans="1:9">
      <c r="A2" s="116" t="s">
        <v>114</v>
      </c>
    </row>
    <row r="4" spans="1:9">
      <c r="A4" s="109" t="s">
        <v>10</v>
      </c>
      <c r="B4" s="23" t="s">
        <v>96</v>
      </c>
      <c r="C4" s="23" t="s">
        <v>11</v>
      </c>
      <c r="D4" s="23" t="s">
        <v>20</v>
      </c>
      <c r="E4" s="23" t="s">
        <v>9</v>
      </c>
      <c r="F4" s="23" t="s">
        <v>1</v>
      </c>
      <c r="G4" s="71" t="s">
        <v>55</v>
      </c>
      <c r="H4" s="40"/>
      <c r="I4" s="40"/>
    </row>
    <row r="5" spans="1:9">
      <c r="A5" s="106" t="s">
        <v>108</v>
      </c>
      <c r="B5" s="139">
        <v>1</v>
      </c>
      <c r="C5" s="66">
        <v>0.09</v>
      </c>
      <c r="D5" s="1">
        <f>+SUM($C$5:C5)</f>
        <v>0.09</v>
      </c>
      <c r="E5" s="1">
        <f>+Summary!H27</f>
        <v>2</v>
      </c>
      <c r="F5" s="1">
        <f>+C5*E5</f>
        <v>0.18</v>
      </c>
      <c r="G5" s="75"/>
      <c r="H5" s="40"/>
      <c r="I5" s="40"/>
    </row>
    <row r="6" spans="1:9">
      <c r="A6" s="106"/>
      <c r="B6" s="139">
        <v>2</v>
      </c>
      <c r="C6" s="66">
        <v>0.09</v>
      </c>
      <c r="D6" s="1">
        <f>+SUM($C$5:C6)</f>
        <v>0.18</v>
      </c>
      <c r="E6" s="1">
        <f>+Summary!H28</f>
        <v>2</v>
      </c>
      <c r="F6" s="1">
        <f t="shared" ref="F6:F11" si="0">+C6*E6</f>
        <v>0.18</v>
      </c>
      <c r="G6" s="75"/>
      <c r="H6" s="40"/>
      <c r="I6" s="40"/>
    </row>
    <row r="7" spans="1:9">
      <c r="A7" s="106"/>
      <c r="B7" s="139">
        <v>3</v>
      </c>
      <c r="C7" s="66">
        <v>5.0000000000000001E-3</v>
      </c>
      <c r="D7" s="1">
        <f>+SUM($C$5:C7)</f>
        <v>0.185</v>
      </c>
      <c r="E7" s="1">
        <f>+Summary!H29</f>
        <v>4</v>
      </c>
      <c r="F7" s="1">
        <f t="shared" si="0"/>
        <v>0.02</v>
      </c>
      <c r="G7" s="75"/>
      <c r="H7" s="40"/>
      <c r="I7" s="40"/>
    </row>
    <row r="8" spans="1:9">
      <c r="A8" s="106"/>
      <c r="B8" s="139" t="s">
        <v>99</v>
      </c>
      <c r="C8" s="66">
        <v>8.0000000000000002E-3</v>
      </c>
      <c r="D8" s="1">
        <f>+SUM($C$5:C8)</f>
        <v>0.193</v>
      </c>
      <c r="E8" s="1">
        <f>+E5+E6</f>
        <v>4</v>
      </c>
      <c r="F8" s="1">
        <f t="shared" si="0"/>
        <v>3.2000000000000001E-2</v>
      </c>
      <c r="G8" s="75"/>
      <c r="H8" s="40"/>
      <c r="I8" s="40"/>
    </row>
    <row r="9" spans="1:9">
      <c r="A9" s="106"/>
      <c r="B9" s="139" t="s">
        <v>100</v>
      </c>
      <c r="C9" s="66">
        <v>4.0000000000000001E-3</v>
      </c>
      <c r="D9" s="1">
        <f>+SUM($C$5:C9)</f>
        <v>0.19700000000000001</v>
      </c>
      <c r="E9" s="1">
        <f>+E5+E7</f>
        <v>6</v>
      </c>
      <c r="F9" s="1">
        <f t="shared" si="0"/>
        <v>2.4E-2</v>
      </c>
      <c r="G9" s="75"/>
      <c r="H9" s="40"/>
      <c r="I9" s="40"/>
    </row>
    <row r="10" spans="1:9">
      <c r="A10" s="106"/>
      <c r="B10" s="139" t="s">
        <v>101</v>
      </c>
      <c r="C10" s="66">
        <v>4.0000000000000001E-3</v>
      </c>
      <c r="D10" s="1">
        <f>+SUM($C$5:C10)</f>
        <v>0.20100000000000001</v>
      </c>
      <c r="E10" s="1">
        <f>+E6+E7</f>
        <v>6</v>
      </c>
      <c r="F10" s="1">
        <f t="shared" si="0"/>
        <v>2.4E-2</v>
      </c>
      <c r="G10" s="75"/>
      <c r="H10" s="40"/>
      <c r="I10" s="40"/>
    </row>
    <row r="11" spans="1:9">
      <c r="A11" s="106"/>
      <c r="B11" s="139" t="s">
        <v>102</v>
      </c>
      <c r="C11" s="67">
        <v>5.0000000000000001E-3</v>
      </c>
      <c r="D11" s="1">
        <f>+SUM($C$5:C11)</f>
        <v>0.20600000000000002</v>
      </c>
      <c r="E11" s="1">
        <f>+E5+E6+E7</f>
        <v>8</v>
      </c>
      <c r="F11" s="1">
        <f t="shared" si="0"/>
        <v>0.04</v>
      </c>
      <c r="G11" s="75">
        <v>1</v>
      </c>
      <c r="H11" s="106" t="s">
        <v>107</v>
      </c>
      <c r="I11" s="40"/>
    </row>
    <row r="12" spans="1:9">
      <c r="A12" s="106"/>
      <c r="B12" s="20" t="s">
        <v>12</v>
      </c>
      <c r="C12" s="20">
        <f>+SUM(C5:C11)</f>
        <v>0.20600000000000002</v>
      </c>
      <c r="D12" s="20"/>
      <c r="E12" s="20"/>
      <c r="F12" s="24">
        <f>+SUM(F5:F11)</f>
        <v>0.50000000000000011</v>
      </c>
      <c r="G12" s="76"/>
      <c r="H12" s="40"/>
      <c r="I12" s="40"/>
    </row>
    <row r="13" spans="1:9">
      <c r="A13" s="106"/>
      <c r="B13" s="25" t="s">
        <v>103</v>
      </c>
      <c r="G13" s="73"/>
      <c r="H13" s="40"/>
      <c r="I13" s="40"/>
    </row>
    <row r="14" spans="1:9">
      <c r="A14" s="106"/>
      <c r="G14" s="73"/>
      <c r="H14" s="40"/>
      <c r="I14" s="40"/>
    </row>
    <row r="15" spans="1:9">
      <c r="A15" s="109" t="s">
        <v>14</v>
      </c>
      <c r="B15" s="23" t="s">
        <v>96</v>
      </c>
      <c r="C15" s="23" t="s">
        <v>11</v>
      </c>
      <c r="D15" s="23" t="s">
        <v>20</v>
      </c>
      <c r="E15" s="23" t="s">
        <v>9</v>
      </c>
      <c r="F15" s="23" t="s">
        <v>1</v>
      </c>
      <c r="G15" s="71" t="s">
        <v>55</v>
      </c>
      <c r="H15" s="40"/>
      <c r="I15" s="40"/>
    </row>
    <row r="16" spans="1:9">
      <c r="A16" s="106" t="s">
        <v>109</v>
      </c>
      <c r="B16" s="137">
        <v>2</v>
      </c>
      <c r="C16" s="68">
        <v>0.2</v>
      </c>
      <c r="D16" s="19">
        <f>+SUM(C16:$C$16)</f>
        <v>0.2</v>
      </c>
      <c r="E16" s="19">
        <f>+E6</f>
        <v>2</v>
      </c>
      <c r="F16" s="19">
        <f>+C16*E16</f>
        <v>0.4</v>
      </c>
      <c r="G16" s="75"/>
      <c r="H16" s="40"/>
      <c r="I16" s="40"/>
    </row>
    <row r="17" spans="1:10">
      <c r="A17" s="106" t="s">
        <v>110</v>
      </c>
      <c r="B17" s="137">
        <v>3</v>
      </c>
      <c r="C17" s="68">
        <v>1.2999999999999999E-2</v>
      </c>
      <c r="D17" s="19">
        <f>+SUM(C$16:$C17)</f>
        <v>0.21300000000000002</v>
      </c>
      <c r="E17" s="19">
        <f>+E7</f>
        <v>4</v>
      </c>
      <c r="F17" s="19">
        <f t="shared" ref="F17:F18" si="1">+C17*E17</f>
        <v>5.1999999999999998E-2</v>
      </c>
      <c r="G17" s="75"/>
      <c r="H17" s="40"/>
      <c r="I17" s="40"/>
    </row>
    <row r="18" spans="1:10">
      <c r="A18" s="106"/>
      <c r="B18" s="137" t="s">
        <v>101</v>
      </c>
      <c r="C18" s="68">
        <v>8.0000000000000002E-3</v>
      </c>
      <c r="D18" s="19">
        <f>+SUM(C$16:$C18)</f>
        <v>0.22100000000000003</v>
      </c>
      <c r="E18" s="19">
        <f>+E16+E17</f>
        <v>6</v>
      </c>
      <c r="F18" s="19">
        <f t="shared" si="1"/>
        <v>4.8000000000000001E-2</v>
      </c>
      <c r="G18" s="75">
        <v>0.625</v>
      </c>
      <c r="H18" s="106" t="s">
        <v>107</v>
      </c>
      <c r="I18" s="40"/>
    </row>
    <row r="19" spans="1:10">
      <c r="A19" s="106"/>
      <c r="B19" s="20" t="s">
        <v>6</v>
      </c>
      <c r="C19" s="20">
        <f>+SUM(C16:C18)</f>
        <v>0.22100000000000003</v>
      </c>
      <c r="D19" s="20"/>
      <c r="E19" s="20"/>
      <c r="F19" s="22">
        <f>+SUM(F16:F18)</f>
        <v>0.5</v>
      </c>
      <c r="G19" s="77"/>
      <c r="H19" s="40"/>
      <c r="I19" s="40"/>
    </row>
    <row r="20" spans="1:10">
      <c r="A20" s="106"/>
      <c r="B20" s="21"/>
      <c r="C20" s="21"/>
      <c r="D20" s="21"/>
      <c r="E20" s="21"/>
      <c r="F20" s="8"/>
      <c r="G20" s="78"/>
      <c r="H20" s="40"/>
      <c r="I20" s="40"/>
    </row>
    <row r="21" spans="1:10">
      <c r="A21" s="106"/>
      <c r="B21" s="21"/>
      <c r="C21" s="21"/>
      <c r="D21" s="21"/>
      <c r="E21" s="21"/>
      <c r="F21" s="8"/>
      <c r="G21" s="78"/>
      <c r="H21" s="40"/>
      <c r="I21" s="40"/>
    </row>
    <row r="22" spans="1:10">
      <c r="A22" s="109" t="s">
        <v>15</v>
      </c>
      <c r="B22" s="23" t="s">
        <v>96</v>
      </c>
      <c r="C22" s="23" t="s">
        <v>11</v>
      </c>
      <c r="D22" s="23" t="s">
        <v>20</v>
      </c>
      <c r="E22" s="23" t="s">
        <v>9</v>
      </c>
      <c r="F22" s="23" t="s">
        <v>1</v>
      </c>
      <c r="G22" s="71" t="s">
        <v>55</v>
      </c>
      <c r="H22" s="40"/>
      <c r="I22" s="40"/>
    </row>
    <row r="23" spans="1:10">
      <c r="A23" s="106" t="s">
        <v>109</v>
      </c>
      <c r="B23" s="137">
        <v>1</v>
      </c>
      <c r="C23" s="69">
        <v>0.2</v>
      </c>
      <c r="D23" s="19">
        <f>+SUM(C23:$C$23)</f>
        <v>0.2</v>
      </c>
      <c r="E23" s="19">
        <f>+E5</f>
        <v>2</v>
      </c>
      <c r="F23" s="19">
        <f>+C23*E23</f>
        <v>0.4</v>
      </c>
      <c r="G23" s="75"/>
      <c r="H23" s="40"/>
      <c r="I23" s="40"/>
    </row>
    <row r="24" spans="1:10">
      <c r="A24" s="106" t="s">
        <v>111</v>
      </c>
      <c r="B24" s="137">
        <v>3</v>
      </c>
      <c r="C24" s="69">
        <v>1.2999999999999999E-2</v>
      </c>
      <c r="D24" s="19">
        <f>+SUM(C$23:$C24)</f>
        <v>0.21300000000000002</v>
      </c>
      <c r="E24" s="19">
        <f>+E7</f>
        <v>4</v>
      </c>
      <c r="F24" s="19">
        <f t="shared" ref="F24:F25" si="2">+C24*E24</f>
        <v>5.1999999999999998E-2</v>
      </c>
      <c r="G24" s="75"/>
      <c r="H24" s="40"/>
      <c r="I24" s="40"/>
    </row>
    <row r="25" spans="1:10">
      <c r="A25" s="106"/>
      <c r="B25" s="137" t="s">
        <v>100</v>
      </c>
      <c r="C25" s="69">
        <v>8.0000000000000002E-3</v>
      </c>
      <c r="D25" s="19">
        <f>+SUM(C$23:$C25)</f>
        <v>0.22100000000000003</v>
      </c>
      <c r="E25" s="19">
        <f>+E23+E24</f>
        <v>6</v>
      </c>
      <c r="F25" s="19">
        <f t="shared" si="2"/>
        <v>4.8000000000000001E-2</v>
      </c>
      <c r="G25" s="75">
        <v>0.625</v>
      </c>
      <c r="H25" s="106" t="s">
        <v>107</v>
      </c>
      <c r="I25" s="40"/>
      <c r="J25" s="48"/>
    </row>
    <row r="26" spans="1:10">
      <c r="A26" s="106"/>
      <c r="B26" s="20" t="s">
        <v>6</v>
      </c>
      <c r="C26" s="20">
        <f>+SUM(C23:C25)</f>
        <v>0.22100000000000003</v>
      </c>
      <c r="D26" s="20"/>
      <c r="E26" s="20"/>
      <c r="F26" s="22">
        <f>+SUM(F23:F25)</f>
        <v>0.5</v>
      </c>
      <c r="G26" s="77"/>
      <c r="H26" s="40"/>
      <c r="I26" s="40"/>
    </row>
    <row r="27" spans="1:10">
      <c r="A27" s="106"/>
      <c r="B27" s="21"/>
      <c r="C27" s="21"/>
      <c r="D27" s="21"/>
      <c r="E27" s="21"/>
      <c r="F27" s="8"/>
      <c r="G27" s="78"/>
      <c r="H27" s="40"/>
      <c r="I27" s="40"/>
    </row>
    <row r="28" spans="1:10">
      <c r="A28" s="106"/>
      <c r="G28" s="73"/>
      <c r="H28" s="40"/>
      <c r="I28" s="40"/>
    </row>
    <row r="29" spans="1:10">
      <c r="A29" s="109" t="s">
        <v>16</v>
      </c>
      <c r="B29" s="23" t="s">
        <v>96</v>
      </c>
      <c r="C29" s="23" t="s">
        <v>11</v>
      </c>
      <c r="D29" s="23" t="s">
        <v>20</v>
      </c>
      <c r="E29" s="23" t="s">
        <v>9</v>
      </c>
      <c r="F29" s="23" t="s">
        <v>1</v>
      </c>
      <c r="G29" s="71" t="s">
        <v>55</v>
      </c>
      <c r="H29" s="40"/>
      <c r="I29" s="40"/>
    </row>
    <row r="30" spans="1:10">
      <c r="A30" s="106" t="s">
        <v>109</v>
      </c>
      <c r="B30" s="137">
        <v>3</v>
      </c>
      <c r="C30" s="19">
        <v>0.125</v>
      </c>
      <c r="D30" s="19">
        <f>+SUM(C30:$C$30)</f>
        <v>0.125</v>
      </c>
      <c r="E30" s="19">
        <f>+E7</f>
        <v>4</v>
      </c>
      <c r="F30" s="19">
        <f>+C30*E30</f>
        <v>0.5</v>
      </c>
      <c r="G30" s="75">
        <v>0.04</v>
      </c>
      <c r="H30" s="106" t="s">
        <v>107</v>
      </c>
      <c r="I30" s="40"/>
    </row>
    <row r="31" spans="1:10">
      <c r="A31" s="106" t="s">
        <v>110</v>
      </c>
      <c r="B31" s="20" t="s">
        <v>6</v>
      </c>
      <c r="C31" s="20">
        <f>+SUM(C30:C30)</f>
        <v>0.125</v>
      </c>
      <c r="D31" s="20"/>
      <c r="E31" s="20"/>
      <c r="F31" s="22">
        <f>+SUM(F30:F30)</f>
        <v>0.5</v>
      </c>
      <c r="G31" s="77"/>
      <c r="H31" s="40"/>
      <c r="I31" s="40"/>
    </row>
    <row r="32" spans="1:10">
      <c r="A32" s="106" t="s">
        <v>111</v>
      </c>
      <c r="G32" s="73"/>
      <c r="H32" s="40"/>
      <c r="I32" s="40"/>
    </row>
    <row r="33" spans="1:9">
      <c r="A33" s="106"/>
      <c r="G33" s="73"/>
      <c r="H33" s="40"/>
      <c r="I33" s="40"/>
    </row>
    <row r="34" spans="1:9">
      <c r="A34" s="109" t="s">
        <v>17</v>
      </c>
      <c r="B34" s="23" t="s">
        <v>96</v>
      </c>
      <c r="C34" s="23" t="s">
        <v>11</v>
      </c>
      <c r="D34" s="23" t="s">
        <v>20</v>
      </c>
      <c r="E34" s="23" t="s">
        <v>9</v>
      </c>
      <c r="F34" s="23" t="s">
        <v>1</v>
      </c>
      <c r="G34" s="71" t="s">
        <v>55</v>
      </c>
      <c r="H34" s="40"/>
      <c r="I34" s="40"/>
    </row>
    <row r="35" spans="1:9">
      <c r="A35" s="106" t="s">
        <v>109</v>
      </c>
      <c r="B35" s="137">
        <v>1</v>
      </c>
      <c r="C35" s="70">
        <v>0.115</v>
      </c>
      <c r="D35" s="19">
        <f>+SUM(C35:$C$35)</f>
        <v>0.115</v>
      </c>
      <c r="E35" s="19">
        <f>+E5</f>
        <v>2</v>
      </c>
      <c r="F35" s="19">
        <f>+C35*E35</f>
        <v>0.23</v>
      </c>
      <c r="G35" s="75"/>
      <c r="H35" s="40"/>
      <c r="I35" s="40"/>
    </row>
    <row r="36" spans="1:9">
      <c r="A36" s="106" t="s">
        <v>112</v>
      </c>
      <c r="B36" s="137">
        <v>2</v>
      </c>
      <c r="C36" s="70">
        <v>0.115</v>
      </c>
      <c r="D36" s="19">
        <f>+SUM(C$35:$C36)</f>
        <v>0.23</v>
      </c>
      <c r="E36" s="19">
        <f>+E6</f>
        <v>2</v>
      </c>
      <c r="F36" s="19">
        <f t="shared" ref="F36:F37" si="3">+C36*E36</f>
        <v>0.23</v>
      </c>
      <c r="G36" s="75"/>
      <c r="H36" s="40"/>
      <c r="I36" s="40"/>
    </row>
    <row r="37" spans="1:9">
      <c r="A37" s="106"/>
      <c r="B37" s="137" t="s">
        <v>99</v>
      </c>
      <c r="C37" s="70">
        <v>0.01</v>
      </c>
      <c r="D37" s="19">
        <f>+SUM(C$35:$C37)</f>
        <v>0.24000000000000002</v>
      </c>
      <c r="E37" s="19">
        <f>+E35+E36</f>
        <v>4</v>
      </c>
      <c r="F37" s="19">
        <f t="shared" si="3"/>
        <v>0.04</v>
      </c>
      <c r="G37" s="75">
        <v>0.5</v>
      </c>
      <c r="H37" s="106" t="s">
        <v>107</v>
      </c>
      <c r="I37" s="40"/>
    </row>
    <row r="38" spans="1:9">
      <c r="A38" s="115"/>
      <c r="B38" s="20" t="s">
        <v>6</v>
      </c>
      <c r="C38" s="20">
        <f>+SUM(C35:C37)</f>
        <v>0.24000000000000002</v>
      </c>
      <c r="D38" s="20"/>
      <c r="E38" s="20"/>
      <c r="F38" s="22">
        <f>+SUM(F35:F37)</f>
        <v>0.5</v>
      </c>
      <c r="G38" s="77"/>
      <c r="H38" s="40"/>
      <c r="I38" s="40"/>
    </row>
    <row r="39" spans="1:9">
      <c r="A39" s="115"/>
      <c r="G39" s="73"/>
      <c r="H39" s="40"/>
      <c r="I39" s="40"/>
    </row>
    <row r="40" spans="1:9">
      <c r="A40" s="106"/>
      <c r="G40" s="73"/>
      <c r="H40" s="40"/>
      <c r="I40" s="40"/>
    </row>
    <row r="41" spans="1:9">
      <c r="A41" s="109" t="s">
        <v>18</v>
      </c>
      <c r="B41" s="23" t="s">
        <v>96</v>
      </c>
      <c r="C41" s="23" t="s">
        <v>11</v>
      </c>
      <c r="D41" s="23" t="s">
        <v>20</v>
      </c>
      <c r="E41" s="23" t="s">
        <v>9</v>
      </c>
      <c r="F41" s="23" t="s">
        <v>1</v>
      </c>
      <c r="G41" s="72"/>
      <c r="H41" s="40"/>
      <c r="I41" s="40"/>
    </row>
    <row r="42" spans="1:9">
      <c r="A42" s="106" t="s">
        <v>109</v>
      </c>
      <c r="B42" s="137">
        <v>1</v>
      </c>
      <c r="C42" s="19">
        <v>0.25</v>
      </c>
      <c r="D42" s="19">
        <f>+SUM(C42:$C$42)</f>
        <v>0.25</v>
      </c>
      <c r="E42" s="19">
        <f>+E5</f>
        <v>2</v>
      </c>
      <c r="F42" s="19">
        <f>+E42*C42</f>
        <v>0.5</v>
      </c>
      <c r="G42" s="75">
        <v>0.02</v>
      </c>
      <c r="H42" s="106" t="s">
        <v>107</v>
      </c>
      <c r="I42" s="40"/>
    </row>
    <row r="43" spans="1:9">
      <c r="A43" s="106" t="s">
        <v>111</v>
      </c>
      <c r="B43" s="20" t="s">
        <v>6</v>
      </c>
      <c r="C43" s="20">
        <f>+SUM(C42:C42)</f>
        <v>0.25</v>
      </c>
      <c r="D43" s="20"/>
      <c r="E43" s="20"/>
      <c r="F43" s="22">
        <f>+SUM(F42:F42)</f>
        <v>0.5</v>
      </c>
      <c r="G43" s="77"/>
      <c r="H43" s="40"/>
      <c r="I43" s="40"/>
    </row>
    <row r="44" spans="1:9">
      <c r="A44" s="106" t="s">
        <v>112</v>
      </c>
      <c r="G44" s="73"/>
      <c r="H44" s="40"/>
      <c r="I44" s="40"/>
    </row>
    <row r="45" spans="1:9">
      <c r="A45" s="106"/>
      <c r="G45" s="73"/>
      <c r="H45" s="40"/>
      <c r="I45" s="40"/>
    </row>
    <row r="46" spans="1:9">
      <c r="A46" s="109" t="s">
        <v>19</v>
      </c>
      <c r="B46" s="23" t="s">
        <v>96</v>
      </c>
      <c r="C46" s="23" t="s">
        <v>11</v>
      </c>
      <c r="D46" s="23" t="s">
        <v>20</v>
      </c>
      <c r="E46" s="23" t="s">
        <v>9</v>
      </c>
      <c r="F46" s="23" t="s">
        <v>1</v>
      </c>
      <c r="G46" s="72"/>
      <c r="H46" s="40"/>
      <c r="I46" s="40"/>
    </row>
    <row r="47" spans="1:9">
      <c r="A47" s="106" t="s">
        <v>109</v>
      </c>
      <c r="B47" s="137">
        <v>2</v>
      </c>
      <c r="C47" s="19">
        <v>0.25</v>
      </c>
      <c r="D47" s="19">
        <f>+SUM(C$47:$C47)</f>
        <v>0.25</v>
      </c>
      <c r="E47" s="19">
        <f>+E6</f>
        <v>2</v>
      </c>
      <c r="F47" s="19">
        <f>+E47*C47</f>
        <v>0.5</v>
      </c>
      <c r="G47" s="75">
        <v>0.02</v>
      </c>
      <c r="H47" s="106" t="s">
        <v>107</v>
      </c>
      <c r="I47" s="40"/>
    </row>
    <row r="48" spans="1:9">
      <c r="A48" s="106" t="s">
        <v>110</v>
      </c>
      <c r="B48" s="20" t="s">
        <v>6</v>
      </c>
      <c r="C48" s="20">
        <f>+SUM(C47:C47)</f>
        <v>0.25</v>
      </c>
      <c r="D48" s="20"/>
      <c r="E48" s="20"/>
      <c r="F48" s="22">
        <f>+SUM(F47:F47)</f>
        <v>0.5</v>
      </c>
      <c r="G48" s="77"/>
      <c r="H48" s="40"/>
      <c r="I48" s="40"/>
    </row>
    <row r="49" spans="1:9">
      <c r="A49" s="106" t="s">
        <v>112</v>
      </c>
      <c r="G49" s="74"/>
      <c r="H49" s="40"/>
      <c r="I49" s="40"/>
    </row>
    <row r="50" spans="1:9">
      <c r="A50" s="106"/>
      <c r="G50" s="74"/>
      <c r="H50" s="40"/>
      <c r="I50" s="40"/>
    </row>
    <row r="51" spans="1:9">
      <c r="A51" s="106"/>
      <c r="G51" s="74"/>
      <c r="H51" s="40"/>
      <c r="I51" s="40"/>
    </row>
    <row r="52" spans="1:9">
      <c r="A52" s="106"/>
      <c r="G52" s="74"/>
      <c r="H52" s="40"/>
      <c r="I52" s="40"/>
    </row>
    <row r="53" spans="1:9">
      <c r="A53" s="106"/>
      <c r="G53" s="74"/>
      <c r="H53" s="40"/>
      <c r="I53" s="40"/>
    </row>
    <row r="54" spans="1:9">
      <c r="A54" s="106"/>
      <c r="G54" s="74"/>
      <c r="H54" s="40"/>
      <c r="I54" s="40"/>
    </row>
    <row r="55" spans="1:9">
      <c r="A55" s="106"/>
      <c r="G55" s="74"/>
      <c r="H55" s="40"/>
      <c r="I55" s="40"/>
    </row>
    <row r="56" spans="1:9">
      <c r="A56" s="106"/>
      <c r="G56" s="74"/>
      <c r="H56" s="40"/>
      <c r="I56" s="40"/>
    </row>
    <row r="57" spans="1:9">
      <c r="A57" s="106"/>
      <c r="G57" s="74"/>
      <c r="H57" s="40"/>
      <c r="I57" s="40"/>
    </row>
    <row r="58" spans="1:9">
      <c r="A58" s="106"/>
      <c r="G58" s="74"/>
      <c r="H58" s="40"/>
      <c r="I58" s="40"/>
    </row>
    <row r="59" spans="1:9">
      <c r="A59" s="106"/>
      <c r="G59" s="74"/>
      <c r="H59" s="40"/>
      <c r="I59" s="40"/>
    </row>
    <row r="60" spans="1:9">
      <c r="A60" s="106"/>
      <c r="G60" s="74"/>
      <c r="H60" s="40"/>
      <c r="I60" s="40"/>
    </row>
    <row r="61" spans="1:9">
      <c r="A61" s="106"/>
      <c r="G61" s="74"/>
      <c r="H61" s="40"/>
      <c r="I61" s="40"/>
    </row>
    <row r="62" spans="1:9">
      <c r="A62" s="106"/>
      <c r="G62" s="74"/>
      <c r="H62" s="40"/>
      <c r="I62" s="40"/>
    </row>
    <row r="63" spans="1:9">
      <c r="A63" s="106"/>
      <c r="G63" s="74"/>
      <c r="H63" s="40"/>
      <c r="I63" s="40"/>
    </row>
    <row r="64" spans="1:9">
      <c r="A64" s="106"/>
      <c r="G64" s="74"/>
      <c r="H64" s="40"/>
      <c r="I64" s="40"/>
    </row>
    <row r="65" spans="1:9">
      <c r="A65" s="106"/>
      <c r="G65" s="74"/>
      <c r="H65" s="40"/>
      <c r="I65" s="40"/>
    </row>
    <row r="66" spans="1:9">
      <c r="A66" s="106"/>
      <c r="G66" s="74"/>
      <c r="H66" s="40"/>
      <c r="I66" s="40"/>
    </row>
    <row r="67" spans="1:9">
      <c r="A67" s="106"/>
      <c r="G67" s="74"/>
      <c r="H67" s="40"/>
      <c r="I67" s="40"/>
    </row>
    <row r="68" spans="1:9">
      <c r="A68" s="106"/>
      <c r="G68" s="74"/>
      <c r="H68" s="40"/>
      <c r="I68" s="40"/>
    </row>
    <row r="69" spans="1:9">
      <c r="A69" s="106"/>
      <c r="G69" s="74"/>
      <c r="H69" s="40"/>
      <c r="I69" s="40"/>
    </row>
    <row r="70" spans="1:9">
      <c r="A70" s="106"/>
      <c r="G70" s="74"/>
      <c r="H70" s="40"/>
      <c r="I70" s="40"/>
    </row>
    <row r="71" spans="1:9">
      <c r="A71" s="106"/>
      <c r="G71" s="73"/>
      <c r="H71" s="40"/>
      <c r="I71" s="40"/>
    </row>
    <row r="72" spans="1:9">
      <c r="A72" s="106"/>
      <c r="G72" s="73"/>
      <c r="H72" s="40"/>
      <c r="I72" s="40"/>
    </row>
    <row r="73" spans="1:9">
      <c r="A73" s="106"/>
      <c r="G73" s="73"/>
      <c r="H73" s="40"/>
      <c r="I73" s="40"/>
    </row>
    <row r="74" spans="1:9">
      <c r="A74" s="106"/>
      <c r="G74" s="73"/>
      <c r="H74" s="40"/>
      <c r="I74" s="40"/>
    </row>
    <row r="75" spans="1:9">
      <c r="A75" s="106"/>
      <c r="G75" s="73"/>
      <c r="H75" s="40"/>
      <c r="I75" s="40"/>
    </row>
    <row r="76" spans="1:9">
      <c r="A76" s="106"/>
      <c r="G76" s="73"/>
      <c r="H76" s="40"/>
      <c r="I76" s="40"/>
    </row>
    <row r="77" spans="1:9">
      <c r="A77" s="106"/>
      <c r="G77" s="73"/>
      <c r="H77" s="40"/>
      <c r="I77" s="40"/>
    </row>
    <row r="78" spans="1:9">
      <c r="A78" s="106"/>
      <c r="G78" s="73"/>
      <c r="H78" s="40"/>
      <c r="I78" s="40"/>
    </row>
    <row r="79" spans="1:9">
      <c r="A79" s="106"/>
      <c r="G79" s="73"/>
      <c r="H79" s="40"/>
      <c r="I79" s="40"/>
    </row>
    <row r="80" spans="1:9">
      <c r="A80" s="106"/>
      <c r="G80" s="73"/>
      <c r="H80" s="40"/>
      <c r="I80" s="40"/>
    </row>
    <row r="81" spans="1:9">
      <c r="A81" s="106"/>
      <c r="G81" s="73"/>
      <c r="H81" s="40"/>
      <c r="I81" s="40"/>
    </row>
    <row r="82" spans="1:9">
      <c r="A82" s="106"/>
      <c r="G82" s="73"/>
      <c r="H82" s="40"/>
      <c r="I82" s="40"/>
    </row>
    <row r="83" spans="1:9">
      <c r="A83" s="106"/>
      <c r="G83" s="73"/>
      <c r="H83" s="40"/>
      <c r="I83" s="40"/>
    </row>
    <row r="84" spans="1:9">
      <c r="A84" s="106"/>
      <c r="G84" s="73"/>
      <c r="H84" s="40"/>
      <c r="I84" s="40"/>
    </row>
    <row r="85" spans="1:9">
      <c r="A85" s="106"/>
      <c r="G85" s="73"/>
      <c r="H85" s="40"/>
      <c r="I85" s="40"/>
    </row>
    <row r="86" spans="1:9">
      <c r="A86" s="106"/>
      <c r="G86" s="73"/>
      <c r="H86" s="40"/>
      <c r="I86" s="40"/>
    </row>
    <row r="87" spans="1:9">
      <c r="A87" s="106"/>
      <c r="G87" s="73"/>
      <c r="H87" s="40"/>
      <c r="I87" s="40"/>
    </row>
    <row r="88" spans="1:9">
      <c r="A88" s="106"/>
      <c r="G88" s="73"/>
      <c r="H88" s="40"/>
      <c r="I88" s="40"/>
    </row>
    <row r="89" spans="1:9">
      <c r="A89" s="106"/>
      <c r="G89" s="73"/>
      <c r="H89" s="40"/>
      <c r="I89" s="40"/>
    </row>
    <row r="90" spans="1:9">
      <c r="A90" s="106"/>
      <c r="G90" s="73"/>
      <c r="H90" s="40"/>
      <c r="I90" s="40"/>
    </row>
    <row r="91" spans="1:9">
      <c r="A91" s="106"/>
      <c r="G91" s="73"/>
      <c r="H91" s="40"/>
      <c r="I91" s="40"/>
    </row>
    <row r="92" spans="1:9">
      <c r="A92" s="106"/>
      <c r="G92" s="73"/>
      <c r="H92" s="40"/>
      <c r="I92" s="40"/>
    </row>
    <row r="93" spans="1:9">
      <c r="A93" s="106"/>
      <c r="G93" s="73"/>
      <c r="H93" s="40"/>
      <c r="I93" s="40"/>
    </row>
    <row r="94" spans="1:9">
      <c r="A94" s="106"/>
      <c r="G94" s="73"/>
      <c r="H94" s="40"/>
      <c r="I94" s="40"/>
    </row>
    <row r="95" spans="1:9">
      <c r="A95" s="106"/>
      <c r="G95" s="73"/>
      <c r="H95" s="40"/>
      <c r="I95" s="40"/>
    </row>
    <row r="96" spans="1:9">
      <c r="A96" s="106"/>
      <c r="G96" s="73"/>
      <c r="H96" s="40"/>
      <c r="I96" s="40"/>
    </row>
    <row r="97" spans="1:9">
      <c r="A97" s="106"/>
      <c r="G97" s="73"/>
      <c r="H97" s="40"/>
      <c r="I97" s="40"/>
    </row>
    <row r="98" spans="1:9">
      <c r="A98" s="106"/>
      <c r="G98" s="73"/>
      <c r="H98" s="40"/>
      <c r="I98" s="40"/>
    </row>
    <row r="99" spans="1:9">
      <c r="A99" s="106"/>
      <c r="G99" s="73"/>
      <c r="H99" s="40"/>
      <c r="I99" s="40"/>
    </row>
    <row r="100" spans="1:9">
      <c r="A100" s="106"/>
      <c r="G100" s="73"/>
      <c r="H100" s="40"/>
      <c r="I100" s="40"/>
    </row>
    <row r="101" spans="1:9">
      <c r="A101" s="106"/>
      <c r="G101" s="73"/>
      <c r="H101" s="40"/>
      <c r="I101" s="40"/>
    </row>
    <row r="102" spans="1:9">
      <c r="A102" s="106"/>
      <c r="G102" s="73"/>
      <c r="H102" s="40"/>
      <c r="I102" s="40"/>
    </row>
    <row r="103" spans="1:9">
      <c r="A103" s="106"/>
      <c r="G103" s="73"/>
      <c r="H103" s="40"/>
      <c r="I103" s="40"/>
    </row>
    <row r="104" spans="1:9">
      <c r="A104" s="106"/>
      <c r="G104" s="73"/>
      <c r="H104" s="40"/>
      <c r="I104" s="40"/>
    </row>
    <row r="105" spans="1:9">
      <c r="A105" s="106"/>
      <c r="G105" s="73"/>
      <c r="H105" s="40"/>
      <c r="I105" s="40"/>
    </row>
    <row r="106" spans="1:9">
      <c r="A106" s="106"/>
      <c r="G106" s="73"/>
      <c r="H106" s="40"/>
      <c r="I106" s="40"/>
    </row>
    <row r="107" spans="1:9">
      <c r="A107" s="106"/>
      <c r="G107" s="73"/>
      <c r="H107" s="40"/>
      <c r="I107" s="40"/>
    </row>
    <row r="108" spans="1:9">
      <c r="A108" s="106"/>
      <c r="G108" s="73"/>
      <c r="H108" s="40"/>
      <c r="I108" s="40"/>
    </row>
    <row r="109" spans="1:9">
      <c r="A109" s="106"/>
      <c r="G109" s="73"/>
      <c r="H109" s="40"/>
      <c r="I109" s="40"/>
    </row>
    <row r="110" spans="1:9">
      <c r="A110" s="106"/>
      <c r="G110" s="73"/>
      <c r="H110" s="40"/>
      <c r="I110" s="40"/>
    </row>
    <row r="111" spans="1:9">
      <c r="A111" s="106"/>
      <c r="G111" s="73"/>
      <c r="H111" s="40"/>
      <c r="I111" s="40"/>
    </row>
    <row r="112" spans="1:9">
      <c r="A112" s="106"/>
      <c r="G112" s="73"/>
      <c r="H112" s="40"/>
      <c r="I112" s="40"/>
    </row>
    <row r="113" spans="1:9">
      <c r="A113" s="106"/>
      <c r="G113" s="73"/>
      <c r="H113" s="40"/>
      <c r="I113" s="40"/>
    </row>
    <row r="114" spans="1:9">
      <c r="A114" s="106"/>
      <c r="G114" s="73"/>
      <c r="H114" s="40"/>
      <c r="I114" s="40"/>
    </row>
    <row r="115" spans="1:9">
      <c r="A115" s="106"/>
      <c r="G115" s="73"/>
      <c r="H115" s="40"/>
      <c r="I115" s="40"/>
    </row>
    <row r="116" spans="1:9">
      <c r="A116" s="106"/>
      <c r="G116" s="73"/>
      <c r="H116" s="40"/>
      <c r="I116" s="40"/>
    </row>
    <row r="117" spans="1:9">
      <c r="A117" s="106"/>
      <c r="G117" s="73"/>
      <c r="H117" s="40"/>
      <c r="I117" s="40"/>
    </row>
    <row r="118" spans="1:9">
      <c r="G118" s="73"/>
      <c r="H118" s="40"/>
      <c r="I118" s="40"/>
    </row>
    <row r="119" spans="1:9">
      <c r="G119" s="73"/>
      <c r="H119" s="40"/>
      <c r="I119" s="40"/>
    </row>
    <row r="120" spans="1:9">
      <c r="G120" s="73"/>
      <c r="H120" s="40"/>
      <c r="I120" s="40"/>
    </row>
    <row r="121" spans="1:9">
      <c r="G121" s="46"/>
      <c r="H121" s="40"/>
      <c r="I121" s="40"/>
    </row>
    <row r="122" spans="1:9">
      <c r="G122" s="46"/>
      <c r="H122" s="40"/>
      <c r="I122" s="40"/>
    </row>
    <row r="123" spans="1:9">
      <c r="G123" s="46"/>
      <c r="H123" s="40"/>
      <c r="I123" s="40"/>
    </row>
    <row r="124" spans="1:9">
      <c r="G124" s="46"/>
      <c r="H124" s="40"/>
      <c r="I124" s="40"/>
    </row>
    <row r="125" spans="1:9">
      <c r="G125" s="46"/>
      <c r="H125" s="40"/>
      <c r="I125" s="40"/>
    </row>
    <row r="126" spans="1:9">
      <c r="G126" s="46"/>
      <c r="H126" s="40"/>
      <c r="I126" s="40"/>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5.xml><?xml version="1.0" encoding="utf-8"?>
<worksheet xmlns="http://schemas.openxmlformats.org/spreadsheetml/2006/main" xmlns:r="http://schemas.openxmlformats.org/officeDocument/2006/relationships">
  <sheetPr codeName="Hoja4"/>
  <dimension ref="A1:L126"/>
  <sheetViews>
    <sheetView workbookViewId="0">
      <selection sqref="A1:E1"/>
    </sheetView>
  </sheetViews>
  <sheetFormatPr baseColWidth="10" defaultRowHeight="14.4"/>
  <cols>
    <col min="1" max="1" width="40.6640625" style="16" customWidth="1"/>
    <col min="2" max="2" width="25.21875" style="16" bestFit="1" customWidth="1"/>
    <col min="3" max="3" width="11.5546875" style="16"/>
    <col min="4" max="4" width="15.5546875" style="16" bestFit="1" customWidth="1"/>
    <col min="5" max="5" width="11.5546875" style="16"/>
    <col min="6" max="6" width="13.33203125" style="16" customWidth="1"/>
    <col min="7" max="7" width="15.33203125" style="16" bestFit="1" customWidth="1"/>
    <col min="8" max="8" width="15.88671875" style="16" customWidth="1"/>
    <col min="9" max="9" width="12" style="16" customWidth="1"/>
    <col min="10" max="16384" width="11.5546875" style="16"/>
  </cols>
  <sheetData>
    <row r="1" spans="1:12" ht="18">
      <c r="A1" s="143" t="s">
        <v>119</v>
      </c>
      <c r="B1" s="143"/>
      <c r="C1" s="143"/>
      <c r="D1" s="143"/>
      <c r="E1" s="143"/>
    </row>
    <row r="2" spans="1:12">
      <c r="A2" s="116" t="s">
        <v>114</v>
      </c>
    </row>
    <row r="4" spans="1:12">
      <c r="A4" s="109" t="s">
        <v>10</v>
      </c>
      <c r="B4" s="111" t="s">
        <v>96</v>
      </c>
      <c r="C4" s="23" t="s">
        <v>11</v>
      </c>
      <c r="D4" s="23" t="s">
        <v>20</v>
      </c>
      <c r="E4" s="23" t="s">
        <v>9</v>
      </c>
      <c r="F4" s="23" t="s">
        <v>1</v>
      </c>
      <c r="G4" s="86" t="s">
        <v>55</v>
      </c>
      <c r="H4" s="40"/>
      <c r="I4" s="40"/>
    </row>
    <row r="5" spans="1:12">
      <c r="A5" s="106" t="s">
        <v>108</v>
      </c>
      <c r="B5" s="139">
        <v>1</v>
      </c>
      <c r="C5" s="79">
        <v>0.06</v>
      </c>
      <c r="D5" s="1">
        <f>+SUM($C$5:C5)</f>
        <v>0.06</v>
      </c>
      <c r="E5" s="1">
        <f>+Summary!K27</f>
        <v>3</v>
      </c>
      <c r="F5" s="1">
        <f>+C5*E5</f>
        <v>0.18</v>
      </c>
      <c r="G5" s="89"/>
      <c r="H5" s="40"/>
      <c r="I5" s="40"/>
      <c r="L5" s="106"/>
    </row>
    <row r="6" spans="1:12">
      <c r="A6" s="106"/>
      <c r="B6" s="139">
        <v>2</v>
      </c>
      <c r="C6" s="79">
        <v>0.06</v>
      </c>
      <c r="D6" s="1">
        <f>+SUM($C$5:C6)</f>
        <v>0.12</v>
      </c>
      <c r="E6" s="1">
        <f>+Summary!K28</f>
        <v>3</v>
      </c>
      <c r="F6" s="1">
        <f t="shared" ref="F6:F11" si="0">+C6*E6</f>
        <v>0.18</v>
      </c>
      <c r="G6" s="89"/>
      <c r="H6" s="40"/>
      <c r="I6" s="40"/>
      <c r="L6" s="106"/>
    </row>
    <row r="7" spans="1:12">
      <c r="A7" s="106"/>
      <c r="B7" s="139">
        <v>3</v>
      </c>
      <c r="C7" s="79">
        <v>5.0000000000000001E-3</v>
      </c>
      <c r="D7" s="1">
        <f>+SUM($C$5:C7)</f>
        <v>0.125</v>
      </c>
      <c r="E7" s="1">
        <f>+Summary!K29</f>
        <v>6</v>
      </c>
      <c r="F7" s="1">
        <f t="shared" si="0"/>
        <v>0.03</v>
      </c>
      <c r="G7" s="89"/>
      <c r="H7" s="40"/>
      <c r="I7" s="47"/>
      <c r="L7" s="106"/>
    </row>
    <row r="8" spans="1:12">
      <c r="A8" s="106"/>
      <c r="B8" s="139" t="s">
        <v>99</v>
      </c>
      <c r="C8" s="79">
        <v>3.8333333333333301E-3</v>
      </c>
      <c r="D8" s="1">
        <f>+SUM($C$5:C8)</f>
        <v>0.12883333333333333</v>
      </c>
      <c r="E8" s="1">
        <f>+E5+E6</f>
        <v>6</v>
      </c>
      <c r="F8" s="1">
        <f t="shared" si="0"/>
        <v>2.2999999999999979E-2</v>
      </c>
      <c r="G8" s="89"/>
      <c r="H8" s="40"/>
      <c r="I8" s="141"/>
      <c r="L8" s="106"/>
    </row>
    <row r="9" spans="1:12">
      <c r="A9" s="106"/>
      <c r="B9" s="139" t="s">
        <v>100</v>
      </c>
      <c r="C9" s="79">
        <v>1.5E-3</v>
      </c>
      <c r="D9" s="1">
        <f>+SUM($C$5:C9)</f>
        <v>0.13033333333333333</v>
      </c>
      <c r="E9" s="1">
        <f>+E5+E7</f>
        <v>9</v>
      </c>
      <c r="F9" s="1">
        <f t="shared" si="0"/>
        <v>1.35E-2</v>
      </c>
      <c r="G9" s="89"/>
      <c r="H9" s="40"/>
      <c r="I9" s="40"/>
      <c r="L9" s="106"/>
    </row>
    <row r="10" spans="1:12">
      <c r="A10" s="106"/>
      <c r="B10" s="139" t="s">
        <v>101</v>
      </c>
      <c r="C10" s="79">
        <v>1.5E-3</v>
      </c>
      <c r="D10" s="1">
        <f>+SUM($C$5:C10)</f>
        <v>0.13183333333333333</v>
      </c>
      <c r="E10" s="1">
        <f>+E6+E7</f>
        <v>9</v>
      </c>
      <c r="F10" s="1">
        <f t="shared" si="0"/>
        <v>1.35E-2</v>
      </c>
      <c r="G10" s="89"/>
      <c r="H10" s="40"/>
      <c r="I10" s="40"/>
      <c r="L10" s="106"/>
    </row>
    <row r="11" spans="1:12">
      <c r="A11" s="106"/>
      <c r="B11" s="139" t="s">
        <v>102</v>
      </c>
      <c r="C11" s="79">
        <v>5.0000000000000001E-3</v>
      </c>
      <c r="D11" s="1">
        <f>+SUM($C$5:C11)</f>
        <v>0.13683333333333333</v>
      </c>
      <c r="E11" s="1">
        <f>+E5+E6+E7</f>
        <v>12</v>
      </c>
      <c r="F11" s="1">
        <f t="shared" si="0"/>
        <v>0.06</v>
      </c>
      <c r="G11" s="89">
        <v>1</v>
      </c>
      <c r="H11" s="106" t="s">
        <v>107</v>
      </c>
      <c r="I11" s="40"/>
    </row>
    <row r="12" spans="1:12">
      <c r="A12" s="106"/>
      <c r="B12" s="113" t="s">
        <v>12</v>
      </c>
      <c r="C12" s="20">
        <f>+SUM(C5:C11)</f>
        <v>0.13683333333333333</v>
      </c>
      <c r="D12" s="20"/>
      <c r="E12" s="20"/>
      <c r="F12" s="24">
        <f>+SUM(F5:F11)</f>
        <v>0.5</v>
      </c>
      <c r="G12" s="90"/>
      <c r="H12" s="40"/>
      <c r="I12" s="40"/>
      <c r="J12" s="40"/>
    </row>
    <row r="13" spans="1:12">
      <c r="A13" s="106"/>
      <c r="B13" s="114" t="s">
        <v>103</v>
      </c>
      <c r="G13" s="87"/>
      <c r="H13" s="40"/>
      <c r="I13" s="40"/>
      <c r="J13" s="40"/>
    </row>
    <row r="14" spans="1:12">
      <c r="A14" s="106"/>
      <c r="B14" s="106"/>
      <c r="G14" s="87"/>
      <c r="H14" s="40"/>
      <c r="I14" s="40"/>
      <c r="J14" s="40"/>
    </row>
    <row r="15" spans="1:12">
      <c r="A15" s="109" t="s">
        <v>14</v>
      </c>
      <c r="B15" s="111" t="s">
        <v>96</v>
      </c>
      <c r="C15" s="23" t="s">
        <v>11</v>
      </c>
      <c r="D15" s="23" t="s">
        <v>20</v>
      </c>
      <c r="E15" s="23" t="s">
        <v>9</v>
      </c>
      <c r="F15" s="23" t="s">
        <v>1</v>
      </c>
      <c r="G15" s="86" t="s">
        <v>55</v>
      </c>
      <c r="H15" s="40"/>
      <c r="I15" s="40"/>
      <c r="J15" s="40"/>
    </row>
    <row r="16" spans="1:12">
      <c r="A16" s="106" t="s">
        <v>109</v>
      </c>
      <c r="B16" s="137">
        <v>2</v>
      </c>
      <c r="C16" s="80">
        <v>9.6666666666666595E-2</v>
      </c>
      <c r="D16" s="19">
        <f>+SUM(C16:$C$16)</f>
        <v>9.6666666666666595E-2</v>
      </c>
      <c r="E16" s="19">
        <f>+E6</f>
        <v>3</v>
      </c>
      <c r="F16" s="19">
        <f>+C16*E16</f>
        <v>0.28999999999999981</v>
      </c>
      <c r="G16" s="89"/>
      <c r="H16" s="40"/>
      <c r="I16" s="40"/>
      <c r="J16" s="40"/>
    </row>
    <row r="17" spans="1:10">
      <c r="A17" s="106" t="s">
        <v>110</v>
      </c>
      <c r="B17" s="137">
        <v>3</v>
      </c>
      <c r="C17" s="80">
        <v>0.02</v>
      </c>
      <c r="D17" s="19">
        <f>+SUM(C$16:$C17)</f>
        <v>0.1166666666666666</v>
      </c>
      <c r="E17" s="19">
        <f>+E7</f>
        <v>6</v>
      </c>
      <c r="F17" s="19">
        <f t="shared" ref="F17:F18" si="1">+C17*E17</f>
        <v>0.12</v>
      </c>
      <c r="G17" s="89"/>
      <c r="H17" s="40"/>
      <c r="I17" s="40"/>
      <c r="J17" s="40"/>
    </row>
    <row r="18" spans="1:10">
      <c r="A18" s="106"/>
      <c r="B18" s="137" t="s">
        <v>101</v>
      </c>
      <c r="C18" s="80">
        <v>0.01</v>
      </c>
      <c r="D18" s="19">
        <f>+SUM(C$16:$C18)</f>
        <v>0.12666666666666659</v>
      </c>
      <c r="E18" s="19">
        <f>+E16+E17</f>
        <v>9</v>
      </c>
      <c r="F18" s="19">
        <f t="shared" si="1"/>
        <v>0.09</v>
      </c>
      <c r="G18" s="89">
        <v>0.5</v>
      </c>
      <c r="H18" s="106" t="s">
        <v>107</v>
      </c>
      <c r="I18" s="40"/>
      <c r="J18" s="40"/>
    </row>
    <row r="19" spans="1:10">
      <c r="A19" s="106"/>
      <c r="B19" s="113" t="s">
        <v>6</v>
      </c>
      <c r="C19" s="20">
        <f>+SUM(C16:C18)</f>
        <v>0.12666666666666659</v>
      </c>
      <c r="D19" s="20"/>
      <c r="E19" s="20"/>
      <c r="F19" s="22">
        <f>+SUM(F16:F18)</f>
        <v>0.49999999999999978</v>
      </c>
      <c r="G19" s="91"/>
      <c r="H19" s="40"/>
      <c r="I19" s="40"/>
      <c r="J19" s="40"/>
    </row>
    <row r="20" spans="1:10">
      <c r="A20" s="106"/>
      <c r="B20" s="117"/>
      <c r="C20" s="21"/>
      <c r="D20" s="21"/>
      <c r="E20" s="21"/>
      <c r="F20" s="8"/>
      <c r="G20" s="92"/>
      <c r="H20" s="40"/>
      <c r="I20" s="40"/>
      <c r="J20" s="40"/>
    </row>
    <row r="21" spans="1:10">
      <c r="A21" s="106"/>
      <c r="B21" s="117"/>
      <c r="C21" s="21"/>
      <c r="D21" s="21"/>
      <c r="E21" s="21"/>
      <c r="F21" s="8"/>
      <c r="G21" s="92"/>
      <c r="H21" s="40"/>
      <c r="I21" s="40"/>
      <c r="J21" s="40"/>
    </row>
    <row r="22" spans="1:10">
      <c r="A22" s="109" t="s">
        <v>15</v>
      </c>
      <c r="B22" s="111" t="s">
        <v>96</v>
      </c>
      <c r="C22" s="23" t="s">
        <v>11</v>
      </c>
      <c r="D22" s="23" t="s">
        <v>20</v>
      </c>
      <c r="E22" s="23" t="s">
        <v>9</v>
      </c>
      <c r="F22" s="23" t="s">
        <v>1</v>
      </c>
      <c r="G22" s="86" t="s">
        <v>55</v>
      </c>
      <c r="H22" s="40"/>
      <c r="I22" s="40"/>
      <c r="J22" s="40"/>
    </row>
    <row r="23" spans="1:10">
      <c r="A23" s="106" t="s">
        <v>109</v>
      </c>
      <c r="B23" s="137">
        <v>1</v>
      </c>
      <c r="C23" s="81">
        <v>9.6666666666666595E-2</v>
      </c>
      <c r="D23" s="19">
        <f>+SUM(C23:$C$23)</f>
        <v>9.6666666666666595E-2</v>
      </c>
      <c r="E23" s="19">
        <f>+E5</f>
        <v>3</v>
      </c>
      <c r="F23" s="19">
        <f>+C23*E23</f>
        <v>0.28999999999999981</v>
      </c>
      <c r="G23" s="89"/>
      <c r="H23" s="40"/>
      <c r="I23" s="40"/>
      <c r="J23" s="40"/>
    </row>
    <row r="24" spans="1:10">
      <c r="A24" s="106" t="s">
        <v>111</v>
      </c>
      <c r="B24" s="137">
        <v>3</v>
      </c>
      <c r="C24" s="81">
        <v>0.02</v>
      </c>
      <c r="D24" s="19">
        <f>+SUM(C$23:$C24)</f>
        <v>0.1166666666666666</v>
      </c>
      <c r="E24" s="19">
        <f>+E7</f>
        <v>6</v>
      </c>
      <c r="F24" s="19">
        <f t="shared" ref="F24:F25" si="2">+C24*E24</f>
        <v>0.12</v>
      </c>
      <c r="G24" s="89"/>
      <c r="H24" s="40"/>
      <c r="I24" s="40"/>
      <c r="J24" s="40"/>
    </row>
    <row r="25" spans="1:10">
      <c r="A25" s="106"/>
      <c r="B25" s="137" t="s">
        <v>100</v>
      </c>
      <c r="C25" s="81">
        <v>0.01</v>
      </c>
      <c r="D25" s="19">
        <f>+SUM(C$23:$C25)</f>
        <v>0.12666666666666659</v>
      </c>
      <c r="E25" s="19">
        <f>+E23+E24</f>
        <v>9</v>
      </c>
      <c r="F25" s="19">
        <f t="shared" si="2"/>
        <v>0.09</v>
      </c>
      <c r="G25" s="89">
        <v>0.5</v>
      </c>
      <c r="H25" s="106" t="s">
        <v>107</v>
      </c>
      <c r="I25" s="40"/>
      <c r="J25" s="40"/>
    </row>
    <row r="26" spans="1:10">
      <c r="A26" s="106"/>
      <c r="B26" s="113" t="s">
        <v>6</v>
      </c>
      <c r="C26" s="20">
        <f>+SUM(C23:C25)</f>
        <v>0.12666666666666659</v>
      </c>
      <c r="D26" s="20"/>
      <c r="E26" s="20"/>
      <c r="F26" s="22">
        <f>+SUM(F23:F25)</f>
        <v>0.49999999999999978</v>
      </c>
      <c r="G26" s="91"/>
      <c r="H26" s="40"/>
      <c r="I26" s="40"/>
      <c r="J26" s="40"/>
    </row>
    <row r="27" spans="1:10">
      <c r="A27" s="106"/>
      <c r="B27" s="117"/>
      <c r="C27" s="21"/>
      <c r="D27" s="21"/>
      <c r="E27" s="21"/>
      <c r="F27" s="8"/>
      <c r="G27" s="92"/>
      <c r="H27" s="40"/>
      <c r="I27" s="40"/>
      <c r="J27" s="40"/>
    </row>
    <row r="28" spans="1:10">
      <c r="A28" s="106"/>
      <c r="B28" s="106"/>
      <c r="G28" s="87"/>
      <c r="H28" s="40"/>
      <c r="I28" s="40"/>
      <c r="J28" s="40"/>
    </row>
    <row r="29" spans="1:10">
      <c r="A29" s="109" t="s">
        <v>16</v>
      </c>
      <c r="B29" s="111" t="s">
        <v>96</v>
      </c>
      <c r="C29" s="23" t="s">
        <v>11</v>
      </c>
      <c r="D29" s="23" t="s">
        <v>20</v>
      </c>
      <c r="E29" s="23" t="s">
        <v>9</v>
      </c>
      <c r="F29" s="23" t="s">
        <v>1</v>
      </c>
      <c r="G29" s="86" t="s">
        <v>55</v>
      </c>
      <c r="H29" s="40"/>
      <c r="I29" s="40"/>
      <c r="J29" s="40"/>
    </row>
    <row r="30" spans="1:10">
      <c r="A30" s="106" t="s">
        <v>109</v>
      </c>
      <c r="B30" s="137">
        <v>3</v>
      </c>
      <c r="C30" s="82">
        <v>8.3333333333333329E-2</v>
      </c>
      <c r="D30" s="19">
        <f>+SUM(C30:$C$30)</f>
        <v>8.3333333333333329E-2</v>
      </c>
      <c r="E30" s="19">
        <f>+E7</f>
        <v>6</v>
      </c>
      <c r="F30" s="19">
        <f>+C30*E30</f>
        <v>0.5</v>
      </c>
      <c r="G30" s="89">
        <v>0.06</v>
      </c>
      <c r="H30" s="106" t="s">
        <v>107</v>
      </c>
      <c r="I30" s="40"/>
      <c r="J30" s="40"/>
    </row>
    <row r="31" spans="1:10">
      <c r="A31" s="106" t="s">
        <v>110</v>
      </c>
      <c r="B31" s="113" t="s">
        <v>6</v>
      </c>
      <c r="C31" s="20">
        <f>+SUM(C30:C30)</f>
        <v>8.3333333333333329E-2</v>
      </c>
      <c r="D31" s="20"/>
      <c r="E31" s="20"/>
      <c r="F31" s="22">
        <f>+SUM(F30:F30)</f>
        <v>0.5</v>
      </c>
      <c r="G31" s="91"/>
      <c r="H31" s="40"/>
      <c r="I31" s="40"/>
      <c r="J31" s="40"/>
    </row>
    <row r="32" spans="1:10">
      <c r="A32" s="106" t="s">
        <v>111</v>
      </c>
      <c r="B32" s="106"/>
      <c r="G32" s="87"/>
      <c r="H32" s="40"/>
      <c r="I32" s="40"/>
      <c r="J32" s="40"/>
    </row>
    <row r="33" spans="1:10">
      <c r="A33" s="106"/>
      <c r="B33" s="106"/>
      <c r="G33" s="87"/>
      <c r="H33" s="40"/>
      <c r="I33" s="40"/>
      <c r="J33" s="40"/>
    </row>
    <row r="34" spans="1:10">
      <c r="A34" s="109" t="s">
        <v>17</v>
      </c>
      <c r="B34" s="111" t="s">
        <v>96</v>
      </c>
      <c r="C34" s="23" t="s">
        <v>11</v>
      </c>
      <c r="D34" s="23" t="s">
        <v>20</v>
      </c>
      <c r="E34" s="23" t="s">
        <v>9</v>
      </c>
      <c r="F34" s="23" t="s">
        <v>1</v>
      </c>
      <c r="G34" s="86" t="s">
        <v>55</v>
      </c>
      <c r="H34" s="40"/>
      <c r="I34" s="40"/>
      <c r="J34" s="40"/>
    </row>
    <row r="35" spans="1:10">
      <c r="A35" s="106" t="s">
        <v>109</v>
      </c>
      <c r="B35" s="137">
        <v>1</v>
      </c>
      <c r="C35" s="83">
        <v>7.0000000000000007E-2</v>
      </c>
      <c r="D35" s="19">
        <f>+SUM(C35:$C$35)</f>
        <v>7.0000000000000007E-2</v>
      </c>
      <c r="E35" s="19">
        <f>+E5</f>
        <v>3</v>
      </c>
      <c r="F35" s="19">
        <f>+C35*E35</f>
        <v>0.21000000000000002</v>
      </c>
      <c r="G35" s="89"/>
      <c r="H35" s="40"/>
      <c r="I35" s="40"/>
      <c r="J35" s="40"/>
    </row>
    <row r="36" spans="1:10">
      <c r="A36" s="106" t="s">
        <v>112</v>
      </c>
      <c r="B36" s="137">
        <v>2</v>
      </c>
      <c r="C36" s="83">
        <v>7.0000000000000007E-2</v>
      </c>
      <c r="D36" s="19">
        <f>+SUM(C$35:$C36)</f>
        <v>0.14000000000000001</v>
      </c>
      <c r="E36" s="19">
        <f>+E6</f>
        <v>3</v>
      </c>
      <c r="F36" s="19">
        <f t="shared" ref="F36:F37" si="3">+C36*E36</f>
        <v>0.21000000000000002</v>
      </c>
      <c r="G36" s="89"/>
      <c r="H36" s="40"/>
      <c r="I36" s="40"/>
      <c r="J36" s="40"/>
    </row>
    <row r="37" spans="1:10">
      <c r="A37" s="106"/>
      <c r="B37" s="137" t="s">
        <v>99</v>
      </c>
      <c r="C37" s="83">
        <v>1.3333333333333334E-2</v>
      </c>
      <c r="D37" s="19">
        <f>+SUM(C$35:$C37)</f>
        <v>0.15333333333333335</v>
      </c>
      <c r="E37" s="19">
        <f>+E35+E36</f>
        <v>6</v>
      </c>
      <c r="F37" s="19">
        <f t="shared" si="3"/>
        <v>0.08</v>
      </c>
      <c r="G37" s="89">
        <v>0.375</v>
      </c>
      <c r="H37" s="106" t="s">
        <v>107</v>
      </c>
      <c r="I37" s="40"/>
      <c r="J37" s="40"/>
    </row>
    <row r="38" spans="1:10">
      <c r="A38" s="115"/>
      <c r="B38" s="113" t="s">
        <v>6</v>
      </c>
      <c r="C38" s="20">
        <f>+SUM(C35:C37)</f>
        <v>0.15333333333333335</v>
      </c>
      <c r="D38" s="20"/>
      <c r="E38" s="20"/>
      <c r="F38" s="22">
        <f>+SUM(F35:F37)</f>
        <v>0.5</v>
      </c>
      <c r="G38" s="91"/>
      <c r="H38" s="40"/>
      <c r="I38" s="40"/>
      <c r="J38" s="40"/>
    </row>
    <row r="39" spans="1:10">
      <c r="A39" s="115"/>
      <c r="B39" s="106"/>
      <c r="G39" s="87"/>
      <c r="H39" s="40"/>
      <c r="I39" s="40"/>
      <c r="J39" s="40"/>
    </row>
    <row r="40" spans="1:10">
      <c r="A40" s="106"/>
      <c r="B40" s="106"/>
      <c r="G40" s="87"/>
      <c r="H40" s="40"/>
      <c r="I40" s="40"/>
      <c r="J40" s="40"/>
    </row>
    <row r="41" spans="1:10">
      <c r="A41" s="109" t="s">
        <v>18</v>
      </c>
      <c r="B41" s="111" t="s">
        <v>96</v>
      </c>
      <c r="C41" s="23" t="s">
        <v>11</v>
      </c>
      <c r="D41" s="23" t="s">
        <v>20</v>
      </c>
      <c r="E41" s="23" t="s">
        <v>9</v>
      </c>
      <c r="F41" s="23" t="s">
        <v>1</v>
      </c>
      <c r="G41" s="86" t="s">
        <v>55</v>
      </c>
      <c r="H41" s="40"/>
      <c r="I41" s="40"/>
      <c r="J41" s="40"/>
    </row>
    <row r="42" spans="1:10">
      <c r="A42" s="106" t="s">
        <v>109</v>
      </c>
      <c r="B42" s="137">
        <v>1</v>
      </c>
      <c r="C42" s="84">
        <v>0.16666666666666666</v>
      </c>
      <c r="D42" s="19">
        <f>+SUM(C42:$C$42)</f>
        <v>0.16666666666666666</v>
      </c>
      <c r="E42" s="19">
        <f>+E5</f>
        <v>3</v>
      </c>
      <c r="F42" s="19">
        <f>+E42*C42</f>
        <v>0.5</v>
      </c>
      <c r="G42" s="89">
        <v>0.03</v>
      </c>
      <c r="H42" s="106" t="s">
        <v>107</v>
      </c>
      <c r="I42" s="40"/>
      <c r="J42" s="40"/>
    </row>
    <row r="43" spans="1:10">
      <c r="A43" s="106" t="s">
        <v>111</v>
      </c>
      <c r="B43" s="113" t="s">
        <v>6</v>
      </c>
      <c r="C43" s="20">
        <f>+SUM(C42:C42)</f>
        <v>0.16666666666666666</v>
      </c>
      <c r="D43" s="20"/>
      <c r="E43" s="20"/>
      <c r="F43" s="22">
        <f>+SUM(F42:F42)</f>
        <v>0.5</v>
      </c>
      <c r="G43" s="91"/>
      <c r="H43" s="40"/>
      <c r="I43" s="40"/>
      <c r="J43" s="40"/>
    </row>
    <row r="44" spans="1:10">
      <c r="A44" s="106" t="s">
        <v>112</v>
      </c>
      <c r="B44" s="106"/>
      <c r="G44" s="87"/>
      <c r="H44" s="40"/>
      <c r="I44" s="40"/>
      <c r="J44" s="40"/>
    </row>
    <row r="45" spans="1:10">
      <c r="A45" s="106"/>
      <c r="B45" s="106"/>
      <c r="G45" s="87"/>
      <c r="H45" s="40"/>
      <c r="I45" s="40"/>
      <c r="J45" s="40"/>
    </row>
    <row r="46" spans="1:10">
      <c r="A46" s="109" t="s">
        <v>19</v>
      </c>
      <c r="B46" s="111" t="s">
        <v>96</v>
      </c>
      <c r="C46" s="23" t="s">
        <v>11</v>
      </c>
      <c r="D46" s="23" t="s">
        <v>20</v>
      </c>
      <c r="E46" s="23" t="s">
        <v>9</v>
      </c>
      <c r="F46" s="23" t="s">
        <v>1</v>
      </c>
      <c r="G46" s="86" t="s">
        <v>55</v>
      </c>
      <c r="H46" s="40"/>
      <c r="I46" s="40"/>
      <c r="J46" s="40"/>
    </row>
    <row r="47" spans="1:10">
      <c r="A47" s="106" t="s">
        <v>109</v>
      </c>
      <c r="B47" s="137">
        <v>2</v>
      </c>
      <c r="C47" s="85">
        <v>0.16666666666666666</v>
      </c>
      <c r="D47" s="19">
        <f>+SUM(C$47:$C47)</f>
        <v>0.16666666666666666</v>
      </c>
      <c r="E47" s="19">
        <f>+E6</f>
        <v>3</v>
      </c>
      <c r="F47" s="19">
        <f>+E47*C47</f>
        <v>0.5</v>
      </c>
      <c r="G47" s="89">
        <v>0.03</v>
      </c>
      <c r="H47" s="106" t="s">
        <v>107</v>
      </c>
      <c r="I47" s="40"/>
      <c r="J47" s="40"/>
    </row>
    <row r="48" spans="1:10">
      <c r="A48" s="106" t="s">
        <v>110</v>
      </c>
      <c r="B48" s="113" t="s">
        <v>6</v>
      </c>
      <c r="C48" s="20">
        <f>+SUM(C47:C47)</f>
        <v>0.16666666666666666</v>
      </c>
      <c r="D48" s="20"/>
      <c r="E48" s="20"/>
      <c r="F48" s="22">
        <f>+SUM(F47:F47)</f>
        <v>0.5</v>
      </c>
      <c r="G48" s="91"/>
      <c r="H48" s="40"/>
      <c r="I48" s="40"/>
      <c r="J48" s="40"/>
    </row>
    <row r="49" spans="1:10">
      <c r="A49" s="106" t="s">
        <v>112</v>
      </c>
      <c r="B49" s="106"/>
      <c r="G49" s="88"/>
      <c r="H49" s="40"/>
      <c r="I49" s="40"/>
      <c r="J49" s="40"/>
    </row>
    <row r="50" spans="1:10">
      <c r="A50" s="106"/>
      <c r="B50" s="106"/>
      <c r="G50" s="88"/>
      <c r="H50" s="40"/>
      <c r="I50" s="40"/>
      <c r="J50" s="40"/>
    </row>
    <row r="51" spans="1:10">
      <c r="A51" s="106"/>
      <c r="B51" s="106"/>
      <c r="G51" s="88"/>
      <c r="H51" s="40"/>
      <c r="I51" s="40"/>
      <c r="J51" s="40"/>
    </row>
    <row r="52" spans="1:10">
      <c r="A52" s="106"/>
      <c r="B52" s="106"/>
      <c r="G52" s="88"/>
      <c r="H52" s="40"/>
      <c r="I52" s="40"/>
      <c r="J52" s="40"/>
    </row>
    <row r="53" spans="1:10">
      <c r="A53" s="106"/>
      <c r="B53" s="106"/>
      <c r="G53" s="88"/>
      <c r="H53" s="40"/>
      <c r="I53" s="40"/>
      <c r="J53" s="40"/>
    </row>
    <row r="54" spans="1:10">
      <c r="A54" s="106"/>
      <c r="G54" s="88"/>
      <c r="H54" s="40"/>
      <c r="I54" s="40"/>
    </row>
    <row r="55" spans="1:10">
      <c r="A55" s="106"/>
      <c r="G55" s="88"/>
      <c r="H55" s="40"/>
      <c r="I55" s="40"/>
    </row>
    <row r="56" spans="1:10">
      <c r="A56" s="106"/>
      <c r="G56" s="88"/>
      <c r="H56" s="40"/>
      <c r="I56" s="40"/>
    </row>
    <row r="57" spans="1:10">
      <c r="A57" s="106"/>
      <c r="G57" s="88"/>
      <c r="H57" s="40"/>
      <c r="I57" s="40"/>
    </row>
    <row r="58" spans="1:10">
      <c r="A58" s="106"/>
      <c r="G58" s="88"/>
      <c r="H58" s="40"/>
      <c r="I58" s="40"/>
    </row>
    <row r="59" spans="1:10">
      <c r="A59" s="106"/>
      <c r="G59" s="88"/>
      <c r="H59" s="40"/>
      <c r="I59" s="40"/>
    </row>
    <row r="60" spans="1:10">
      <c r="A60" s="106"/>
      <c r="G60" s="88"/>
      <c r="H60" s="40"/>
      <c r="I60" s="40"/>
    </row>
    <row r="61" spans="1:10">
      <c r="A61" s="106"/>
      <c r="G61" s="88"/>
      <c r="H61" s="40"/>
      <c r="I61" s="40"/>
    </row>
    <row r="62" spans="1:10">
      <c r="A62" s="106"/>
      <c r="G62" s="88"/>
      <c r="H62" s="40"/>
      <c r="I62" s="40"/>
    </row>
    <row r="63" spans="1:10">
      <c r="A63" s="106"/>
      <c r="G63" s="88"/>
      <c r="H63" s="40"/>
      <c r="I63" s="40"/>
    </row>
    <row r="64" spans="1:10">
      <c r="A64" s="106"/>
      <c r="G64" s="88"/>
      <c r="H64" s="40"/>
      <c r="I64" s="40"/>
    </row>
    <row r="65" spans="1:9">
      <c r="A65" s="106"/>
      <c r="G65" s="88"/>
      <c r="H65" s="40"/>
      <c r="I65" s="40"/>
    </row>
    <row r="66" spans="1:9">
      <c r="A66" s="106"/>
      <c r="G66" s="88"/>
      <c r="H66" s="40"/>
      <c r="I66" s="40"/>
    </row>
    <row r="67" spans="1:9">
      <c r="A67" s="106"/>
      <c r="G67" s="88"/>
      <c r="H67" s="40"/>
      <c r="I67" s="40"/>
    </row>
    <row r="68" spans="1:9">
      <c r="A68" s="106"/>
      <c r="G68" s="88"/>
      <c r="H68" s="40"/>
      <c r="I68" s="40"/>
    </row>
    <row r="69" spans="1:9">
      <c r="A69" s="106"/>
      <c r="G69" s="88"/>
      <c r="H69" s="40"/>
      <c r="I69" s="40"/>
    </row>
    <row r="70" spans="1:9">
      <c r="A70" s="106"/>
      <c r="G70" s="88"/>
      <c r="H70" s="40"/>
      <c r="I70" s="40"/>
    </row>
    <row r="71" spans="1:9">
      <c r="A71" s="106"/>
      <c r="G71" s="87"/>
      <c r="H71" s="40"/>
      <c r="I71" s="40"/>
    </row>
    <row r="72" spans="1:9">
      <c r="A72" s="106"/>
      <c r="G72" s="87"/>
      <c r="H72" s="40"/>
      <c r="I72" s="40"/>
    </row>
    <row r="73" spans="1:9">
      <c r="A73" s="106"/>
      <c r="G73" s="87"/>
      <c r="H73" s="40"/>
      <c r="I73" s="40"/>
    </row>
    <row r="74" spans="1:9">
      <c r="A74" s="106"/>
      <c r="G74" s="87"/>
      <c r="H74" s="40"/>
      <c r="I74" s="40"/>
    </row>
    <row r="75" spans="1:9">
      <c r="A75" s="106"/>
      <c r="G75" s="87"/>
      <c r="H75" s="40"/>
      <c r="I75" s="40"/>
    </row>
    <row r="76" spans="1:9">
      <c r="A76" s="106"/>
      <c r="G76" s="87"/>
      <c r="H76" s="40"/>
      <c r="I76" s="40"/>
    </row>
    <row r="77" spans="1:9">
      <c r="A77" s="106"/>
      <c r="G77" s="87"/>
      <c r="H77" s="40"/>
      <c r="I77" s="40"/>
    </row>
    <row r="78" spans="1:9">
      <c r="A78" s="106"/>
      <c r="G78" s="87"/>
      <c r="H78" s="40"/>
      <c r="I78" s="40"/>
    </row>
    <row r="79" spans="1:9">
      <c r="A79" s="106"/>
      <c r="G79" s="87"/>
      <c r="H79" s="40"/>
      <c r="I79" s="40"/>
    </row>
    <row r="80" spans="1:9">
      <c r="A80" s="106"/>
      <c r="G80" s="87"/>
      <c r="H80" s="40"/>
      <c r="I80" s="40"/>
    </row>
    <row r="81" spans="1:9">
      <c r="A81" s="106"/>
      <c r="G81" s="87"/>
      <c r="H81" s="40"/>
      <c r="I81" s="40"/>
    </row>
    <row r="82" spans="1:9">
      <c r="A82" s="106"/>
      <c r="G82" s="87"/>
      <c r="H82" s="40"/>
      <c r="I82" s="40"/>
    </row>
    <row r="83" spans="1:9">
      <c r="A83" s="106"/>
      <c r="G83" s="87"/>
      <c r="H83" s="40"/>
      <c r="I83" s="40"/>
    </row>
    <row r="84" spans="1:9">
      <c r="A84" s="106"/>
      <c r="G84" s="87"/>
      <c r="H84" s="40"/>
      <c r="I84" s="40"/>
    </row>
    <row r="85" spans="1:9">
      <c r="A85" s="106"/>
      <c r="G85" s="87"/>
      <c r="H85" s="40"/>
      <c r="I85" s="40"/>
    </row>
    <row r="86" spans="1:9">
      <c r="A86" s="106"/>
      <c r="G86" s="87"/>
      <c r="H86" s="40"/>
      <c r="I86" s="40"/>
    </row>
    <row r="87" spans="1:9">
      <c r="A87" s="106"/>
      <c r="G87" s="87"/>
      <c r="H87" s="40"/>
      <c r="I87" s="40"/>
    </row>
    <row r="88" spans="1:9">
      <c r="A88" s="106"/>
      <c r="G88" s="87"/>
      <c r="H88" s="40"/>
      <c r="I88" s="40"/>
    </row>
    <row r="89" spans="1:9">
      <c r="A89" s="106"/>
      <c r="G89" s="87"/>
      <c r="H89" s="40"/>
      <c r="I89" s="40"/>
    </row>
    <row r="90" spans="1:9">
      <c r="A90" s="106"/>
      <c r="G90" s="87"/>
      <c r="H90" s="40"/>
      <c r="I90" s="40"/>
    </row>
    <row r="91" spans="1:9">
      <c r="A91" s="106"/>
      <c r="G91" s="87"/>
      <c r="H91" s="40"/>
      <c r="I91" s="40"/>
    </row>
    <row r="92" spans="1:9">
      <c r="A92" s="106"/>
      <c r="G92" s="87"/>
      <c r="H92" s="40"/>
      <c r="I92" s="40"/>
    </row>
    <row r="93" spans="1:9">
      <c r="A93" s="106"/>
      <c r="G93" s="87"/>
      <c r="H93" s="40"/>
      <c r="I93" s="40"/>
    </row>
    <row r="94" spans="1:9">
      <c r="A94" s="106"/>
      <c r="G94" s="87"/>
      <c r="H94" s="40"/>
      <c r="I94" s="40"/>
    </row>
    <row r="95" spans="1:9">
      <c r="A95" s="106"/>
      <c r="G95" s="87"/>
      <c r="H95" s="40"/>
      <c r="I95" s="40"/>
    </row>
    <row r="96" spans="1:9">
      <c r="A96" s="106"/>
      <c r="G96" s="87"/>
      <c r="H96" s="40"/>
      <c r="I96" s="40"/>
    </row>
    <row r="97" spans="1:9">
      <c r="A97" s="106"/>
      <c r="G97" s="87"/>
      <c r="H97" s="40"/>
      <c r="I97" s="40"/>
    </row>
    <row r="98" spans="1:9">
      <c r="A98" s="106"/>
      <c r="G98" s="87"/>
      <c r="H98" s="40"/>
      <c r="I98" s="40"/>
    </row>
    <row r="99" spans="1:9">
      <c r="A99" s="106"/>
      <c r="G99" s="87"/>
      <c r="H99" s="40"/>
      <c r="I99" s="40"/>
    </row>
    <row r="100" spans="1:9">
      <c r="A100" s="106"/>
      <c r="G100" s="87"/>
      <c r="H100" s="40"/>
      <c r="I100" s="40"/>
    </row>
    <row r="101" spans="1:9">
      <c r="A101" s="106"/>
      <c r="G101" s="87"/>
      <c r="H101" s="40"/>
      <c r="I101" s="40"/>
    </row>
    <row r="102" spans="1:9">
      <c r="A102" s="106"/>
      <c r="G102" s="87"/>
      <c r="H102" s="40"/>
      <c r="I102" s="40"/>
    </row>
    <row r="103" spans="1:9">
      <c r="A103" s="106"/>
      <c r="G103" s="87"/>
      <c r="H103" s="40"/>
      <c r="I103" s="40"/>
    </row>
    <row r="104" spans="1:9">
      <c r="A104" s="106"/>
      <c r="G104" s="87"/>
      <c r="H104" s="40"/>
      <c r="I104" s="40"/>
    </row>
    <row r="105" spans="1:9">
      <c r="A105" s="106"/>
      <c r="G105" s="87"/>
      <c r="H105" s="40"/>
      <c r="I105" s="40"/>
    </row>
    <row r="106" spans="1:9">
      <c r="A106" s="106"/>
      <c r="G106" s="87"/>
      <c r="H106" s="40"/>
      <c r="I106" s="40"/>
    </row>
    <row r="107" spans="1:9">
      <c r="A107" s="106"/>
      <c r="G107" s="87"/>
      <c r="H107" s="40"/>
      <c r="I107" s="40"/>
    </row>
    <row r="108" spans="1:9">
      <c r="A108" s="106"/>
      <c r="G108" s="87"/>
      <c r="H108" s="40"/>
      <c r="I108" s="40"/>
    </row>
    <row r="109" spans="1:9">
      <c r="A109" s="106"/>
      <c r="G109" s="87"/>
      <c r="H109" s="40"/>
      <c r="I109" s="40"/>
    </row>
    <row r="110" spans="1:9">
      <c r="A110" s="106"/>
      <c r="G110" s="87"/>
      <c r="H110" s="40"/>
      <c r="I110" s="40"/>
    </row>
    <row r="111" spans="1:9">
      <c r="A111" s="106"/>
      <c r="G111" s="87"/>
      <c r="H111" s="40"/>
      <c r="I111" s="40"/>
    </row>
    <row r="112" spans="1:9">
      <c r="A112" s="106"/>
      <c r="G112" s="87"/>
      <c r="H112" s="40"/>
      <c r="I112" s="40"/>
    </row>
    <row r="113" spans="1:9">
      <c r="A113" s="106"/>
      <c r="G113" s="87"/>
      <c r="H113" s="40"/>
      <c r="I113" s="40"/>
    </row>
    <row r="114" spans="1:9">
      <c r="A114" s="106"/>
      <c r="G114" s="87"/>
      <c r="H114" s="40"/>
      <c r="I114" s="40"/>
    </row>
    <row r="115" spans="1:9">
      <c r="A115" s="106"/>
      <c r="G115" s="87"/>
      <c r="H115" s="40"/>
      <c r="I115" s="40"/>
    </row>
    <row r="116" spans="1:9">
      <c r="A116" s="106"/>
      <c r="G116" s="87"/>
      <c r="H116" s="40"/>
      <c r="I116" s="40"/>
    </row>
    <row r="117" spans="1:9">
      <c r="A117" s="106"/>
      <c r="G117" s="87"/>
      <c r="H117" s="40"/>
      <c r="I117" s="40"/>
    </row>
    <row r="118" spans="1:9">
      <c r="G118" s="87"/>
      <c r="H118" s="40"/>
      <c r="I118" s="40"/>
    </row>
    <row r="119" spans="1:9">
      <c r="G119" s="46"/>
      <c r="H119" s="40"/>
      <c r="I119" s="40"/>
    </row>
    <row r="120" spans="1:9">
      <c r="G120" s="46"/>
      <c r="H120" s="40"/>
      <c r="I120" s="40"/>
    </row>
    <row r="121" spans="1:9">
      <c r="G121" s="46"/>
      <c r="H121" s="40"/>
      <c r="I121" s="40"/>
    </row>
    <row r="122" spans="1:9">
      <c r="G122" s="46"/>
      <c r="H122" s="40"/>
      <c r="I122" s="40"/>
    </row>
    <row r="123" spans="1:9">
      <c r="G123" s="46"/>
      <c r="H123" s="40"/>
      <c r="I123" s="40"/>
    </row>
    <row r="124" spans="1:9">
      <c r="G124" s="46"/>
      <c r="H124" s="40"/>
      <c r="I124" s="40"/>
    </row>
    <row r="125" spans="1:9">
      <c r="G125" s="46"/>
      <c r="H125" s="40"/>
      <c r="I125" s="40"/>
    </row>
    <row r="126" spans="1:9">
      <c r="G126" s="46"/>
      <c r="H126" s="40"/>
      <c r="I126" s="40"/>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6.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88671875" style="106" customWidth="1"/>
    <col min="9" max="9" width="12" style="106" customWidth="1"/>
    <col min="10" max="16384" width="11.5546875" style="106"/>
  </cols>
  <sheetData>
    <row r="1" spans="1:9" ht="18">
      <c r="A1" s="143" t="s">
        <v>89</v>
      </c>
      <c r="B1" s="143"/>
      <c r="C1" s="143"/>
      <c r="D1" s="143"/>
      <c r="E1" s="143"/>
    </row>
    <row r="2" spans="1:9">
      <c r="A2" s="116" t="s">
        <v>114</v>
      </c>
    </row>
    <row r="4" spans="1:9">
      <c r="A4" s="109" t="s">
        <v>10</v>
      </c>
      <c r="B4" s="111" t="s">
        <v>96</v>
      </c>
      <c r="C4" s="111" t="s">
        <v>11</v>
      </c>
      <c r="D4" s="111" t="s">
        <v>20</v>
      </c>
      <c r="E4" s="111" t="s">
        <v>9</v>
      </c>
      <c r="F4" s="111" t="s">
        <v>1</v>
      </c>
      <c r="G4" s="111" t="s">
        <v>55</v>
      </c>
    </row>
    <row r="5" spans="1:9">
      <c r="A5" s="106" t="s">
        <v>108</v>
      </c>
      <c r="B5" s="139">
        <v>1</v>
      </c>
      <c r="C5" s="79">
        <v>0.105</v>
      </c>
      <c r="D5" s="107">
        <f>+SUM($C$5:C5)</f>
        <v>0.105</v>
      </c>
      <c r="E5" s="107">
        <f>+Summary!B27</f>
        <v>2</v>
      </c>
      <c r="F5" s="107">
        <f>+C5*E5</f>
        <v>0.21</v>
      </c>
      <c r="G5" s="89"/>
    </row>
    <row r="6" spans="1:9">
      <c r="B6" s="139">
        <v>2</v>
      </c>
      <c r="C6" s="79">
        <v>0.08</v>
      </c>
      <c r="D6" s="107">
        <f>+SUM($C$5:C6)</f>
        <v>0.185</v>
      </c>
      <c r="E6" s="107">
        <f>+Summary!B28</f>
        <v>3</v>
      </c>
      <c r="F6" s="107">
        <f t="shared" ref="F6:F7" si="0">+C6*E6</f>
        <v>0.24</v>
      </c>
      <c r="G6" s="89"/>
    </row>
    <row r="7" spans="1:9">
      <c r="B7" s="139" t="s">
        <v>99</v>
      </c>
      <c r="C7" s="79">
        <v>0.01</v>
      </c>
      <c r="D7" s="107">
        <f>+SUM($C$5:C7)</f>
        <v>0.19500000000000001</v>
      </c>
      <c r="E7" s="107">
        <f>+E5+E6</f>
        <v>5</v>
      </c>
      <c r="F7" s="107">
        <f t="shared" si="0"/>
        <v>0.05</v>
      </c>
      <c r="G7" s="89">
        <v>0.5</v>
      </c>
      <c r="H7" s="106" t="s">
        <v>107</v>
      </c>
      <c r="I7" s="141"/>
    </row>
    <row r="8" spans="1:9">
      <c r="B8" s="113" t="s">
        <v>12</v>
      </c>
      <c r="C8" s="113">
        <f>+SUM(C5:C7)</f>
        <v>0.19500000000000001</v>
      </c>
      <c r="D8" s="113"/>
      <c r="E8" s="113"/>
      <c r="F8" s="99">
        <f>+SUM(F5:F7)</f>
        <v>0.49999999999999994</v>
      </c>
      <c r="G8" s="90"/>
    </row>
    <row r="9" spans="1:9">
      <c r="B9" s="114" t="s">
        <v>103</v>
      </c>
      <c r="G9" s="87"/>
    </row>
    <row r="10" spans="1:9">
      <c r="G10" s="87"/>
    </row>
    <row r="11" spans="1:9">
      <c r="G11" s="87"/>
    </row>
    <row r="12" spans="1:9">
      <c r="A12" s="109" t="s">
        <v>18</v>
      </c>
      <c r="B12" s="111" t="s">
        <v>96</v>
      </c>
      <c r="C12" s="111" t="s">
        <v>11</v>
      </c>
      <c r="D12" s="111" t="s">
        <v>20</v>
      </c>
      <c r="E12" s="111" t="s">
        <v>9</v>
      </c>
      <c r="F12" s="111" t="s">
        <v>1</v>
      </c>
      <c r="G12" s="111" t="s">
        <v>55</v>
      </c>
    </row>
    <row r="13" spans="1:9">
      <c r="A13" s="106" t="s">
        <v>109</v>
      </c>
      <c r="B13" s="137">
        <v>1</v>
      </c>
      <c r="C13" s="110">
        <v>0.25</v>
      </c>
      <c r="D13" s="110">
        <f>+SUM(C13:$C$13)</f>
        <v>0.25</v>
      </c>
      <c r="E13" s="110">
        <f>+E5</f>
        <v>2</v>
      </c>
      <c r="F13" s="110">
        <f>+E13*C13</f>
        <v>0.5</v>
      </c>
      <c r="G13" s="89">
        <v>0.02</v>
      </c>
      <c r="H13" s="106" t="s">
        <v>107</v>
      </c>
    </row>
    <row r="14" spans="1:9">
      <c r="A14" s="106" t="s">
        <v>111</v>
      </c>
      <c r="B14" s="113" t="s">
        <v>6</v>
      </c>
      <c r="C14" s="113">
        <f>+SUM(C13:C13)</f>
        <v>0.25</v>
      </c>
      <c r="D14" s="113"/>
      <c r="E14" s="113"/>
      <c r="F14" s="118">
        <f>+SUM(F13:F13)</f>
        <v>0.5</v>
      </c>
      <c r="G14" s="91"/>
    </row>
    <row r="15" spans="1:9">
      <c r="G15" s="87"/>
    </row>
    <row r="16" spans="1:9">
      <c r="G16" s="87"/>
    </row>
    <row r="17" spans="1:8">
      <c r="A17" s="109" t="s">
        <v>19</v>
      </c>
      <c r="B17" s="111" t="s">
        <v>96</v>
      </c>
      <c r="C17" s="111" t="s">
        <v>11</v>
      </c>
      <c r="D17" s="111" t="s">
        <v>20</v>
      </c>
      <c r="E17" s="111" t="s">
        <v>9</v>
      </c>
      <c r="F17" s="111" t="s">
        <v>1</v>
      </c>
      <c r="G17" s="111" t="s">
        <v>55</v>
      </c>
    </row>
    <row r="18" spans="1:8">
      <c r="A18" s="106" t="s">
        <v>109</v>
      </c>
      <c r="B18" s="137">
        <v>2</v>
      </c>
      <c r="C18" s="110">
        <f>1/6</f>
        <v>0.16666666666666666</v>
      </c>
      <c r="D18" s="110">
        <f>+SUM(C$18:$C18)</f>
        <v>0.16666666666666666</v>
      </c>
      <c r="E18" s="110">
        <f>+E6</f>
        <v>3</v>
      </c>
      <c r="F18" s="110">
        <f>+E18*C18</f>
        <v>0.5</v>
      </c>
      <c r="G18" s="89">
        <v>0.03</v>
      </c>
      <c r="H18" s="106" t="s">
        <v>107</v>
      </c>
    </row>
    <row r="19" spans="1:8">
      <c r="A19" s="106" t="s">
        <v>110</v>
      </c>
      <c r="B19" s="113" t="s">
        <v>6</v>
      </c>
      <c r="C19" s="113">
        <f>+SUM(C18:C18)</f>
        <v>0.16666666666666666</v>
      </c>
      <c r="D19" s="113"/>
      <c r="E19" s="113"/>
      <c r="F19" s="118">
        <f>+SUM(F18:F18)</f>
        <v>0.5</v>
      </c>
      <c r="G19" s="91"/>
    </row>
    <row r="20" spans="1:8">
      <c r="G20" s="88"/>
    </row>
    <row r="21" spans="1:8">
      <c r="G21" s="88"/>
    </row>
    <row r="22" spans="1:8">
      <c r="G22" s="88"/>
    </row>
    <row r="23" spans="1:8">
      <c r="G23" s="88"/>
    </row>
    <row r="24" spans="1:8">
      <c r="G24" s="88"/>
    </row>
    <row r="25" spans="1:8">
      <c r="G25" s="88"/>
    </row>
    <row r="26" spans="1:8">
      <c r="G26" s="88"/>
    </row>
    <row r="27" spans="1:8">
      <c r="G27" s="88"/>
    </row>
    <row r="28" spans="1:8">
      <c r="G28" s="88"/>
    </row>
    <row r="29" spans="1:8">
      <c r="G29" s="88"/>
    </row>
    <row r="30" spans="1:8">
      <c r="G30" s="88"/>
    </row>
    <row r="31" spans="1:8">
      <c r="G31" s="88"/>
    </row>
    <row r="32" spans="1:8">
      <c r="G32" s="88"/>
    </row>
    <row r="33" spans="7:7">
      <c r="G33" s="88"/>
    </row>
    <row r="34" spans="7:7">
      <c r="G34" s="88"/>
    </row>
    <row r="35" spans="7:7">
      <c r="G35" s="88"/>
    </row>
    <row r="36" spans="7:7">
      <c r="G36" s="88"/>
    </row>
    <row r="37" spans="7:7">
      <c r="G37" s="88"/>
    </row>
    <row r="38" spans="7:7">
      <c r="G38" s="88"/>
    </row>
    <row r="39" spans="7:7">
      <c r="G39" s="88"/>
    </row>
    <row r="40" spans="7:7">
      <c r="G40" s="88"/>
    </row>
    <row r="41" spans="7:7">
      <c r="G41" s="88"/>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128</v>
      </c>
      <c r="B1" s="143"/>
      <c r="C1" s="143"/>
      <c r="D1" s="143"/>
      <c r="E1" s="143"/>
    </row>
    <row r="2" spans="1:8">
      <c r="A2" s="116"/>
    </row>
    <row r="4" spans="1:8">
      <c r="A4" s="109" t="s">
        <v>85</v>
      </c>
      <c r="B4" s="111" t="s">
        <v>96</v>
      </c>
      <c r="C4" s="111" t="s">
        <v>11</v>
      </c>
      <c r="D4" s="111" t="s">
        <v>20</v>
      </c>
      <c r="E4" s="111" t="s">
        <v>9</v>
      </c>
      <c r="F4" s="111" t="s">
        <v>1</v>
      </c>
      <c r="G4" s="111" t="s">
        <v>55</v>
      </c>
    </row>
    <row r="5" spans="1:8">
      <c r="B5" s="137">
        <v>1</v>
      </c>
      <c r="C5" s="110">
        <v>0.25</v>
      </c>
      <c r="D5" s="110">
        <f>+SUM(C5:$C$5)</f>
        <v>0.25</v>
      </c>
      <c r="E5" s="110">
        <f>+Summary!B21</f>
        <v>2</v>
      </c>
      <c r="F5" s="110">
        <f>+E5*C5</f>
        <v>0.5</v>
      </c>
      <c r="G5" s="89">
        <v>0.02</v>
      </c>
      <c r="H5" s="106" t="s">
        <v>107</v>
      </c>
    </row>
    <row r="6" spans="1:8">
      <c r="B6" s="113" t="s">
        <v>6</v>
      </c>
      <c r="C6" s="113">
        <f>+SUM(C5:C5)</f>
        <v>0.25</v>
      </c>
      <c r="D6" s="113"/>
      <c r="E6" s="113"/>
      <c r="F6" s="118">
        <f>+SUM(F5:F5)</f>
        <v>0.5</v>
      </c>
      <c r="G6" s="91"/>
    </row>
    <row r="7" spans="1:8">
      <c r="G7" s="87"/>
    </row>
    <row r="8" spans="1:8">
      <c r="G8" s="87"/>
    </row>
    <row r="9" spans="1:8">
      <c r="A9" s="109" t="s">
        <v>86</v>
      </c>
      <c r="B9" s="111" t="s">
        <v>96</v>
      </c>
      <c r="C9" s="111" t="s">
        <v>11</v>
      </c>
      <c r="D9" s="111" t="s">
        <v>20</v>
      </c>
      <c r="E9" s="111" t="s">
        <v>9</v>
      </c>
      <c r="F9" s="111" t="s">
        <v>1</v>
      </c>
      <c r="G9" s="111" t="s">
        <v>55</v>
      </c>
    </row>
    <row r="10" spans="1:8">
      <c r="B10" s="137">
        <v>1</v>
      </c>
      <c r="C10" s="110">
        <v>0.16666666666666599</v>
      </c>
      <c r="D10" s="110">
        <f>1/6</f>
        <v>0.16666666666666666</v>
      </c>
      <c r="E10" s="110">
        <f>+Summary!E21</f>
        <v>3</v>
      </c>
      <c r="F10" s="110">
        <f>+E10*C10</f>
        <v>0.499999999999998</v>
      </c>
      <c r="G10" s="89">
        <v>0.03</v>
      </c>
      <c r="H10" s="106" t="s">
        <v>107</v>
      </c>
    </row>
    <row r="11" spans="1:8">
      <c r="B11" s="113" t="s">
        <v>6</v>
      </c>
      <c r="C11" s="113">
        <f>+SUM(C10:C10)</f>
        <v>0.16666666666666599</v>
      </c>
      <c r="D11" s="113"/>
      <c r="E11" s="113"/>
      <c r="F11" s="118">
        <f>+SUM(F10:F10)</f>
        <v>0.499999999999998</v>
      </c>
      <c r="G11" s="91"/>
    </row>
    <row r="12" spans="1:8">
      <c r="G12" s="88"/>
    </row>
    <row r="13" spans="1:8">
      <c r="G13" s="88"/>
    </row>
    <row r="14" spans="1:8">
      <c r="A14" s="109" t="s">
        <v>87</v>
      </c>
      <c r="B14" s="111" t="s">
        <v>96</v>
      </c>
      <c r="C14" s="111" t="s">
        <v>11</v>
      </c>
      <c r="D14" s="111" t="s">
        <v>20</v>
      </c>
      <c r="E14" s="111" t="s">
        <v>9</v>
      </c>
      <c r="F14" s="111" t="s">
        <v>1</v>
      </c>
      <c r="G14" s="111" t="s">
        <v>55</v>
      </c>
    </row>
    <row r="15" spans="1:8">
      <c r="B15" s="137">
        <v>1</v>
      </c>
      <c r="C15" s="110">
        <v>0.125</v>
      </c>
      <c r="D15" s="110">
        <f>+SUM(C$15:$C15)</f>
        <v>0.125</v>
      </c>
      <c r="E15" s="110">
        <f>+Summary!H21</f>
        <v>4</v>
      </c>
      <c r="F15" s="110">
        <f>+E15*C15</f>
        <v>0.5</v>
      </c>
      <c r="G15" s="89">
        <v>0.04</v>
      </c>
      <c r="H15" s="106" t="s">
        <v>107</v>
      </c>
    </row>
    <row r="16" spans="1:8">
      <c r="B16" s="113" t="s">
        <v>6</v>
      </c>
      <c r="C16" s="113">
        <f>+SUM(C15:C15)</f>
        <v>0.125</v>
      </c>
      <c r="D16" s="113"/>
      <c r="E16" s="113"/>
      <c r="F16" s="118">
        <f>+SUM(F15:F15)</f>
        <v>0.5</v>
      </c>
      <c r="G16" s="91"/>
    </row>
    <row r="17" spans="7:7">
      <c r="G17" s="88"/>
    </row>
    <row r="18" spans="7:7">
      <c r="G18" s="88"/>
    </row>
    <row r="19" spans="7:7">
      <c r="G19" s="88"/>
    </row>
    <row r="20" spans="7:7">
      <c r="G20" s="88"/>
    </row>
    <row r="21" spans="7:7">
      <c r="G21" s="88"/>
    </row>
    <row r="22" spans="7:7">
      <c r="G22" s="88"/>
    </row>
    <row r="23" spans="7:7">
      <c r="G23" s="88"/>
    </row>
    <row r="24" spans="7:7">
      <c r="G24" s="88"/>
    </row>
    <row r="25" spans="7:7">
      <c r="G25" s="88"/>
    </row>
    <row r="26" spans="7:7">
      <c r="G26" s="88"/>
    </row>
    <row r="27" spans="7:7">
      <c r="G27" s="88"/>
    </row>
    <row r="28" spans="7:7">
      <c r="G28" s="88"/>
    </row>
    <row r="29" spans="7:7">
      <c r="G29" s="88"/>
    </row>
    <row r="30" spans="7:7">
      <c r="G30" s="88"/>
    </row>
    <row r="31" spans="7:7">
      <c r="G31" s="88"/>
    </row>
    <row r="32" spans="7:7">
      <c r="G32" s="88"/>
    </row>
    <row r="33" spans="7:7">
      <c r="G33" s="88"/>
    </row>
    <row r="34" spans="7:7">
      <c r="G34" s="87"/>
    </row>
    <row r="35" spans="7:7">
      <c r="G35" s="87"/>
    </row>
    <row r="36" spans="7:7">
      <c r="G36" s="87"/>
    </row>
    <row r="37" spans="7:7">
      <c r="G37" s="87"/>
    </row>
    <row r="38" spans="7:7">
      <c r="G38" s="87"/>
    </row>
    <row r="39" spans="7:7">
      <c r="G39" s="87"/>
    </row>
    <row r="40" spans="7:7">
      <c r="G40" s="87"/>
    </row>
    <row r="41" spans="7:7">
      <c r="G41" s="87"/>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88671875" style="106" customWidth="1"/>
    <col min="9" max="9" width="12" style="106" customWidth="1"/>
    <col min="10" max="16384" width="11.5546875" style="106"/>
  </cols>
  <sheetData>
    <row r="1" spans="1:9" ht="18">
      <c r="A1" s="143" t="s">
        <v>129</v>
      </c>
      <c r="B1" s="143"/>
      <c r="C1" s="143"/>
      <c r="D1" s="143"/>
      <c r="E1" s="143"/>
    </row>
    <row r="2" spans="1:9">
      <c r="A2" s="116" t="s">
        <v>114</v>
      </c>
    </row>
    <row r="4" spans="1:9">
      <c r="A4" s="109" t="s">
        <v>10</v>
      </c>
      <c r="B4" s="111" t="s">
        <v>96</v>
      </c>
      <c r="C4" s="111" t="s">
        <v>11</v>
      </c>
      <c r="D4" s="111" t="s">
        <v>20</v>
      </c>
      <c r="E4" s="111" t="s">
        <v>9</v>
      </c>
      <c r="F4" s="111" t="s">
        <v>1</v>
      </c>
      <c r="G4" s="111" t="s">
        <v>55</v>
      </c>
    </row>
    <row r="5" spans="1:9">
      <c r="A5" s="106" t="s">
        <v>108</v>
      </c>
      <c r="B5" s="139">
        <v>1</v>
      </c>
      <c r="C5" s="79">
        <v>7.0000000000000007E-2</v>
      </c>
      <c r="D5" s="107">
        <f>+SUM($C$5:C5)</f>
        <v>7.0000000000000007E-2</v>
      </c>
      <c r="E5" s="107">
        <f>+Summary!B36</f>
        <v>2</v>
      </c>
      <c r="F5" s="107">
        <f>+C5*E5</f>
        <v>0.14000000000000001</v>
      </c>
      <c r="G5" s="89"/>
    </row>
    <row r="6" spans="1:9">
      <c r="B6" s="139">
        <v>2</v>
      </c>
      <c r="C6" s="79">
        <v>8.9999999999999993E-3</v>
      </c>
      <c r="D6" s="107">
        <f>+SUM($C$5:C6)</f>
        <v>7.9000000000000001E-2</v>
      </c>
      <c r="E6" s="107">
        <f>+Summary!B37</f>
        <v>5</v>
      </c>
      <c r="F6" s="107">
        <f t="shared" ref="F6:F11" si="0">+C6*E6</f>
        <v>4.4999999999999998E-2</v>
      </c>
      <c r="G6" s="89"/>
    </row>
    <row r="7" spans="1:9">
      <c r="B7" s="139">
        <v>3</v>
      </c>
      <c r="C7" s="79">
        <v>0.01</v>
      </c>
      <c r="D7" s="107">
        <f>+SUM($C$5:C7)</f>
        <v>8.8999999999999996E-2</v>
      </c>
      <c r="E7" s="107">
        <f>+Summary!B38</f>
        <v>8</v>
      </c>
      <c r="F7" s="107">
        <f t="shared" si="0"/>
        <v>0.08</v>
      </c>
      <c r="G7" s="89"/>
      <c r="I7" s="47"/>
    </row>
    <row r="8" spans="1:9">
      <c r="B8" s="139" t="s">
        <v>99</v>
      </c>
      <c r="C8" s="79">
        <v>5.0000000000000001E-3</v>
      </c>
      <c r="D8" s="107">
        <f>+SUM($C$5:C8)</f>
        <v>9.4E-2</v>
      </c>
      <c r="E8" s="107">
        <f>+E5+E6</f>
        <v>7</v>
      </c>
      <c r="F8" s="107">
        <f t="shared" si="0"/>
        <v>3.5000000000000003E-2</v>
      </c>
      <c r="G8" s="89"/>
      <c r="I8" s="141"/>
    </row>
    <row r="9" spans="1:9">
      <c r="B9" s="139" t="s">
        <v>100</v>
      </c>
      <c r="C9" s="79">
        <v>6.0000000000000001E-3</v>
      </c>
      <c r="D9" s="107">
        <f>+SUM($C$5:C9)</f>
        <v>0.1</v>
      </c>
      <c r="E9" s="107">
        <f>+E5+E7</f>
        <v>10</v>
      </c>
      <c r="F9" s="107">
        <f t="shared" si="0"/>
        <v>0.06</v>
      </c>
      <c r="G9" s="89"/>
    </row>
    <row r="10" spans="1:9">
      <c r="B10" s="139" t="s">
        <v>101</v>
      </c>
      <c r="C10" s="79">
        <v>5.0000000000000001E-3</v>
      </c>
      <c r="D10" s="107">
        <f>+SUM($C$5:C10)</f>
        <v>0.10500000000000001</v>
      </c>
      <c r="E10" s="107">
        <f>+E6+E7</f>
        <v>13</v>
      </c>
      <c r="F10" s="107">
        <f t="shared" si="0"/>
        <v>6.5000000000000002E-2</v>
      </c>
      <c r="G10" s="89"/>
    </row>
    <row r="11" spans="1:9">
      <c r="B11" s="139" t="s">
        <v>102</v>
      </c>
      <c r="C11" s="79">
        <v>5.0000000000000001E-3</v>
      </c>
      <c r="D11" s="107">
        <f>+SUM($C$5:C11)</f>
        <v>0.11000000000000001</v>
      </c>
      <c r="E11" s="107">
        <f>+E5+E6+E7</f>
        <v>15</v>
      </c>
      <c r="F11" s="107">
        <f t="shared" si="0"/>
        <v>7.4999999999999997E-2</v>
      </c>
      <c r="G11" s="89">
        <v>1</v>
      </c>
      <c r="H11" s="106" t="s">
        <v>107</v>
      </c>
    </row>
    <row r="12" spans="1:9">
      <c r="B12" s="113" t="s">
        <v>12</v>
      </c>
      <c r="C12" s="113">
        <f>+SUM(C5:C11)</f>
        <v>0.11000000000000001</v>
      </c>
      <c r="D12" s="113"/>
      <c r="E12" s="113"/>
      <c r="F12" s="99">
        <f>+SUM(F5:F11)</f>
        <v>0.5</v>
      </c>
      <c r="G12" s="90"/>
    </row>
    <row r="13" spans="1:9">
      <c r="B13" s="114" t="s">
        <v>103</v>
      </c>
      <c r="G13" s="87"/>
    </row>
    <row r="14" spans="1:9">
      <c r="G14" s="87"/>
    </row>
    <row r="15" spans="1:9">
      <c r="A15" s="109" t="s">
        <v>14</v>
      </c>
      <c r="B15" s="111" t="s">
        <v>96</v>
      </c>
      <c r="C15" s="111" t="s">
        <v>11</v>
      </c>
      <c r="D15" s="111" t="s">
        <v>20</v>
      </c>
      <c r="E15" s="111" t="s">
        <v>9</v>
      </c>
      <c r="F15" s="111" t="s">
        <v>1</v>
      </c>
      <c r="G15" s="111" t="s">
        <v>55</v>
      </c>
    </row>
    <row r="16" spans="1:9">
      <c r="A16" s="106" t="s">
        <v>109</v>
      </c>
      <c r="B16" s="137">
        <v>2</v>
      </c>
      <c r="C16" s="110">
        <v>0.08</v>
      </c>
      <c r="D16" s="110">
        <f>+SUM(C16:$C$16)</f>
        <v>0.08</v>
      </c>
      <c r="E16" s="110">
        <f>+E6</f>
        <v>5</v>
      </c>
      <c r="F16" s="110">
        <f>+C16*E16</f>
        <v>0.4</v>
      </c>
      <c r="G16" s="89"/>
    </row>
    <row r="17" spans="1:9">
      <c r="A17" s="106" t="s">
        <v>110</v>
      </c>
      <c r="B17" s="137">
        <v>3</v>
      </c>
      <c r="C17" s="110">
        <v>4.3750000000000004E-3</v>
      </c>
      <c r="D17" s="110">
        <f>+SUM(C$16:$C17)</f>
        <v>8.4375000000000006E-2</v>
      </c>
      <c r="E17" s="110">
        <f>+E7</f>
        <v>8</v>
      </c>
      <c r="F17" s="110">
        <f t="shared" ref="F17:F18" si="1">+C17*E17</f>
        <v>3.5000000000000003E-2</v>
      </c>
      <c r="G17" s="89"/>
      <c r="I17" s="140"/>
    </row>
    <row r="18" spans="1:9">
      <c r="B18" s="137" t="s">
        <v>101</v>
      </c>
      <c r="C18" s="110">
        <v>5.0000000000000001E-3</v>
      </c>
      <c r="D18" s="110">
        <f>+SUM(C$16:$C18)</f>
        <v>8.937500000000001E-2</v>
      </c>
      <c r="E18" s="110">
        <f>+E16+E17</f>
        <v>13</v>
      </c>
      <c r="F18" s="110">
        <f t="shared" si="1"/>
        <v>6.5000000000000002E-2</v>
      </c>
      <c r="G18" s="89">
        <v>1</v>
      </c>
      <c r="H18" s="106" t="s">
        <v>107</v>
      </c>
    </row>
    <row r="19" spans="1:9">
      <c r="B19" s="113" t="s">
        <v>6</v>
      </c>
      <c r="C19" s="113">
        <f>+SUM(C16:C18)</f>
        <v>8.937500000000001E-2</v>
      </c>
      <c r="D19" s="113"/>
      <c r="E19" s="113"/>
      <c r="F19" s="118">
        <f>+SUM(F16:F18)</f>
        <v>0.5</v>
      </c>
      <c r="G19" s="91"/>
    </row>
    <row r="20" spans="1:9">
      <c r="B20" s="117"/>
      <c r="C20" s="117"/>
      <c r="D20" s="117"/>
      <c r="E20" s="117"/>
      <c r="F20" s="112"/>
      <c r="G20" s="92"/>
    </row>
    <row r="21" spans="1:9">
      <c r="B21" s="117"/>
      <c r="C21" s="117"/>
      <c r="D21" s="117"/>
      <c r="E21" s="117"/>
      <c r="F21" s="112"/>
      <c r="G21" s="92"/>
    </row>
    <row r="22" spans="1:9">
      <c r="A22" s="109" t="s">
        <v>15</v>
      </c>
      <c r="B22" s="111" t="s">
        <v>96</v>
      </c>
      <c r="C22" s="111" t="s">
        <v>11</v>
      </c>
      <c r="D22" s="111" t="s">
        <v>20</v>
      </c>
      <c r="E22" s="111" t="s">
        <v>9</v>
      </c>
      <c r="F22" s="111" t="s">
        <v>1</v>
      </c>
      <c r="G22" s="111" t="s">
        <v>55</v>
      </c>
    </row>
    <row r="23" spans="1:9">
      <c r="A23" s="106" t="s">
        <v>109</v>
      </c>
      <c r="B23" s="137">
        <v>1</v>
      </c>
      <c r="C23" s="110">
        <v>0.12</v>
      </c>
      <c r="D23" s="110">
        <f>+SUM(C23:$C$23)</f>
        <v>0.12</v>
      </c>
      <c r="E23" s="110">
        <f>+E5</f>
        <v>2</v>
      </c>
      <c r="F23" s="110">
        <f>+C23*E23</f>
        <v>0.24</v>
      </c>
      <c r="G23" s="89"/>
    </row>
    <row r="24" spans="1:9">
      <c r="A24" s="106" t="s">
        <v>111</v>
      </c>
      <c r="B24" s="137">
        <v>3</v>
      </c>
      <c r="C24" s="110">
        <v>0.02</v>
      </c>
      <c r="D24" s="110">
        <f>+SUM(C$23:$C24)</f>
        <v>0.13999999999999999</v>
      </c>
      <c r="E24" s="110">
        <f>+E7</f>
        <v>8</v>
      </c>
      <c r="F24" s="110">
        <f t="shared" ref="F24:F25" si="2">+C24*E24</f>
        <v>0.16</v>
      </c>
      <c r="G24" s="89"/>
    </row>
    <row r="25" spans="1:9">
      <c r="B25" s="137" t="s">
        <v>100</v>
      </c>
      <c r="C25" s="110">
        <v>0.01</v>
      </c>
      <c r="D25" s="110">
        <f>+SUM(C$23:$C25)</f>
        <v>0.15</v>
      </c>
      <c r="E25" s="110">
        <f>+E23+E24</f>
        <v>10</v>
      </c>
      <c r="F25" s="110">
        <f t="shared" si="2"/>
        <v>0.1</v>
      </c>
      <c r="G25" s="89">
        <v>0.5</v>
      </c>
      <c r="H25" s="106" t="s">
        <v>107</v>
      </c>
    </row>
    <row r="26" spans="1:9">
      <c r="B26" s="113" t="s">
        <v>6</v>
      </c>
      <c r="C26" s="113">
        <f>+SUM(C23:C25)</f>
        <v>0.15</v>
      </c>
      <c r="D26" s="113"/>
      <c r="E26" s="113"/>
      <c r="F26" s="118">
        <f>+SUM(F23:F25)</f>
        <v>0.5</v>
      </c>
      <c r="G26" s="91"/>
    </row>
    <row r="27" spans="1:9">
      <c r="B27" s="117"/>
      <c r="C27" s="117"/>
      <c r="D27" s="117"/>
      <c r="E27" s="117"/>
      <c r="F27" s="112"/>
      <c r="G27" s="92"/>
    </row>
    <row r="28" spans="1:9">
      <c r="G28" s="87"/>
    </row>
    <row r="29" spans="1:9">
      <c r="A29" s="109" t="s">
        <v>16</v>
      </c>
      <c r="B29" s="111" t="s">
        <v>96</v>
      </c>
      <c r="C29" s="111" t="s">
        <v>11</v>
      </c>
      <c r="D29" s="111" t="s">
        <v>20</v>
      </c>
      <c r="E29" s="111" t="s">
        <v>9</v>
      </c>
      <c r="F29" s="111" t="s">
        <v>1</v>
      </c>
      <c r="G29" s="111" t="s">
        <v>55</v>
      </c>
    </row>
    <row r="30" spans="1:9">
      <c r="A30" s="106" t="s">
        <v>109</v>
      </c>
      <c r="B30" s="137">
        <v>3</v>
      </c>
      <c r="C30" s="110">
        <v>6.25E-2</v>
      </c>
      <c r="D30" s="110">
        <f>+SUM(C30:$C$30)</f>
        <v>6.25E-2</v>
      </c>
      <c r="E30" s="110">
        <f>+E7</f>
        <v>8</v>
      </c>
      <c r="F30" s="110">
        <f>+C30*E30</f>
        <v>0.5</v>
      </c>
      <c r="G30" s="89">
        <v>0.08</v>
      </c>
      <c r="H30" s="106" t="s">
        <v>107</v>
      </c>
    </row>
    <row r="31" spans="1:9">
      <c r="A31" s="106" t="s">
        <v>110</v>
      </c>
      <c r="B31" s="113" t="s">
        <v>6</v>
      </c>
      <c r="C31" s="113">
        <f>+SUM(C30:C30)</f>
        <v>6.25E-2</v>
      </c>
      <c r="D31" s="113"/>
      <c r="E31" s="113"/>
      <c r="F31" s="118">
        <f>+SUM(F30:F30)</f>
        <v>0.5</v>
      </c>
      <c r="G31" s="91"/>
    </row>
    <row r="32" spans="1:9">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0.115</v>
      </c>
      <c r="D35" s="110">
        <f>+SUM(C35:$C$35)</f>
        <v>0.115</v>
      </c>
      <c r="E35" s="110">
        <f>+E5</f>
        <v>2</v>
      </c>
      <c r="F35" s="110">
        <f>+C35*E35</f>
        <v>0.23</v>
      </c>
      <c r="G35" s="89"/>
    </row>
    <row r="36" spans="1:8">
      <c r="A36" s="106" t="s">
        <v>112</v>
      </c>
      <c r="B36" s="137">
        <v>2</v>
      </c>
      <c r="C36" s="110">
        <v>0.04</v>
      </c>
      <c r="D36" s="110">
        <f>+SUM(C$35:$C36)</f>
        <v>0.155</v>
      </c>
      <c r="E36" s="110">
        <f>+E6</f>
        <v>5</v>
      </c>
      <c r="F36" s="110">
        <f t="shared" ref="F36:F37" si="3">+C36*E36</f>
        <v>0.2</v>
      </c>
      <c r="G36" s="89"/>
    </row>
    <row r="37" spans="1:8">
      <c r="B37" s="137" t="s">
        <v>99</v>
      </c>
      <c r="C37" s="110">
        <v>0.01</v>
      </c>
      <c r="D37" s="110">
        <f>+SUM(C$35:$C37)</f>
        <v>0.16500000000000001</v>
      </c>
      <c r="E37" s="110">
        <f>+E35+E36</f>
        <v>7</v>
      </c>
      <c r="F37" s="110">
        <f t="shared" si="3"/>
        <v>7.0000000000000007E-2</v>
      </c>
      <c r="G37" s="89">
        <v>0.5</v>
      </c>
      <c r="H37" s="106" t="s">
        <v>107</v>
      </c>
    </row>
    <row r="38" spans="1:8">
      <c r="A38" s="115"/>
      <c r="B38" s="113" t="s">
        <v>6</v>
      </c>
      <c r="C38" s="113">
        <f>+SUM(C35:C37)</f>
        <v>0.16500000000000001</v>
      </c>
      <c r="D38" s="113"/>
      <c r="E38" s="113"/>
      <c r="F38" s="118">
        <f>+SUM(F35:F37)</f>
        <v>0.5</v>
      </c>
      <c r="G38" s="91"/>
    </row>
    <row r="39" spans="1:8">
      <c r="A39" s="115"/>
      <c r="G39" s="87"/>
    </row>
    <row r="40" spans="1:8">
      <c r="G40" s="87"/>
    </row>
    <row r="41" spans="1:8">
      <c r="A41" s="109" t="s">
        <v>18</v>
      </c>
      <c r="B41" s="111" t="s">
        <v>96</v>
      </c>
      <c r="C41" s="111" t="s">
        <v>11</v>
      </c>
      <c r="D41" s="111" t="s">
        <v>20</v>
      </c>
      <c r="E41" s="111" t="s">
        <v>9</v>
      </c>
      <c r="F41" s="111" t="s">
        <v>1</v>
      </c>
      <c r="G41" s="111" t="s">
        <v>55</v>
      </c>
    </row>
    <row r="42" spans="1:8">
      <c r="A42" s="106" t="s">
        <v>109</v>
      </c>
      <c r="B42" s="137">
        <v>1</v>
      </c>
      <c r="C42" s="110">
        <v>0.25</v>
      </c>
      <c r="D42" s="110">
        <f>+SUM(C42:$C$42)</f>
        <v>0.25</v>
      </c>
      <c r="E42" s="110">
        <f>+E5</f>
        <v>2</v>
      </c>
      <c r="F42" s="110">
        <f>+E42*C42</f>
        <v>0.5</v>
      </c>
      <c r="G42" s="89">
        <v>0.02</v>
      </c>
      <c r="H42" s="106" t="s">
        <v>107</v>
      </c>
    </row>
    <row r="43" spans="1:8">
      <c r="A43" s="106" t="s">
        <v>111</v>
      </c>
      <c r="B43" s="113" t="s">
        <v>6</v>
      </c>
      <c r="C43" s="113">
        <f>+SUM(C42:C42)</f>
        <v>0.25</v>
      </c>
      <c r="D43" s="113"/>
      <c r="E43" s="113"/>
      <c r="F43" s="118">
        <f>+SUM(F42:F42)</f>
        <v>0.5</v>
      </c>
      <c r="G43" s="91"/>
    </row>
    <row r="44" spans="1:8">
      <c r="A44" s="106" t="s">
        <v>112</v>
      </c>
      <c r="G44" s="87"/>
    </row>
    <row r="45" spans="1:8">
      <c r="G45" s="87"/>
    </row>
    <row r="46" spans="1:8">
      <c r="A46" s="109" t="s">
        <v>19</v>
      </c>
      <c r="B46" s="111" t="s">
        <v>96</v>
      </c>
      <c r="C46" s="111" t="s">
        <v>11</v>
      </c>
      <c r="D46" s="111" t="s">
        <v>20</v>
      </c>
      <c r="E46" s="111" t="s">
        <v>9</v>
      </c>
      <c r="F46" s="111" t="s">
        <v>1</v>
      </c>
      <c r="G46" s="111" t="s">
        <v>55</v>
      </c>
    </row>
    <row r="47" spans="1:8">
      <c r="A47" s="106" t="s">
        <v>109</v>
      </c>
      <c r="B47" s="137">
        <v>2</v>
      </c>
      <c r="C47" s="110">
        <v>0.1</v>
      </c>
      <c r="D47" s="110">
        <f>+SUM(C$47:$C47)</f>
        <v>0.1</v>
      </c>
      <c r="E47" s="110">
        <f>+E6</f>
        <v>5</v>
      </c>
      <c r="F47" s="110">
        <f>+E47*C47</f>
        <v>0.5</v>
      </c>
      <c r="G47" s="89">
        <v>0.05</v>
      </c>
      <c r="H47" s="106" t="s">
        <v>107</v>
      </c>
    </row>
    <row r="48" spans="1:8">
      <c r="A48" s="106" t="s">
        <v>110</v>
      </c>
      <c r="B48" s="113" t="s">
        <v>6</v>
      </c>
      <c r="C48" s="113">
        <f>+SUM(C47:C47)</f>
        <v>0.1</v>
      </c>
      <c r="D48" s="113"/>
      <c r="E48" s="113"/>
      <c r="F48" s="118">
        <f>+SUM(F47:F47)</f>
        <v>0.5</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sheetPr codeName="Hoja10"/>
  <dimension ref="A1:J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115</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0.25</v>
      </c>
      <c r="D5" s="107">
        <f>+SUM($C$5:C5)</f>
        <v>0.25</v>
      </c>
      <c r="E5" s="121">
        <f>Summary!E27</f>
        <v>0</v>
      </c>
      <c r="F5" s="107">
        <f>+C5*E5</f>
        <v>0</v>
      </c>
      <c r="G5" s="89"/>
    </row>
    <row r="6" spans="1:8">
      <c r="B6" s="139">
        <v>2</v>
      </c>
      <c r="C6" s="107">
        <v>0.3</v>
      </c>
      <c r="D6" s="107">
        <f>+SUM($C$5:C6)</f>
        <v>0.55000000000000004</v>
      </c>
      <c r="E6" s="121">
        <f>Summary!E28</f>
        <v>2</v>
      </c>
      <c r="F6" s="107">
        <f t="shared" ref="F6:F11" si="0">+C6*E6</f>
        <v>0.6</v>
      </c>
      <c r="G6" s="89"/>
    </row>
    <row r="7" spans="1:8">
      <c r="B7" s="139">
        <v>3</v>
      </c>
      <c r="C7" s="107">
        <v>0.05</v>
      </c>
      <c r="D7" s="107">
        <f>+SUM($C$5:C7)</f>
        <v>0.60000000000000009</v>
      </c>
      <c r="E7" s="121">
        <f>Summary!E29</f>
        <v>3</v>
      </c>
      <c r="F7" s="107">
        <f t="shared" si="0"/>
        <v>0.15000000000000002</v>
      </c>
      <c r="G7" s="89"/>
    </row>
    <row r="8" spans="1:8">
      <c r="B8" s="139" t="s">
        <v>99</v>
      </c>
      <c r="C8" s="107">
        <v>7.4999999999999997E-2</v>
      </c>
      <c r="D8" s="107">
        <f>+SUM($C$5:C8)</f>
        <v>0.67500000000000004</v>
      </c>
      <c r="E8" s="107">
        <f>+E5+E6</f>
        <v>2</v>
      </c>
      <c r="F8" s="107">
        <f t="shared" si="0"/>
        <v>0.15</v>
      </c>
      <c r="G8" s="89"/>
    </row>
    <row r="9" spans="1:8">
      <c r="B9" s="139" t="s">
        <v>100</v>
      </c>
      <c r="C9" s="107">
        <v>2.5000000000000001E-2</v>
      </c>
      <c r="D9" s="107">
        <f>+SUM($C$5:C9)</f>
        <v>0.70000000000000007</v>
      </c>
      <c r="E9" s="107">
        <f>+E5+E7</f>
        <v>3</v>
      </c>
      <c r="F9" s="107">
        <f t="shared" si="0"/>
        <v>7.5000000000000011E-2</v>
      </c>
      <c r="G9" s="89"/>
    </row>
    <row r="10" spans="1:8">
      <c r="B10" s="139" t="s">
        <v>101</v>
      </c>
      <c r="C10" s="107">
        <v>0.04</v>
      </c>
      <c r="D10" s="107">
        <f>+SUM($C$5:C10)</f>
        <v>0.7400000000000001</v>
      </c>
      <c r="E10" s="107">
        <f>+E6+E7</f>
        <v>5</v>
      </c>
      <c r="F10" s="107">
        <f t="shared" si="0"/>
        <v>0.2</v>
      </c>
      <c r="G10" s="89"/>
    </row>
    <row r="11" spans="1:8">
      <c r="B11" s="139" t="s">
        <v>102</v>
      </c>
      <c r="C11" s="107">
        <v>5.0000000000000001E-3</v>
      </c>
      <c r="D11" s="107">
        <f>+SUM($C$5:C11)</f>
        <v>0.74500000000000011</v>
      </c>
      <c r="E11" s="107">
        <f>+E5+E6+E7</f>
        <v>5</v>
      </c>
      <c r="F11" s="107">
        <f t="shared" si="0"/>
        <v>2.5000000000000001E-2</v>
      </c>
      <c r="G11" s="89">
        <v>0</v>
      </c>
      <c r="H11" s="106" t="s">
        <v>107</v>
      </c>
    </row>
    <row r="12" spans="1:8">
      <c r="B12" s="113" t="s">
        <v>12</v>
      </c>
      <c r="C12" s="113">
        <f>+SUM(C5:C11)</f>
        <v>0.74500000000000011</v>
      </c>
      <c r="D12" s="113"/>
      <c r="E12" s="113"/>
      <c r="F12" s="120">
        <f>+SUM(F5:F11)</f>
        <v>1.2</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0.45</v>
      </c>
      <c r="D16" s="110">
        <f>+SUM(C16:$C$16)</f>
        <v>0.45</v>
      </c>
      <c r="E16" s="110">
        <f>+E6</f>
        <v>2</v>
      </c>
      <c r="F16" s="110">
        <f>+C16*E16</f>
        <v>0.9</v>
      </c>
      <c r="G16" s="89"/>
    </row>
    <row r="17" spans="1:10">
      <c r="A17" s="106" t="s">
        <v>110</v>
      </c>
      <c r="B17" s="137">
        <v>3</v>
      </c>
      <c r="C17" s="110">
        <v>0.05</v>
      </c>
      <c r="D17" s="110">
        <f>+SUM(C$16:$C17)</f>
        <v>0.5</v>
      </c>
      <c r="E17" s="110">
        <f>+E7</f>
        <v>3</v>
      </c>
      <c r="F17" s="110">
        <f t="shared" ref="F17:F18" si="1">+C17*E17</f>
        <v>0.15000000000000002</v>
      </c>
      <c r="G17" s="89"/>
    </row>
    <row r="18" spans="1:10">
      <c r="B18" s="137" t="s">
        <v>101</v>
      </c>
      <c r="C18" s="110">
        <v>0.03</v>
      </c>
      <c r="D18" s="110">
        <f>+SUM(C$16:$C18)</f>
        <v>0.53</v>
      </c>
      <c r="E18" s="110">
        <f>+E16+E17</f>
        <v>5</v>
      </c>
      <c r="F18" s="110">
        <f t="shared" si="1"/>
        <v>0.15</v>
      </c>
      <c r="G18" s="89">
        <v>0</v>
      </c>
      <c r="H18" s="106" t="s">
        <v>107</v>
      </c>
    </row>
    <row r="19" spans="1:10">
      <c r="B19" s="113" t="s">
        <v>6</v>
      </c>
      <c r="C19" s="113">
        <f>+SUM(C16:C18)</f>
        <v>0.53</v>
      </c>
      <c r="D19" s="113"/>
      <c r="E19" s="113"/>
      <c r="F19" s="118">
        <f>+SUM(F16:F18)</f>
        <v>1.2</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0.6</v>
      </c>
      <c r="D23" s="110">
        <f>+SUM(C23:$C$23)</f>
        <v>0.6</v>
      </c>
      <c r="E23" s="110">
        <f>+E5</f>
        <v>0</v>
      </c>
      <c r="F23" s="110">
        <f>+C23*E23</f>
        <v>0</v>
      </c>
      <c r="G23" s="89"/>
    </row>
    <row r="24" spans="1:10">
      <c r="A24" s="106" t="s">
        <v>111</v>
      </c>
      <c r="B24" s="137">
        <v>3</v>
      </c>
      <c r="C24" s="110">
        <v>0.37</v>
      </c>
      <c r="D24" s="110">
        <f>+SUM(C$23:$C24)</f>
        <v>0.97</v>
      </c>
      <c r="E24" s="110">
        <f>+E7</f>
        <v>3</v>
      </c>
      <c r="F24" s="110">
        <f t="shared" ref="F24:F25" si="2">+C24*E24</f>
        <v>1.1099999999999999</v>
      </c>
      <c r="G24" s="89"/>
    </row>
    <row r="25" spans="1:10">
      <c r="B25" s="137" t="s">
        <v>100</v>
      </c>
      <c r="C25" s="110">
        <v>0.03</v>
      </c>
      <c r="D25" s="110">
        <f>+SUM(C$23:$C25)</f>
        <v>1</v>
      </c>
      <c r="E25" s="110">
        <f>+E23+E24</f>
        <v>3</v>
      </c>
      <c r="F25" s="110">
        <f t="shared" si="2"/>
        <v>0.09</v>
      </c>
      <c r="G25" s="89">
        <v>0</v>
      </c>
      <c r="H25" s="106" t="s">
        <v>107</v>
      </c>
      <c r="J25" s="119"/>
    </row>
    <row r="26" spans="1:10">
      <c r="B26" s="113" t="s">
        <v>6</v>
      </c>
      <c r="C26" s="113">
        <f>+SUM(C23:C25)</f>
        <v>1</v>
      </c>
      <c r="D26" s="113"/>
      <c r="E26" s="113"/>
      <c r="F26" s="118">
        <f>+SUM(F23:F25)</f>
        <v>1.2</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0.4</v>
      </c>
      <c r="D30" s="110">
        <f>+SUM(C30:$C$30)</f>
        <v>0.4</v>
      </c>
      <c r="E30" s="110">
        <f>+E7</f>
        <v>3</v>
      </c>
      <c r="F30" s="110">
        <f>+C30*E30</f>
        <v>1.2000000000000002</v>
      </c>
      <c r="G30" s="89">
        <v>0</v>
      </c>
      <c r="H30" s="106" t="s">
        <v>107</v>
      </c>
    </row>
    <row r="31" spans="1:10">
      <c r="A31" s="106" t="s">
        <v>110</v>
      </c>
      <c r="B31" s="113" t="s">
        <v>6</v>
      </c>
      <c r="C31" s="113">
        <f>+SUM(C30:C30)</f>
        <v>0.4</v>
      </c>
      <c r="D31" s="113"/>
      <c r="E31" s="113"/>
      <c r="F31" s="118">
        <f>+SUM(F30:F30)</f>
        <v>1.2000000000000002</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0.35</v>
      </c>
      <c r="D35" s="110">
        <f>+SUM(C35:$C$35)</f>
        <v>0.35</v>
      </c>
      <c r="E35" s="110">
        <f>+E5</f>
        <v>0</v>
      </c>
      <c r="F35" s="110">
        <f>+C35*E35</f>
        <v>0</v>
      </c>
      <c r="G35" s="89"/>
    </row>
    <row r="36" spans="1:8">
      <c r="A36" s="106" t="s">
        <v>112</v>
      </c>
      <c r="B36" s="137">
        <v>2</v>
      </c>
      <c r="C36" s="110">
        <v>0.55000000000000004</v>
      </c>
      <c r="D36" s="110">
        <f>+SUM(C$35:$C36)</f>
        <v>0.9</v>
      </c>
      <c r="E36" s="110">
        <f>+E6</f>
        <v>2</v>
      </c>
      <c r="F36" s="110">
        <f t="shared" ref="F36:F37" si="3">+C36*E36</f>
        <v>1.1000000000000001</v>
      </c>
      <c r="G36" s="89"/>
    </row>
    <row r="37" spans="1:8">
      <c r="B37" s="137" t="s">
        <v>99</v>
      </c>
      <c r="C37" s="110">
        <v>0.05</v>
      </c>
      <c r="D37" s="110">
        <f>+SUM(C$35:$C37)</f>
        <v>0.95000000000000007</v>
      </c>
      <c r="E37" s="110">
        <f>+E35+E36</f>
        <v>2</v>
      </c>
      <c r="F37" s="110">
        <f t="shared" si="3"/>
        <v>0.1</v>
      </c>
      <c r="G37" s="89">
        <v>0</v>
      </c>
      <c r="H37" s="106" t="s">
        <v>107</v>
      </c>
    </row>
    <row r="38" spans="1:8">
      <c r="A38" s="115"/>
      <c r="B38" s="113" t="s">
        <v>6</v>
      </c>
      <c r="C38" s="113">
        <f>+SUM(C35:C37)</f>
        <v>0.95000000000000007</v>
      </c>
      <c r="D38" s="113"/>
      <c r="E38" s="113"/>
      <c r="F38" s="118">
        <f>+SUM(F35:F37)</f>
        <v>1.2000000000000002</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0.8</v>
      </c>
      <c r="D42" s="110">
        <f>+SUM(C42:$C$42)</f>
        <v>0.8</v>
      </c>
      <c r="E42" s="110">
        <f>+E5</f>
        <v>0</v>
      </c>
      <c r="F42" s="110">
        <f>+E42*C42</f>
        <v>0</v>
      </c>
      <c r="G42" s="89">
        <v>0</v>
      </c>
      <c r="H42" s="106" t="s">
        <v>107</v>
      </c>
    </row>
    <row r="43" spans="1:8">
      <c r="A43" s="106" t="s">
        <v>111</v>
      </c>
      <c r="B43" s="113" t="s">
        <v>6</v>
      </c>
      <c r="C43" s="113">
        <f>+SUM(C42:C42)</f>
        <v>0.8</v>
      </c>
      <c r="D43" s="113"/>
      <c r="E43" s="113"/>
      <c r="F43" s="118">
        <f>+SUM(F42:F42)</f>
        <v>0</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0.6</v>
      </c>
      <c r="D47" s="110">
        <f>+SUM(C$47:$C47)</f>
        <v>0.6</v>
      </c>
      <c r="E47" s="110">
        <f>+E6</f>
        <v>2</v>
      </c>
      <c r="F47" s="110">
        <f>+E47*C47</f>
        <v>1.2</v>
      </c>
      <c r="G47" s="89">
        <v>0</v>
      </c>
      <c r="H47" s="106" t="s">
        <v>107</v>
      </c>
    </row>
    <row r="48" spans="1:8">
      <c r="A48" s="106" t="s">
        <v>110</v>
      </c>
      <c r="B48" s="113" t="s">
        <v>6</v>
      </c>
      <c r="C48" s="113">
        <f>+SUM(C47:C47)</f>
        <v>0.6</v>
      </c>
      <c r="D48" s="113"/>
      <c r="E48" s="113"/>
      <c r="F48" s="118">
        <f>+SUM(F47:F47)</f>
        <v>1.2</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sheetPr codeName="Hoja9"/>
  <dimension ref="A1:J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120</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0.2</v>
      </c>
      <c r="D5" s="107">
        <f>+SUM($C$5:C5)</f>
        <v>0.2</v>
      </c>
      <c r="E5" s="107">
        <f>+Summary!H27</f>
        <v>2</v>
      </c>
      <c r="F5" s="107">
        <f>+C5*E5</f>
        <v>0.4</v>
      </c>
      <c r="G5" s="89"/>
    </row>
    <row r="6" spans="1:8">
      <c r="B6" s="139">
        <v>2</v>
      </c>
      <c r="C6" s="107">
        <v>0.2</v>
      </c>
      <c r="D6" s="107">
        <f>+SUM($C$5:C6)</f>
        <v>0.4</v>
      </c>
      <c r="E6" s="107">
        <f>+Summary!H28</f>
        <v>2</v>
      </c>
      <c r="F6" s="107">
        <f t="shared" ref="F6:F11" si="0">+C6*E6</f>
        <v>0.4</v>
      </c>
      <c r="G6" s="89"/>
    </row>
    <row r="7" spans="1:8">
      <c r="B7" s="139">
        <v>3</v>
      </c>
      <c r="C7" s="107">
        <v>0.01</v>
      </c>
      <c r="D7" s="107">
        <f>+SUM($C$5:C7)</f>
        <v>0.41000000000000003</v>
      </c>
      <c r="E7" s="107">
        <f>+Summary!H29</f>
        <v>4</v>
      </c>
      <c r="F7" s="107">
        <f t="shared" si="0"/>
        <v>0.04</v>
      </c>
      <c r="G7" s="89"/>
    </row>
    <row r="8" spans="1:8">
      <c r="B8" s="139" t="s">
        <v>99</v>
      </c>
      <c r="C8" s="107">
        <v>0.05</v>
      </c>
      <c r="D8" s="107">
        <f>+SUM($C$5:C8)</f>
        <v>0.46</v>
      </c>
      <c r="E8" s="107">
        <f>+E5+E6</f>
        <v>4</v>
      </c>
      <c r="F8" s="107">
        <f t="shared" si="0"/>
        <v>0.2</v>
      </c>
      <c r="G8" s="89"/>
    </row>
    <row r="9" spans="1:8">
      <c r="B9" s="139" t="s">
        <v>100</v>
      </c>
      <c r="C9" s="107">
        <v>0.01</v>
      </c>
      <c r="D9" s="107">
        <f>+SUM($C$5:C9)</f>
        <v>0.47000000000000003</v>
      </c>
      <c r="E9" s="107">
        <f>+E5+E7</f>
        <v>6</v>
      </c>
      <c r="F9" s="107">
        <f t="shared" si="0"/>
        <v>0.06</v>
      </c>
      <c r="G9" s="89"/>
    </row>
    <row r="10" spans="1:8">
      <c r="B10" s="139" t="s">
        <v>101</v>
      </c>
      <c r="C10" s="107">
        <v>0.01</v>
      </c>
      <c r="D10" s="107">
        <f>+SUM($C$5:C10)</f>
        <v>0.48000000000000004</v>
      </c>
      <c r="E10" s="107">
        <f>+E6+E7</f>
        <v>6</v>
      </c>
      <c r="F10" s="107">
        <f t="shared" si="0"/>
        <v>0.06</v>
      </c>
      <c r="G10" s="89"/>
    </row>
    <row r="11" spans="1:8">
      <c r="B11" s="139" t="s">
        <v>102</v>
      </c>
      <c r="C11" s="107">
        <v>5.0000000000000001E-3</v>
      </c>
      <c r="D11" s="107">
        <f>+SUM($C$5:C11)</f>
        <v>0.48500000000000004</v>
      </c>
      <c r="E11" s="107">
        <f>+E5+E6+E7</f>
        <v>8</v>
      </c>
      <c r="F11" s="107">
        <f t="shared" si="0"/>
        <v>0.04</v>
      </c>
      <c r="G11" s="89">
        <v>0</v>
      </c>
      <c r="H11" s="106" t="s">
        <v>107</v>
      </c>
    </row>
    <row r="12" spans="1:8">
      <c r="B12" s="113" t="s">
        <v>12</v>
      </c>
      <c r="C12" s="113">
        <f>+SUM(C5:C11)</f>
        <v>0.48500000000000004</v>
      </c>
      <c r="D12" s="113"/>
      <c r="E12" s="113"/>
      <c r="F12" s="120">
        <f>+SUM(F5:F11)</f>
        <v>1.2000000000000002</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0.5</v>
      </c>
      <c r="D16" s="110">
        <f>+SUM(C16:$C$16)</f>
        <v>0.5</v>
      </c>
      <c r="E16" s="110">
        <f>+E6</f>
        <v>2</v>
      </c>
      <c r="F16" s="110">
        <f>+C16*E16</f>
        <v>1</v>
      </c>
      <c r="G16" s="89"/>
    </row>
    <row r="17" spans="1:10">
      <c r="A17" s="106" t="s">
        <v>110</v>
      </c>
      <c r="B17" s="137">
        <v>3</v>
      </c>
      <c r="C17" s="110">
        <v>0.02</v>
      </c>
      <c r="D17" s="110">
        <f>+SUM(C$16:$C17)</f>
        <v>0.52</v>
      </c>
      <c r="E17" s="110">
        <f>+E7</f>
        <v>4</v>
      </c>
      <c r="F17" s="110">
        <f t="shared" ref="F17:F18" si="1">+C17*E17</f>
        <v>0.08</v>
      </c>
      <c r="G17" s="89"/>
    </row>
    <row r="18" spans="1:10">
      <c r="B18" s="137" t="s">
        <v>101</v>
      </c>
      <c r="C18" s="110">
        <v>0.02</v>
      </c>
      <c r="D18" s="110">
        <f>+SUM(C$16:$C18)</f>
        <v>0.54</v>
      </c>
      <c r="E18" s="110">
        <f>+E16+E17</f>
        <v>6</v>
      </c>
      <c r="F18" s="110">
        <f t="shared" si="1"/>
        <v>0.12</v>
      </c>
      <c r="G18" s="89">
        <v>0</v>
      </c>
      <c r="H18" s="106" t="s">
        <v>107</v>
      </c>
    </row>
    <row r="19" spans="1:10">
      <c r="B19" s="113" t="s">
        <v>6</v>
      </c>
      <c r="C19" s="113">
        <f>+SUM(C16:C18)</f>
        <v>0.54</v>
      </c>
      <c r="D19" s="113"/>
      <c r="E19" s="113"/>
      <c r="F19" s="118">
        <f>+SUM(F16:F18)</f>
        <v>1.2000000000000002</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0.5</v>
      </c>
      <c r="D23" s="110">
        <f>+SUM(C23:$C$23)</f>
        <v>0.5</v>
      </c>
      <c r="E23" s="110">
        <f>+E5</f>
        <v>2</v>
      </c>
      <c r="F23" s="110">
        <f>+C23*E23</f>
        <v>1</v>
      </c>
      <c r="G23" s="89"/>
    </row>
    <row r="24" spans="1:10">
      <c r="A24" s="106" t="s">
        <v>111</v>
      </c>
      <c r="B24" s="137">
        <v>3</v>
      </c>
      <c r="C24" s="110">
        <v>0.02</v>
      </c>
      <c r="D24" s="110">
        <f>+SUM(C$23:$C24)</f>
        <v>0.52</v>
      </c>
      <c r="E24" s="110">
        <f>+E7</f>
        <v>4</v>
      </c>
      <c r="F24" s="110">
        <f t="shared" ref="F24:F25" si="2">+C24*E24</f>
        <v>0.08</v>
      </c>
      <c r="G24" s="89"/>
    </row>
    <row r="25" spans="1:10">
      <c r="B25" s="137" t="s">
        <v>100</v>
      </c>
      <c r="C25" s="110">
        <v>0.02</v>
      </c>
      <c r="D25" s="110">
        <f>+SUM(C$23:$C25)</f>
        <v>0.54</v>
      </c>
      <c r="E25" s="110">
        <f>+E23+E24</f>
        <v>6</v>
      </c>
      <c r="F25" s="110">
        <f t="shared" si="2"/>
        <v>0.12</v>
      </c>
      <c r="G25" s="89">
        <v>0</v>
      </c>
      <c r="H25" s="106" t="s">
        <v>107</v>
      </c>
      <c r="J25" s="119"/>
    </row>
    <row r="26" spans="1:10">
      <c r="B26" s="113" t="s">
        <v>6</v>
      </c>
      <c r="C26" s="113">
        <f>+SUM(C23:C25)</f>
        <v>0.54</v>
      </c>
      <c r="D26" s="113"/>
      <c r="E26" s="113"/>
      <c r="F26" s="118">
        <f>+SUM(F23:F25)</f>
        <v>1.2000000000000002</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0.3</v>
      </c>
      <c r="D30" s="110">
        <f>+SUM(C30:$C$30)</f>
        <v>0.3</v>
      </c>
      <c r="E30" s="110">
        <f>+E7</f>
        <v>4</v>
      </c>
      <c r="F30" s="110">
        <f>+C30*E30</f>
        <v>1.2</v>
      </c>
      <c r="G30" s="89">
        <v>0</v>
      </c>
      <c r="H30" s="106" t="s">
        <v>107</v>
      </c>
    </row>
    <row r="31" spans="1:10">
      <c r="A31" s="106" t="s">
        <v>110</v>
      </c>
      <c r="B31" s="113" t="s">
        <v>6</v>
      </c>
      <c r="C31" s="113">
        <f>+SUM(C30:C30)</f>
        <v>0.3</v>
      </c>
      <c r="D31" s="113"/>
      <c r="E31" s="113"/>
      <c r="F31" s="118">
        <f>+SUM(F30:F30)</f>
        <v>1.2</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0.28000000000000003</v>
      </c>
      <c r="D35" s="110">
        <f>+SUM(C35:$C$35)</f>
        <v>0.28000000000000003</v>
      </c>
      <c r="E35" s="110">
        <f>+E5</f>
        <v>2</v>
      </c>
      <c r="F35" s="110">
        <f>+C35*E35</f>
        <v>0.56000000000000005</v>
      </c>
      <c r="G35" s="89"/>
    </row>
    <row r="36" spans="1:8">
      <c r="A36" s="106" t="s">
        <v>112</v>
      </c>
      <c r="B36" s="137">
        <v>2</v>
      </c>
      <c r="C36" s="110">
        <v>0.28000000000000003</v>
      </c>
      <c r="D36" s="110">
        <f>+SUM(C$35:$C36)</f>
        <v>0.56000000000000005</v>
      </c>
      <c r="E36" s="110">
        <f>+E6</f>
        <v>2</v>
      </c>
      <c r="F36" s="110">
        <f t="shared" ref="F36:F37" si="3">+C36*E36</f>
        <v>0.56000000000000005</v>
      </c>
      <c r="G36" s="89"/>
    </row>
    <row r="37" spans="1:8">
      <c r="B37" s="137" t="s">
        <v>99</v>
      </c>
      <c r="C37" s="110">
        <v>0.02</v>
      </c>
      <c r="D37" s="110">
        <f>+SUM(C$35:$C37)</f>
        <v>0.58000000000000007</v>
      </c>
      <c r="E37" s="110">
        <f>+E35+E36</f>
        <v>4</v>
      </c>
      <c r="F37" s="110">
        <f t="shared" si="3"/>
        <v>0.08</v>
      </c>
      <c r="G37" s="89">
        <v>0</v>
      </c>
      <c r="H37" s="106" t="s">
        <v>107</v>
      </c>
    </row>
    <row r="38" spans="1:8">
      <c r="A38" s="115"/>
      <c r="B38" s="113" t="s">
        <v>6</v>
      </c>
      <c r="C38" s="113">
        <f>+SUM(C35:C37)</f>
        <v>0.58000000000000007</v>
      </c>
      <c r="D38" s="113"/>
      <c r="E38" s="113"/>
      <c r="F38" s="118">
        <f>+SUM(F35:F37)</f>
        <v>1.2000000000000002</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0.6</v>
      </c>
      <c r="D42" s="110">
        <f>+SUM(C42:$C$42)</f>
        <v>0.6</v>
      </c>
      <c r="E42" s="110">
        <f>+E5</f>
        <v>2</v>
      </c>
      <c r="F42" s="110">
        <f>+E42*C42</f>
        <v>1.2</v>
      </c>
      <c r="G42" s="89">
        <v>0</v>
      </c>
      <c r="H42" s="106" t="s">
        <v>107</v>
      </c>
    </row>
    <row r="43" spans="1:8">
      <c r="A43" s="106" t="s">
        <v>111</v>
      </c>
      <c r="B43" s="113" t="s">
        <v>6</v>
      </c>
      <c r="C43" s="113">
        <f>+SUM(C42:C42)</f>
        <v>0.6</v>
      </c>
      <c r="D43" s="113"/>
      <c r="E43" s="113"/>
      <c r="F43" s="118">
        <f>+SUM(F42:F42)</f>
        <v>1.2</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0.6</v>
      </c>
      <c r="D47" s="110">
        <f>+SUM(C$47:$C47)</f>
        <v>0.6</v>
      </c>
      <c r="E47" s="110">
        <f>+E6</f>
        <v>2</v>
      </c>
      <c r="F47" s="110">
        <f>+E47*C47</f>
        <v>1.2</v>
      </c>
      <c r="G47" s="89">
        <v>0</v>
      </c>
      <c r="H47" s="106" t="s">
        <v>107</v>
      </c>
    </row>
    <row r="48" spans="1:8">
      <c r="A48" s="106" t="s">
        <v>110</v>
      </c>
      <c r="B48" s="113" t="s">
        <v>6</v>
      </c>
      <c r="C48" s="113">
        <f>+SUM(C47:C47)</f>
        <v>0.6</v>
      </c>
      <c r="D48" s="113"/>
      <c r="E48" s="113"/>
      <c r="F48" s="118">
        <f>+SUM(F47:F47)</f>
        <v>1.2</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11.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124</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0.12</v>
      </c>
      <c r="D5" s="107">
        <f>+SUM($C$5:C5)</f>
        <v>0.12</v>
      </c>
      <c r="E5" s="121">
        <f>Summary!K27</f>
        <v>3</v>
      </c>
      <c r="F5" s="107">
        <f>+C5*E5</f>
        <v>0.36</v>
      </c>
      <c r="G5" s="89"/>
    </row>
    <row r="6" spans="1:8">
      <c r="B6" s="139">
        <v>2</v>
      </c>
      <c r="C6" s="107">
        <v>0.12</v>
      </c>
      <c r="D6" s="107">
        <f>+SUM($C$5:C6)</f>
        <v>0.24</v>
      </c>
      <c r="E6" s="121">
        <f>Summary!K28</f>
        <v>3</v>
      </c>
      <c r="F6" s="107">
        <f t="shared" ref="F6:F11" si="0">+C6*E6</f>
        <v>0.36</v>
      </c>
      <c r="G6" s="89"/>
    </row>
    <row r="7" spans="1:8">
      <c r="B7" s="139">
        <v>3</v>
      </c>
      <c r="C7" s="107">
        <v>0.02</v>
      </c>
      <c r="D7" s="107">
        <f>+SUM($C$5:C7)</f>
        <v>0.26</v>
      </c>
      <c r="E7" s="121">
        <f>Summary!K29</f>
        <v>6</v>
      </c>
      <c r="F7" s="107">
        <f t="shared" si="0"/>
        <v>0.12</v>
      </c>
      <c r="G7" s="89"/>
    </row>
    <row r="8" spans="1:8">
      <c r="B8" s="139" t="s">
        <v>99</v>
      </c>
      <c r="C8" s="107">
        <v>0.02</v>
      </c>
      <c r="D8" s="107">
        <f>+SUM($C$5:C8)</f>
        <v>0.28000000000000003</v>
      </c>
      <c r="E8" s="107">
        <f>+E5+E6</f>
        <v>6</v>
      </c>
      <c r="F8" s="107">
        <f t="shared" si="0"/>
        <v>0.12</v>
      </c>
      <c r="G8" s="89"/>
    </row>
    <row r="9" spans="1:8">
      <c r="B9" s="139" t="s">
        <v>100</v>
      </c>
      <c r="C9" s="107">
        <v>0.01</v>
      </c>
      <c r="D9" s="107">
        <f>+SUM($C$5:C9)</f>
        <v>0.29000000000000004</v>
      </c>
      <c r="E9" s="107">
        <f>+E5+E7</f>
        <v>9</v>
      </c>
      <c r="F9" s="107">
        <f t="shared" si="0"/>
        <v>0.09</v>
      </c>
      <c r="G9" s="89"/>
    </row>
    <row r="10" spans="1:8">
      <c r="B10" s="139" t="s">
        <v>101</v>
      </c>
      <c r="C10" s="107">
        <v>0.01</v>
      </c>
      <c r="D10" s="107">
        <f>+SUM($C$5:C10)</f>
        <v>0.30000000000000004</v>
      </c>
      <c r="E10" s="107">
        <f>+E6+E7</f>
        <v>9</v>
      </c>
      <c r="F10" s="107">
        <f t="shared" si="0"/>
        <v>0.09</v>
      </c>
      <c r="G10" s="89"/>
    </row>
    <row r="11" spans="1:8">
      <c r="B11" s="139" t="s">
        <v>102</v>
      </c>
      <c r="C11" s="107">
        <v>5.0000000000000001E-3</v>
      </c>
      <c r="D11" s="107">
        <f>+SUM($C$5:C11)</f>
        <v>0.30500000000000005</v>
      </c>
      <c r="E11" s="107">
        <f>+E5+E6+E7</f>
        <v>12</v>
      </c>
      <c r="F11" s="107">
        <f t="shared" si="0"/>
        <v>0.06</v>
      </c>
      <c r="G11" s="89">
        <v>0</v>
      </c>
      <c r="H11" s="106" t="s">
        <v>107</v>
      </c>
    </row>
    <row r="12" spans="1:8">
      <c r="B12" s="113" t="s">
        <v>12</v>
      </c>
      <c r="C12" s="113">
        <f>+SUM(C5:C11)</f>
        <v>0.30500000000000005</v>
      </c>
      <c r="D12" s="113"/>
      <c r="E12" s="113"/>
      <c r="F12" s="120">
        <f>+SUM(F5:F11)</f>
        <v>1.2000000000000002</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0.3</v>
      </c>
      <c r="D16" s="110">
        <f>+SUM(C16:$C$16)</f>
        <v>0.3</v>
      </c>
      <c r="E16" s="110">
        <f>+E6</f>
        <v>3</v>
      </c>
      <c r="F16" s="110">
        <f>+C16*E16</f>
        <v>0.89999999999999991</v>
      </c>
      <c r="G16" s="89"/>
    </row>
    <row r="17" spans="1:10">
      <c r="A17" s="106" t="s">
        <v>110</v>
      </c>
      <c r="B17" s="137">
        <v>3</v>
      </c>
      <c r="C17" s="110">
        <v>0.02</v>
      </c>
      <c r="D17" s="110">
        <f>+SUM(C$16:$C17)</f>
        <v>0.32</v>
      </c>
      <c r="E17" s="110">
        <f>+E7</f>
        <v>6</v>
      </c>
      <c r="F17" s="110">
        <f t="shared" ref="F17:F18" si="1">+C17*E17</f>
        <v>0.12</v>
      </c>
      <c r="G17" s="89"/>
    </row>
    <row r="18" spans="1:10">
      <c r="B18" s="137" t="s">
        <v>101</v>
      </c>
      <c r="C18" s="110">
        <v>0.02</v>
      </c>
      <c r="D18" s="110">
        <f>+SUM(C$16:$C18)</f>
        <v>0.34</v>
      </c>
      <c r="E18" s="110">
        <f>+E16+E17</f>
        <v>9</v>
      </c>
      <c r="F18" s="110">
        <f t="shared" si="1"/>
        <v>0.18</v>
      </c>
      <c r="G18" s="89">
        <v>0</v>
      </c>
      <c r="H18" s="106" t="s">
        <v>107</v>
      </c>
    </row>
    <row r="19" spans="1:10">
      <c r="B19" s="113" t="s">
        <v>6</v>
      </c>
      <c r="C19" s="113">
        <f>+SUM(C16:C18)</f>
        <v>0.34</v>
      </c>
      <c r="D19" s="113"/>
      <c r="E19" s="113"/>
      <c r="F19" s="118">
        <f>+SUM(F16:F18)</f>
        <v>1.2</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0.3</v>
      </c>
      <c r="D23" s="110">
        <f>+SUM(C23:$C$23)</f>
        <v>0.3</v>
      </c>
      <c r="E23" s="110">
        <f>+E5</f>
        <v>3</v>
      </c>
      <c r="F23" s="110">
        <f>+C23*E23</f>
        <v>0.89999999999999991</v>
      </c>
      <c r="G23" s="89"/>
    </row>
    <row r="24" spans="1:10">
      <c r="A24" s="106" t="s">
        <v>111</v>
      </c>
      <c r="B24" s="137">
        <v>3</v>
      </c>
      <c r="C24" s="110">
        <v>0.02</v>
      </c>
      <c r="D24" s="110">
        <f>+SUM(C$23:$C24)</f>
        <v>0.32</v>
      </c>
      <c r="E24" s="110">
        <f>+E7</f>
        <v>6</v>
      </c>
      <c r="F24" s="110">
        <f t="shared" ref="F24:F25" si="2">+C24*E24</f>
        <v>0.12</v>
      </c>
      <c r="G24" s="89"/>
    </row>
    <row r="25" spans="1:10">
      <c r="B25" s="137" t="s">
        <v>100</v>
      </c>
      <c r="C25" s="110">
        <v>0.02</v>
      </c>
      <c r="D25" s="110">
        <f>+SUM(C$23:$C25)</f>
        <v>0.34</v>
      </c>
      <c r="E25" s="110">
        <f>+E23+E24</f>
        <v>9</v>
      </c>
      <c r="F25" s="110">
        <f t="shared" si="2"/>
        <v>0.18</v>
      </c>
      <c r="G25" s="89">
        <v>0</v>
      </c>
      <c r="H25" s="106" t="s">
        <v>107</v>
      </c>
      <c r="J25" s="119"/>
    </row>
    <row r="26" spans="1:10">
      <c r="B26" s="113" t="s">
        <v>6</v>
      </c>
      <c r="C26" s="113">
        <f>+SUM(C23:C25)</f>
        <v>0.34</v>
      </c>
      <c r="D26" s="113"/>
      <c r="E26" s="113"/>
      <c r="F26" s="118">
        <f>+SUM(F23:F25)</f>
        <v>1.2</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0.2</v>
      </c>
      <c r="D30" s="110">
        <f>+SUM(C30:$C$30)</f>
        <v>0.2</v>
      </c>
      <c r="E30" s="110">
        <f>+E7</f>
        <v>6</v>
      </c>
      <c r="F30" s="110">
        <f>+C30*E30</f>
        <v>1.2000000000000002</v>
      </c>
      <c r="G30" s="89">
        <v>0</v>
      </c>
      <c r="H30" s="106" t="s">
        <v>107</v>
      </c>
    </row>
    <row r="31" spans="1:10">
      <c r="A31" s="106" t="s">
        <v>110</v>
      </c>
      <c r="B31" s="113" t="s">
        <v>6</v>
      </c>
      <c r="C31" s="113">
        <f>+SUM(C30:C30)</f>
        <v>0.2</v>
      </c>
      <c r="D31" s="113"/>
      <c r="E31" s="113"/>
      <c r="F31" s="118">
        <f>+SUM(F30:F30)</f>
        <v>1.2000000000000002</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0.16</v>
      </c>
      <c r="D35" s="110">
        <f>+SUM(C35:$C$35)</f>
        <v>0.16</v>
      </c>
      <c r="E35" s="110">
        <f>+E5</f>
        <v>3</v>
      </c>
      <c r="F35" s="110">
        <f>+C35*E35</f>
        <v>0.48</v>
      </c>
      <c r="G35" s="89"/>
    </row>
    <row r="36" spans="1:8">
      <c r="A36" s="106" t="s">
        <v>112</v>
      </c>
      <c r="B36" s="137">
        <v>2</v>
      </c>
      <c r="C36" s="110">
        <v>0.16</v>
      </c>
      <c r="D36" s="110">
        <f>+SUM(C$35:$C36)</f>
        <v>0.32</v>
      </c>
      <c r="E36" s="110">
        <f>+E6</f>
        <v>3</v>
      </c>
      <c r="F36" s="110">
        <f t="shared" ref="F36:F37" si="3">+C36*E36</f>
        <v>0.48</v>
      </c>
      <c r="G36" s="89"/>
    </row>
    <row r="37" spans="1:8">
      <c r="B37" s="137" t="s">
        <v>99</v>
      </c>
      <c r="C37" s="110">
        <v>0.04</v>
      </c>
      <c r="D37" s="110">
        <f>+SUM(C$35:$C37)</f>
        <v>0.36</v>
      </c>
      <c r="E37" s="110">
        <f>+E35+E36</f>
        <v>6</v>
      </c>
      <c r="F37" s="110">
        <f t="shared" si="3"/>
        <v>0.24</v>
      </c>
      <c r="G37" s="89">
        <v>0</v>
      </c>
      <c r="H37" s="106" t="s">
        <v>107</v>
      </c>
    </row>
    <row r="38" spans="1:8">
      <c r="A38" s="115"/>
      <c r="B38" s="113" t="s">
        <v>6</v>
      </c>
      <c r="C38" s="113">
        <f>+SUM(C35:C37)</f>
        <v>0.36</v>
      </c>
      <c r="D38" s="113"/>
      <c r="E38" s="113"/>
      <c r="F38" s="118">
        <f>+SUM(F35:F37)</f>
        <v>1.2</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0.4</v>
      </c>
      <c r="D42" s="110">
        <f>+SUM(C42:$C$42)</f>
        <v>0.4</v>
      </c>
      <c r="E42" s="110">
        <f>+E5</f>
        <v>3</v>
      </c>
      <c r="F42" s="110">
        <f>+E42*C42</f>
        <v>1.2000000000000002</v>
      </c>
      <c r="G42" s="89">
        <v>0</v>
      </c>
      <c r="H42" s="106" t="s">
        <v>107</v>
      </c>
    </row>
    <row r="43" spans="1:8">
      <c r="A43" s="106" t="s">
        <v>111</v>
      </c>
      <c r="B43" s="113" t="s">
        <v>6</v>
      </c>
      <c r="C43" s="113">
        <f>+SUM(C42:C42)</f>
        <v>0.4</v>
      </c>
      <c r="D43" s="113"/>
      <c r="E43" s="113"/>
      <c r="F43" s="118">
        <f>+SUM(F42:F42)</f>
        <v>1.2000000000000002</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0.4</v>
      </c>
      <c r="D47" s="110">
        <f>+SUM(C$47:$C47)</f>
        <v>0.4</v>
      </c>
      <c r="E47" s="110">
        <f>+E6</f>
        <v>3</v>
      </c>
      <c r="F47" s="110">
        <f>+E47*C47</f>
        <v>1.2000000000000002</v>
      </c>
      <c r="G47" s="89">
        <v>0</v>
      </c>
      <c r="H47" s="106" t="s">
        <v>107</v>
      </c>
    </row>
    <row r="48" spans="1:8">
      <c r="A48" s="106" t="s">
        <v>110</v>
      </c>
      <c r="B48" s="113" t="s">
        <v>6</v>
      </c>
      <c r="C48" s="113">
        <f>+SUM(C47:C47)</f>
        <v>0.4</v>
      </c>
      <c r="D48" s="113"/>
      <c r="E48" s="113"/>
      <c r="F48" s="118">
        <f>+SUM(F47:F47)</f>
        <v>1.2000000000000002</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88671875" style="106" customWidth="1"/>
    <col min="9" max="9" width="12" style="106" customWidth="1"/>
    <col min="10" max="16384" width="11.5546875" style="106"/>
  </cols>
  <sheetData>
    <row r="1" spans="1:9" ht="18">
      <c r="A1" s="143" t="s">
        <v>130</v>
      </c>
      <c r="B1" s="143"/>
      <c r="C1" s="143"/>
      <c r="D1" s="143"/>
      <c r="E1" s="143"/>
    </row>
    <row r="2" spans="1:9">
      <c r="A2" s="116" t="s">
        <v>148</v>
      </c>
    </row>
    <row r="4" spans="1:9">
      <c r="A4" s="109" t="s">
        <v>10</v>
      </c>
      <c r="B4" s="111" t="s">
        <v>96</v>
      </c>
      <c r="C4" s="111" t="s">
        <v>11</v>
      </c>
      <c r="D4" s="111" t="s">
        <v>20</v>
      </c>
      <c r="E4" s="111" t="s">
        <v>9</v>
      </c>
      <c r="F4" s="111" t="s">
        <v>1</v>
      </c>
      <c r="G4" s="111" t="s">
        <v>55</v>
      </c>
    </row>
    <row r="5" spans="1:9">
      <c r="A5" s="106" t="s">
        <v>108</v>
      </c>
      <c r="B5" s="139">
        <v>1</v>
      </c>
      <c r="C5" s="79">
        <v>0.26</v>
      </c>
      <c r="D5" s="107">
        <f>+SUM($C$5:C5)</f>
        <v>0.26</v>
      </c>
      <c r="E5" s="107">
        <f>+Summary!B27</f>
        <v>2</v>
      </c>
      <c r="F5" s="107">
        <f>+C5*E5</f>
        <v>0.52</v>
      </c>
      <c r="G5" s="89"/>
    </row>
    <row r="6" spans="1:9">
      <c r="B6" s="139">
        <v>2</v>
      </c>
      <c r="C6" s="79">
        <v>0.16</v>
      </c>
      <c r="D6" s="107">
        <f>+SUM($C$5:C6)</f>
        <v>0.42000000000000004</v>
      </c>
      <c r="E6" s="107">
        <f>+Summary!B28</f>
        <v>3</v>
      </c>
      <c r="F6" s="107">
        <f t="shared" ref="F6:F7" si="0">+C6*E6</f>
        <v>0.48</v>
      </c>
      <c r="G6" s="89"/>
    </row>
    <row r="7" spans="1:9">
      <c r="B7" s="139" t="s">
        <v>99</v>
      </c>
      <c r="C7" s="79">
        <v>0.04</v>
      </c>
      <c r="D7" s="107">
        <f>+SUM($C$5:C7)</f>
        <v>0.46</v>
      </c>
      <c r="E7" s="107">
        <f>+E5+E6</f>
        <v>5</v>
      </c>
      <c r="F7" s="107">
        <f t="shared" si="0"/>
        <v>0.2</v>
      </c>
      <c r="G7" s="89">
        <v>0</v>
      </c>
      <c r="H7" s="106" t="s">
        <v>107</v>
      </c>
      <c r="I7" s="141"/>
    </row>
    <row r="8" spans="1:9">
      <c r="B8" s="113" t="s">
        <v>12</v>
      </c>
      <c r="C8" s="113">
        <f>+SUM(C5:C7)</f>
        <v>0.46</v>
      </c>
      <c r="D8" s="113"/>
      <c r="E8" s="113"/>
      <c r="F8" s="99">
        <f>+SUM(F5:F7)</f>
        <v>1.2</v>
      </c>
      <c r="G8" s="90"/>
    </row>
    <row r="9" spans="1:9">
      <c r="B9" s="114" t="s">
        <v>103</v>
      </c>
      <c r="G9" s="87"/>
    </row>
    <row r="10" spans="1:9">
      <c r="G10" s="87"/>
    </row>
    <row r="11" spans="1:9">
      <c r="G11" s="87"/>
    </row>
    <row r="12" spans="1:9">
      <c r="A12" s="109" t="s">
        <v>18</v>
      </c>
      <c r="B12" s="111" t="s">
        <v>96</v>
      </c>
      <c r="C12" s="111" t="s">
        <v>11</v>
      </c>
      <c r="D12" s="111" t="s">
        <v>20</v>
      </c>
      <c r="E12" s="111" t="s">
        <v>9</v>
      </c>
      <c r="F12" s="111" t="s">
        <v>1</v>
      </c>
      <c r="G12" s="111" t="s">
        <v>55</v>
      </c>
    </row>
    <row r="13" spans="1:9">
      <c r="A13" s="106" t="s">
        <v>109</v>
      </c>
      <c r="B13" s="137">
        <v>1</v>
      </c>
      <c r="C13" s="110">
        <v>0.6</v>
      </c>
      <c r="D13" s="110">
        <f>+SUM(C13:$C$13)</f>
        <v>0.6</v>
      </c>
      <c r="E13" s="110">
        <f>+E5</f>
        <v>2</v>
      </c>
      <c r="F13" s="110">
        <f>+E13*C13</f>
        <v>1.2</v>
      </c>
      <c r="G13" s="89">
        <v>0</v>
      </c>
      <c r="H13" s="106" t="s">
        <v>107</v>
      </c>
    </row>
    <row r="14" spans="1:9">
      <c r="A14" s="106" t="s">
        <v>111</v>
      </c>
      <c r="B14" s="113" t="s">
        <v>6</v>
      </c>
      <c r="C14" s="113">
        <f>+SUM(C13:C13)</f>
        <v>0.6</v>
      </c>
      <c r="D14" s="113"/>
      <c r="E14" s="113"/>
      <c r="F14" s="118">
        <f>+SUM(F13:F13)</f>
        <v>1.2</v>
      </c>
      <c r="G14" s="91"/>
    </row>
    <row r="15" spans="1:9">
      <c r="G15" s="87"/>
    </row>
    <row r="16" spans="1:9">
      <c r="G16" s="87"/>
    </row>
    <row r="17" spans="1:8">
      <c r="A17" s="109" t="s">
        <v>19</v>
      </c>
      <c r="B17" s="111" t="s">
        <v>96</v>
      </c>
      <c r="C17" s="111" t="s">
        <v>11</v>
      </c>
      <c r="D17" s="111" t="s">
        <v>20</v>
      </c>
      <c r="E17" s="111" t="s">
        <v>9</v>
      </c>
      <c r="F17" s="111" t="s">
        <v>1</v>
      </c>
      <c r="G17" s="111" t="s">
        <v>55</v>
      </c>
    </row>
    <row r="18" spans="1:8">
      <c r="A18" s="106" t="s">
        <v>109</v>
      </c>
      <c r="B18" s="137">
        <v>2</v>
      </c>
      <c r="C18" s="110">
        <v>0.4</v>
      </c>
      <c r="D18" s="110">
        <f>+SUM(C$18:$C18)</f>
        <v>0.4</v>
      </c>
      <c r="E18" s="110">
        <f>+E6</f>
        <v>3</v>
      </c>
      <c r="F18" s="110">
        <f>+E18*C18</f>
        <v>1.2000000000000002</v>
      </c>
      <c r="G18" s="89">
        <v>0</v>
      </c>
      <c r="H18" s="106" t="s">
        <v>107</v>
      </c>
    </row>
    <row r="19" spans="1:8">
      <c r="A19" s="106" t="s">
        <v>110</v>
      </c>
      <c r="B19" s="113" t="s">
        <v>6</v>
      </c>
      <c r="C19" s="113">
        <f>+SUM(C18:C18)</f>
        <v>0.4</v>
      </c>
      <c r="D19" s="113"/>
      <c r="E19" s="113"/>
      <c r="F19" s="118">
        <f>+SUM(F18:F18)</f>
        <v>1.2000000000000002</v>
      </c>
      <c r="G19" s="91"/>
    </row>
    <row r="20" spans="1:8">
      <c r="G20" s="88"/>
    </row>
    <row r="21" spans="1:8">
      <c r="G21" s="88"/>
    </row>
    <row r="22" spans="1:8">
      <c r="G22" s="88"/>
    </row>
    <row r="23" spans="1:8">
      <c r="G23" s="88"/>
    </row>
    <row r="24" spans="1:8">
      <c r="G24" s="88"/>
    </row>
    <row r="25" spans="1:8">
      <c r="G25" s="88"/>
    </row>
    <row r="26" spans="1:8">
      <c r="G26" s="88"/>
    </row>
    <row r="27" spans="1:8">
      <c r="G27" s="88"/>
    </row>
    <row r="28" spans="1:8">
      <c r="G28" s="88"/>
    </row>
    <row r="29" spans="1:8">
      <c r="G29" s="88"/>
    </row>
    <row r="30" spans="1:8">
      <c r="G30" s="88"/>
    </row>
    <row r="31" spans="1:8">
      <c r="G31" s="88"/>
    </row>
    <row r="32" spans="1:8">
      <c r="G32" s="88"/>
    </row>
    <row r="33" spans="7:7">
      <c r="G33" s="88"/>
    </row>
    <row r="34" spans="7:7">
      <c r="G34" s="88"/>
    </row>
    <row r="35" spans="7:7">
      <c r="G35" s="88"/>
    </row>
    <row r="36" spans="7:7">
      <c r="G36" s="88"/>
    </row>
    <row r="37" spans="7:7">
      <c r="G37" s="88"/>
    </row>
    <row r="38" spans="7:7">
      <c r="G38" s="88"/>
    </row>
    <row r="39" spans="7:7">
      <c r="G39" s="88"/>
    </row>
    <row r="40" spans="7:7">
      <c r="G40" s="88"/>
    </row>
    <row r="41" spans="7:7">
      <c r="G41" s="88"/>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sheetData>
  <mergeCells count="1">
    <mergeCell ref="A1:E1"/>
  </mergeCells>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131</v>
      </c>
      <c r="B1" s="143"/>
      <c r="C1" s="143"/>
      <c r="D1" s="143"/>
      <c r="E1" s="143"/>
    </row>
    <row r="2" spans="1:8">
      <c r="A2" s="116" t="s">
        <v>148</v>
      </c>
    </row>
    <row r="4" spans="1:8">
      <c r="A4" s="109" t="s">
        <v>85</v>
      </c>
      <c r="B4" s="111" t="s">
        <v>96</v>
      </c>
      <c r="C4" s="111" t="s">
        <v>11</v>
      </c>
      <c r="D4" s="111" t="s">
        <v>20</v>
      </c>
      <c r="E4" s="111" t="s">
        <v>9</v>
      </c>
      <c r="F4" s="111" t="s">
        <v>1</v>
      </c>
      <c r="G4" s="111" t="s">
        <v>55</v>
      </c>
    </row>
    <row r="5" spans="1:8">
      <c r="B5" s="137">
        <v>1</v>
      </c>
      <c r="C5" s="110">
        <v>0.6</v>
      </c>
      <c r="D5" s="110">
        <f>+SUM(C5:$C$5)</f>
        <v>0.6</v>
      </c>
      <c r="E5" s="110">
        <f>+Summary!B21</f>
        <v>2</v>
      </c>
      <c r="F5" s="110">
        <f>+E5*C5</f>
        <v>1.2</v>
      </c>
      <c r="G5" s="89">
        <v>0</v>
      </c>
      <c r="H5" s="106" t="s">
        <v>107</v>
      </c>
    </row>
    <row r="6" spans="1:8">
      <c r="B6" s="113" t="s">
        <v>6</v>
      </c>
      <c r="C6" s="113">
        <f>+SUM(C5:C5)</f>
        <v>0.6</v>
      </c>
      <c r="D6" s="113"/>
      <c r="E6" s="113"/>
      <c r="F6" s="118">
        <f>+SUM(F5:F5)</f>
        <v>1.2</v>
      </c>
      <c r="G6" s="91"/>
    </row>
    <row r="7" spans="1:8">
      <c r="G7" s="87"/>
    </row>
    <row r="8" spans="1:8">
      <c r="G8" s="87"/>
    </row>
    <row r="9" spans="1:8">
      <c r="A9" s="109" t="s">
        <v>86</v>
      </c>
      <c r="B9" s="111" t="s">
        <v>96</v>
      </c>
      <c r="C9" s="111" t="s">
        <v>11</v>
      </c>
      <c r="D9" s="111" t="s">
        <v>20</v>
      </c>
      <c r="E9" s="111" t="s">
        <v>9</v>
      </c>
      <c r="F9" s="111" t="s">
        <v>1</v>
      </c>
      <c r="G9" s="111" t="s">
        <v>55</v>
      </c>
    </row>
    <row r="10" spans="1:8">
      <c r="B10" s="137">
        <v>1</v>
      </c>
      <c r="C10" s="110">
        <v>0.4</v>
      </c>
      <c r="D10" s="110">
        <f>1/6</f>
        <v>0.16666666666666666</v>
      </c>
      <c r="E10" s="110">
        <f>+Summary!E21</f>
        <v>3</v>
      </c>
      <c r="F10" s="110">
        <f>+E10*C10</f>
        <v>1.2000000000000002</v>
      </c>
      <c r="G10" s="89">
        <v>0</v>
      </c>
      <c r="H10" s="106" t="s">
        <v>107</v>
      </c>
    </row>
    <row r="11" spans="1:8">
      <c r="B11" s="113" t="s">
        <v>6</v>
      </c>
      <c r="C11" s="113">
        <f>+SUM(C10:C10)</f>
        <v>0.4</v>
      </c>
      <c r="D11" s="113"/>
      <c r="E11" s="113"/>
      <c r="F11" s="118">
        <f>+SUM(F10:F10)</f>
        <v>1.2000000000000002</v>
      </c>
      <c r="G11" s="91"/>
    </row>
    <row r="12" spans="1:8">
      <c r="G12" s="88"/>
    </row>
    <row r="13" spans="1:8">
      <c r="G13" s="88"/>
    </row>
    <row r="14" spans="1:8">
      <c r="A14" s="109" t="s">
        <v>87</v>
      </c>
      <c r="B14" s="111" t="s">
        <v>96</v>
      </c>
      <c r="C14" s="111" t="s">
        <v>11</v>
      </c>
      <c r="D14" s="111" t="s">
        <v>20</v>
      </c>
      <c r="E14" s="111" t="s">
        <v>9</v>
      </c>
      <c r="F14" s="111" t="s">
        <v>1</v>
      </c>
      <c r="G14" s="111" t="s">
        <v>55</v>
      </c>
    </row>
    <row r="15" spans="1:8">
      <c r="B15" s="137">
        <v>1</v>
      </c>
      <c r="C15" s="110">
        <v>0.3</v>
      </c>
      <c r="D15" s="110">
        <f>+SUM(C$15:$C15)</f>
        <v>0.3</v>
      </c>
      <c r="E15" s="110">
        <f>+Summary!H21</f>
        <v>4</v>
      </c>
      <c r="F15" s="110">
        <f>+E15*C15</f>
        <v>1.2</v>
      </c>
      <c r="G15" s="89">
        <v>0</v>
      </c>
      <c r="H15" s="106" t="s">
        <v>107</v>
      </c>
    </row>
    <row r="16" spans="1:8">
      <c r="B16" s="113" t="s">
        <v>6</v>
      </c>
      <c r="C16" s="113">
        <f>+SUM(C15:C15)</f>
        <v>0.3</v>
      </c>
      <c r="D16" s="113"/>
      <c r="E16" s="113"/>
      <c r="F16" s="118">
        <f>+SUM(F15:F15)</f>
        <v>1.2</v>
      </c>
      <c r="G16" s="91"/>
    </row>
    <row r="17" spans="7:7">
      <c r="G17" s="88"/>
    </row>
    <row r="18" spans="7:7">
      <c r="G18" s="88"/>
    </row>
    <row r="19" spans="7:7">
      <c r="G19" s="88"/>
    </row>
    <row r="20" spans="7:7">
      <c r="G20" s="88"/>
    </row>
    <row r="21" spans="7:7">
      <c r="G21" s="88"/>
    </row>
    <row r="22" spans="7:7">
      <c r="G22" s="88"/>
    </row>
    <row r="23" spans="7:7">
      <c r="G23" s="88"/>
    </row>
    <row r="24" spans="7:7">
      <c r="G24" s="88"/>
    </row>
    <row r="25" spans="7:7">
      <c r="G25" s="88"/>
    </row>
    <row r="26" spans="7:7">
      <c r="G26" s="88"/>
    </row>
    <row r="27" spans="7:7">
      <c r="G27" s="88"/>
    </row>
    <row r="28" spans="7:7">
      <c r="G28" s="88"/>
    </row>
    <row r="29" spans="7:7">
      <c r="G29" s="88"/>
    </row>
    <row r="30" spans="7:7">
      <c r="G30" s="88"/>
    </row>
    <row r="31" spans="7:7">
      <c r="G31" s="88"/>
    </row>
    <row r="32" spans="7:7">
      <c r="G32" s="88"/>
    </row>
    <row r="33" spans="7:7">
      <c r="G33" s="88"/>
    </row>
    <row r="34" spans="7:7">
      <c r="G34" s="87"/>
    </row>
    <row r="35" spans="7:7">
      <c r="G35" s="87"/>
    </row>
    <row r="36" spans="7:7">
      <c r="G36" s="87"/>
    </row>
    <row r="37" spans="7:7">
      <c r="G37" s="87"/>
    </row>
    <row r="38" spans="7:7">
      <c r="G38" s="87"/>
    </row>
    <row r="39" spans="7:7">
      <c r="G39" s="87"/>
    </row>
    <row r="40" spans="7:7">
      <c r="G40" s="87"/>
    </row>
    <row r="41" spans="7:7">
      <c r="G41" s="87"/>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88671875" style="106" customWidth="1"/>
    <col min="9" max="9" width="12" style="106" customWidth="1"/>
    <col min="10" max="16384" width="11.5546875" style="106"/>
  </cols>
  <sheetData>
    <row r="1" spans="1:9" ht="18">
      <c r="A1" s="143" t="s">
        <v>132</v>
      </c>
      <c r="B1" s="143"/>
      <c r="C1" s="143"/>
      <c r="D1" s="143"/>
      <c r="E1" s="143"/>
    </row>
    <row r="2" spans="1:9">
      <c r="A2" s="116" t="s">
        <v>148</v>
      </c>
    </row>
    <row r="4" spans="1:9">
      <c r="A4" s="109" t="s">
        <v>10</v>
      </c>
      <c r="B4" s="111" t="s">
        <v>96</v>
      </c>
      <c r="C4" s="111" t="s">
        <v>11</v>
      </c>
      <c r="D4" s="111" t="s">
        <v>20</v>
      </c>
      <c r="E4" s="111" t="s">
        <v>9</v>
      </c>
      <c r="F4" s="111" t="s">
        <v>1</v>
      </c>
      <c r="G4" s="111" t="s">
        <v>55</v>
      </c>
    </row>
    <row r="5" spans="1:9">
      <c r="A5" s="106" t="s">
        <v>108</v>
      </c>
      <c r="B5" s="139">
        <v>1</v>
      </c>
      <c r="C5" s="142">
        <v>0.12</v>
      </c>
      <c r="D5" s="107">
        <f>+SUM($C$5:C5)</f>
        <v>0.12</v>
      </c>
      <c r="E5" s="107">
        <f>+Summary!B36</f>
        <v>2</v>
      </c>
      <c r="F5" s="107">
        <f>+C5*E5</f>
        <v>0.24</v>
      </c>
      <c r="G5" s="89"/>
    </row>
    <row r="6" spans="1:9">
      <c r="B6" s="139">
        <v>2</v>
      </c>
      <c r="C6" s="142">
        <v>0.01</v>
      </c>
      <c r="D6" s="107">
        <f>+SUM($C$5:C6)</f>
        <v>0.13</v>
      </c>
      <c r="E6" s="107">
        <f>+Summary!B37</f>
        <v>5</v>
      </c>
      <c r="F6" s="107">
        <f t="shared" ref="F6:F11" si="0">+C6*E6</f>
        <v>0.05</v>
      </c>
      <c r="G6" s="89"/>
    </row>
    <row r="7" spans="1:9">
      <c r="B7" s="139">
        <v>3</v>
      </c>
      <c r="C7" s="142">
        <v>0.01</v>
      </c>
      <c r="D7" s="107">
        <f>+SUM($C$5:C7)</f>
        <v>0.14000000000000001</v>
      </c>
      <c r="E7" s="107">
        <f>+Summary!B38</f>
        <v>8</v>
      </c>
      <c r="F7" s="107">
        <f t="shared" si="0"/>
        <v>0.08</v>
      </c>
      <c r="G7" s="89"/>
      <c r="I7" s="47"/>
    </row>
    <row r="8" spans="1:9">
      <c r="B8" s="139" t="s">
        <v>99</v>
      </c>
      <c r="C8" s="142">
        <v>0.01</v>
      </c>
      <c r="D8" s="107">
        <f>+SUM($C$5:C8)</f>
        <v>0.15000000000000002</v>
      </c>
      <c r="E8" s="107">
        <f>+E5+E6</f>
        <v>7</v>
      </c>
      <c r="F8" s="107">
        <f t="shared" si="0"/>
        <v>7.0000000000000007E-2</v>
      </c>
      <c r="G8" s="89"/>
      <c r="I8" s="141"/>
    </row>
    <row r="9" spans="1:9">
      <c r="B9" s="139" t="s">
        <v>100</v>
      </c>
      <c r="C9" s="142">
        <v>0.02</v>
      </c>
      <c r="D9" s="107">
        <f>+SUM($C$5:C9)</f>
        <v>0.17</v>
      </c>
      <c r="E9" s="107">
        <f>+E5+E7</f>
        <v>10</v>
      </c>
      <c r="F9" s="107">
        <f t="shared" si="0"/>
        <v>0.2</v>
      </c>
      <c r="G9" s="89"/>
    </row>
    <row r="10" spans="1:9">
      <c r="B10" s="139" t="s">
        <v>101</v>
      </c>
      <c r="C10" s="142">
        <v>0.02</v>
      </c>
      <c r="D10" s="107">
        <f>+SUM($C$5:C10)</f>
        <v>0.19</v>
      </c>
      <c r="E10" s="107">
        <f>+E6+E7</f>
        <v>13</v>
      </c>
      <c r="F10" s="107">
        <f t="shared" si="0"/>
        <v>0.26</v>
      </c>
      <c r="G10" s="89"/>
    </row>
    <row r="11" spans="1:9">
      <c r="B11" s="139" t="s">
        <v>102</v>
      </c>
      <c r="C11" s="142">
        <v>0.02</v>
      </c>
      <c r="D11" s="107">
        <f>+SUM($C$5:C11)</f>
        <v>0.21</v>
      </c>
      <c r="E11" s="107">
        <f>+E5+E6+E7</f>
        <v>15</v>
      </c>
      <c r="F11" s="107">
        <f t="shared" si="0"/>
        <v>0.3</v>
      </c>
      <c r="G11" s="89">
        <v>0</v>
      </c>
      <c r="H11" s="106" t="s">
        <v>107</v>
      </c>
    </row>
    <row r="12" spans="1:9">
      <c r="B12" s="113" t="s">
        <v>12</v>
      </c>
      <c r="C12" s="113">
        <f>+SUM(C5:C11)</f>
        <v>0.21</v>
      </c>
      <c r="D12" s="113"/>
      <c r="E12" s="113"/>
      <c r="F12" s="99">
        <f>+SUM(F5:F11)</f>
        <v>1.2</v>
      </c>
      <c r="G12" s="90"/>
    </row>
    <row r="13" spans="1:9">
      <c r="B13" s="114" t="s">
        <v>103</v>
      </c>
      <c r="G13" s="87"/>
    </row>
    <row r="14" spans="1:9">
      <c r="G14" s="87"/>
    </row>
    <row r="15" spans="1:9">
      <c r="A15" s="109" t="s">
        <v>14</v>
      </c>
      <c r="B15" s="111" t="s">
        <v>96</v>
      </c>
      <c r="C15" s="111" t="s">
        <v>11</v>
      </c>
      <c r="D15" s="111" t="s">
        <v>20</v>
      </c>
      <c r="E15" s="111" t="s">
        <v>9</v>
      </c>
      <c r="F15" s="111" t="s">
        <v>1</v>
      </c>
      <c r="G15" s="111" t="s">
        <v>55</v>
      </c>
    </row>
    <row r="16" spans="1:9">
      <c r="A16" s="106" t="s">
        <v>109</v>
      </c>
      <c r="B16" s="137">
        <v>2</v>
      </c>
      <c r="C16" s="110">
        <v>0.12</v>
      </c>
      <c r="D16" s="110">
        <f>+SUM(C16:$C$16)</f>
        <v>0.12</v>
      </c>
      <c r="E16" s="110">
        <f>+E6</f>
        <v>5</v>
      </c>
      <c r="F16" s="110">
        <f>+C16*E16</f>
        <v>0.6</v>
      </c>
      <c r="G16" s="89"/>
    </row>
    <row r="17" spans="1:9">
      <c r="A17" s="106" t="s">
        <v>110</v>
      </c>
      <c r="B17" s="137">
        <v>3</v>
      </c>
      <c r="C17" s="110">
        <v>0.01</v>
      </c>
      <c r="D17" s="110">
        <f>+SUM(C$16:$C17)</f>
        <v>0.13</v>
      </c>
      <c r="E17" s="110">
        <f>+E7</f>
        <v>8</v>
      </c>
      <c r="F17" s="110">
        <f t="shared" ref="F17:F18" si="1">+C17*E17</f>
        <v>0.08</v>
      </c>
      <c r="G17" s="89"/>
      <c r="I17" s="140"/>
    </row>
    <row r="18" spans="1:9">
      <c r="B18" s="137" t="s">
        <v>101</v>
      </c>
      <c r="C18" s="110">
        <v>0.04</v>
      </c>
      <c r="D18" s="110">
        <f>+SUM(C$16:$C18)</f>
        <v>0.17</v>
      </c>
      <c r="E18" s="110">
        <f>+E16+E17</f>
        <v>13</v>
      </c>
      <c r="F18" s="110">
        <f t="shared" si="1"/>
        <v>0.52</v>
      </c>
      <c r="G18" s="89">
        <v>0</v>
      </c>
      <c r="H18" s="106" t="s">
        <v>107</v>
      </c>
    </row>
    <row r="19" spans="1:9">
      <c r="B19" s="113" t="s">
        <v>6</v>
      </c>
      <c r="C19" s="113">
        <f>+SUM(C16:C18)</f>
        <v>0.17</v>
      </c>
      <c r="D19" s="113"/>
      <c r="E19" s="113"/>
      <c r="F19" s="118">
        <f>+SUM(F16:F18)</f>
        <v>1.2</v>
      </c>
      <c r="G19" s="91"/>
    </row>
    <row r="20" spans="1:9">
      <c r="B20" s="117"/>
      <c r="C20" s="117"/>
      <c r="D20" s="117"/>
      <c r="E20" s="117"/>
      <c r="F20" s="112"/>
      <c r="G20" s="92"/>
    </row>
    <row r="21" spans="1:9">
      <c r="B21" s="117"/>
      <c r="C21" s="117"/>
      <c r="D21" s="117"/>
      <c r="E21" s="117"/>
      <c r="F21" s="112"/>
      <c r="G21" s="92"/>
    </row>
    <row r="22" spans="1:9">
      <c r="A22" s="109" t="s">
        <v>15</v>
      </c>
      <c r="B22" s="111" t="s">
        <v>96</v>
      </c>
      <c r="C22" s="111" t="s">
        <v>11</v>
      </c>
      <c r="D22" s="111" t="s">
        <v>20</v>
      </c>
      <c r="E22" s="111" t="s">
        <v>9</v>
      </c>
      <c r="F22" s="111" t="s">
        <v>1</v>
      </c>
      <c r="G22" s="111" t="s">
        <v>55</v>
      </c>
    </row>
    <row r="23" spans="1:9">
      <c r="A23" s="106" t="s">
        <v>109</v>
      </c>
      <c r="B23" s="137">
        <v>1</v>
      </c>
      <c r="C23" s="110">
        <v>0.15</v>
      </c>
      <c r="D23" s="110">
        <f>+SUM(C23:$C$23)</f>
        <v>0.15</v>
      </c>
      <c r="E23" s="110">
        <f>+E5</f>
        <v>2</v>
      </c>
      <c r="F23" s="110">
        <f>+C23*E23</f>
        <v>0.3</v>
      </c>
      <c r="G23" s="89"/>
    </row>
    <row r="24" spans="1:9">
      <c r="A24" s="106" t="s">
        <v>111</v>
      </c>
      <c r="B24" s="137">
        <v>3</v>
      </c>
      <c r="C24" s="110">
        <v>0.05</v>
      </c>
      <c r="D24" s="110">
        <f>+SUM(C$23:$C24)</f>
        <v>0.2</v>
      </c>
      <c r="E24" s="110">
        <f>+E7</f>
        <v>8</v>
      </c>
      <c r="F24" s="110">
        <f t="shared" ref="F24:F25" si="2">+C24*E24</f>
        <v>0.4</v>
      </c>
      <c r="G24" s="89"/>
    </row>
    <row r="25" spans="1:9">
      <c r="B25" s="137" t="s">
        <v>100</v>
      </c>
      <c r="C25" s="110">
        <v>0.05</v>
      </c>
      <c r="D25" s="110">
        <f>+SUM(C$23:$C25)</f>
        <v>0.25</v>
      </c>
      <c r="E25" s="110">
        <f>+E23+E24</f>
        <v>10</v>
      </c>
      <c r="F25" s="110">
        <f t="shared" si="2"/>
        <v>0.5</v>
      </c>
      <c r="G25" s="89">
        <v>0</v>
      </c>
      <c r="H25" s="106" t="s">
        <v>107</v>
      </c>
    </row>
    <row r="26" spans="1:9">
      <c r="B26" s="113" t="s">
        <v>6</v>
      </c>
      <c r="C26" s="113">
        <f>+SUM(C23:C25)</f>
        <v>0.25</v>
      </c>
      <c r="D26" s="113"/>
      <c r="E26" s="113"/>
      <c r="F26" s="118">
        <f>+SUM(F23:F25)</f>
        <v>1.2</v>
      </c>
      <c r="G26" s="91"/>
    </row>
    <row r="27" spans="1:9">
      <c r="B27" s="117"/>
      <c r="C27" s="117"/>
      <c r="D27" s="117"/>
      <c r="E27" s="117"/>
      <c r="F27" s="112"/>
      <c r="G27" s="92"/>
    </row>
    <row r="28" spans="1:9">
      <c r="G28" s="87"/>
    </row>
    <row r="29" spans="1:9">
      <c r="A29" s="109" t="s">
        <v>16</v>
      </c>
      <c r="B29" s="111" t="s">
        <v>96</v>
      </c>
      <c r="C29" s="111" t="s">
        <v>11</v>
      </c>
      <c r="D29" s="111" t="s">
        <v>20</v>
      </c>
      <c r="E29" s="111" t="s">
        <v>9</v>
      </c>
      <c r="F29" s="111" t="s">
        <v>1</v>
      </c>
      <c r="G29" s="111" t="s">
        <v>55</v>
      </c>
    </row>
    <row r="30" spans="1:9">
      <c r="A30" s="106" t="s">
        <v>109</v>
      </c>
      <c r="B30" s="137">
        <v>3</v>
      </c>
      <c r="C30" s="110">
        <v>0.15</v>
      </c>
      <c r="D30" s="110">
        <f>+SUM(C30:$C$30)</f>
        <v>0.15</v>
      </c>
      <c r="E30" s="110">
        <f>+E7</f>
        <v>8</v>
      </c>
      <c r="F30" s="110">
        <f>+C30*E30</f>
        <v>1.2</v>
      </c>
      <c r="G30" s="89">
        <v>0</v>
      </c>
      <c r="H30" s="106" t="s">
        <v>107</v>
      </c>
    </row>
    <row r="31" spans="1:9">
      <c r="A31" s="106" t="s">
        <v>110</v>
      </c>
      <c r="B31" s="113" t="s">
        <v>6</v>
      </c>
      <c r="C31" s="113">
        <f>+SUM(C30:C30)</f>
        <v>0.15</v>
      </c>
      <c r="D31" s="113"/>
      <c r="E31" s="113"/>
      <c r="F31" s="118">
        <f>+SUM(F30:F30)</f>
        <v>1.2</v>
      </c>
      <c r="G31" s="91"/>
    </row>
    <row r="32" spans="1:9">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0.14000000000000001</v>
      </c>
      <c r="D35" s="110">
        <f>+SUM(C35:$C$35)</f>
        <v>0.14000000000000001</v>
      </c>
      <c r="E35" s="110">
        <f>+E5</f>
        <v>2</v>
      </c>
      <c r="F35" s="110">
        <f>+C35*E35</f>
        <v>0.28000000000000003</v>
      </c>
      <c r="G35" s="89"/>
    </row>
    <row r="36" spans="1:8">
      <c r="A36" s="106" t="s">
        <v>112</v>
      </c>
      <c r="B36" s="137">
        <v>2</v>
      </c>
      <c r="C36" s="110">
        <v>0.1</v>
      </c>
      <c r="D36" s="110">
        <f>+SUM(C$35:$C36)</f>
        <v>0.24000000000000002</v>
      </c>
      <c r="E36" s="110">
        <f>+E6</f>
        <v>5</v>
      </c>
      <c r="F36" s="110">
        <f t="shared" ref="F36:F37" si="3">+C36*E36</f>
        <v>0.5</v>
      </c>
      <c r="G36" s="89"/>
    </row>
    <row r="37" spans="1:8">
      <c r="B37" s="137" t="s">
        <v>99</v>
      </c>
      <c r="C37" s="110">
        <v>0.06</v>
      </c>
      <c r="D37" s="110">
        <f>+SUM(C$35:$C37)</f>
        <v>0.30000000000000004</v>
      </c>
      <c r="E37" s="110">
        <f>+E35+E36</f>
        <v>7</v>
      </c>
      <c r="F37" s="110">
        <f t="shared" si="3"/>
        <v>0.42</v>
      </c>
      <c r="G37" s="89">
        <v>0</v>
      </c>
      <c r="H37" s="106" t="s">
        <v>107</v>
      </c>
    </row>
    <row r="38" spans="1:8">
      <c r="A38" s="115"/>
      <c r="B38" s="113" t="s">
        <v>6</v>
      </c>
      <c r="C38" s="113">
        <f>+SUM(C35:C37)</f>
        <v>0.30000000000000004</v>
      </c>
      <c r="D38" s="113"/>
      <c r="E38" s="113"/>
      <c r="F38" s="118">
        <f>+SUM(F35:F37)</f>
        <v>1.2</v>
      </c>
      <c r="G38" s="91"/>
    </row>
    <row r="39" spans="1:8">
      <c r="A39" s="115"/>
      <c r="G39" s="87"/>
    </row>
    <row r="40" spans="1:8">
      <c r="G40" s="87"/>
    </row>
    <row r="41" spans="1:8">
      <c r="A41" s="109" t="s">
        <v>18</v>
      </c>
      <c r="B41" s="111" t="s">
        <v>96</v>
      </c>
      <c r="C41" s="111" t="s">
        <v>11</v>
      </c>
      <c r="D41" s="111" t="s">
        <v>20</v>
      </c>
      <c r="E41" s="111" t="s">
        <v>9</v>
      </c>
      <c r="F41" s="111" t="s">
        <v>1</v>
      </c>
      <c r="G41" s="111" t="s">
        <v>55</v>
      </c>
    </row>
    <row r="42" spans="1:8">
      <c r="A42" s="106" t="s">
        <v>109</v>
      </c>
      <c r="B42" s="137">
        <v>1</v>
      </c>
      <c r="C42" s="110">
        <v>0.6</v>
      </c>
      <c r="D42" s="110">
        <f>+SUM(C42:$C$42)</f>
        <v>0.6</v>
      </c>
      <c r="E42" s="110">
        <f>+E5</f>
        <v>2</v>
      </c>
      <c r="F42" s="110">
        <f>+E42*C42</f>
        <v>1.2</v>
      </c>
      <c r="G42" s="89">
        <v>0</v>
      </c>
      <c r="H42" s="106" t="s">
        <v>107</v>
      </c>
    </row>
    <row r="43" spans="1:8">
      <c r="A43" s="106" t="s">
        <v>111</v>
      </c>
      <c r="B43" s="113" t="s">
        <v>6</v>
      </c>
      <c r="C43" s="113">
        <f>+SUM(C42:C42)</f>
        <v>0.6</v>
      </c>
      <c r="D43" s="113"/>
      <c r="E43" s="113"/>
      <c r="F43" s="118">
        <f>+SUM(F42:F42)</f>
        <v>1.2</v>
      </c>
      <c r="G43" s="91"/>
    </row>
    <row r="44" spans="1:8">
      <c r="A44" s="106" t="s">
        <v>112</v>
      </c>
      <c r="G44" s="87"/>
    </row>
    <row r="45" spans="1:8">
      <c r="G45" s="87"/>
    </row>
    <row r="46" spans="1:8">
      <c r="A46" s="109" t="s">
        <v>19</v>
      </c>
      <c r="B46" s="111" t="s">
        <v>96</v>
      </c>
      <c r="C46" s="111" t="s">
        <v>11</v>
      </c>
      <c r="D46" s="111" t="s">
        <v>20</v>
      </c>
      <c r="E46" s="111" t="s">
        <v>9</v>
      </c>
      <c r="F46" s="111" t="s">
        <v>1</v>
      </c>
      <c r="G46" s="111" t="s">
        <v>55</v>
      </c>
    </row>
    <row r="47" spans="1:8">
      <c r="A47" s="106" t="s">
        <v>109</v>
      </c>
      <c r="B47" s="137">
        <v>2</v>
      </c>
      <c r="C47" s="110">
        <v>0.24</v>
      </c>
      <c r="D47" s="110">
        <f>+SUM(C$47:$C47)</f>
        <v>0.24</v>
      </c>
      <c r="E47" s="110">
        <f>+E6</f>
        <v>5</v>
      </c>
      <c r="F47" s="110">
        <f>+E47*C47</f>
        <v>1.2</v>
      </c>
      <c r="G47" s="89">
        <v>0</v>
      </c>
      <c r="H47" s="106" t="s">
        <v>107</v>
      </c>
    </row>
    <row r="48" spans="1:8">
      <c r="A48" s="106" t="s">
        <v>110</v>
      </c>
      <c r="B48" s="113" t="s">
        <v>6</v>
      </c>
      <c r="C48" s="113">
        <f>+SUM(C47:C47)</f>
        <v>0.24</v>
      </c>
      <c r="D48" s="113"/>
      <c r="E48" s="113"/>
      <c r="F48" s="118">
        <f>+SUM(F47:F47)</f>
        <v>1.2</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sheetPr codeName="Hoja12"/>
  <dimension ref="A1:J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116</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0.2</v>
      </c>
      <c r="D5" s="107">
        <f>+SUM($C$5:C5)</f>
        <v>0.2</v>
      </c>
      <c r="E5" s="121">
        <f>Summary!E27</f>
        <v>0</v>
      </c>
      <c r="F5" s="107">
        <f>+C5*E5</f>
        <v>0</v>
      </c>
      <c r="G5" s="89"/>
    </row>
    <row r="6" spans="1:8">
      <c r="B6" s="139">
        <v>2</v>
      </c>
      <c r="C6" s="107">
        <v>0.30499999999999999</v>
      </c>
      <c r="D6" s="107">
        <f>+SUM($C$5:C6)</f>
        <v>0.505</v>
      </c>
      <c r="E6" s="121">
        <f>Summary!E28</f>
        <v>2</v>
      </c>
      <c r="F6" s="107">
        <f t="shared" ref="F6:F11" si="0">+C6*E6</f>
        <v>0.61</v>
      </c>
      <c r="G6" s="89"/>
    </row>
    <row r="7" spans="1:8">
      <c r="B7" s="139">
        <v>3</v>
      </c>
      <c r="C7" s="107">
        <v>4.4999999999999998E-2</v>
      </c>
      <c r="D7" s="107">
        <f>+SUM($C$5:C7)</f>
        <v>0.55000000000000004</v>
      </c>
      <c r="E7" s="121">
        <f>Summary!E29</f>
        <v>3</v>
      </c>
      <c r="F7" s="107">
        <f t="shared" si="0"/>
        <v>0.13500000000000001</v>
      </c>
      <c r="G7" s="89"/>
    </row>
    <row r="8" spans="1:8">
      <c r="B8" s="139" t="s">
        <v>99</v>
      </c>
      <c r="C8" s="107">
        <v>0.1</v>
      </c>
      <c r="D8" s="107">
        <f>+SUM($C$5:C8)</f>
        <v>0.65</v>
      </c>
      <c r="E8" s="107">
        <f>+E5+E6</f>
        <v>2</v>
      </c>
      <c r="F8" s="107">
        <f t="shared" si="0"/>
        <v>0.2</v>
      </c>
      <c r="G8" s="89"/>
    </row>
    <row r="9" spans="1:8">
      <c r="B9" s="139" t="s">
        <v>100</v>
      </c>
      <c r="C9" s="107">
        <v>0.01</v>
      </c>
      <c r="D9" s="107">
        <f>+SUM($C$5:C9)</f>
        <v>0.66</v>
      </c>
      <c r="E9" s="107">
        <f>+E5+E7</f>
        <v>3</v>
      </c>
      <c r="F9" s="107">
        <f t="shared" si="0"/>
        <v>0.03</v>
      </c>
      <c r="G9" s="89"/>
    </row>
    <row r="10" spans="1:8">
      <c r="B10" s="139" t="s">
        <v>101</v>
      </c>
      <c r="C10" s="107">
        <v>0.01</v>
      </c>
      <c r="D10" s="107">
        <f>+SUM($C$5:C10)</f>
        <v>0.67</v>
      </c>
      <c r="E10" s="107">
        <f>+E6+E7</f>
        <v>5</v>
      </c>
      <c r="F10" s="107">
        <f t="shared" si="0"/>
        <v>0.05</v>
      </c>
      <c r="G10" s="89"/>
    </row>
    <row r="11" spans="1:8">
      <c r="B11" s="139" t="s">
        <v>102</v>
      </c>
      <c r="C11" s="107">
        <v>5.0000000000000001E-3</v>
      </c>
      <c r="D11" s="107">
        <f>+SUM($C$5:C11)</f>
        <v>0.67500000000000004</v>
      </c>
      <c r="E11" s="107">
        <f>+E5+E6+E7</f>
        <v>5</v>
      </c>
      <c r="F11" s="107">
        <f t="shared" si="0"/>
        <v>2.5000000000000001E-2</v>
      </c>
      <c r="G11" s="89">
        <v>0</v>
      </c>
      <c r="H11" s="106" t="s">
        <v>107</v>
      </c>
    </row>
    <row r="12" spans="1:8">
      <c r="B12" s="113" t="s">
        <v>12</v>
      </c>
      <c r="C12" s="113">
        <f>+SUM(C5:C11)</f>
        <v>0.67500000000000004</v>
      </c>
      <c r="D12" s="113"/>
      <c r="E12" s="113"/>
      <c r="F12" s="120">
        <f>+SUM(F5:F11)</f>
        <v>1.05</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0.375</v>
      </c>
      <c r="D16" s="110">
        <f>+SUM(C16:$C$16)</f>
        <v>0.375</v>
      </c>
      <c r="E16" s="110">
        <f>+E6</f>
        <v>2</v>
      </c>
      <c r="F16" s="110">
        <f>+C16*E16</f>
        <v>0.75</v>
      </c>
      <c r="G16" s="89"/>
    </row>
    <row r="17" spans="1:10">
      <c r="A17" s="106" t="s">
        <v>110</v>
      </c>
      <c r="B17" s="137">
        <v>3</v>
      </c>
      <c r="C17" s="110">
        <v>0.05</v>
      </c>
      <c r="D17" s="110">
        <f>+SUM(C$16:$C17)</f>
        <v>0.42499999999999999</v>
      </c>
      <c r="E17" s="110">
        <f>+E7</f>
        <v>3</v>
      </c>
      <c r="F17" s="110">
        <f t="shared" ref="F17:F18" si="1">+C17*E17</f>
        <v>0.15000000000000002</v>
      </c>
      <c r="G17" s="89"/>
    </row>
    <row r="18" spans="1:10">
      <c r="B18" s="137" t="s">
        <v>101</v>
      </c>
      <c r="C18" s="110">
        <v>0.03</v>
      </c>
      <c r="D18" s="110">
        <f>+SUM(C$16:$C18)</f>
        <v>0.45499999999999996</v>
      </c>
      <c r="E18" s="110">
        <f>+E16+E17</f>
        <v>5</v>
      </c>
      <c r="F18" s="110">
        <f t="shared" si="1"/>
        <v>0.15</v>
      </c>
      <c r="G18" s="89">
        <v>0</v>
      </c>
      <c r="H18" s="106" t="s">
        <v>107</v>
      </c>
    </row>
    <row r="19" spans="1:10">
      <c r="B19" s="113" t="s">
        <v>6</v>
      </c>
      <c r="C19" s="113">
        <f>+SUM(C16:C18)</f>
        <v>0.45499999999999996</v>
      </c>
      <c r="D19" s="113"/>
      <c r="E19" s="113"/>
      <c r="F19" s="118">
        <f>+SUM(F16:F18)</f>
        <v>1.05</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0.5</v>
      </c>
      <c r="D23" s="110">
        <f>+SUM(C23:$C$23)</f>
        <v>0.5</v>
      </c>
      <c r="E23" s="110">
        <f>+E5</f>
        <v>0</v>
      </c>
      <c r="F23" s="110">
        <f>+C23*E23</f>
        <v>0</v>
      </c>
      <c r="G23" s="89"/>
    </row>
    <row r="24" spans="1:10">
      <c r="A24" s="106" t="s">
        <v>111</v>
      </c>
      <c r="B24" s="137">
        <v>3</v>
      </c>
      <c r="C24" s="110">
        <v>0.32</v>
      </c>
      <c r="D24" s="110">
        <f>+SUM(C$23:$C24)</f>
        <v>0.82000000000000006</v>
      </c>
      <c r="E24" s="110">
        <f>+E7</f>
        <v>3</v>
      </c>
      <c r="F24" s="110">
        <f t="shared" ref="F24:F25" si="2">+C24*E24</f>
        <v>0.96</v>
      </c>
      <c r="G24" s="89"/>
    </row>
    <row r="25" spans="1:10">
      <c r="B25" s="137" t="s">
        <v>100</v>
      </c>
      <c r="C25" s="110">
        <v>0.03</v>
      </c>
      <c r="D25" s="110">
        <f>+SUM(C$23:$C25)</f>
        <v>0.85000000000000009</v>
      </c>
      <c r="E25" s="110">
        <f>+E23+E24</f>
        <v>3</v>
      </c>
      <c r="F25" s="110">
        <f t="shared" si="2"/>
        <v>0.09</v>
      </c>
      <c r="G25" s="89">
        <v>0</v>
      </c>
      <c r="H25" s="106" t="s">
        <v>107</v>
      </c>
      <c r="J25" s="119"/>
    </row>
    <row r="26" spans="1:10">
      <c r="B26" s="113" t="s">
        <v>6</v>
      </c>
      <c r="C26" s="113">
        <f>+SUM(C23:C25)</f>
        <v>0.85000000000000009</v>
      </c>
      <c r="D26" s="113"/>
      <c r="E26" s="113"/>
      <c r="F26" s="118">
        <f>+SUM(F23:F25)</f>
        <v>1.05</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0.35</v>
      </c>
      <c r="D30" s="110">
        <f>+SUM(C30:$C$30)</f>
        <v>0.35</v>
      </c>
      <c r="E30" s="110">
        <f>+E7</f>
        <v>3</v>
      </c>
      <c r="F30" s="110">
        <f>+C30*E30</f>
        <v>1.0499999999999998</v>
      </c>
      <c r="G30" s="89">
        <v>0</v>
      </c>
      <c r="H30" s="106" t="s">
        <v>107</v>
      </c>
    </row>
    <row r="31" spans="1:10">
      <c r="A31" s="106" t="s">
        <v>110</v>
      </c>
      <c r="B31" s="113" t="s">
        <v>6</v>
      </c>
      <c r="C31" s="113">
        <f>+SUM(C30:C30)</f>
        <v>0.35</v>
      </c>
      <c r="D31" s="113"/>
      <c r="E31" s="113"/>
      <c r="F31" s="118">
        <f>+SUM(F30:F30)</f>
        <v>1.0499999999999998</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0.3</v>
      </c>
      <c r="D35" s="110">
        <f>+SUM(C35:$C$35)</f>
        <v>0.3</v>
      </c>
      <c r="E35" s="110">
        <f>+E5</f>
        <v>0</v>
      </c>
      <c r="F35" s="110">
        <f>+C35*E35</f>
        <v>0</v>
      </c>
      <c r="G35" s="89"/>
    </row>
    <row r="36" spans="1:8">
      <c r="A36" s="106" t="s">
        <v>112</v>
      </c>
      <c r="B36" s="137">
        <v>2</v>
      </c>
      <c r="C36" s="110">
        <v>0.47499999999999998</v>
      </c>
      <c r="D36" s="110">
        <f>+SUM(C$35:$C36)</f>
        <v>0.77499999999999991</v>
      </c>
      <c r="E36" s="110">
        <f>+E6</f>
        <v>2</v>
      </c>
      <c r="F36" s="110">
        <f t="shared" ref="F36:F37" si="3">+C36*E36</f>
        <v>0.95</v>
      </c>
      <c r="G36" s="89"/>
    </row>
    <row r="37" spans="1:8">
      <c r="B37" s="137" t="s">
        <v>99</v>
      </c>
      <c r="C37" s="110">
        <v>0.05</v>
      </c>
      <c r="D37" s="110">
        <f>+SUM(C$35:$C37)</f>
        <v>0.82499999999999996</v>
      </c>
      <c r="E37" s="110">
        <f>+E35+E36</f>
        <v>2</v>
      </c>
      <c r="F37" s="110">
        <f t="shared" si="3"/>
        <v>0.1</v>
      </c>
      <c r="G37" s="89">
        <v>0</v>
      </c>
      <c r="H37" s="106" t="s">
        <v>107</v>
      </c>
    </row>
    <row r="38" spans="1:8">
      <c r="A38" s="115"/>
      <c r="B38" s="113" t="s">
        <v>6</v>
      </c>
      <c r="C38" s="113">
        <f>+SUM(C35:C37)</f>
        <v>0.82499999999999996</v>
      </c>
      <c r="D38" s="113"/>
      <c r="E38" s="113"/>
      <c r="F38" s="118">
        <f>+SUM(F35:F37)</f>
        <v>1.05</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0.7</v>
      </c>
      <c r="D42" s="110">
        <f>+SUM(C42:$C$42)</f>
        <v>0.7</v>
      </c>
      <c r="E42" s="110">
        <f>+E5</f>
        <v>0</v>
      </c>
      <c r="F42" s="110">
        <f>+E42*C42</f>
        <v>0</v>
      </c>
      <c r="G42" s="89">
        <v>0</v>
      </c>
      <c r="H42" s="106" t="s">
        <v>107</v>
      </c>
    </row>
    <row r="43" spans="1:8">
      <c r="A43" s="106" t="s">
        <v>111</v>
      </c>
      <c r="B43" s="113" t="s">
        <v>6</v>
      </c>
      <c r="C43" s="113">
        <f>+SUM(C42:C42)</f>
        <v>0.7</v>
      </c>
      <c r="D43" s="113"/>
      <c r="E43" s="113"/>
      <c r="F43" s="118">
        <f>+SUM(F42:F42)</f>
        <v>0</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0.52500000000000002</v>
      </c>
      <c r="D47" s="110">
        <f>+SUM(C$47:$C47)</f>
        <v>0.52500000000000002</v>
      </c>
      <c r="E47" s="110">
        <f>+E6</f>
        <v>2</v>
      </c>
      <c r="F47" s="110">
        <f>+E47*C47</f>
        <v>1.05</v>
      </c>
      <c r="G47" s="89">
        <v>0</v>
      </c>
      <c r="H47" s="106" t="s">
        <v>107</v>
      </c>
    </row>
    <row r="48" spans="1:8">
      <c r="A48" s="106" t="s">
        <v>110</v>
      </c>
      <c r="B48" s="113" t="s">
        <v>6</v>
      </c>
      <c r="C48" s="113">
        <f>+SUM(C47:C47)</f>
        <v>0.52500000000000002</v>
      </c>
      <c r="D48" s="113"/>
      <c r="E48" s="113"/>
      <c r="F48" s="118">
        <f>+SUM(F47:F47)</f>
        <v>1.05</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sheetPr codeName="Hoja13"/>
  <dimension ref="A1:J126"/>
  <sheetViews>
    <sheetView topLeftCell="A28"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121</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0.15</v>
      </c>
      <c r="D5" s="107">
        <f>+SUM($C$5:C5)</f>
        <v>0.15</v>
      </c>
      <c r="E5" s="107">
        <f>+Summary!H27</f>
        <v>2</v>
      </c>
      <c r="F5" s="107">
        <f>+C5*E5</f>
        <v>0.3</v>
      </c>
      <c r="G5" s="89"/>
    </row>
    <row r="6" spans="1:8">
      <c r="B6" s="139">
        <v>2</v>
      </c>
      <c r="C6" s="107">
        <v>0.15</v>
      </c>
      <c r="D6" s="107">
        <f>+SUM($C$5:C6)</f>
        <v>0.3</v>
      </c>
      <c r="E6" s="107">
        <f>+Summary!H28</f>
        <v>2</v>
      </c>
      <c r="F6" s="107">
        <f t="shared" ref="F6:F11" si="0">+C6*E6</f>
        <v>0.3</v>
      </c>
      <c r="G6" s="89"/>
    </row>
    <row r="7" spans="1:8">
      <c r="B7" s="139">
        <v>3</v>
      </c>
      <c r="C7" s="107">
        <v>2.2499999999999999E-2</v>
      </c>
      <c r="D7" s="107">
        <f>+SUM($C$5:C7)</f>
        <v>0.32250000000000001</v>
      </c>
      <c r="E7" s="107">
        <f>+Summary!H29</f>
        <v>4</v>
      </c>
      <c r="F7" s="107">
        <f t="shared" si="0"/>
        <v>0.09</v>
      </c>
      <c r="G7" s="89"/>
    </row>
    <row r="8" spans="1:8">
      <c r="B8" s="139" t="s">
        <v>99</v>
      </c>
      <c r="C8" s="107">
        <v>0.05</v>
      </c>
      <c r="D8" s="107">
        <f>+SUM($C$5:C8)</f>
        <v>0.3725</v>
      </c>
      <c r="E8" s="107">
        <f>+E5+E6</f>
        <v>4</v>
      </c>
      <c r="F8" s="107">
        <f t="shared" si="0"/>
        <v>0.2</v>
      </c>
      <c r="G8" s="89"/>
    </row>
    <row r="9" spans="1:8">
      <c r="B9" s="139" t="s">
        <v>100</v>
      </c>
      <c r="C9" s="107">
        <v>0.01</v>
      </c>
      <c r="D9" s="107">
        <f>+SUM($C$5:C9)</f>
        <v>0.38250000000000001</v>
      </c>
      <c r="E9" s="107">
        <f>+E5+E7</f>
        <v>6</v>
      </c>
      <c r="F9" s="107">
        <f t="shared" si="0"/>
        <v>0.06</v>
      </c>
      <c r="G9" s="89"/>
    </row>
    <row r="10" spans="1:8">
      <c r="B10" s="139" t="s">
        <v>101</v>
      </c>
      <c r="C10" s="107">
        <v>0.01</v>
      </c>
      <c r="D10" s="107">
        <f>+SUM($C$5:C10)</f>
        <v>0.39250000000000002</v>
      </c>
      <c r="E10" s="107">
        <f>+E6+E7</f>
        <v>6</v>
      </c>
      <c r="F10" s="107">
        <f t="shared" si="0"/>
        <v>0.06</v>
      </c>
      <c r="G10" s="89"/>
    </row>
    <row r="11" spans="1:8">
      <c r="B11" s="139" t="s">
        <v>102</v>
      </c>
      <c r="C11" s="107">
        <v>5.0000000000000001E-3</v>
      </c>
      <c r="D11" s="107">
        <f>+SUM($C$5:C11)</f>
        <v>0.39750000000000002</v>
      </c>
      <c r="E11" s="107">
        <f>+E5+E6+E7</f>
        <v>8</v>
      </c>
      <c r="F11" s="107">
        <f t="shared" si="0"/>
        <v>0.04</v>
      </c>
      <c r="G11" s="89">
        <v>0</v>
      </c>
      <c r="H11" s="106" t="s">
        <v>107</v>
      </c>
    </row>
    <row r="12" spans="1:8">
      <c r="B12" s="113" t="s">
        <v>12</v>
      </c>
      <c r="C12" s="113">
        <f>+SUM(C5:C11)</f>
        <v>0.39750000000000002</v>
      </c>
      <c r="D12" s="113"/>
      <c r="E12" s="113"/>
      <c r="F12" s="120">
        <f>+SUM(F5:F11)</f>
        <v>1.05</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0.4</v>
      </c>
      <c r="D16" s="110">
        <f>+SUM(C16:$C$16)</f>
        <v>0.4</v>
      </c>
      <c r="E16" s="110">
        <f>+E6</f>
        <v>2</v>
      </c>
      <c r="F16" s="110">
        <f>+C16*E16</f>
        <v>0.8</v>
      </c>
      <c r="G16" s="89"/>
    </row>
    <row r="17" spans="1:10">
      <c r="A17" s="106" t="s">
        <v>110</v>
      </c>
      <c r="B17" s="137">
        <v>3</v>
      </c>
      <c r="C17" s="110">
        <v>3.2500000000000001E-2</v>
      </c>
      <c r="D17" s="110">
        <f>+SUM(C$16:$C17)</f>
        <v>0.4325</v>
      </c>
      <c r="E17" s="110">
        <f>+E7</f>
        <v>4</v>
      </c>
      <c r="F17" s="110">
        <f t="shared" ref="F17:F18" si="1">+C17*E17</f>
        <v>0.13</v>
      </c>
      <c r="G17" s="89"/>
    </row>
    <row r="18" spans="1:10">
      <c r="B18" s="137" t="s">
        <v>101</v>
      </c>
      <c r="C18" s="110">
        <v>0.02</v>
      </c>
      <c r="D18" s="110">
        <f>+SUM(C$16:$C18)</f>
        <v>0.45250000000000001</v>
      </c>
      <c r="E18" s="110">
        <f>+E16+E17</f>
        <v>6</v>
      </c>
      <c r="F18" s="110">
        <f t="shared" si="1"/>
        <v>0.12</v>
      </c>
      <c r="G18" s="89">
        <v>0</v>
      </c>
      <c r="H18" s="106" t="s">
        <v>107</v>
      </c>
    </row>
    <row r="19" spans="1:10">
      <c r="B19" s="113" t="s">
        <v>6</v>
      </c>
      <c r="C19" s="113">
        <f>+SUM(C16:C18)</f>
        <v>0.45250000000000001</v>
      </c>
      <c r="D19" s="113"/>
      <c r="E19" s="113"/>
      <c r="F19" s="118">
        <f>+SUM(F16:F18)</f>
        <v>1.05</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0.4</v>
      </c>
      <c r="D23" s="110">
        <f>+SUM(C23:$C$23)</f>
        <v>0.4</v>
      </c>
      <c r="E23" s="110">
        <f>+E5</f>
        <v>2</v>
      </c>
      <c r="F23" s="110">
        <f>+C23*E23</f>
        <v>0.8</v>
      </c>
      <c r="G23" s="89"/>
    </row>
    <row r="24" spans="1:10">
      <c r="A24" s="106" t="s">
        <v>111</v>
      </c>
      <c r="B24" s="137">
        <v>3</v>
      </c>
      <c r="C24" s="110">
        <v>3.2500000000000001E-2</v>
      </c>
      <c r="D24" s="110">
        <f>+SUM(C$23:$C24)</f>
        <v>0.4325</v>
      </c>
      <c r="E24" s="110">
        <f>+E7</f>
        <v>4</v>
      </c>
      <c r="F24" s="110">
        <f t="shared" ref="F24:F25" si="2">+C24*E24</f>
        <v>0.13</v>
      </c>
      <c r="G24" s="89"/>
    </row>
    <row r="25" spans="1:10">
      <c r="B25" s="137" t="s">
        <v>100</v>
      </c>
      <c r="C25" s="110">
        <v>0.02</v>
      </c>
      <c r="D25" s="110">
        <f>+SUM(C$23:$C25)</f>
        <v>0.45250000000000001</v>
      </c>
      <c r="E25" s="110">
        <f>+E23+E24</f>
        <v>6</v>
      </c>
      <c r="F25" s="110">
        <f t="shared" si="2"/>
        <v>0.12</v>
      </c>
      <c r="G25" s="89">
        <v>0</v>
      </c>
      <c r="H25" s="106" t="s">
        <v>107</v>
      </c>
      <c r="J25" s="119"/>
    </row>
    <row r="26" spans="1:10">
      <c r="B26" s="113" t="s">
        <v>6</v>
      </c>
      <c r="C26" s="113">
        <f>+SUM(C23:C25)</f>
        <v>0.45250000000000001</v>
      </c>
      <c r="D26" s="113"/>
      <c r="E26" s="113"/>
      <c r="F26" s="118">
        <f>+SUM(F23:F25)</f>
        <v>1.05</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0.26250000000000001</v>
      </c>
      <c r="D30" s="110">
        <f>+SUM(C30:$C$30)</f>
        <v>0.26250000000000001</v>
      </c>
      <c r="E30" s="110">
        <f>+E7</f>
        <v>4</v>
      </c>
      <c r="F30" s="110">
        <f>+C30*E30</f>
        <v>1.05</v>
      </c>
      <c r="G30" s="89">
        <v>0</v>
      </c>
      <c r="H30" s="106" t="s">
        <v>107</v>
      </c>
    </row>
    <row r="31" spans="1:10">
      <c r="A31" s="106" t="s">
        <v>110</v>
      </c>
      <c r="B31" s="113" t="s">
        <v>6</v>
      </c>
      <c r="C31" s="113">
        <f>+SUM(C30:C30)</f>
        <v>0.26250000000000001</v>
      </c>
      <c r="D31" s="113"/>
      <c r="E31" s="113"/>
      <c r="F31" s="118">
        <f>+SUM(F30:F30)</f>
        <v>1.05</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0.24</v>
      </c>
      <c r="D35" s="110">
        <f>+SUM(C35:$C$35)</f>
        <v>0.24</v>
      </c>
      <c r="E35" s="110">
        <f>+E5</f>
        <v>2</v>
      </c>
      <c r="F35" s="110">
        <f>+C35*E35</f>
        <v>0.48</v>
      </c>
      <c r="G35" s="89"/>
    </row>
    <row r="36" spans="1:8">
      <c r="A36" s="106" t="s">
        <v>112</v>
      </c>
      <c r="B36" s="137">
        <v>2</v>
      </c>
      <c r="C36" s="110">
        <v>0.24</v>
      </c>
      <c r="D36" s="110">
        <f>+SUM(C$35:$C36)</f>
        <v>0.48</v>
      </c>
      <c r="E36" s="110">
        <f>+E6</f>
        <v>2</v>
      </c>
      <c r="F36" s="110">
        <f t="shared" ref="F36:F37" si="3">+C36*E36</f>
        <v>0.48</v>
      </c>
      <c r="G36" s="89"/>
    </row>
    <row r="37" spans="1:8">
      <c r="B37" s="137" t="s">
        <v>99</v>
      </c>
      <c r="C37" s="110">
        <v>2.2499999999999999E-2</v>
      </c>
      <c r="D37" s="110">
        <f>+SUM(C$35:$C37)</f>
        <v>0.50249999999999995</v>
      </c>
      <c r="E37" s="110">
        <f>+E35+E36</f>
        <v>4</v>
      </c>
      <c r="F37" s="110">
        <f t="shared" si="3"/>
        <v>0.09</v>
      </c>
      <c r="G37" s="89">
        <v>0</v>
      </c>
      <c r="H37" s="106" t="s">
        <v>107</v>
      </c>
    </row>
    <row r="38" spans="1:8">
      <c r="A38" s="115"/>
      <c r="B38" s="113" t="s">
        <v>6</v>
      </c>
      <c r="C38" s="113">
        <f>+SUM(C35:C37)</f>
        <v>0.50249999999999995</v>
      </c>
      <c r="D38" s="113"/>
      <c r="E38" s="113"/>
      <c r="F38" s="118">
        <f>+SUM(F35:F37)</f>
        <v>1.05</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0.52500000000000002</v>
      </c>
      <c r="D42" s="110">
        <f>+SUM(C42:$C$42)</f>
        <v>0.52500000000000002</v>
      </c>
      <c r="E42" s="110">
        <f>+E5</f>
        <v>2</v>
      </c>
      <c r="F42" s="110">
        <f>+E42*C42</f>
        <v>1.05</v>
      </c>
      <c r="G42" s="89">
        <v>0</v>
      </c>
      <c r="H42" s="106" t="s">
        <v>107</v>
      </c>
    </row>
    <row r="43" spans="1:8">
      <c r="A43" s="106" t="s">
        <v>111</v>
      </c>
      <c r="B43" s="113" t="s">
        <v>6</v>
      </c>
      <c r="C43" s="113">
        <f>+SUM(C42:C42)</f>
        <v>0.52500000000000002</v>
      </c>
      <c r="D43" s="113"/>
      <c r="E43" s="113"/>
      <c r="F43" s="118">
        <f>+SUM(F42:F42)</f>
        <v>1.05</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0.52500000000000002</v>
      </c>
      <c r="D47" s="110">
        <f>+SUM(C$47:$C47)</f>
        <v>0.52500000000000002</v>
      </c>
      <c r="E47" s="110">
        <f>+E6</f>
        <v>2</v>
      </c>
      <c r="F47" s="110">
        <f>+E47*C47</f>
        <v>1.05</v>
      </c>
      <c r="G47" s="89">
        <v>0</v>
      </c>
      <c r="H47" s="106" t="s">
        <v>107</v>
      </c>
    </row>
    <row r="48" spans="1:8">
      <c r="A48" s="106" t="s">
        <v>110</v>
      </c>
      <c r="B48" s="113" t="s">
        <v>6</v>
      </c>
      <c r="C48" s="113">
        <f>+SUM(C47:C47)</f>
        <v>0.52500000000000002</v>
      </c>
      <c r="D48" s="113"/>
      <c r="E48" s="113"/>
      <c r="F48" s="118">
        <f>+SUM(F47:F47)</f>
        <v>1.05</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125</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0.1</v>
      </c>
      <c r="D5" s="107">
        <f>+SUM($C$5:C5)</f>
        <v>0.1</v>
      </c>
      <c r="E5" s="121">
        <f>Summary!K27</f>
        <v>3</v>
      </c>
      <c r="F5" s="107">
        <f>+C5*E5</f>
        <v>0.30000000000000004</v>
      </c>
      <c r="G5" s="89"/>
    </row>
    <row r="6" spans="1:8">
      <c r="B6" s="139">
        <v>2</v>
      </c>
      <c r="C6" s="107">
        <v>0.1</v>
      </c>
      <c r="D6" s="107">
        <f>+SUM($C$5:C6)</f>
        <v>0.2</v>
      </c>
      <c r="E6" s="121">
        <f>Summary!K28</f>
        <v>3</v>
      </c>
      <c r="F6" s="107">
        <f t="shared" ref="F6:F11" si="0">+C6*E6</f>
        <v>0.30000000000000004</v>
      </c>
      <c r="G6" s="89"/>
    </row>
    <row r="7" spans="1:8">
      <c r="B7" s="139">
        <v>3</v>
      </c>
      <c r="C7" s="107">
        <v>1.4999999999999999E-2</v>
      </c>
      <c r="D7" s="107">
        <f>+SUM($C$5:C7)</f>
        <v>0.21500000000000002</v>
      </c>
      <c r="E7" s="121">
        <f>Summary!K29</f>
        <v>6</v>
      </c>
      <c r="F7" s="107">
        <f t="shared" si="0"/>
        <v>0.09</v>
      </c>
      <c r="G7" s="89"/>
    </row>
    <row r="8" spans="1:8">
      <c r="B8" s="139" t="s">
        <v>99</v>
      </c>
      <c r="C8" s="107">
        <v>0.02</v>
      </c>
      <c r="D8" s="107">
        <f>+SUM($C$5:C8)</f>
        <v>0.23500000000000001</v>
      </c>
      <c r="E8" s="107">
        <f>+E5+E6</f>
        <v>6</v>
      </c>
      <c r="F8" s="107">
        <f t="shared" si="0"/>
        <v>0.12</v>
      </c>
      <c r="G8" s="89"/>
    </row>
    <row r="9" spans="1:8">
      <c r="B9" s="139" t="s">
        <v>100</v>
      </c>
      <c r="C9" s="107">
        <v>0.01</v>
      </c>
      <c r="D9" s="107">
        <f>+SUM($C$5:C9)</f>
        <v>0.24500000000000002</v>
      </c>
      <c r="E9" s="107">
        <f>+E5+E7</f>
        <v>9</v>
      </c>
      <c r="F9" s="107">
        <f t="shared" si="0"/>
        <v>0.09</v>
      </c>
      <c r="G9" s="89"/>
    </row>
    <row r="10" spans="1:8">
      <c r="B10" s="139" t="s">
        <v>101</v>
      </c>
      <c r="C10" s="107">
        <v>0.01</v>
      </c>
      <c r="D10" s="107">
        <f>+SUM($C$5:C10)</f>
        <v>0.255</v>
      </c>
      <c r="E10" s="107">
        <f>+E6+E7</f>
        <v>9</v>
      </c>
      <c r="F10" s="107">
        <f t="shared" si="0"/>
        <v>0.09</v>
      </c>
      <c r="G10" s="89"/>
    </row>
    <row r="11" spans="1:8">
      <c r="B11" s="139" t="s">
        <v>102</v>
      </c>
      <c r="C11" s="107">
        <v>5.0000000000000001E-3</v>
      </c>
      <c r="D11" s="107">
        <f>+SUM($C$5:C11)</f>
        <v>0.26</v>
      </c>
      <c r="E11" s="107">
        <f>+E5+E6+E7</f>
        <v>12</v>
      </c>
      <c r="F11" s="107">
        <f t="shared" si="0"/>
        <v>0.06</v>
      </c>
      <c r="G11" s="89">
        <v>0</v>
      </c>
      <c r="H11" s="106" t="s">
        <v>107</v>
      </c>
    </row>
    <row r="12" spans="1:8">
      <c r="B12" s="113" t="s">
        <v>12</v>
      </c>
      <c r="C12" s="113">
        <f>+SUM(C5:C11)</f>
        <v>0.26</v>
      </c>
      <c r="D12" s="113"/>
      <c r="E12" s="113"/>
      <c r="F12" s="120">
        <f>+SUM(F5:F11)</f>
        <v>1.05</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0.25</v>
      </c>
      <c r="D16" s="110">
        <f>+SUM(C16:$C$16)</f>
        <v>0.25</v>
      </c>
      <c r="E16" s="110">
        <f>+E6</f>
        <v>3</v>
      </c>
      <c r="F16" s="110">
        <f>+C16*E16</f>
        <v>0.75</v>
      </c>
      <c r="G16" s="89"/>
    </row>
    <row r="17" spans="1:10">
      <c r="A17" s="106" t="s">
        <v>110</v>
      </c>
      <c r="B17" s="137">
        <v>3</v>
      </c>
      <c r="C17" s="110">
        <v>0.02</v>
      </c>
      <c r="D17" s="110">
        <f>+SUM(C$16:$C17)</f>
        <v>0.27</v>
      </c>
      <c r="E17" s="110">
        <f>+E7</f>
        <v>6</v>
      </c>
      <c r="F17" s="110">
        <f t="shared" ref="F17:F18" si="1">+C17*E17</f>
        <v>0.12</v>
      </c>
      <c r="G17" s="89"/>
    </row>
    <row r="18" spans="1:10">
      <c r="B18" s="137" t="s">
        <v>101</v>
      </c>
      <c r="C18" s="110">
        <v>0.02</v>
      </c>
      <c r="D18" s="110">
        <f>+SUM(C$16:$C18)</f>
        <v>0.29000000000000004</v>
      </c>
      <c r="E18" s="110">
        <f>+E16+E17</f>
        <v>9</v>
      </c>
      <c r="F18" s="110">
        <f t="shared" si="1"/>
        <v>0.18</v>
      </c>
      <c r="G18" s="89">
        <v>0</v>
      </c>
      <c r="H18" s="106" t="s">
        <v>107</v>
      </c>
    </row>
    <row r="19" spans="1:10">
      <c r="B19" s="113" t="s">
        <v>6</v>
      </c>
      <c r="C19" s="113">
        <f>+SUM(C16:C18)</f>
        <v>0.29000000000000004</v>
      </c>
      <c r="D19" s="113"/>
      <c r="E19" s="113"/>
      <c r="F19" s="118">
        <f>+SUM(F16:F18)</f>
        <v>1.05</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0.25</v>
      </c>
      <c r="D23" s="110">
        <f>+SUM(C23:$C$23)</f>
        <v>0.25</v>
      </c>
      <c r="E23" s="110">
        <f>+E5</f>
        <v>3</v>
      </c>
      <c r="F23" s="110">
        <f>+C23*E23</f>
        <v>0.75</v>
      </c>
      <c r="G23" s="89"/>
    </row>
    <row r="24" spans="1:10">
      <c r="A24" s="106" t="s">
        <v>111</v>
      </c>
      <c r="B24" s="137">
        <v>3</v>
      </c>
      <c r="C24" s="110">
        <v>0.02</v>
      </c>
      <c r="D24" s="110">
        <f>+SUM(C$23:$C24)</f>
        <v>0.27</v>
      </c>
      <c r="E24" s="110">
        <f>+E7</f>
        <v>6</v>
      </c>
      <c r="F24" s="110">
        <f t="shared" ref="F24:F25" si="2">+C24*E24</f>
        <v>0.12</v>
      </c>
      <c r="G24" s="89"/>
    </row>
    <row r="25" spans="1:10">
      <c r="B25" s="137" t="s">
        <v>100</v>
      </c>
      <c r="C25" s="110">
        <v>0.02</v>
      </c>
      <c r="D25" s="110">
        <f>+SUM(C$23:$C25)</f>
        <v>0.29000000000000004</v>
      </c>
      <c r="E25" s="110">
        <f>+E23+E24</f>
        <v>9</v>
      </c>
      <c r="F25" s="110">
        <f t="shared" si="2"/>
        <v>0.18</v>
      </c>
      <c r="G25" s="89">
        <v>0</v>
      </c>
      <c r="H25" s="106" t="s">
        <v>107</v>
      </c>
      <c r="J25" s="119"/>
    </row>
    <row r="26" spans="1:10">
      <c r="B26" s="113" t="s">
        <v>6</v>
      </c>
      <c r="C26" s="113">
        <f>+SUM(C23:C25)</f>
        <v>0.29000000000000004</v>
      </c>
      <c r="D26" s="113"/>
      <c r="E26" s="113"/>
      <c r="F26" s="118">
        <f>+SUM(F23:F25)</f>
        <v>1.05</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0.17499999999999999</v>
      </c>
      <c r="D30" s="110">
        <f>+SUM(C30:$C$30)</f>
        <v>0.17499999999999999</v>
      </c>
      <c r="E30" s="110">
        <f>+E7</f>
        <v>6</v>
      </c>
      <c r="F30" s="110">
        <f>+C30*E30</f>
        <v>1.0499999999999998</v>
      </c>
      <c r="G30" s="89">
        <v>0</v>
      </c>
      <c r="H30" s="106" t="s">
        <v>107</v>
      </c>
    </row>
    <row r="31" spans="1:10">
      <c r="A31" s="106" t="s">
        <v>110</v>
      </c>
      <c r="B31" s="113" t="s">
        <v>6</v>
      </c>
      <c r="C31" s="113">
        <f>+SUM(C30:C30)</f>
        <v>0.17499999999999999</v>
      </c>
      <c r="D31" s="113"/>
      <c r="E31" s="113"/>
      <c r="F31" s="118">
        <f>+SUM(F30:F30)</f>
        <v>1.0499999999999998</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0.15</v>
      </c>
      <c r="D35" s="110">
        <f>+SUM(C35:$C$35)</f>
        <v>0.15</v>
      </c>
      <c r="E35" s="110">
        <f>+E5</f>
        <v>3</v>
      </c>
      <c r="F35" s="110">
        <f>+C35*E35</f>
        <v>0.44999999999999996</v>
      </c>
      <c r="G35" s="89"/>
    </row>
    <row r="36" spans="1:8">
      <c r="A36" s="106" t="s">
        <v>112</v>
      </c>
      <c r="B36" s="137">
        <v>2</v>
      </c>
      <c r="C36" s="110">
        <v>0.15</v>
      </c>
      <c r="D36" s="110">
        <f>+SUM(C$35:$C36)</f>
        <v>0.3</v>
      </c>
      <c r="E36" s="110">
        <f>+E6</f>
        <v>3</v>
      </c>
      <c r="F36" s="110">
        <f t="shared" ref="F36:F37" si="3">+C36*E36</f>
        <v>0.44999999999999996</v>
      </c>
      <c r="G36" s="89"/>
    </row>
    <row r="37" spans="1:8">
      <c r="B37" s="137" t="s">
        <v>99</v>
      </c>
      <c r="C37" s="110">
        <v>2.5000000000000001E-2</v>
      </c>
      <c r="D37" s="110">
        <f>+SUM(C$35:$C37)</f>
        <v>0.32500000000000001</v>
      </c>
      <c r="E37" s="110">
        <f>+E35+E36</f>
        <v>6</v>
      </c>
      <c r="F37" s="110">
        <f t="shared" si="3"/>
        <v>0.15000000000000002</v>
      </c>
      <c r="G37" s="89">
        <v>0</v>
      </c>
      <c r="H37" s="106" t="s">
        <v>107</v>
      </c>
    </row>
    <row r="38" spans="1:8">
      <c r="A38" s="115"/>
      <c r="B38" s="113" t="s">
        <v>6</v>
      </c>
      <c r="C38" s="113">
        <f>+SUM(C35:C37)</f>
        <v>0.32500000000000001</v>
      </c>
      <c r="D38" s="113"/>
      <c r="E38" s="113"/>
      <c r="F38" s="118">
        <f>+SUM(F35:F37)</f>
        <v>1.0499999999999998</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0.35</v>
      </c>
      <c r="D42" s="110">
        <f>+SUM(C42:$C$42)</f>
        <v>0.35</v>
      </c>
      <c r="E42" s="110">
        <f>+E5</f>
        <v>3</v>
      </c>
      <c r="F42" s="110">
        <f>+E42*C42</f>
        <v>1.0499999999999998</v>
      </c>
      <c r="G42" s="89">
        <v>0</v>
      </c>
      <c r="H42" s="106" t="s">
        <v>107</v>
      </c>
    </row>
    <row r="43" spans="1:8">
      <c r="A43" s="106" t="s">
        <v>111</v>
      </c>
      <c r="B43" s="113" t="s">
        <v>6</v>
      </c>
      <c r="C43" s="113">
        <f>+SUM(C42:C42)</f>
        <v>0.35</v>
      </c>
      <c r="D43" s="113"/>
      <c r="E43" s="113"/>
      <c r="F43" s="118">
        <f>+SUM(F42:F42)</f>
        <v>1.0499999999999998</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0.35</v>
      </c>
      <c r="D47" s="110">
        <f>+SUM(C$47:$C47)</f>
        <v>0.35</v>
      </c>
      <c r="E47" s="110">
        <f>+E6</f>
        <v>3</v>
      </c>
      <c r="F47" s="110">
        <f>+E47*C47</f>
        <v>1.0499999999999998</v>
      </c>
      <c r="G47" s="89">
        <v>0</v>
      </c>
      <c r="H47" s="106" t="s">
        <v>107</v>
      </c>
    </row>
    <row r="48" spans="1:8">
      <c r="A48" s="106" t="s">
        <v>110</v>
      </c>
      <c r="B48" s="113" t="s">
        <v>6</v>
      </c>
      <c r="C48" s="113">
        <f>+SUM(C47:C47)</f>
        <v>0.35</v>
      </c>
      <c r="D48" s="113"/>
      <c r="E48" s="113"/>
      <c r="F48" s="118">
        <f>+SUM(F47:F47)</f>
        <v>1.0499999999999998</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88671875" style="106" customWidth="1"/>
    <col min="9" max="9" width="12" style="106" customWidth="1"/>
    <col min="10" max="16384" width="11.5546875" style="106"/>
  </cols>
  <sheetData>
    <row r="1" spans="1:9" ht="18">
      <c r="A1" s="143" t="s">
        <v>133</v>
      </c>
      <c r="B1" s="143"/>
      <c r="C1" s="143"/>
      <c r="D1" s="143"/>
      <c r="E1" s="143"/>
    </row>
    <row r="2" spans="1:9">
      <c r="A2" s="116" t="s">
        <v>148</v>
      </c>
    </row>
    <row r="4" spans="1:9">
      <c r="A4" s="109" t="s">
        <v>10</v>
      </c>
      <c r="B4" s="111" t="s">
        <v>96</v>
      </c>
      <c r="C4" s="111" t="s">
        <v>11</v>
      </c>
      <c r="D4" s="111" t="s">
        <v>20</v>
      </c>
      <c r="E4" s="111" t="s">
        <v>9</v>
      </c>
      <c r="F4" s="111" t="s">
        <v>1</v>
      </c>
      <c r="G4" s="111" t="s">
        <v>55</v>
      </c>
    </row>
    <row r="5" spans="1:9">
      <c r="A5" s="106" t="s">
        <v>108</v>
      </c>
      <c r="B5" s="139">
        <v>1</v>
      </c>
      <c r="C5" s="79">
        <v>0.25</v>
      </c>
      <c r="D5" s="107">
        <f>+SUM($C$5:C5)</f>
        <v>0.25</v>
      </c>
      <c r="E5" s="107">
        <f>+Summary!B27</f>
        <v>2</v>
      </c>
      <c r="F5" s="107">
        <f>+C5*E5</f>
        <v>0.5</v>
      </c>
      <c r="G5" s="89"/>
    </row>
    <row r="6" spans="1:9">
      <c r="B6" s="139">
        <v>2</v>
      </c>
      <c r="C6" s="79">
        <v>0.1</v>
      </c>
      <c r="D6" s="107">
        <f>+SUM($C$5:C6)</f>
        <v>0.35</v>
      </c>
      <c r="E6" s="107">
        <f>+Summary!B28</f>
        <v>3</v>
      </c>
      <c r="F6" s="107">
        <f t="shared" ref="F6:F7" si="0">+C6*E6</f>
        <v>0.30000000000000004</v>
      </c>
      <c r="G6" s="89"/>
    </row>
    <row r="7" spans="1:9">
      <c r="B7" s="139" t="s">
        <v>99</v>
      </c>
      <c r="C7" s="79">
        <v>0.05</v>
      </c>
      <c r="D7" s="107">
        <f>+SUM($C$5:C7)</f>
        <v>0.39999999999999997</v>
      </c>
      <c r="E7" s="107">
        <f>+E5+E6</f>
        <v>5</v>
      </c>
      <c r="F7" s="107">
        <f t="shared" si="0"/>
        <v>0.25</v>
      </c>
      <c r="G7" s="89">
        <v>0</v>
      </c>
      <c r="H7" s="106" t="s">
        <v>107</v>
      </c>
      <c r="I7" s="141"/>
    </row>
    <row r="8" spans="1:9">
      <c r="B8" s="113" t="s">
        <v>12</v>
      </c>
      <c r="C8" s="113">
        <f>+SUM(C5:C7)</f>
        <v>0.39999999999999997</v>
      </c>
      <c r="D8" s="113"/>
      <c r="E8" s="113"/>
      <c r="F8" s="99">
        <f>+SUM(F5:F7)</f>
        <v>1.05</v>
      </c>
      <c r="G8" s="90"/>
    </row>
    <row r="9" spans="1:9">
      <c r="B9" s="114" t="s">
        <v>103</v>
      </c>
      <c r="G9" s="87"/>
    </row>
    <row r="10" spans="1:9">
      <c r="G10" s="87"/>
    </row>
    <row r="11" spans="1:9">
      <c r="G11" s="87"/>
    </row>
    <row r="12" spans="1:9">
      <c r="A12" s="109" t="s">
        <v>18</v>
      </c>
      <c r="B12" s="111" t="s">
        <v>96</v>
      </c>
      <c r="C12" s="111" t="s">
        <v>11</v>
      </c>
      <c r="D12" s="111" t="s">
        <v>20</v>
      </c>
      <c r="E12" s="111" t="s">
        <v>9</v>
      </c>
      <c r="F12" s="111" t="s">
        <v>1</v>
      </c>
      <c r="G12" s="111" t="s">
        <v>55</v>
      </c>
    </row>
    <row r="13" spans="1:9">
      <c r="A13" s="106" t="s">
        <v>109</v>
      </c>
      <c r="B13" s="137">
        <v>1</v>
      </c>
      <c r="C13" s="110">
        <v>0.52500000000000002</v>
      </c>
      <c r="D13" s="110">
        <f>+SUM(C13:$C$13)</f>
        <v>0.52500000000000002</v>
      </c>
      <c r="E13" s="110">
        <f>+E5</f>
        <v>2</v>
      </c>
      <c r="F13" s="110">
        <f>+E13*C13</f>
        <v>1.05</v>
      </c>
      <c r="G13" s="89">
        <v>0</v>
      </c>
      <c r="H13" s="106" t="s">
        <v>107</v>
      </c>
    </row>
    <row r="14" spans="1:9">
      <c r="A14" s="106" t="s">
        <v>111</v>
      </c>
      <c r="B14" s="113" t="s">
        <v>6</v>
      </c>
      <c r="C14" s="113">
        <f>+SUM(C13:C13)</f>
        <v>0.52500000000000002</v>
      </c>
      <c r="D14" s="113"/>
      <c r="E14" s="113"/>
      <c r="F14" s="118">
        <f>+SUM(F13:F13)</f>
        <v>1.05</v>
      </c>
      <c r="G14" s="91"/>
    </row>
    <row r="15" spans="1:9">
      <c r="G15" s="87"/>
    </row>
    <row r="16" spans="1:9">
      <c r="G16" s="87"/>
    </row>
    <row r="17" spans="1:8">
      <c r="A17" s="109" t="s">
        <v>19</v>
      </c>
      <c r="B17" s="111" t="s">
        <v>96</v>
      </c>
      <c r="C17" s="111" t="s">
        <v>11</v>
      </c>
      <c r="D17" s="111" t="s">
        <v>20</v>
      </c>
      <c r="E17" s="111" t="s">
        <v>9</v>
      </c>
      <c r="F17" s="111" t="s">
        <v>1</v>
      </c>
      <c r="G17" s="111" t="s">
        <v>55</v>
      </c>
    </row>
    <row r="18" spans="1:8">
      <c r="A18" s="106" t="s">
        <v>109</v>
      </c>
      <c r="B18" s="137">
        <v>2</v>
      </c>
      <c r="C18" s="110">
        <v>0.35</v>
      </c>
      <c r="D18" s="110">
        <f>+SUM(C$18:$C18)</f>
        <v>0.35</v>
      </c>
      <c r="E18" s="110">
        <f>+E6</f>
        <v>3</v>
      </c>
      <c r="F18" s="110">
        <f>+E18*C18</f>
        <v>1.0499999999999998</v>
      </c>
      <c r="G18" s="89">
        <v>0</v>
      </c>
      <c r="H18" s="106" t="s">
        <v>107</v>
      </c>
    </row>
    <row r="19" spans="1:8">
      <c r="A19" s="106" t="s">
        <v>110</v>
      </c>
      <c r="B19" s="113" t="s">
        <v>6</v>
      </c>
      <c r="C19" s="113">
        <f>+SUM(C18:C18)</f>
        <v>0.35</v>
      </c>
      <c r="D19" s="113"/>
      <c r="E19" s="113"/>
      <c r="F19" s="118">
        <f>+SUM(F18:F18)</f>
        <v>1.0499999999999998</v>
      </c>
      <c r="G19" s="91"/>
    </row>
    <row r="20" spans="1:8">
      <c r="G20" s="88"/>
    </row>
    <row r="21" spans="1:8">
      <c r="G21" s="88"/>
    </row>
    <row r="22" spans="1:8">
      <c r="G22" s="88"/>
    </row>
    <row r="23" spans="1:8">
      <c r="G23" s="88"/>
    </row>
    <row r="24" spans="1:8">
      <c r="G24" s="88"/>
    </row>
    <row r="25" spans="1:8">
      <c r="G25" s="88"/>
    </row>
    <row r="26" spans="1:8">
      <c r="G26" s="88"/>
    </row>
    <row r="27" spans="1:8">
      <c r="G27" s="88"/>
    </row>
    <row r="28" spans="1:8">
      <c r="G28" s="88"/>
    </row>
    <row r="29" spans="1:8">
      <c r="G29" s="88"/>
    </row>
    <row r="30" spans="1:8">
      <c r="G30" s="88"/>
    </row>
    <row r="31" spans="1:8">
      <c r="G31" s="88"/>
    </row>
    <row r="32" spans="1:8">
      <c r="G32" s="88"/>
    </row>
    <row r="33" spans="7:7">
      <c r="G33" s="88"/>
    </row>
    <row r="34" spans="7:7">
      <c r="G34" s="88"/>
    </row>
    <row r="35" spans="7:7">
      <c r="G35" s="88"/>
    </row>
    <row r="36" spans="7:7">
      <c r="G36" s="88"/>
    </row>
    <row r="37" spans="7:7">
      <c r="G37" s="88"/>
    </row>
    <row r="38" spans="7:7">
      <c r="G38" s="88"/>
    </row>
    <row r="39" spans="7:7">
      <c r="G39" s="88"/>
    </row>
    <row r="40" spans="7:7">
      <c r="G40" s="88"/>
    </row>
    <row r="41" spans="7:7">
      <c r="G41" s="88"/>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134</v>
      </c>
      <c r="B1" s="143"/>
      <c r="C1" s="143"/>
      <c r="D1" s="143"/>
      <c r="E1" s="143"/>
    </row>
    <row r="2" spans="1:8">
      <c r="A2" s="116" t="s">
        <v>148</v>
      </c>
    </row>
    <row r="4" spans="1:8">
      <c r="A4" s="109" t="s">
        <v>85</v>
      </c>
      <c r="B4" s="111" t="s">
        <v>96</v>
      </c>
      <c r="C4" s="111" t="s">
        <v>11</v>
      </c>
      <c r="D4" s="111" t="s">
        <v>20</v>
      </c>
      <c r="E4" s="111" t="s">
        <v>9</v>
      </c>
      <c r="F4" s="111" t="s">
        <v>1</v>
      </c>
      <c r="G4" s="111" t="s">
        <v>55</v>
      </c>
    </row>
    <row r="5" spans="1:8">
      <c r="B5" s="137">
        <v>1</v>
      </c>
      <c r="C5" s="110">
        <v>0.52500000000000002</v>
      </c>
      <c r="D5" s="110">
        <f>+SUM(C5:$C$5)</f>
        <v>0.52500000000000002</v>
      </c>
      <c r="E5" s="110">
        <f>+Summary!B21</f>
        <v>2</v>
      </c>
      <c r="F5" s="110">
        <f>+E5*C5</f>
        <v>1.05</v>
      </c>
      <c r="G5" s="89">
        <v>0</v>
      </c>
      <c r="H5" s="106" t="s">
        <v>107</v>
      </c>
    </row>
    <row r="6" spans="1:8">
      <c r="B6" s="113" t="s">
        <v>6</v>
      </c>
      <c r="C6" s="113">
        <f>+SUM(C5:C5)</f>
        <v>0.52500000000000002</v>
      </c>
      <c r="D6" s="113"/>
      <c r="E6" s="113"/>
      <c r="F6" s="118">
        <f>+SUM(F5:F5)</f>
        <v>1.05</v>
      </c>
      <c r="G6" s="91"/>
    </row>
    <row r="7" spans="1:8">
      <c r="G7" s="87"/>
    </row>
    <row r="8" spans="1:8">
      <c r="G8" s="87"/>
    </row>
    <row r="9" spans="1:8">
      <c r="A9" s="109" t="s">
        <v>86</v>
      </c>
      <c r="B9" s="111" t="s">
        <v>96</v>
      </c>
      <c r="C9" s="111" t="s">
        <v>11</v>
      </c>
      <c r="D9" s="111" t="s">
        <v>20</v>
      </c>
      <c r="E9" s="111" t="s">
        <v>9</v>
      </c>
      <c r="F9" s="111" t="s">
        <v>1</v>
      </c>
      <c r="G9" s="111" t="s">
        <v>55</v>
      </c>
    </row>
    <row r="10" spans="1:8">
      <c r="B10" s="137">
        <v>1</v>
      </c>
      <c r="C10" s="110">
        <v>0.35</v>
      </c>
      <c r="D10" s="110">
        <f>1/6</f>
        <v>0.16666666666666666</v>
      </c>
      <c r="E10" s="110">
        <f>+Summary!E21</f>
        <v>3</v>
      </c>
      <c r="F10" s="110">
        <f>+E10*C10</f>
        <v>1.0499999999999998</v>
      </c>
      <c r="G10" s="89">
        <v>0</v>
      </c>
      <c r="H10" s="106" t="s">
        <v>107</v>
      </c>
    </row>
    <row r="11" spans="1:8">
      <c r="B11" s="113" t="s">
        <v>6</v>
      </c>
      <c r="C11" s="113">
        <f>+SUM(C10:C10)</f>
        <v>0.35</v>
      </c>
      <c r="D11" s="113"/>
      <c r="E11" s="113"/>
      <c r="F11" s="118">
        <f>+SUM(F10:F10)</f>
        <v>1.0499999999999998</v>
      </c>
      <c r="G11" s="91"/>
    </row>
    <row r="12" spans="1:8">
      <c r="G12" s="88"/>
    </row>
    <row r="13" spans="1:8">
      <c r="G13" s="88"/>
    </row>
    <row r="14" spans="1:8">
      <c r="A14" s="109" t="s">
        <v>87</v>
      </c>
      <c r="B14" s="111" t="s">
        <v>96</v>
      </c>
      <c r="C14" s="111" t="s">
        <v>11</v>
      </c>
      <c r="D14" s="111" t="s">
        <v>20</v>
      </c>
      <c r="E14" s="111" t="s">
        <v>9</v>
      </c>
      <c r="F14" s="111" t="s">
        <v>1</v>
      </c>
      <c r="G14" s="111" t="s">
        <v>55</v>
      </c>
    </row>
    <row r="15" spans="1:8">
      <c r="B15" s="137">
        <v>1</v>
      </c>
      <c r="C15" s="110">
        <v>0.26250000000000001</v>
      </c>
      <c r="D15" s="110">
        <f>+SUM(C$15:$C15)</f>
        <v>0.26250000000000001</v>
      </c>
      <c r="E15" s="110">
        <f>+Summary!H21</f>
        <v>4</v>
      </c>
      <c r="F15" s="110">
        <f>+E15*C15</f>
        <v>1.05</v>
      </c>
      <c r="G15" s="89">
        <v>0</v>
      </c>
      <c r="H15" s="106" t="s">
        <v>107</v>
      </c>
    </row>
    <row r="16" spans="1:8">
      <c r="B16" s="113" t="s">
        <v>6</v>
      </c>
      <c r="C16" s="113">
        <f>+SUM(C15:C15)</f>
        <v>0.26250000000000001</v>
      </c>
      <c r="D16" s="113"/>
      <c r="E16" s="113"/>
      <c r="F16" s="118">
        <f>+SUM(F15:F15)</f>
        <v>1.05</v>
      </c>
      <c r="G16" s="91"/>
    </row>
    <row r="17" spans="7:7">
      <c r="G17" s="88"/>
    </row>
    <row r="18" spans="7:7">
      <c r="G18" s="88"/>
    </row>
    <row r="19" spans="7:7">
      <c r="G19" s="88"/>
    </row>
    <row r="20" spans="7:7">
      <c r="G20" s="88"/>
    </row>
    <row r="21" spans="7:7">
      <c r="G21" s="88"/>
    </row>
    <row r="22" spans="7:7">
      <c r="G22" s="88"/>
    </row>
    <row r="23" spans="7:7">
      <c r="G23" s="88"/>
    </row>
    <row r="24" spans="7:7">
      <c r="G24" s="88"/>
    </row>
    <row r="25" spans="7:7">
      <c r="G25" s="88"/>
    </row>
    <row r="26" spans="7:7">
      <c r="G26" s="88"/>
    </row>
    <row r="27" spans="7:7">
      <c r="G27" s="88"/>
    </row>
    <row r="28" spans="7:7">
      <c r="G28" s="88"/>
    </row>
    <row r="29" spans="7:7">
      <c r="G29" s="88"/>
    </row>
    <row r="30" spans="7:7">
      <c r="G30" s="88"/>
    </row>
    <row r="31" spans="7:7">
      <c r="G31" s="88"/>
    </row>
    <row r="32" spans="7:7">
      <c r="G32" s="88"/>
    </row>
    <row r="33" spans="7:7">
      <c r="G33" s="88"/>
    </row>
    <row r="34" spans="7:7">
      <c r="G34" s="87"/>
    </row>
    <row r="35" spans="7:7">
      <c r="G35" s="87"/>
    </row>
    <row r="36" spans="7:7">
      <c r="G36" s="87"/>
    </row>
    <row r="37" spans="7:7">
      <c r="G37" s="87"/>
    </row>
    <row r="38" spans="7:7">
      <c r="G38" s="87"/>
    </row>
    <row r="39" spans="7:7">
      <c r="G39" s="87"/>
    </row>
    <row r="40" spans="7:7">
      <c r="G40" s="87"/>
    </row>
    <row r="41" spans="7:7">
      <c r="G41" s="87"/>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88671875" style="106" customWidth="1"/>
    <col min="9" max="9" width="12" style="106" customWidth="1"/>
    <col min="10" max="16384" width="11.5546875" style="106"/>
  </cols>
  <sheetData>
    <row r="1" spans="1:9" ht="18">
      <c r="A1" s="143" t="s">
        <v>135</v>
      </c>
      <c r="B1" s="143"/>
      <c r="C1" s="143"/>
      <c r="D1" s="143"/>
      <c r="E1" s="143"/>
    </row>
    <row r="2" spans="1:9">
      <c r="A2" s="116" t="s">
        <v>148</v>
      </c>
    </row>
    <row r="4" spans="1:9">
      <c r="A4" s="109" t="s">
        <v>10</v>
      </c>
      <c r="B4" s="111" t="s">
        <v>96</v>
      </c>
      <c r="C4" s="111" t="s">
        <v>11</v>
      </c>
      <c r="D4" s="111" t="s">
        <v>20</v>
      </c>
      <c r="E4" s="111" t="s">
        <v>9</v>
      </c>
      <c r="F4" s="111" t="s">
        <v>1</v>
      </c>
      <c r="G4" s="111" t="s">
        <v>55</v>
      </c>
    </row>
    <row r="5" spans="1:9">
      <c r="A5" s="106" t="s">
        <v>108</v>
      </c>
      <c r="B5" s="139">
        <v>1</v>
      </c>
      <c r="C5" s="142">
        <v>0.12</v>
      </c>
      <c r="D5" s="107">
        <f>+SUM($C$5:C5)</f>
        <v>0.12</v>
      </c>
      <c r="E5" s="107">
        <f>+Summary!B36</f>
        <v>2</v>
      </c>
      <c r="F5" s="107">
        <f>+C5*E5</f>
        <v>0.24</v>
      </c>
      <c r="G5" s="89"/>
    </row>
    <row r="6" spans="1:9">
      <c r="B6" s="139">
        <v>2</v>
      </c>
      <c r="C6" s="142">
        <v>0.01</v>
      </c>
      <c r="D6" s="107">
        <f>+SUM($C$5:C6)</f>
        <v>0.13</v>
      </c>
      <c r="E6" s="107">
        <f>+Summary!B37</f>
        <v>5</v>
      </c>
      <c r="F6" s="107">
        <f t="shared" ref="F6:F11" si="0">+C6*E6</f>
        <v>0.05</v>
      </c>
      <c r="G6" s="89"/>
    </row>
    <row r="7" spans="1:9">
      <c r="B7" s="139">
        <v>3</v>
      </c>
      <c r="C7" s="142">
        <v>0.01</v>
      </c>
      <c r="D7" s="107">
        <f>+SUM($C$5:C7)</f>
        <v>0.14000000000000001</v>
      </c>
      <c r="E7" s="107">
        <f>+Summary!B38</f>
        <v>8</v>
      </c>
      <c r="F7" s="107">
        <f t="shared" si="0"/>
        <v>0.08</v>
      </c>
      <c r="G7" s="89"/>
      <c r="I7" s="47"/>
    </row>
    <row r="8" spans="1:9">
      <c r="B8" s="139" t="s">
        <v>99</v>
      </c>
      <c r="C8" s="142">
        <v>0.01</v>
      </c>
      <c r="D8" s="107">
        <f>+SUM($C$5:C8)</f>
        <v>0.15000000000000002</v>
      </c>
      <c r="E8" s="107">
        <f>+E5+E6</f>
        <v>7</v>
      </c>
      <c r="F8" s="107">
        <f t="shared" si="0"/>
        <v>7.0000000000000007E-2</v>
      </c>
      <c r="G8" s="89"/>
      <c r="I8" s="141"/>
    </row>
    <row r="9" spans="1:9">
      <c r="B9" s="139" t="s">
        <v>100</v>
      </c>
      <c r="C9" s="142">
        <v>0.02</v>
      </c>
      <c r="D9" s="107">
        <f>+SUM($C$5:C9)</f>
        <v>0.17</v>
      </c>
      <c r="E9" s="107">
        <f>+E5+E7</f>
        <v>10</v>
      </c>
      <c r="F9" s="107">
        <f t="shared" si="0"/>
        <v>0.2</v>
      </c>
      <c r="G9" s="89"/>
    </row>
    <row r="10" spans="1:9">
      <c r="B10" s="139" t="s">
        <v>101</v>
      </c>
      <c r="C10" s="142">
        <v>0.02</v>
      </c>
      <c r="D10" s="107">
        <f>+SUM($C$5:C10)</f>
        <v>0.19</v>
      </c>
      <c r="E10" s="107">
        <f>+E6+E7</f>
        <v>13</v>
      </c>
      <c r="F10" s="107">
        <f t="shared" si="0"/>
        <v>0.26</v>
      </c>
      <c r="G10" s="89"/>
    </row>
    <row r="11" spans="1:9">
      <c r="B11" s="139" t="s">
        <v>102</v>
      </c>
      <c r="C11" s="142">
        <v>0.01</v>
      </c>
      <c r="D11" s="107">
        <f>+SUM($C$5:C11)</f>
        <v>0.2</v>
      </c>
      <c r="E11" s="107">
        <f>+E5+E6+E7</f>
        <v>15</v>
      </c>
      <c r="F11" s="107">
        <f t="shared" si="0"/>
        <v>0.15</v>
      </c>
      <c r="G11" s="89">
        <v>0</v>
      </c>
      <c r="H11" s="106" t="s">
        <v>107</v>
      </c>
    </row>
    <row r="12" spans="1:9">
      <c r="B12" s="113" t="s">
        <v>12</v>
      </c>
      <c r="C12" s="113">
        <f>+SUM(C5:C11)</f>
        <v>0.2</v>
      </c>
      <c r="D12" s="113"/>
      <c r="E12" s="113"/>
      <c r="F12" s="99">
        <f>+SUM(F5:F11)</f>
        <v>1.05</v>
      </c>
      <c r="G12" s="90"/>
    </row>
    <row r="13" spans="1:9">
      <c r="B13" s="114" t="s">
        <v>103</v>
      </c>
      <c r="G13" s="87"/>
    </row>
    <row r="14" spans="1:9">
      <c r="G14" s="87"/>
    </row>
    <row r="15" spans="1:9">
      <c r="A15" s="109" t="s">
        <v>14</v>
      </c>
      <c r="B15" s="111" t="s">
        <v>96</v>
      </c>
      <c r="C15" s="111" t="s">
        <v>11</v>
      </c>
      <c r="D15" s="111" t="s">
        <v>20</v>
      </c>
      <c r="E15" s="111" t="s">
        <v>9</v>
      </c>
      <c r="F15" s="111" t="s">
        <v>1</v>
      </c>
      <c r="G15" s="111" t="s">
        <v>55</v>
      </c>
    </row>
    <row r="16" spans="1:9">
      <c r="A16" s="106" t="s">
        <v>109</v>
      </c>
      <c r="B16" s="137">
        <v>2</v>
      </c>
      <c r="C16" s="110">
        <v>0.09</v>
      </c>
      <c r="D16" s="110">
        <f>+SUM(C16:$C$16)</f>
        <v>0.09</v>
      </c>
      <c r="E16" s="110">
        <f>+E6</f>
        <v>5</v>
      </c>
      <c r="F16" s="110">
        <f>+C16*E16</f>
        <v>0.44999999999999996</v>
      </c>
      <c r="G16" s="89"/>
    </row>
    <row r="17" spans="1:9">
      <c r="A17" s="106" t="s">
        <v>110</v>
      </c>
      <c r="B17" s="137">
        <v>3</v>
      </c>
      <c r="C17" s="110">
        <v>0.01</v>
      </c>
      <c r="D17" s="110">
        <f>+SUM(C$16:$C17)</f>
        <v>9.9999999999999992E-2</v>
      </c>
      <c r="E17" s="110">
        <f>+E7</f>
        <v>8</v>
      </c>
      <c r="F17" s="110">
        <f t="shared" ref="F17:F18" si="1">+C17*E17</f>
        <v>0.08</v>
      </c>
      <c r="G17" s="89"/>
      <c r="I17" s="140"/>
    </row>
    <row r="18" spans="1:9">
      <c r="B18" s="137" t="s">
        <v>101</v>
      </c>
      <c r="C18" s="110">
        <v>0.04</v>
      </c>
      <c r="D18" s="110">
        <f>+SUM(C$16:$C18)</f>
        <v>0.13999999999999999</v>
      </c>
      <c r="E18" s="110">
        <f>+E16+E17</f>
        <v>13</v>
      </c>
      <c r="F18" s="110">
        <f t="shared" si="1"/>
        <v>0.52</v>
      </c>
      <c r="G18" s="89">
        <v>0</v>
      </c>
      <c r="H18" s="106" t="s">
        <v>107</v>
      </c>
    </row>
    <row r="19" spans="1:9">
      <c r="B19" s="113" t="s">
        <v>6</v>
      </c>
      <c r="C19" s="113">
        <f>+SUM(C16:C18)</f>
        <v>0.13999999999999999</v>
      </c>
      <c r="D19" s="113"/>
      <c r="E19" s="113"/>
      <c r="F19" s="118">
        <f>+SUM(F16:F18)</f>
        <v>1.0499999999999998</v>
      </c>
      <c r="G19" s="91"/>
    </row>
    <row r="20" spans="1:9">
      <c r="B20" s="117"/>
      <c r="C20" s="117"/>
      <c r="D20" s="117"/>
      <c r="E20" s="117"/>
      <c r="F20" s="112"/>
      <c r="G20" s="92"/>
    </row>
    <row r="21" spans="1:9">
      <c r="B21" s="117"/>
      <c r="C21" s="117"/>
      <c r="D21" s="117"/>
      <c r="E21" s="117"/>
      <c r="F21" s="112"/>
      <c r="G21" s="92"/>
    </row>
    <row r="22" spans="1:9">
      <c r="A22" s="109" t="s">
        <v>15</v>
      </c>
      <c r="B22" s="111" t="s">
        <v>96</v>
      </c>
      <c r="C22" s="111" t="s">
        <v>11</v>
      </c>
      <c r="D22" s="111" t="s">
        <v>20</v>
      </c>
      <c r="E22" s="111" t="s">
        <v>9</v>
      </c>
      <c r="F22" s="111" t="s">
        <v>1</v>
      </c>
      <c r="G22" s="111" t="s">
        <v>55</v>
      </c>
    </row>
    <row r="23" spans="1:9">
      <c r="A23" s="106" t="s">
        <v>109</v>
      </c>
      <c r="B23" s="137">
        <v>1</v>
      </c>
      <c r="C23" s="110">
        <v>0.12</v>
      </c>
      <c r="D23" s="110">
        <f>+SUM(C23:$C$23)</f>
        <v>0.12</v>
      </c>
      <c r="E23" s="110">
        <f>+E5</f>
        <v>2</v>
      </c>
      <c r="F23" s="110">
        <f>+C23*E23</f>
        <v>0.24</v>
      </c>
      <c r="G23" s="89"/>
    </row>
    <row r="24" spans="1:9">
      <c r="A24" s="106" t="s">
        <v>111</v>
      </c>
      <c r="B24" s="137">
        <v>3</v>
      </c>
      <c r="C24" s="110">
        <v>0.04</v>
      </c>
      <c r="D24" s="110">
        <f>+SUM(C$23:$C24)</f>
        <v>0.16</v>
      </c>
      <c r="E24" s="110">
        <f>+E7</f>
        <v>8</v>
      </c>
      <c r="F24" s="110">
        <f t="shared" ref="F24:F25" si="2">+C24*E24</f>
        <v>0.32</v>
      </c>
      <c r="G24" s="89"/>
    </row>
    <row r="25" spans="1:9">
      <c r="B25" s="137" t="s">
        <v>100</v>
      </c>
      <c r="C25" s="110">
        <v>4.9000000000000002E-2</v>
      </c>
      <c r="D25" s="110">
        <f>+SUM(C$23:$C25)</f>
        <v>0.20900000000000002</v>
      </c>
      <c r="E25" s="110">
        <f>+E23+E24</f>
        <v>10</v>
      </c>
      <c r="F25" s="110">
        <f t="shared" si="2"/>
        <v>0.49</v>
      </c>
      <c r="G25" s="89">
        <v>0</v>
      </c>
      <c r="H25" s="106" t="s">
        <v>107</v>
      </c>
    </row>
    <row r="26" spans="1:9">
      <c r="B26" s="113" t="s">
        <v>6</v>
      </c>
      <c r="C26" s="113">
        <f>+SUM(C23:C25)</f>
        <v>0.20900000000000002</v>
      </c>
      <c r="D26" s="113"/>
      <c r="E26" s="113"/>
      <c r="F26" s="118">
        <f>+SUM(F23:F25)</f>
        <v>1.05</v>
      </c>
      <c r="G26" s="91"/>
    </row>
    <row r="27" spans="1:9">
      <c r="B27" s="117"/>
      <c r="C27" s="117"/>
      <c r="D27" s="117"/>
      <c r="E27" s="117"/>
      <c r="F27" s="112"/>
      <c r="G27" s="92"/>
    </row>
    <row r="28" spans="1:9">
      <c r="G28" s="87"/>
    </row>
    <row r="29" spans="1:9">
      <c r="A29" s="109" t="s">
        <v>16</v>
      </c>
      <c r="B29" s="111" t="s">
        <v>96</v>
      </c>
      <c r="C29" s="111" t="s">
        <v>11</v>
      </c>
      <c r="D29" s="111" t="s">
        <v>20</v>
      </c>
      <c r="E29" s="111" t="s">
        <v>9</v>
      </c>
      <c r="F29" s="111" t="s">
        <v>1</v>
      </c>
      <c r="G29" s="111" t="s">
        <v>55</v>
      </c>
    </row>
    <row r="30" spans="1:9">
      <c r="A30" s="106" t="s">
        <v>109</v>
      </c>
      <c r="B30" s="137">
        <v>3</v>
      </c>
      <c r="C30" s="110">
        <v>0.13125000000000001</v>
      </c>
      <c r="D30" s="110">
        <f>+SUM(C30:$C$30)</f>
        <v>0.13125000000000001</v>
      </c>
      <c r="E30" s="110">
        <f>+E7</f>
        <v>8</v>
      </c>
      <c r="F30" s="110">
        <f>+C30*E30</f>
        <v>1.05</v>
      </c>
      <c r="G30" s="89">
        <v>0</v>
      </c>
      <c r="H30" s="106" t="s">
        <v>107</v>
      </c>
    </row>
    <row r="31" spans="1:9">
      <c r="A31" s="106" t="s">
        <v>110</v>
      </c>
      <c r="B31" s="113" t="s">
        <v>6</v>
      </c>
      <c r="C31" s="113">
        <f>+SUM(C30:C30)</f>
        <v>0.13125000000000001</v>
      </c>
      <c r="D31" s="113"/>
      <c r="E31" s="113"/>
      <c r="F31" s="118">
        <f>+SUM(F30:F30)</f>
        <v>1.05</v>
      </c>
      <c r="G31" s="91"/>
    </row>
    <row r="32" spans="1:9">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0.12</v>
      </c>
      <c r="D35" s="110">
        <f>+SUM(C35:$C$35)</f>
        <v>0.12</v>
      </c>
      <c r="E35" s="110">
        <f>+E5</f>
        <v>2</v>
      </c>
      <c r="F35" s="110">
        <f>+C35*E35</f>
        <v>0.24</v>
      </c>
      <c r="G35" s="89"/>
    </row>
    <row r="36" spans="1:8">
      <c r="A36" s="106" t="s">
        <v>112</v>
      </c>
      <c r="B36" s="137">
        <v>2</v>
      </c>
      <c r="C36" s="110">
        <v>7.8E-2</v>
      </c>
      <c r="D36" s="110">
        <f>+SUM(C$35:$C36)</f>
        <v>0.19800000000000001</v>
      </c>
      <c r="E36" s="110">
        <f>+E6</f>
        <v>5</v>
      </c>
      <c r="F36" s="110">
        <f t="shared" ref="F36:F37" si="3">+C36*E36</f>
        <v>0.39</v>
      </c>
      <c r="G36" s="89"/>
    </row>
    <row r="37" spans="1:8">
      <c r="B37" s="137" t="s">
        <v>99</v>
      </c>
      <c r="C37" s="110">
        <v>0.06</v>
      </c>
      <c r="D37" s="110">
        <f>+SUM(C$35:$C37)</f>
        <v>0.25800000000000001</v>
      </c>
      <c r="E37" s="110">
        <f>+E35+E36</f>
        <v>7</v>
      </c>
      <c r="F37" s="110">
        <f t="shared" si="3"/>
        <v>0.42</v>
      </c>
      <c r="G37" s="89">
        <v>0</v>
      </c>
      <c r="H37" s="106" t="s">
        <v>107</v>
      </c>
    </row>
    <row r="38" spans="1:8">
      <c r="A38" s="115"/>
      <c r="B38" s="113" t="s">
        <v>6</v>
      </c>
      <c r="C38" s="113">
        <f>+SUM(C35:C37)</f>
        <v>0.25800000000000001</v>
      </c>
      <c r="D38" s="113"/>
      <c r="E38" s="113"/>
      <c r="F38" s="118">
        <f>+SUM(F35:F37)</f>
        <v>1.05</v>
      </c>
      <c r="G38" s="91"/>
    </row>
    <row r="39" spans="1:8">
      <c r="A39" s="115"/>
      <c r="G39" s="87"/>
    </row>
    <row r="40" spans="1:8">
      <c r="G40" s="87"/>
    </row>
    <row r="41" spans="1:8">
      <c r="A41" s="109" t="s">
        <v>18</v>
      </c>
      <c r="B41" s="111" t="s">
        <v>96</v>
      </c>
      <c r="C41" s="111" t="s">
        <v>11</v>
      </c>
      <c r="D41" s="111" t="s">
        <v>20</v>
      </c>
      <c r="E41" s="111" t="s">
        <v>9</v>
      </c>
      <c r="F41" s="111" t="s">
        <v>1</v>
      </c>
      <c r="G41" s="111" t="s">
        <v>55</v>
      </c>
    </row>
    <row r="42" spans="1:8">
      <c r="A42" s="106" t="s">
        <v>109</v>
      </c>
      <c r="B42" s="137">
        <v>1</v>
      </c>
      <c r="C42" s="110">
        <v>0.52500000000000002</v>
      </c>
      <c r="D42" s="110">
        <f>+SUM(C42:$C$42)</f>
        <v>0.52500000000000002</v>
      </c>
      <c r="E42" s="110">
        <f>+E5</f>
        <v>2</v>
      </c>
      <c r="F42" s="110">
        <f>+E42*C42</f>
        <v>1.05</v>
      </c>
      <c r="G42" s="89">
        <v>0</v>
      </c>
      <c r="H42" s="106" t="s">
        <v>107</v>
      </c>
    </row>
    <row r="43" spans="1:8">
      <c r="A43" s="106" t="s">
        <v>111</v>
      </c>
      <c r="B43" s="113" t="s">
        <v>6</v>
      </c>
      <c r="C43" s="113">
        <f>+SUM(C42:C42)</f>
        <v>0.52500000000000002</v>
      </c>
      <c r="D43" s="113"/>
      <c r="E43" s="113"/>
      <c r="F43" s="118">
        <f>+SUM(F42:F42)</f>
        <v>1.05</v>
      </c>
      <c r="G43" s="91"/>
    </row>
    <row r="44" spans="1:8">
      <c r="A44" s="106" t="s">
        <v>112</v>
      </c>
      <c r="G44" s="87"/>
    </row>
    <row r="45" spans="1:8">
      <c r="G45" s="87"/>
    </row>
    <row r="46" spans="1:8">
      <c r="A46" s="109" t="s">
        <v>19</v>
      </c>
      <c r="B46" s="111" t="s">
        <v>96</v>
      </c>
      <c r="C46" s="111" t="s">
        <v>11</v>
      </c>
      <c r="D46" s="111" t="s">
        <v>20</v>
      </c>
      <c r="E46" s="111" t="s">
        <v>9</v>
      </c>
      <c r="F46" s="111" t="s">
        <v>1</v>
      </c>
      <c r="G46" s="111" t="s">
        <v>55</v>
      </c>
    </row>
    <row r="47" spans="1:8">
      <c r="A47" s="106" t="s">
        <v>109</v>
      </c>
      <c r="B47" s="137">
        <v>2</v>
      </c>
      <c r="C47" s="110">
        <v>0.21</v>
      </c>
      <c r="D47" s="110">
        <f>+SUM(C$47:$C47)</f>
        <v>0.21</v>
      </c>
      <c r="E47" s="110">
        <f>+E6</f>
        <v>5</v>
      </c>
      <c r="F47" s="110">
        <f>+E47*C47</f>
        <v>1.05</v>
      </c>
      <c r="G47" s="89">
        <v>0</v>
      </c>
      <c r="H47" s="106" t="s">
        <v>107</v>
      </c>
    </row>
    <row r="48" spans="1:8">
      <c r="A48" s="106" t="s">
        <v>110</v>
      </c>
      <c r="B48" s="113" t="s">
        <v>6</v>
      </c>
      <c r="C48" s="113">
        <f>+SUM(C47:C47)</f>
        <v>0.21</v>
      </c>
      <c r="D48" s="113"/>
      <c r="E48" s="113"/>
      <c r="F48" s="118">
        <f>+SUM(F47:F47)</f>
        <v>1.05</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sheetPr codeName="Hoja15"/>
  <dimension ref="A1:J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117</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0.15</v>
      </c>
      <c r="D5" s="107">
        <f>+SUM($C$5:C5)</f>
        <v>0.15</v>
      </c>
      <c r="E5" s="121">
        <f>Summary!E27</f>
        <v>0</v>
      </c>
      <c r="F5" s="107">
        <f>+C5*E5</f>
        <v>0</v>
      </c>
      <c r="G5" s="89"/>
    </row>
    <row r="6" spans="1:8">
      <c r="B6" s="139">
        <v>2</v>
      </c>
      <c r="C6" s="107">
        <v>0.28000000000000003</v>
      </c>
      <c r="D6" s="107">
        <f>+SUM($C$5:C6)</f>
        <v>0.43000000000000005</v>
      </c>
      <c r="E6" s="121">
        <f>Summary!E28</f>
        <v>2</v>
      </c>
      <c r="F6" s="107">
        <f t="shared" ref="F6:F11" si="0">+C6*E6</f>
        <v>0.56000000000000005</v>
      </c>
      <c r="G6" s="89"/>
    </row>
    <row r="7" spans="1:8">
      <c r="B7" s="139">
        <v>3</v>
      </c>
      <c r="C7" s="107">
        <v>0.04</v>
      </c>
      <c r="D7" s="107">
        <f>+SUM($C$5:C7)</f>
        <v>0.47000000000000003</v>
      </c>
      <c r="E7" s="121">
        <f>Summary!E29</f>
        <v>3</v>
      </c>
      <c r="F7" s="107">
        <f t="shared" si="0"/>
        <v>0.12</v>
      </c>
      <c r="G7" s="89"/>
    </row>
    <row r="8" spans="1:8">
      <c r="B8" s="139" t="s">
        <v>99</v>
      </c>
      <c r="C8" s="107">
        <v>7.0000000000000007E-2</v>
      </c>
      <c r="D8" s="107">
        <f>+SUM($C$5:C8)</f>
        <v>0.54</v>
      </c>
      <c r="E8" s="107">
        <f>+E5+E6</f>
        <v>2</v>
      </c>
      <c r="F8" s="107">
        <f t="shared" si="0"/>
        <v>0.14000000000000001</v>
      </c>
      <c r="G8" s="89"/>
    </row>
    <row r="9" spans="1:8">
      <c r="B9" s="139" t="s">
        <v>100</v>
      </c>
      <c r="C9" s="107">
        <v>0.01</v>
      </c>
      <c r="D9" s="107">
        <f>+SUM($C$5:C9)</f>
        <v>0.55000000000000004</v>
      </c>
      <c r="E9" s="107">
        <f>+E5+E7</f>
        <v>3</v>
      </c>
      <c r="F9" s="107">
        <f t="shared" si="0"/>
        <v>0.03</v>
      </c>
      <c r="G9" s="89"/>
    </row>
    <row r="10" spans="1:8">
      <c r="B10" s="139" t="s">
        <v>101</v>
      </c>
      <c r="C10" s="107">
        <v>5.0000000000000001E-3</v>
      </c>
      <c r="D10" s="107">
        <f>+SUM($C$5:C10)</f>
        <v>0.55500000000000005</v>
      </c>
      <c r="E10" s="107">
        <f>+E6+E7</f>
        <v>5</v>
      </c>
      <c r="F10" s="107">
        <f t="shared" si="0"/>
        <v>2.5000000000000001E-2</v>
      </c>
      <c r="G10" s="89"/>
    </row>
    <row r="11" spans="1:8">
      <c r="B11" s="139" t="s">
        <v>102</v>
      </c>
      <c r="C11" s="107">
        <v>5.0000000000000001E-3</v>
      </c>
      <c r="D11" s="107">
        <f>+SUM($C$5:C11)</f>
        <v>0.56000000000000005</v>
      </c>
      <c r="E11" s="107">
        <f>+E5+E6+E7</f>
        <v>5</v>
      </c>
      <c r="F11" s="107">
        <f t="shared" si="0"/>
        <v>2.5000000000000001E-2</v>
      </c>
      <c r="G11" s="89">
        <v>0</v>
      </c>
      <c r="H11" s="106" t="s">
        <v>107</v>
      </c>
    </row>
    <row r="12" spans="1:8">
      <c r="B12" s="113" t="s">
        <v>12</v>
      </c>
      <c r="C12" s="113">
        <f>+SUM(C5:C11)</f>
        <v>0.56000000000000005</v>
      </c>
      <c r="D12" s="113"/>
      <c r="E12" s="113"/>
      <c r="F12" s="120">
        <f>+SUM(F5:F11)</f>
        <v>0.90000000000000013</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0.3</v>
      </c>
      <c r="D16" s="110">
        <f>+SUM(C16:$C$16)</f>
        <v>0.3</v>
      </c>
      <c r="E16" s="110">
        <f>+E6</f>
        <v>2</v>
      </c>
      <c r="F16" s="110">
        <f>+C16*E16</f>
        <v>0.6</v>
      </c>
      <c r="G16" s="89"/>
    </row>
    <row r="17" spans="1:10">
      <c r="A17" s="106" t="s">
        <v>110</v>
      </c>
      <c r="B17" s="137">
        <v>3</v>
      </c>
      <c r="C17" s="110">
        <v>0.05</v>
      </c>
      <c r="D17" s="110">
        <f>+SUM(C$16:$C17)</f>
        <v>0.35</v>
      </c>
      <c r="E17" s="110">
        <f>+E7</f>
        <v>3</v>
      </c>
      <c r="F17" s="110">
        <f t="shared" ref="F17:F18" si="1">+C17*E17</f>
        <v>0.15000000000000002</v>
      </c>
      <c r="G17" s="89"/>
    </row>
    <row r="18" spans="1:10">
      <c r="B18" s="137" t="s">
        <v>101</v>
      </c>
      <c r="C18" s="110">
        <v>0.03</v>
      </c>
      <c r="D18" s="110">
        <f>+SUM(C$16:$C18)</f>
        <v>0.38</v>
      </c>
      <c r="E18" s="110">
        <f>+E16+E17</f>
        <v>5</v>
      </c>
      <c r="F18" s="110">
        <f t="shared" si="1"/>
        <v>0.15</v>
      </c>
      <c r="G18" s="89">
        <v>0</v>
      </c>
      <c r="H18" s="106" t="s">
        <v>107</v>
      </c>
    </row>
    <row r="19" spans="1:10">
      <c r="B19" s="113" t="s">
        <v>6</v>
      </c>
      <c r="C19" s="113">
        <f>+SUM(C16:C18)</f>
        <v>0.38</v>
      </c>
      <c r="D19" s="113"/>
      <c r="E19" s="113"/>
      <c r="F19" s="118">
        <f>+SUM(F16:F18)</f>
        <v>0.9</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0.4</v>
      </c>
      <c r="D23" s="110">
        <f>+SUM(C23:$C$23)</f>
        <v>0.4</v>
      </c>
      <c r="E23" s="110">
        <f>+E5</f>
        <v>0</v>
      </c>
      <c r="F23" s="110">
        <f>+C23*E23</f>
        <v>0</v>
      </c>
      <c r="G23" s="89"/>
    </row>
    <row r="24" spans="1:10">
      <c r="A24" s="106" t="s">
        <v>111</v>
      </c>
      <c r="B24" s="137">
        <v>3</v>
      </c>
      <c r="C24" s="110">
        <v>0.27</v>
      </c>
      <c r="D24" s="110">
        <f>+SUM(C$23:$C24)</f>
        <v>0.67</v>
      </c>
      <c r="E24" s="110">
        <f>+E7</f>
        <v>3</v>
      </c>
      <c r="F24" s="110">
        <f t="shared" ref="F24:F25" si="2">+C24*E24</f>
        <v>0.81</v>
      </c>
      <c r="G24" s="89"/>
    </row>
    <row r="25" spans="1:10">
      <c r="B25" s="137" t="s">
        <v>100</v>
      </c>
      <c r="C25" s="110">
        <v>0.03</v>
      </c>
      <c r="D25" s="110">
        <f>+SUM(C$23:$C25)</f>
        <v>0.70000000000000007</v>
      </c>
      <c r="E25" s="110">
        <f>+E23+E24</f>
        <v>3</v>
      </c>
      <c r="F25" s="110">
        <f t="shared" si="2"/>
        <v>0.09</v>
      </c>
      <c r="G25" s="89">
        <v>0</v>
      </c>
      <c r="H25" s="106" t="s">
        <v>107</v>
      </c>
      <c r="J25" s="119"/>
    </row>
    <row r="26" spans="1:10">
      <c r="B26" s="113" t="s">
        <v>6</v>
      </c>
      <c r="C26" s="113">
        <f>+SUM(C23:C25)</f>
        <v>0.70000000000000007</v>
      </c>
      <c r="D26" s="113"/>
      <c r="E26" s="113"/>
      <c r="F26" s="118">
        <f>+SUM(F23:F25)</f>
        <v>0.9</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0.3</v>
      </c>
      <c r="D30" s="110">
        <f>+SUM(C30:$C$30)</f>
        <v>0.3</v>
      </c>
      <c r="E30" s="110">
        <f>+E7</f>
        <v>3</v>
      </c>
      <c r="F30" s="110">
        <f>+C30*E30</f>
        <v>0.89999999999999991</v>
      </c>
      <c r="G30" s="89">
        <v>0</v>
      </c>
      <c r="H30" s="106" t="s">
        <v>107</v>
      </c>
    </row>
    <row r="31" spans="1:10">
      <c r="A31" s="106" t="s">
        <v>110</v>
      </c>
      <c r="B31" s="113" t="s">
        <v>6</v>
      </c>
      <c r="C31" s="113">
        <f>+SUM(C30:C30)</f>
        <v>0.3</v>
      </c>
      <c r="D31" s="113"/>
      <c r="E31" s="113"/>
      <c r="F31" s="118">
        <f>+SUM(F30:F30)</f>
        <v>0.89999999999999991</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0.25</v>
      </c>
      <c r="D35" s="110">
        <f>+SUM(C35:$C$35)</f>
        <v>0.25</v>
      </c>
      <c r="E35" s="110">
        <f>+E5</f>
        <v>0</v>
      </c>
      <c r="F35" s="110">
        <f>+C35*E35</f>
        <v>0</v>
      </c>
      <c r="G35" s="89"/>
    </row>
    <row r="36" spans="1:8">
      <c r="A36" s="106" t="s">
        <v>112</v>
      </c>
      <c r="B36" s="137">
        <v>2</v>
      </c>
      <c r="C36" s="110">
        <v>0.4</v>
      </c>
      <c r="D36" s="110">
        <f>+SUM(C$35:$C36)</f>
        <v>0.65</v>
      </c>
      <c r="E36" s="110">
        <f>+E6</f>
        <v>2</v>
      </c>
      <c r="F36" s="110">
        <f t="shared" ref="F36:F37" si="3">+C36*E36</f>
        <v>0.8</v>
      </c>
      <c r="G36" s="89"/>
    </row>
    <row r="37" spans="1:8">
      <c r="B37" s="137" t="s">
        <v>99</v>
      </c>
      <c r="C37" s="110">
        <v>0.05</v>
      </c>
      <c r="D37" s="110">
        <f>+SUM(C$35:$C37)</f>
        <v>0.70000000000000007</v>
      </c>
      <c r="E37" s="110">
        <f>+E35+E36</f>
        <v>2</v>
      </c>
      <c r="F37" s="110">
        <f t="shared" si="3"/>
        <v>0.1</v>
      </c>
      <c r="G37" s="89">
        <v>0</v>
      </c>
      <c r="H37" s="106" t="s">
        <v>107</v>
      </c>
    </row>
    <row r="38" spans="1:8">
      <c r="A38" s="115"/>
      <c r="B38" s="113" t="s">
        <v>6</v>
      </c>
      <c r="C38" s="113">
        <f>+SUM(C35:C37)</f>
        <v>0.70000000000000007</v>
      </c>
      <c r="D38" s="113"/>
      <c r="E38" s="113"/>
      <c r="F38" s="118">
        <f>+SUM(F35:F37)</f>
        <v>0.9</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0.6</v>
      </c>
      <c r="D42" s="110">
        <f>+SUM(C42:$C$42)</f>
        <v>0.6</v>
      </c>
      <c r="E42" s="110">
        <f>+E5</f>
        <v>0</v>
      </c>
      <c r="F42" s="110">
        <f>+E42*C42</f>
        <v>0</v>
      </c>
      <c r="G42" s="89">
        <v>0</v>
      </c>
      <c r="H42" s="106" t="s">
        <v>107</v>
      </c>
    </row>
    <row r="43" spans="1:8">
      <c r="A43" s="106" t="s">
        <v>111</v>
      </c>
      <c r="B43" s="113" t="s">
        <v>6</v>
      </c>
      <c r="C43" s="113">
        <f>+SUM(C42:C42)</f>
        <v>0.6</v>
      </c>
      <c r="D43" s="113"/>
      <c r="E43" s="113"/>
      <c r="F43" s="118">
        <f>+SUM(F42:F42)</f>
        <v>0</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0.45</v>
      </c>
      <c r="D47" s="110">
        <f>+SUM(C$47:$C47)</f>
        <v>0.45</v>
      </c>
      <c r="E47" s="110">
        <f>+E6</f>
        <v>2</v>
      </c>
      <c r="F47" s="110">
        <f>+E47*C47</f>
        <v>0.9</v>
      </c>
      <c r="G47" s="89">
        <v>0</v>
      </c>
      <c r="H47" s="106" t="s">
        <v>107</v>
      </c>
    </row>
    <row r="48" spans="1:8">
      <c r="A48" s="106" t="s">
        <v>110</v>
      </c>
      <c r="B48" s="113" t="s">
        <v>6</v>
      </c>
      <c r="C48" s="113">
        <f>+SUM(C47:C47)</f>
        <v>0.45</v>
      </c>
      <c r="D48" s="113"/>
      <c r="E48" s="113"/>
      <c r="F48" s="118">
        <f>+SUM(F47:F47)</f>
        <v>0.9</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122</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0.12</v>
      </c>
      <c r="D5" s="107">
        <f>+SUM($C$5:C5)</f>
        <v>0.12</v>
      </c>
      <c r="E5" s="107">
        <f>+Summary!H27</f>
        <v>2</v>
      </c>
      <c r="F5" s="107">
        <f>+C5*E5</f>
        <v>0.24</v>
      </c>
      <c r="G5" s="89"/>
    </row>
    <row r="6" spans="1:8">
      <c r="B6" s="139">
        <v>2</v>
      </c>
      <c r="C6" s="107">
        <v>0.12</v>
      </c>
      <c r="D6" s="107">
        <f>+SUM($C$5:C6)</f>
        <v>0.24</v>
      </c>
      <c r="E6" s="107">
        <f>+Summary!H28</f>
        <v>2</v>
      </c>
      <c r="F6" s="107">
        <f t="shared" ref="F6:F11" si="0">+C6*E6</f>
        <v>0.24</v>
      </c>
      <c r="G6" s="89"/>
    </row>
    <row r="7" spans="1:8">
      <c r="B7" s="139">
        <v>3</v>
      </c>
      <c r="C7" s="107">
        <v>0.02</v>
      </c>
      <c r="D7" s="107">
        <f>+SUM($C$5:C7)</f>
        <v>0.26</v>
      </c>
      <c r="E7" s="107">
        <f>+Summary!H29</f>
        <v>4</v>
      </c>
      <c r="F7" s="107">
        <f t="shared" si="0"/>
        <v>0.08</v>
      </c>
      <c r="G7" s="89"/>
    </row>
    <row r="8" spans="1:8">
      <c r="B8" s="139" t="s">
        <v>99</v>
      </c>
      <c r="C8" s="107">
        <v>4.4999999999999998E-2</v>
      </c>
      <c r="D8" s="107">
        <f>+SUM($C$5:C8)</f>
        <v>0.30499999999999999</v>
      </c>
      <c r="E8" s="107">
        <f>+E5+E6</f>
        <v>4</v>
      </c>
      <c r="F8" s="107">
        <f t="shared" si="0"/>
        <v>0.18</v>
      </c>
      <c r="G8" s="89"/>
    </row>
    <row r="9" spans="1:8">
      <c r="B9" s="139" t="s">
        <v>100</v>
      </c>
      <c r="C9" s="107">
        <v>0.01</v>
      </c>
      <c r="D9" s="107">
        <f>+SUM($C$5:C9)</f>
        <v>0.315</v>
      </c>
      <c r="E9" s="107">
        <f>+E5+E7</f>
        <v>6</v>
      </c>
      <c r="F9" s="107">
        <f t="shared" si="0"/>
        <v>0.06</v>
      </c>
      <c r="G9" s="89"/>
    </row>
    <row r="10" spans="1:8">
      <c r="B10" s="139" t="s">
        <v>101</v>
      </c>
      <c r="C10" s="107">
        <v>0.01</v>
      </c>
      <c r="D10" s="107">
        <f>+SUM($C$5:C10)</f>
        <v>0.32500000000000001</v>
      </c>
      <c r="E10" s="107">
        <f>+E6+E7</f>
        <v>6</v>
      </c>
      <c r="F10" s="107">
        <f t="shared" si="0"/>
        <v>0.06</v>
      </c>
      <c r="G10" s="89"/>
    </row>
    <row r="11" spans="1:8">
      <c r="B11" s="139" t="s">
        <v>102</v>
      </c>
      <c r="C11" s="107">
        <v>5.0000000000000001E-3</v>
      </c>
      <c r="D11" s="107">
        <f>+SUM($C$5:C11)</f>
        <v>0.33</v>
      </c>
      <c r="E11" s="107">
        <f>+E5+E6+E7</f>
        <v>8</v>
      </c>
      <c r="F11" s="107">
        <f t="shared" si="0"/>
        <v>0.04</v>
      </c>
      <c r="G11" s="89">
        <v>0</v>
      </c>
      <c r="H11" s="106" t="s">
        <v>107</v>
      </c>
    </row>
    <row r="12" spans="1:8">
      <c r="B12" s="113" t="s">
        <v>12</v>
      </c>
      <c r="C12" s="113">
        <f>+SUM(C5:C11)</f>
        <v>0.33</v>
      </c>
      <c r="D12" s="113"/>
      <c r="E12" s="113"/>
      <c r="F12" s="120">
        <f>+SUM(F5:F11)</f>
        <v>0.90000000000000013</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0.33</v>
      </c>
      <c r="D16" s="110">
        <f>+SUM(C16:$C$16)</f>
        <v>0.33</v>
      </c>
      <c r="E16" s="110">
        <f>+E6</f>
        <v>2</v>
      </c>
      <c r="F16" s="110">
        <f>+C16*E16</f>
        <v>0.66</v>
      </c>
      <c r="G16" s="89"/>
    </row>
    <row r="17" spans="1:10">
      <c r="A17" s="106" t="s">
        <v>110</v>
      </c>
      <c r="B17" s="137">
        <v>3</v>
      </c>
      <c r="C17" s="110">
        <v>0.03</v>
      </c>
      <c r="D17" s="110">
        <f>+SUM(C$16:$C17)</f>
        <v>0.36</v>
      </c>
      <c r="E17" s="110">
        <f>+E7</f>
        <v>4</v>
      </c>
      <c r="F17" s="110">
        <f t="shared" ref="F17:F18" si="1">+C17*E17</f>
        <v>0.12</v>
      </c>
      <c r="G17" s="89"/>
    </row>
    <row r="18" spans="1:10">
      <c r="B18" s="137" t="s">
        <v>101</v>
      </c>
      <c r="C18" s="110">
        <v>0.02</v>
      </c>
      <c r="D18" s="110">
        <f>+SUM(C$16:$C18)</f>
        <v>0.38</v>
      </c>
      <c r="E18" s="110">
        <f>+E16+E17</f>
        <v>6</v>
      </c>
      <c r="F18" s="110">
        <f t="shared" si="1"/>
        <v>0.12</v>
      </c>
      <c r="G18" s="89">
        <v>0</v>
      </c>
      <c r="H18" s="106" t="s">
        <v>107</v>
      </c>
    </row>
    <row r="19" spans="1:10">
      <c r="B19" s="113" t="s">
        <v>6</v>
      </c>
      <c r="C19" s="113">
        <f>+SUM(C16:C18)</f>
        <v>0.38</v>
      </c>
      <c r="D19" s="113"/>
      <c r="E19" s="113"/>
      <c r="F19" s="118">
        <f>+SUM(F16:F18)</f>
        <v>0.9</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0.33</v>
      </c>
      <c r="D23" s="110">
        <f>+SUM(C23:$C$23)</f>
        <v>0.33</v>
      </c>
      <c r="E23" s="110">
        <f>+E5</f>
        <v>2</v>
      </c>
      <c r="F23" s="110">
        <f>+C23*E23</f>
        <v>0.66</v>
      </c>
      <c r="G23" s="89"/>
    </row>
    <row r="24" spans="1:10">
      <c r="A24" s="106" t="s">
        <v>111</v>
      </c>
      <c r="B24" s="137">
        <v>3</v>
      </c>
      <c r="C24" s="110">
        <v>0.03</v>
      </c>
      <c r="D24" s="110">
        <f>+SUM(C$23:$C24)</f>
        <v>0.36</v>
      </c>
      <c r="E24" s="110">
        <f>+E7</f>
        <v>4</v>
      </c>
      <c r="F24" s="110">
        <f t="shared" ref="F24:F25" si="2">+C24*E24</f>
        <v>0.12</v>
      </c>
      <c r="G24" s="89"/>
    </row>
    <row r="25" spans="1:10">
      <c r="B25" s="137" t="s">
        <v>100</v>
      </c>
      <c r="C25" s="110">
        <v>0.02</v>
      </c>
      <c r="D25" s="110">
        <f>+SUM(C$23:$C25)</f>
        <v>0.38</v>
      </c>
      <c r="E25" s="110">
        <f>+E23+E24</f>
        <v>6</v>
      </c>
      <c r="F25" s="110">
        <f t="shared" si="2"/>
        <v>0.12</v>
      </c>
      <c r="G25" s="89">
        <v>0</v>
      </c>
      <c r="H25" s="106" t="s">
        <v>107</v>
      </c>
      <c r="J25" s="119"/>
    </row>
    <row r="26" spans="1:10">
      <c r="B26" s="113" t="s">
        <v>6</v>
      </c>
      <c r="C26" s="113">
        <f>+SUM(C23:C25)</f>
        <v>0.38</v>
      </c>
      <c r="D26" s="113"/>
      <c r="E26" s="113"/>
      <c r="F26" s="118">
        <f>+SUM(F23:F25)</f>
        <v>0.9</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0.22500000000000001</v>
      </c>
      <c r="D30" s="110">
        <f>+SUM(C30:$C$30)</f>
        <v>0.22500000000000001</v>
      </c>
      <c r="E30" s="110">
        <f>+E7</f>
        <v>4</v>
      </c>
      <c r="F30" s="110">
        <f>+C30*E30</f>
        <v>0.9</v>
      </c>
      <c r="G30" s="89">
        <v>0</v>
      </c>
      <c r="H30" s="106" t="s">
        <v>107</v>
      </c>
    </row>
    <row r="31" spans="1:10">
      <c r="A31" s="106" t="s">
        <v>110</v>
      </c>
      <c r="B31" s="113" t="s">
        <v>6</v>
      </c>
      <c r="C31" s="113">
        <f>+SUM(C30:C30)</f>
        <v>0.22500000000000001</v>
      </c>
      <c r="D31" s="113"/>
      <c r="E31" s="113"/>
      <c r="F31" s="118">
        <f>+SUM(F30:F30)</f>
        <v>0.9</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0.2</v>
      </c>
      <c r="D35" s="110">
        <f>+SUM(C35:$C$35)</f>
        <v>0.2</v>
      </c>
      <c r="E35" s="110">
        <f>+E5</f>
        <v>2</v>
      </c>
      <c r="F35" s="110">
        <f>+C35*E35</f>
        <v>0.4</v>
      </c>
      <c r="G35" s="89"/>
    </row>
    <row r="36" spans="1:8">
      <c r="A36" s="106" t="s">
        <v>112</v>
      </c>
      <c r="B36" s="137">
        <v>2</v>
      </c>
      <c r="C36" s="110">
        <v>0.2</v>
      </c>
      <c r="D36" s="110">
        <f>+SUM(C$35:$C36)</f>
        <v>0.4</v>
      </c>
      <c r="E36" s="110">
        <f>+E6</f>
        <v>2</v>
      </c>
      <c r="F36" s="110">
        <f t="shared" ref="F36:F37" si="3">+C36*E36</f>
        <v>0.4</v>
      </c>
      <c r="G36" s="89"/>
    </row>
    <row r="37" spans="1:8">
      <c r="B37" s="137" t="s">
        <v>99</v>
      </c>
      <c r="C37" s="110">
        <v>2.5000000000000001E-2</v>
      </c>
      <c r="D37" s="110">
        <f>+SUM(C$35:$C37)</f>
        <v>0.42500000000000004</v>
      </c>
      <c r="E37" s="110">
        <f>+E35+E36</f>
        <v>4</v>
      </c>
      <c r="F37" s="110">
        <f t="shared" si="3"/>
        <v>0.1</v>
      </c>
      <c r="G37" s="89">
        <v>0</v>
      </c>
      <c r="H37" s="106" t="s">
        <v>107</v>
      </c>
    </row>
    <row r="38" spans="1:8">
      <c r="A38" s="115"/>
      <c r="B38" s="113" t="s">
        <v>6</v>
      </c>
      <c r="C38" s="113">
        <f>+SUM(C35:C37)</f>
        <v>0.42500000000000004</v>
      </c>
      <c r="D38" s="113"/>
      <c r="E38" s="113"/>
      <c r="F38" s="118">
        <f>+SUM(F35:F37)</f>
        <v>0.9</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0.45</v>
      </c>
      <c r="D42" s="110">
        <f>+SUM(C42:$C$42)</f>
        <v>0.45</v>
      </c>
      <c r="E42" s="110">
        <f>+E5</f>
        <v>2</v>
      </c>
      <c r="F42" s="110">
        <f>+E42*C42</f>
        <v>0.9</v>
      </c>
      <c r="G42" s="89">
        <v>0</v>
      </c>
      <c r="H42" s="106" t="s">
        <v>107</v>
      </c>
    </row>
    <row r="43" spans="1:8">
      <c r="A43" s="106" t="s">
        <v>111</v>
      </c>
      <c r="B43" s="113" t="s">
        <v>6</v>
      </c>
      <c r="C43" s="113">
        <f>+SUM(C42:C42)</f>
        <v>0.45</v>
      </c>
      <c r="D43" s="113"/>
      <c r="E43" s="113"/>
      <c r="F43" s="118">
        <f>+SUM(F42:F42)</f>
        <v>0.9</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0.45</v>
      </c>
      <c r="D47" s="110">
        <f>+SUM(C$47:$C47)</f>
        <v>0.45</v>
      </c>
      <c r="E47" s="110">
        <f>+E6</f>
        <v>2</v>
      </c>
      <c r="F47" s="110">
        <f>+E47*C47</f>
        <v>0.9</v>
      </c>
      <c r="G47" s="89">
        <v>0</v>
      </c>
      <c r="H47" s="106" t="s">
        <v>107</v>
      </c>
    </row>
    <row r="48" spans="1:8">
      <c r="A48" s="106" t="s">
        <v>110</v>
      </c>
      <c r="B48" s="113" t="s">
        <v>6</v>
      </c>
      <c r="C48" s="113">
        <f>+SUM(C47:C47)</f>
        <v>0.45</v>
      </c>
      <c r="D48" s="113"/>
      <c r="E48" s="113"/>
      <c r="F48" s="118">
        <f>+SUM(F47:F47)</f>
        <v>0.9</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126</v>
      </c>
      <c r="B1" s="143"/>
      <c r="C1" s="143"/>
      <c r="D1" s="143"/>
      <c r="E1" s="143"/>
    </row>
    <row r="2" spans="1:8">
      <c r="A2" s="116" t="s">
        <v>148</v>
      </c>
    </row>
    <row r="4" spans="1:8">
      <c r="A4" s="109" t="s">
        <v>10</v>
      </c>
      <c r="B4" s="111" t="s">
        <v>96</v>
      </c>
      <c r="C4" s="111" t="s">
        <v>11</v>
      </c>
      <c r="D4" s="111" t="s">
        <v>20</v>
      </c>
      <c r="E4" s="111" t="s">
        <v>9</v>
      </c>
      <c r="F4" s="111" t="s">
        <v>1</v>
      </c>
      <c r="G4" s="111" t="s">
        <v>55</v>
      </c>
    </row>
    <row r="5" spans="1:8">
      <c r="A5" s="106" t="s">
        <v>108</v>
      </c>
      <c r="B5" s="139">
        <v>1</v>
      </c>
      <c r="C5" s="107">
        <v>0.09</v>
      </c>
      <c r="D5" s="107">
        <f>+SUM($C$5:C5)</f>
        <v>0.09</v>
      </c>
      <c r="E5" s="121">
        <f>Summary!K27</f>
        <v>3</v>
      </c>
      <c r="F5" s="107">
        <f>+C5*E5</f>
        <v>0.27</v>
      </c>
      <c r="G5" s="89"/>
    </row>
    <row r="6" spans="1:8">
      <c r="B6" s="139">
        <v>2</v>
      </c>
      <c r="C6" s="107">
        <v>0.09</v>
      </c>
      <c r="D6" s="107">
        <f>+SUM($C$5:C6)</f>
        <v>0.18</v>
      </c>
      <c r="E6" s="121">
        <f>Summary!K28</f>
        <v>3</v>
      </c>
      <c r="F6" s="107">
        <f t="shared" ref="F6:F11" si="0">+C6*E6</f>
        <v>0.27</v>
      </c>
      <c r="G6" s="89"/>
    </row>
    <row r="7" spans="1:8">
      <c r="B7" s="139">
        <v>3</v>
      </c>
      <c r="C7" s="107">
        <v>0.01</v>
      </c>
      <c r="D7" s="107">
        <f>+SUM($C$5:C7)</f>
        <v>0.19</v>
      </c>
      <c r="E7" s="121">
        <f>Summary!K29</f>
        <v>6</v>
      </c>
      <c r="F7" s="107">
        <f t="shared" si="0"/>
        <v>0.06</v>
      </c>
      <c r="G7" s="89"/>
    </row>
    <row r="8" spans="1:8">
      <c r="B8" s="139" t="s">
        <v>99</v>
      </c>
      <c r="C8" s="107">
        <v>0.01</v>
      </c>
      <c r="D8" s="107">
        <f>+SUM($C$5:C8)</f>
        <v>0.2</v>
      </c>
      <c r="E8" s="107">
        <f>+E5+E6</f>
        <v>6</v>
      </c>
      <c r="F8" s="107">
        <f t="shared" si="0"/>
        <v>0.06</v>
      </c>
      <c r="G8" s="89"/>
    </row>
    <row r="9" spans="1:8">
      <c r="B9" s="139" t="s">
        <v>100</v>
      </c>
      <c r="C9" s="107">
        <v>0.01</v>
      </c>
      <c r="D9" s="107">
        <f>+SUM($C$5:C9)</f>
        <v>0.21000000000000002</v>
      </c>
      <c r="E9" s="107">
        <f>+E5+E7</f>
        <v>9</v>
      </c>
      <c r="F9" s="107">
        <f t="shared" si="0"/>
        <v>0.09</v>
      </c>
      <c r="G9" s="89"/>
    </row>
    <row r="10" spans="1:8">
      <c r="B10" s="139" t="s">
        <v>101</v>
      </c>
      <c r="C10" s="107">
        <v>0.01</v>
      </c>
      <c r="D10" s="107">
        <f>+SUM($C$5:C10)</f>
        <v>0.22000000000000003</v>
      </c>
      <c r="E10" s="107">
        <f>+E6+E7</f>
        <v>9</v>
      </c>
      <c r="F10" s="107">
        <f t="shared" si="0"/>
        <v>0.09</v>
      </c>
      <c r="G10" s="89"/>
    </row>
    <row r="11" spans="1:8">
      <c r="B11" s="139" t="s">
        <v>102</v>
      </c>
      <c r="C11" s="107">
        <v>5.0000000000000001E-3</v>
      </c>
      <c r="D11" s="107">
        <f>+SUM($C$5:C11)</f>
        <v>0.22500000000000003</v>
      </c>
      <c r="E11" s="107">
        <f>+E5+E6+E7</f>
        <v>12</v>
      </c>
      <c r="F11" s="107">
        <f t="shared" si="0"/>
        <v>0.06</v>
      </c>
      <c r="G11" s="89">
        <v>0</v>
      </c>
      <c r="H11" s="106" t="s">
        <v>107</v>
      </c>
    </row>
    <row r="12" spans="1:8">
      <c r="B12" s="113" t="s">
        <v>12</v>
      </c>
      <c r="C12" s="113">
        <f>+SUM(C5:C11)</f>
        <v>0.22500000000000003</v>
      </c>
      <c r="D12" s="113"/>
      <c r="E12" s="113"/>
      <c r="F12" s="120">
        <f>+SUM(F5:F11)</f>
        <v>0.90000000000000013</v>
      </c>
      <c r="G12" s="90"/>
    </row>
    <row r="13" spans="1:8">
      <c r="B13" s="114" t="s">
        <v>103</v>
      </c>
      <c r="G13" s="87"/>
    </row>
    <row r="14" spans="1:8">
      <c r="G14" s="87"/>
    </row>
    <row r="15" spans="1:8">
      <c r="A15" s="109" t="s">
        <v>14</v>
      </c>
      <c r="B15" s="111" t="s">
        <v>96</v>
      </c>
      <c r="C15" s="111" t="s">
        <v>11</v>
      </c>
      <c r="D15" s="111" t="s">
        <v>20</v>
      </c>
      <c r="E15" s="111" t="s">
        <v>9</v>
      </c>
      <c r="F15" s="111" t="s">
        <v>1</v>
      </c>
      <c r="G15" s="111" t="s">
        <v>55</v>
      </c>
    </row>
    <row r="16" spans="1:8">
      <c r="A16" s="106" t="s">
        <v>109</v>
      </c>
      <c r="B16" s="137">
        <v>2</v>
      </c>
      <c r="C16" s="110">
        <v>0.2</v>
      </c>
      <c r="D16" s="110">
        <f>+SUM(C16:$C$16)</f>
        <v>0.2</v>
      </c>
      <c r="E16" s="110">
        <f>+E6</f>
        <v>3</v>
      </c>
      <c r="F16" s="110">
        <f>+C16*E16</f>
        <v>0.60000000000000009</v>
      </c>
      <c r="G16" s="89"/>
    </row>
    <row r="17" spans="1:10">
      <c r="A17" s="106" t="s">
        <v>110</v>
      </c>
      <c r="B17" s="137">
        <v>3</v>
      </c>
      <c r="C17" s="110">
        <v>0.02</v>
      </c>
      <c r="D17" s="110">
        <f>+SUM(C$16:$C17)</f>
        <v>0.22</v>
      </c>
      <c r="E17" s="110">
        <f>+E7</f>
        <v>6</v>
      </c>
      <c r="F17" s="110">
        <f t="shared" ref="F17:F18" si="1">+C17*E17</f>
        <v>0.12</v>
      </c>
      <c r="G17" s="89"/>
    </row>
    <row r="18" spans="1:10">
      <c r="B18" s="137" t="s">
        <v>101</v>
      </c>
      <c r="C18" s="110">
        <v>0.02</v>
      </c>
      <c r="D18" s="110">
        <f>+SUM(C$16:$C18)</f>
        <v>0.24</v>
      </c>
      <c r="E18" s="110">
        <f>+E16+E17</f>
        <v>9</v>
      </c>
      <c r="F18" s="110">
        <f t="shared" si="1"/>
        <v>0.18</v>
      </c>
      <c r="G18" s="89">
        <v>0</v>
      </c>
      <c r="H18" s="106" t="s">
        <v>107</v>
      </c>
    </row>
    <row r="19" spans="1:10">
      <c r="B19" s="113" t="s">
        <v>6</v>
      </c>
      <c r="C19" s="113">
        <f>+SUM(C16:C18)</f>
        <v>0.24</v>
      </c>
      <c r="D19" s="113"/>
      <c r="E19" s="113"/>
      <c r="F19" s="118">
        <f>+SUM(F16:F18)</f>
        <v>0.90000000000000013</v>
      </c>
      <c r="G19" s="91"/>
    </row>
    <row r="20" spans="1:10">
      <c r="B20" s="117"/>
      <c r="C20" s="117"/>
      <c r="D20" s="117"/>
      <c r="E20" s="117"/>
      <c r="F20" s="112"/>
      <c r="G20" s="92"/>
    </row>
    <row r="21" spans="1:10">
      <c r="B21" s="117"/>
      <c r="C21" s="117"/>
      <c r="D21" s="117"/>
      <c r="E21" s="117"/>
      <c r="F21" s="112"/>
      <c r="G21" s="92"/>
    </row>
    <row r="22" spans="1:10">
      <c r="A22" s="109" t="s">
        <v>15</v>
      </c>
      <c r="B22" s="111" t="s">
        <v>96</v>
      </c>
      <c r="C22" s="111" t="s">
        <v>11</v>
      </c>
      <c r="D22" s="111" t="s">
        <v>20</v>
      </c>
      <c r="E22" s="111" t="s">
        <v>9</v>
      </c>
      <c r="F22" s="111" t="s">
        <v>1</v>
      </c>
      <c r="G22" s="111" t="s">
        <v>55</v>
      </c>
    </row>
    <row r="23" spans="1:10">
      <c r="A23" s="106" t="s">
        <v>109</v>
      </c>
      <c r="B23" s="137">
        <v>1</v>
      </c>
      <c r="C23" s="110">
        <v>0.2</v>
      </c>
      <c r="D23" s="110">
        <f>+SUM(C23:$C$23)</f>
        <v>0.2</v>
      </c>
      <c r="E23" s="110">
        <f>+E5</f>
        <v>3</v>
      </c>
      <c r="F23" s="110">
        <f>+C23*E23</f>
        <v>0.60000000000000009</v>
      </c>
      <c r="G23" s="89"/>
    </row>
    <row r="24" spans="1:10">
      <c r="A24" s="106" t="s">
        <v>111</v>
      </c>
      <c r="B24" s="137">
        <v>3</v>
      </c>
      <c r="C24" s="110">
        <v>0.02</v>
      </c>
      <c r="D24" s="110">
        <f>+SUM(C$23:$C24)</f>
        <v>0.22</v>
      </c>
      <c r="E24" s="110">
        <f>+E7</f>
        <v>6</v>
      </c>
      <c r="F24" s="110">
        <f t="shared" ref="F24:F25" si="2">+C24*E24</f>
        <v>0.12</v>
      </c>
      <c r="G24" s="89"/>
    </row>
    <row r="25" spans="1:10">
      <c r="B25" s="137" t="s">
        <v>100</v>
      </c>
      <c r="C25" s="110">
        <v>0.02</v>
      </c>
      <c r="D25" s="110">
        <f>+SUM(C$23:$C25)</f>
        <v>0.24</v>
      </c>
      <c r="E25" s="110">
        <f>+E23+E24</f>
        <v>9</v>
      </c>
      <c r="F25" s="110">
        <f t="shared" si="2"/>
        <v>0.18</v>
      </c>
      <c r="G25" s="89">
        <v>0</v>
      </c>
      <c r="H25" s="106" t="s">
        <v>107</v>
      </c>
      <c r="J25" s="119"/>
    </row>
    <row r="26" spans="1:10">
      <c r="B26" s="113" t="s">
        <v>6</v>
      </c>
      <c r="C26" s="113">
        <f>+SUM(C23:C25)</f>
        <v>0.24</v>
      </c>
      <c r="D26" s="113"/>
      <c r="E26" s="113"/>
      <c r="F26" s="118">
        <f>+SUM(F23:F25)</f>
        <v>0.90000000000000013</v>
      </c>
      <c r="G26" s="91"/>
    </row>
    <row r="27" spans="1:10">
      <c r="B27" s="117"/>
      <c r="C27" s="117"/>
      <c r="D27" s="117"/>
      <c r="E27" s="117"/>
      <c r="F27" s="112"/>
      <c r="G27" s="92"/>
    </row>
    <row r="28" spans="1:10">
      <c r="G28" s="87"/>
    </row>
    <row r="29" spans="1:10">
      <c r="A29" s="109" t="s">
        <v>16</v>
      </c>
      <c r="B29" s="111" t="s">
        <v>96</v>
      </c>
      <c r="C29" s="111" t="s">
        <v>11</v>
      </c>
      <c r="D29" s="111" t="s">
        <v>20</v>
      </c>
      <c r="E29" s="111" t="s">
        <v>9</v>
      </c>
      <c r="F29" s="111" t="s">
        <v>1</v>
      </c>
      <c r="G29" s="111" t="s">
        <v>55</v>
      </c>
    </row>
    <row r="30" spans="1:10">
      <c r="A30" s="106" t="s">
        <v>109</v>
      </c>
      <c r="B30" s="137">
        <v>3</v>
      </c>
      <c r="C30" s="110">
        <v>0.15</v>
      </c>
      <c r="D30" s="110">
        <f>+SUM(C30:$C$30)</f>
        <v>0.15</v>
      </c>
      <c r="E30" s="110">
        <f>+E7</f>
        <v>6</v>
      </c>
      <c r="F30" s="110">
        <f>+C30*E30</f>
        <v>0.89999999999999991</v>
      </c>
      <c r="G30" s="89">
        <v>0</v>
      </c>
      <c r="H30" s="106" t="s">
        <v>107</v>
      </c>
    </row>
    <row r="31" spans="1:10">
      <c r="A31" s="106" t="s">
        <v>110</v>
      </c>
      <c r="B31" s="113" t="s">
        <v>6</v>
      </c>
      <c r="C31" s="113">
        <f>+SUM(C30:C30)</f>
        <v>0.15</v>
      </c>
      <c r="D31" s="113"/>
      <c r="E31" s="113"/>
      <c r="F31" s="118">
        <f>+SUM(F30:F30)</f>
        <v>0.89999999999999991</v>
      </c>
      <c r="G31" s="91"/>
    </row>
    <row r="32" spans="1:10">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0.125</v>
      </c>
      <c r="D35" s="110">
        <f>+SUM(C35:$C$35)</f>
        <v>0.125</v>
      </c>
      <c r="E35" s="110">
        <f>+E5</f>
        <v>3</v>
      </c>
      <c r="F35" s="110">
        <f>+C35*E35</f>
        <v>0.375</v>
      </c>
      <c r="G35" s="89"/>
    </row>
    <row r="36" spans="1:8">
      <c r="A36" s="106" t="s">
        <v>112</v>
      </c>
      <c r="B36" s="137">
        <v>2</v>
      </c>
      <c r="C36" s="110">
        <v>0.125</v>
      </c>
      <c r="D36" s="110">
        <f>+SUM(C$35:$C36)</f>
        <v>0.25</v>
      </c>
      <c r="E36" s="110">
        <f>+E6</f>
        <v>3</v>
      </c>
      <c r="F36" s="110">
        <f t="shared" ref="F36:F37" si="3">+C36*E36</f>
        <v>0.375</v>
      </c>
      <c r="G36" s="89"/>
    </row>
    <row r="37" spans="1:8">
      <c r="B37" s="137" t="s">
        <v>99</v>
      </c>
      <c r="C37" s="110">
        <v>2.5000000000000001E-2</v>
      </c>
      <c r="D37" s="110">
        <f>+SUM(C$35:$C37)</f>
        <v>0.27500000000000002</v>
      </c>
      <c r="E37" s="110">
        <f>+E35+E36</f>
        <v>6</v>
      </c>
      <c r="F37" s="110">
        <f t="shared" si="3"/>
        <v>0.15000000000000002</v>
      </c>
      <c r="G37" s="89">
        <v>0</v>
      </c>
      <c r="H37" s="106" t="s">
        <v>107</v>
      </c>
    </row>
    <row r="38" spans="1:8">
      <c r="A38" s="115"/>
      <c r="B38" s="113" t="s">
        <v>6</v>
      </c>
      <c r="C38" s="113">
        <f>+SUM(C35:C37)</f>
        <v>0.27500000000000002</v>
      </c>
      <c r="D38" s="113"/>
      <c r="E38" s="113"/>
      <c r="F38" s="118">
        <f>+SUM(F35:F37)</f>
        <v>0.9</v>
      </c>
      <c r="G38" s="91"/>
    </row>
    <row r="39" spans="1:8">
      <c r="A39" s="115"/>
      <c r="G39" s="87"/>
    </row>
    <row r="40" spans="1:8">
      <c r="G40" s="87"/>
    </row>
    <row r="41" spans="1:8">
      <c r="A41" s="109" t="s">
        <v>18</v>
      </c>
      <c r="B41" s="111" t="s">
        <v>96</v>
      </c>
      <c r="C41" s="111" t="s">
        <v>11</v>
      </c>
      <c r="D41" s="111" t="s">
        <v>20</v>
      </c>
      <c r="E41" s="111" t="s">
        <v>9</v>
      </c>
      <c r="F41" s="111" t="s">
        <v>1</v>
      </c>
      <c r="G41" s="105"/>
    </row>
    <row r="42" spans="1:8">
      <c r="A42" s="106" t="s">
        <v>109</v>
      </c>
      <c r="B42" s="137">
        <v>1</v>
      </c>
      <c r="C42" s="110">
        <v>0.3</v>
      </c>
      <c r="D42" s="110">
        <f>+SUM(C42:$C$42)</f>
        <v>0.3</v>
      </c>
      <c r="E42" s="110">
        <f>+E5</f>
        <v>3</v>
      </c>
      <c r="F42" s="110">
        <f>+E42*C42</f>
        <v>0.89999999999999991</v>
      </c>
      <c r="G42" s="89">
        <v>0</v>
      </c>
      <c r="H42" s="106" t="s">
        <v>107</v>
      </c>
    </row>
    <row r="43" spans="1:8">
      <c r="A43" s="106" t="s">
        <v>111</v>
      </c>
      <c r="B43" s="113" t="s">
        <v>6</v>
      </c>
      <c r="C43" s="113">
        <f>+SUM(C42:C42)</f>
        <v>0.3</v>
      </c>
      <c r="D43" s="113"/>
      <c r="E43" s="113"/>
      <c r="F43" s="118">
        <f>+SUM(F42:F42)</f>
        <v>0.89999999999999991</v>
      </c>
      <c r="G43" s="91"/>
    </row>
    <row r="44" spans="1:8">
      <c r="A44" s="106" t="s">
        <v>112</v>
      </c>
      <c r="G44" s="87"/>
    </row>
    <row r="45" spans="1:8">
      <c r="G45" s="87"/>
    </row>
    <row r="46" spans="1:8">
      <c r="A46" s="109" t="s">
        <v>19</v>
      </c>
      <c r="B46" s="111" t="s">
        <v>96</v>
      </c>
      <c r="C46" s="111" t="s">
        <v>11</v>
      </c>
      <c r="D46" s="111" t="s">
        <v>20</v>
      </c>
      <c r="E46" s="111" t="s">
        <v>9</v>
      </c>
      <c r="F46" s="111" t="s">
        <v>1</v>
      </c>
      <c r="G46" s="105"/>
    </row>
    <row r="47" spans="1:8">
      <c r="A47" s="106" t="s">
        <v>109</v>
      </c>
      <c r="B47" s="137">
        <v>2</v>
      </c>
      <c r="C47" s="110">
        <v>0.3</v>
      </c>
      <c r="D47" s="110">
        <f>+SUM(C$47:$C47)</f>
        <v>0.3</v>
      </c>
      <c r="E47" s="110">
        <f>+E6</f>
        <v>3</v>
      </c>
      <c r="F47" s="110">
        <f>+E47*C47</f>
        <v>0.89999999999999991</v>
      </c>
      <c r="G47" s="89">
        <v>0</v>
      </c>
      <c r="H47" s="106" t="s">
        <v>107</v>
      </c>
    </row>
    <row r="48" spans="1:8">
      <c r="A48" s="106" t="s">
        <v>110</v>
      </c>
      <c r="B48" s="113" t="s">
        <v>6</v>
      </c>
      <c r="C48" s="113">
        <f>+SUM(C47:C47)</f>
        <v>0.3</v>
      </c>
      <c r="D48" s="113"/>
      <c r="E48" s="113"/>
      <c r="F48" s="118">
        <f>+SUM(F47:F47)</f>
        <v>0.89999999999999991</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88671875" style="106" customWidth="1"/>
    <col min="9" max="9" width="12" style="106" customWidth="1"/>
    <col min="10" max="16384" width="11.5546875" style="106"/>
  </cols>
  <sheetData>
    <row r="1" spans="1:9" ht="18">
      <c r="A1" s="143" t="s">
        <v>136</v>
      </c>
      <c r="B1" s="143"/>
      <c r="C1" s="143"/>
      <c r="D1" s="143"/>
      <c r="E1" s="143"/>
    </row>
    <row r="2" spans="1:9">
      <c r="A2" s="116" t="s">
        <v>148</v>
      </c>
    </row>
    <row r="4" spans="1:9">
      <c r="A4" s="109" t="s">
        <v>10</v>
      </c>
      <c r="B4" s="111" t="s">
        <v>96</v>
      </c>
      <c r="C4" s="111" t="s">
        <v>11</v>
      </c>
      <c r="D4" s="111" t="s">
        <v>20</v>
      </c>
      <c r="E4" s="111" t="s">
        <v>9</v>
      </c>
      <c r="F4" s="111" t="s">
        <v>1</v>
      </c>
      <c r="G4" s="111" t="s">
        <v>55</v>
      </c>
    </row>
    <row r="5" spans="1:9">
      <c r="A5" s="106" t="s">
        <v>108</v>
      </c>
      <c r="B5" s="139">
        <v>1</v>
      </c>
      <c r="C5" s="79">
        <v>0.2</v>
      </c>
      <c r="D5" s="107">
        <f>+SUM($C$5:C5)</f>
        <v>0.2</v>
      </c>
      <c r="E5" s="107">
        <f>+Summary!B27</f>
        <v>2</v>
      </c>
      <c r="F5" s="107">
        <f>+C5*E5</f>
        <v>0.4</v>
      </c>
      <c r="G5" s="89"/>
    </row>
    <row r="6" spans="1:9">
      <c r="B6" s="139">
        <v>2</v>
      </c>
      <c r="C6" s="79">
        <v>0.1</v>
      </c>
      <c r="D6" s="107">
        <f>+SUM($C$5:C6)</f>
        <v>0.30000000000000004</v>
      </c>
      <c r="E6" s="107">
        <f>+Summary!B28</f>
        <v>3</v>
      </c>
      <c r="F6" s="107">
        <f t="shared" ref="F6:F7" si="0">+C6*E6</f>
        <v>0.30000000000000004</v>
      </c>
      <c r="G6" s="89"/>
    </row>
    <row r="7" spans="1:9">
      <c r="B7" s="139" t="s">
        <v>99</v>
      </c>
      <c r="C7" s="79">
        <v>0.04</v>
      </c>
      <c r="D7" s="107">
        <f>+SUM($C$5:C7)</f>
        <v>0.34</v>
      </c>
      <c r="E7" s="107">
        <f>+E5+E6</f>
        <v>5</v>
      </c>
      <c r="F7" s="107">
        <f t="shared" si="0"/>
        <v>0.2</v>
      </c>
      <c r="G7" s="89">
        <v>0</v>
      </c>
      <c r="H7" s="106" t="s">
        <v>107</v>
      </c>
      <c r="I7" s="141"/>
    </row>
    <row r="8" spans="1:9">
      <c r="B8" s="113" t="s">
        <v>12</v>
      </c>
      <c r="C8" s="113">
        <f>+SUM(C5:C7)</f>
        <v>0.34</v>
      </c>
      <c r="D8" s="113"/>
      <c r="E8" s="113"/>
      <c r="F8" s="99">
        <f>+SUM(F5:F7)</f>
        <v>0.90000000000000013</v>
      </c>
      <c r="G8" s="90"/>
    </row>
    <row r="9" spans="1:9">
      <c r="B9" s="114" t="s">
        <v>103</v>
      </c>
      <c r="G9" s="87"/>
    </row>
    <row r="10" spans="1:9">
      <c r="G10" s="87"/>
    </row>
    <row r="11" spans="1:9">
      <c r="G11" s="87"/>
    </row>
    <row r="12" spans="1:9">
      <c r="A12" s="109" t="s">
        <v>18</v>
      </c>
      <c r="B12" s="111" t="s">
        <v>96</v>
      </c>
      <c r="C12" s="111" t="s">
        <v>11</v>
      </c>
      <c r="D12" s="111" t="s">
        <v>20</v>
      </c>
      <c r="E12" s="111" t="s">
        <v>9</v>
      </c>
      <c r="F12" s="111" t="s">
        <v>1</v>
      </c>
      <c r="G12" s="111" t="s">
        <v>55</v>
      </c>
    </row>
    <row r="13" spans="1:9">
      <c r="A13" s="106" t="s">
        <v>109</v>
      </c>
      <c r="B13" s="137">
        <v>1</v>
      </c>
      <c r="C13" s="110">
        <v>0.45</v>
      </c>
      <c r="D13" s="110">
        <f>+SUM(C13:$C$13)</f>
        <v>0.45</v>
      </c>
      <c r="E13" s="110">
        <f>+E5</f>
        <v>2</v>
      </c>
      <c r="F13" s="110">
        <f>+E13*C13</f>
        <v>0.9</v>
      </c>
      <c r="G13" s="89">
        <v>0</v>
      </c>
      <c r="H13" s="106" t="s">
        <v>107</v>
      </c>
    </row>
    <row r="14" spans="1:9">
      <c r="A14" s="106" t="s">
        <v>111</v>
      </c>
      <c r="B14" s="113" t="s">
        <v>6</v>
      </c>
      <c r="C14" s="113">
        <f>+SUM(C13:C13)</f>
        <v>0.45</v>
      </c>
      <c r="D14" s="113"/>
      <c r="E14" s="113"/>
      <c r="F14" s="118">
        <f>+SUM(F13:F13)</f>
        <v>0.9</v>
      </c>
      <c r="G14" s="91"/>
    </row>
    <row r="15" spans="1:9">
      <c r="G15" s="87"/>
    </row>
    <row r="16" spans="1:9">
      <c r="G16" s="87"/>
    </row>
    <row r="17" spans="1:8">
      <c r="A17" s="109" t="s">
        <v>19</v>
      </c>
      <c r="B17" s="111" t="s">
        <v>96</v>
      </c>
      <c r="C17" s="111" t="s">
        <v>11</v>
      </c>
      <c r="D17" s="111" t="s">
        <v>20</v>
      </c>
      <c r="E17" s="111" t="s">
        <v>9</v>
      </c>
      <c r="F17" s="111" t="s">
        <v>1</v>
      </c>
      <c r="G17" s="111" t="s">
        <v>55</v>
      </c>
    </row>
    <row r="18" spans="1:8">
      <c r="A18" s="106" t="s">
        <v>109</v>
      </c>
      <c r="B18" s="137">
        <v>2</v>
      </c>
      <c r="C18" s="110">
        <v>0.3</v>
      </c>
      <c r="D18" s="110">
        <f>+SUM(C$18:$C18)</f>
        <v>0.3</v>
      </c>
      <c r="E18" s="110">
        <f>+E6</f>
        <v>3</v>
      </c>
      <c r="F18" s="110">
        <f>+E18*C18</f>
        <v>0.89999999999999991</v>
      </c>
      <c r="G18" s="89">
        <v>0</v>
      </c>
      <c r="H18" s="106" t="s">
        <v>107</v>
      </c>
    </row>
    <row r="19" spans="1:8">
      <c r="A19" s="106" t="s">
        <v>110</v>
      </c>
      <c r="B19" s="113" t="s">
        <v>6</v>
      </c>
      <c r="C19" s="113">
        <f>+SUM(C18:C18)</f>
        <v>0.3</v>
      </c>
      <c r="D19" s="113"/>
      <c r="E19" s="113"/>
      <c r="F19" s="118">
        <f>+SUM(F18:F18)</f>
        <v>0.89999999999999991</v>
      </c>
      <c r="G19" s="91"/>
    </row>
    <row r="20" spans="1:8">
      <c r="G20" s="88"/>
    </row>
    <row r="21" spans="1:8">
      <c r="G21" s="88"/>
    </row>
    <row r="22" spans="1:8">
      <c r="G22" s="88"/>
    </row>
    <row r="23" spans="1:8">
      <c r="G23" s="88"/>
    </row>
    <row r="24" spans="1:8">
      <c r="G24" s="88"/>
    </row>
    <row r="25" spans="1:8">
      <c r="G25" s="88"/>
    </row>
    <row r="26" spans="1:8">
      <c r="G26" s="88"/>
    </row>
    <row r="27" spans="1:8">
      <c r="G27" s="88"/>
    </row>
    <row r="28" spans="1:8">
      <c r="G28" s="88"/>
    </row>
    <row r="29" spans="1:8">
      <c r="G29" s="88"/>
    </row>
    <row r="30" spans="1:8">
      <c r="G30" s="88"/>
    </row>
    <row r="31" spans="1:8">
      <c r="G31" s="88"/>
    </row>
    <row r="32" spans="1:8">
      <c r="G32" s="88"/>
    </row>
    <row r="33" spans="7:7">
      <c r="G33" s="88"/>
    </row>
    <row r="34" spans="7:7">
      <c r="G34" s="88"/>
    </row>
    <row r="35" spans="7:7">
      <c r="G35" s="88"/>
    </row>
    <row r="36" spans="7:7">
      <c r="G36" s="88"/>
    </row>
    <row r="37" spans="7:7">
      <c r="G37" s="88"/>
    </row>
    <row r="38" spans="7:7">
      <c r="G38" s="88"/>
    </row>
    <row r="39" spans="7:7">
      <c r="G39" s="88"/>
    </row>
    <row r="40" spans="7:7">
      <c r="G40" s="88"/>
    </row>
    <row r="41" spans="7:7">
      <c r="G41" s="88"/>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134</v>
      </c>
      <c r="B1" s="143"/>
      <c r="C1" s="143"/>
      <c r="D1" s="143"/>
      <c r="E1" s="143"/>
    </row>
    <row r="2" spans="1:8">
      <c r="A2" s="116"/>
    </row>
    <row r="4" spans="1:8">
      <c r="A4" s="109" t="s">
        <v>85</v>
      </c>
      <c r="B4" s="111" t="s">
        <v>96</v>
      </c>
      <c r="C4" s="111" t="s">
        <v>11</v>
      </c>
      <c r="D4" s="111" t="s">
        <v>20</v>
      </c>
      <c r="E4" s="111" t="s">
        <v>9</v>
      </c>
      <c r="F4" s="111" t="s">
        <v>1</v>
      </c>
      <c r="G4" s="111" t="s">
        <v>55</v>
      </c>
    </row>
    <row r="5" spans="1:8">
      <c r="B5" s="137">
        <v>1</v>
      </c>
      <c r="C5" s="110">
        <v>0.45</v>
      </c>
      <c r="D5" s="110">
        <f>+SUM(C5:$C$5)</f>
        <v>0.45</v>
      </c>
      <c r="E5" s="110">
        <f>+Summary!B21</f>
        <v>2</v>
      </c>
      <c r="F5" s="110">
        <f>+E5*C5</f>
        <v>0.9</v>
      </c>
      <c r="G5" s="89">
        <v>0</v>
      </c>
      <c r="H5" s="106" t="s">
        <v>107</v>
      </c>
    </row>
    <row r="6" spans="1:8">
      <c r="B6" s="113" t="s">
        <v>6</v>
      </c>
      <c r="C6" s="113">
        <f>+SUM(C5:C5)</f>
        <v>0.45</v>
      </c>
      <c r="D6" s="113"/>
      <c r="E6" s="113"/>
      <c r="F6" s="118">
        <f>+SUM(F5:F5)</f>
        <v>0.9</v>
      </c>
      <c r="G6" s="91"/>
    </row>
    <row r="7" spans="1:8">
      <c r="G7" s="87"/>
    </row>
    <row r="8" spans="1:8">
      <c r="G8" s="87"/>
    </row>
    <row r="9" spans="1:8">
      <c r="A9" s="109" t="s">
        <v>86</v>
      </c>
      <c r="B9" s="111" t="s">
        <v>96</v>
      </c>
      <c r="C9" s="111" t="s">
        <v>11</v>
      </c>
      <c r="D9" s="111" t="s">
        <v>20</v>
      </c>
      <c r="E9" s="111" t="s">
        <v>9</v>
      </c>
      <c r="F9" s="111" t="s">
        <v>1</v>
      </c>
      <c r="G9" s="111" t="s">
        <v>55</v>
      </c>
    </row>
    <row r="10" spans="1:8">
      <c r="B10" s="137">
        <v>1</v>
      </c>
      <c r="C10" s="110">
        <v>0.3</v>
      </c>
      <c r="D10" s="110">
        <f>1/6</f>
        <v>0.16666666666666666</v>
      </c>
      <c r="E10" s="110">
        <f>+Summary!E21</f>
        <v>3</v>
      </c>
      <c r="F10" s="110">
        <f>+E10*C10</f>
        <v>0.89999999999999991</v>
      </c>
      <c r="G10" s="89">
        <v>0</v>
      </c>
      <c r="H10" s="106" t="s">
        <v>107</v>
      </c>
    </row>
    <row r="11" spans="1:8">
      <c r="B11" s="113" t="s">
        <v>6</v>
      </c>
      <c r="C11" s="113">
        <f>+SUM(C10:C10)</f>
        <v>0.3</v>
      </c>
      <c r="D11" s="113"/>
      <c r="E11" s="113"/>
      <c r="F11" s="118">
        <f>+SUM(F10:F10)</f>
        <v>0.89999999999999991</v>
      </c>
      <c r="G11" s="91"/>
    </row>
    <row r="12" spans="1:8">
      <c r="G12" s="88"/>
    </row>
    <row r="13" spans="1:8">
      <c r="G13" s="88"/>
    </row>
    <row r="14" spans="1:8">
      <c r="A14" s="109" t="s">
        <v>87</v>
      </c>
      <c r="B14" s="111" t="s">
        <v>96</v>
      </c>
      <c r="C14" s="111" t="s">
        <v>11</v>
      </c>
      <c r="D14" s="111" t="s">
        <v>20</v>
      </c>
      <c r="E14" s="111" t="s">
        <v>9</v>
      </c>
      <c r="F14" s="111" t="s">
        <v>1</v>
      </c>
      <c r="G14" s="111" t="s">
        <v>55</v>
      </c>
    </row>
    <row r="15" spans="1:8">
      <c r="B15" s="137">
        <v>1</v>
      </c>
      <c r="C15" s="110">
        <v>0.22500000000000001</v>
      </c>
      <c r="D15" s="110">
        <f>+SUM(C$15:$C15)</f>
        <v>0.22500000000000001</v>
      </c>
      <c r="E15" s="110">
        <f>+Summary!H21</f>
        <v>4</v>
      </c>
      <c r="F15" s="110">
        <f>+E15*C15</f>
        <v>0.9</v>
      </c>
      <c r="G15" s="89">
        <v>0</v>
      </c>
      <c r="H15" s="106" t="s">
        <v>107</v>
      </c>
    </row>
    <row r="16" spans="1:8">
      <c r="B16" s="113" t="s">
        <v>6</v>
      </c>
      <c r="C16" s="113">
        <f>+SUM(C15:C15)</f>
        <v>0.22500000000000001</v>
      </c>
      <c r="D16" s="113"/>
      <c r="E16" s="113"/>
      <c r="F16" s="118">
        <f>+SUM(F15:F15)</f>
        <v>0.9</v>
      </c>
      <c r="G16" s="91"/>
    </row>
    <row r="17" spans="7:7">
      <c r="G17" s="88"/>
    </row>
    <row r="18" spans="7:7">
      <c r="G18" s="88"/>
    </row>
    <row r="19" spans="7:7">
      <c r="G19" s="88"/>
    </row>
    <row r="20" spans="7:7">
      <c r="G20" s="88"/>
    </row>
    <row r="21" spans="7:7">
      <c r="G21" s="88"/>
    </row>
    <row r="22" spans="7:7">
      <c r="G22" s="88"/>
    </row>
    <row r="23" spans="7:7">
      <c r="G23" s="88"/>
    </row>
    <row r="24" spans="7:7">
      <c r="G24" s="88"/>
    </row>
    <row r="25" spans="7:7">
      <c r="G25" s="88"/>
    </row>
    <row r="26" spans="7:7">
      <c r="G26" s="88"/>
    </row>
    <row r="27" spans="7:7">
      <c r="G27" s="88"/>
    </row>
    <row r="28" spans="7:7">
      <c r="G28" s="88"/>
    </row>
    <row r="29" spans="7:7">
      <c r="G29" s="88"/>
    </row>
    <row r="30" spans="7:7">
      <c r="G30" s="88"/>
    </row>
    <row r="31" spans="7:7">
      <c r="G31" s="88"/>
    </row>
    <row r="32" spans="7:7">
      <c r="G32" s="88"/>
    </row>
    <row r="33" spans="7:7">
      <c r="G33" s="88"/>
    </row>
    <row r="34" spans="7:7">
      <c r="G34" s="87"/>
    </row>
    <row r="35" spans="7:7">
      <c r="G35" s="87"/>
    </row>
    <row r="36" spans="7:7">
      <c r="G36" s="87"/>
    </row>
    <row r="37" spans="7:7">
      <c r="G37" s="87"/>
    </row>
    <row r="38" spans="7:7">
      <c r="G38" s="87"/>
    </row>
    <row r="39" spans="7:7">
      <c r="G39" s="87"/>
    </row>
    <row r="40" spans="7:7">
      <c r="G40" s="87"/>
    </row>
    <row r="41" spans="7:7">
      <c r="G41" s="87"/>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88671875" style="106" customWidth="1"/>
    <col min="9" max="9" width="12" style="106" customWidth="1"/>
    <col min="10" max="16384" width="11.5546875" style="106"/>
  </cols>
  <sheetData>
    <row r="1" spans="1:9" ht="18">
      <c r="A1" s="143" t="s">
        <v>137</v>
      </c>
      <c r="B1" s="143"/>
      <c r="C1" s="143"/>
      <c r="D1" s="143"/>
      <c r="E1" s="143"/>
    </row>
    <row r="2" spans="1:9">
      <c r="A2" s="116" t="s">
        <v>148</v>
      </c>
    </row>
    <row r="4" spans="1:9">
      <c r="A4" s="109" t="s">
        <v>10</v>
      </c>
      <c r="B4" s="111" t="s">
        <v>96</v>
      </c>
      <c r="C4" s="111" t="s">
        <v>11</v>
      </c>
      <c r="D4" s="111" t="s">
        <v>20</v>
      </c>
      <c r="E4" s="111" t="s">
        <v>9</v>
      </c>
      <c r="F4" s="111" t="s">
        <v>1</v>
      </c>
      <c r="G4" s="111" t="s">
        <v>55</v>
      </c>
    </row>
    <row r="5" spans="1:9">
      <c r="A5" s="106" t="s">
        <v>108</v>
      </c>
      <c r="B5" s="139">
        <v>1</v>
      </c>
      <c r="C5" s="67">
        <v>9.5000000000000001E-2</v>
      </c>
      <c r="D5" s="107">
        <f>+SUM($C$5:C5)</f>
        <v>9.5000000000000001E-2</v>
      </c>
      <c r="E5" s="107">
        <f>+Summary!B36</f>
        <v>2</v>
      </c>
      <c r="F5" s="107">
        <f>+C5*E5</f>
        <v>0.19</v>
      </c>
      <c r="G5" s="89"/>
    </row>
    <row r="6" spans="1:9">
      <c r="B6" s="139">
        <v>2</v>
      </c>
      <c r="C6" s="142">
        <v>0.01</v>
      </c>
      <c r="D6" s="107">
        <f>+SUM($C$5:C6)</f>
        <v>0.105</v>
      </c>
      <c r="E6" s="107">
        <f>+Summary!B37</f>
        <v>5</v>
      </c>
      <c r="F6" s="107">
        <f t="shared" ref="F6:F11" si="0">+C6*E6</f>
        <v>0.05</v>
      </c>
      <c r="G6" s="89"/>
    </row>
    <row r="7" spans="1:9">
      <c r="B7" s="139">
        <v>3</v>
      </c>
      <c r="C7" s="142">
        <v>0.01</v>
      </c>
      <c r="D7" s="107">
        <f>+SUM($C$5:C7)</f>
        <v>0.11499999999999999</v>
      </c>
      <c r="E7" s="107">
        <f>+Summary!B38</f>
        <v>8</v>
      </c>
      <c r="F7" s="107">
        <f t="shared" si="0"/>
        <v>0.08</v>
      </c>
      <c r="G7" s="89"/>
      <c r="I7" s="47"/>
    </row>
    <row r="8" spans="1:9">
      <c r="B8" s="139" t="s">
        <v>99</v>
      </c>
      <c r="C8" s="142">
        <v>0.01</v>
      </c>
      <c r="D8" s="107">
        <f>+SUM($C$5:C8)</f>
        <v>0.12499999999999999</v>
      </c>
      <c r="E8" s="107">
        <f>+E5+E6</f>
        <v>7</v>
      </c>
      <c r="F8" s="107">
        <f t="shared" si="0"/>
        <v>7.0000000000000007E-2</v>
      </c>
      <c r="G8" s="89"/>
      <c r="I8" s="141"/>
    </row>
    <row r="9" spans="1:9">
      <c r="B9" s="139" t="s">
        <v>100</v>
      </c>
      <c r="C9" s="142">
        <v>0.01</v>
      </c>
      <c r="D9" s="107">
        <f>+SUM($C$5:C9)</f>
        <v>0.13499999999999998</v>
      </c>
      <c r="E9" s="107">
        <f>+E5+E7</f>
        <v>10</v>
      </c>
      <c r="F9" s="107">
        <f t="shared" si="0"/>
        <v>0.1</v>
      </c>
      <c r="G9" s="89"/>
    </row>
    <row r="10" spans="1:9">
      <c r="B10" s="139" t="s">
        <v>101</v>
      </c>
      <c r="C10" s="142">
        <v>0.02</v>
      </c>
      <c r="D10" s="107">
        <f>+SUM($C$5:C10)</f>
        <v>0.15499999999999997</v>
      </c>
      <c r="E10" s="107">
        <f>+E6+E7</f>
        <v>13</v>
      </c>
      <c r="F10" s="107">
        <f t="shared" si="0"/>
        <v>0.26</v>
      </c>
      <c r="G10" s="89"/>
    </row>
    <row r="11" spans="1:9">
      <c r="B11" s="139" t="s">
        <v>102</v>
      </c>
      <c r="C11" s="142">
        <v>0.01</v>
      </c>
      <c r="D11" s="107">
        <f>+SUM($C$5:C11)</f>
        <v>0.16499999999999998</v>
      </c>
      <c r="E11" s="107">
        <f>+E5+E6+E7</f>
        <v>15</v>
      </c>
      <c r="F11" s="107">
        <f t="shared" si="0"/>
        <v>0.15</v>
      </c>
      <c r="G11" s="89">
        <v>0</v>
      </c>
      <c r="H11" s="106" t="s">
        <v>107</v>
      </c>
    </row>
    <row r="12" spans="1:9">
      <c r="B12" s="113" t="s">
        <v>12</v>
      </c>
      <c r="C12" s="113">
        <f>+SUM(C5:C11)</f>
        <v>0.16499999999999998</v>
      </c>
      <c r="D12" s="113"/>
      <c r="E12" s="113"/>
      <c r="F12" s="99">
        <f>+SUM(F5:F11)</f>
        <v>0.9</v>
      </c>
      <c r="G12" s="90"/>
    </row>
    <row r="13" spans="1:9">
      <c r="B13" s="114" t="s">
        <v>103</v>
      </c>
      <c r="G13" s="87"/>
    </row>
    <row r="14" spans="1:9">
      <c r="G14" s="87"/>
    </row>
    <row r="15" spans="1:9">
      <c r="A15" s="109" t="s">
        <v>14</v>
      </c>
      <c r="B15" s="111" t="s">
        <v>96</v>
      </c>
      <c r="C15" s="111" t="s">
        <v>11</v>
      </c>
      <c r="D15" s="111" t="s">
        <v>20</v>
      </c>
      <c r="E15" s="111" t="s">
        <v>9</v>
      </c>
      <c r="F15" s="111" t="s">
        <v>1</v>
      </c>
      <c r="G15" s="111" t="s">
        <v>55</v>
      </c>
    </row>
    <row r="16" spans="1:9">
      <c r="A16" s="106" t="s">
        <v>109</v>
      </c>
      <c r="B16" s="137">
        <v>2</v>
      </c>
      <c r="C16" s="110">
        <v>0.08</v>
      </c>
      <c r="D16" s="110">
        <f>+SUM(C16:$C$16)</f>
        <v>0.08</v>
      </c>
      <c r="E16" s="110">
        <f>+E6</f>
        <v>5</v>
      </c>
      <c r="F16" s="110">
        <f>+C16*E16</f>
        <v>0.4</v>
      </c>
      <c r="G16" s="89"/>
    </row>
    <row r="17" spans="1:9">
      <c r="A17" s="106" t="s">
        <v>110</v>
      </c>
      <c r="B17" s="137">
        <v>3</v>
      </c>
      <c r="C17" s="110">
        <v>0.03</v>
      </c>
      <c r="D17" s="110">
        <f>+SUM(C$16:$C17)</f>
        <v>0.11</v>
      </c>
      <c r="E17" s="110">
        <f>+E7</f>
        <v>8</v>
      </c>
      <c r="F17" s="110">
        <f t="shared" ref="F17:F18" si="1">+C17*E17</f>
        <v>0.24</v>
      </c>
      <c r="G17" s="89"/>
      <c r="I17" s="140"/>
    </row>
    <row r="18" spans="1:9">
      <c r="B18" s="137" t="s">
        <v>101</v>
      </c>
      <c r="C18" s="110">
        <v>0.02</v>
      </c>
      <c r="D18" s="110">
        <f>+SUM(C$16:$C18)</f>
        <v>0.13</v>
      </c>
      <c r="E18" s="110">
        <f>+E16+E17</f>
        <v>13</v>
      </c>
      <c r="F18" s="110">
        <f t="shared" si="1"/>
        <v>0.26</v>
      </c>
      <c r="G18" s="89">
        <v>0</v>
      </c>
      <c r="H18" s="106" t="s">
        <v>107</v>
      </c>
    </row>
    <row r="19" spans="1:9">
      <c r="B19" s="113" t="s">
        <v>6</v>
      </c>
      <c r="C19" s="113">
        <f>+SUM(C16:C18)</f>
        <v>0.13</v>
      </c>
      <c r="D19" s="113"/>
      <c r="E19" s="113"/>
      <c r="F19" s="118">
        <f>+SUM(F16:F18)</f>
        <v>0.9</v>
      </c>
      <c r="G19" s="91"/>
    </row>
    <row r="20" spans="1:9">
      <c r="B20" s="117"/>
      <c r="C20" s="117"/>
      <c r="D20" s="117"/>
      <c r="E20" s="117"/>
      <c r="F20" s="112"/>
      <c r="G20" s="92"/>
    </row>
    <row r="21" spans="1:9">
      <c r="B21" s="117"/>
      <c r="C21" s="117"/>
      <c r="D21" s="117"/>
      <c r="E21" s="117"/>
      <c r="F21" s="112"/>
      <c r="G21" s="92"/>
    </row>
    <row r="22" spans="1:9">
      <c r="A22" s="109" t="s">
        <v>15</v>
      </c>
      <c r="B22" s="111" t="s">
        <v>96</v>
      </c>
      <c r="C22" s="111" t="s">
        <v>11</v>
      </c>
      <c r="D22" s="111" t="s">
        <v>20</v>
      </c>
      <c r="E22" s="111" t="s">
        <v>9</v>
      </c>
      <c r="F22" s="111" t="s">
        <v>1</v>
      </c>
      <c r="G22" s="111" t="s">
        <v>55</v>
      </c>
    </row>
    <row r="23" spans="1:9">
      <c r="A23" s="106" t="s">
        <v>109</v>
      </c>
      <c r="B23" s="137">
        <v>1</v>
      </c>
      <c r="C23" s="110">
        <v>0.09</v>
      </c>
      <c r="D23" s="110">
        <f>+SUM(C23:$C$23)</f>
        <v>0.09</v>
      </c>
      <c r="E23" s="110">
        <f>+E5</f>
        <v>2</v>
      </c>
      <c r="F23" s="110">
        <f>+C23*E23</f>
        <v>0.18</v>
      </c>
      <c r="G23" s="89"/>
    </row>
    <row r="24" spans="1:9">
      <c r="A24" s="106" t="s">
        <v>111</v>
      </c>
      <c r="B24" s="137">
        <v>3</v>
      </c>
      <c r="C24" s="110">
        <v>0.04</v>
      </c>
      <c r="D24" s="110">
        <f>+SUM(C$23:$C24)</f>
        <v>0.13</v>
      </c>
      <c r="E24" s="110">
        <f>+E7</f>
        <v>8</v>
      </c>
      <c r="F24" s="110">
        <f t="shared" ref="F24:F25" si="2">+C24*E24</f>
        <v>0.32</v>
      </c>
      <c r="G24" s="89"/>
    </row>
    <row r="25" spans="1:9">
      <c r="B25" s="137" t="s">
        <v>100</v>
      </c>
      <c r="C25" s="110">
        <v>0.04</v>
      </c>
      <c r="D25" s="110">
        <f>+SUM(C$23:$C25)</f>
        <v>0.17</v>
      </c>
      <c r="E25" s="110">
        <f>+E23+E24</f>
        <v>10</v>
      </c>
      <c r="F25" s="110">
        <f t="shared" si="2"/>
        <v>0.4</v>
      </c>
      <c r="G25" s="89">
        <v>0</v>
      </c>
      <c r="H25" s="106" t="s">
        <v>107</v>
      </c>
    </row>
    <row r="26" spans="1:9">
      <c r="B26" s="113" t="s">
        <v>6</v>
      </c>
      <c r="C26" s="113">
        <f>+SUM(C23:C25)</f>
        <v>0.17</v>
      </c>
      <c r="D26" s="113"/>
      <c r="E26" s="113"/>
      <c r="F26" s="118">
        <f>+SUM(F23:F25)</f>
        <v>0.9</v>
      </c>
      <c r="G26" s="91"/>
    </row>
    <row r="27" spans="1:9">
      <c r="B27" s="117"/>
      <c r="C27" s="117"/>
      <c r="D27" s="117"/>
      <c r="E27" s="117"/>
      <c r="F27" s="112"/>
      <c r="G27" s="92"/>
    </row>
    <row r="28" spans="1:9">
      <c r="G28" s="87"/>
    </row>
    <row r="29" spans="1:9">
      <c r="A29" s="109" t="s">
        <v>16</v>
      </c>
      <c r="B29" s="111" t="s">
        <v>96</v>
      </c>
      <c r="C29" s="111" t="s">
        <v>11</v>
      </c>
      <c r="D29" s="111" t="s">
        <v>20</v>
      </c>
      <c r="E29" s="111" t="s">
        <v>9</v>
      </c>
      <c r="F29" s="111" t="s">
        <v>1</v>
      </c>
      <c r="G29" s="111" t="s">
        <v>55</v>
      </c>
    </row>
    <row r="30" spans="1:9">
      <c r="A30" s="106" t="s">
        <v>109</v>
      </c>
      <c r="B30" s="137">
        <v>3</v>
      </c>
      <c r="C30" s="110">
        <v>0.1125</v>
      </c>
      <c r="D30" s="110">
        <f>+SUM(C30:$C$30)</f>
        <v>0.1125</v>
      </c>
      <c r="E30" s="110">
        <f>+E7</f>
        <v>8</v>
      </c>
      <c r="F30" s="110">
        <f>+C30*E30</f>
        <v>0.9</v>
      </c>
      <c r="G30" s="89">
        <v>0</v>
      </c>
      <c r="H30" s="106" t="s">
        <v>107</v>
      </c>
    </row>
    <row r="31" spans="1:9">
      <c r="A31" s="106" t="s">
        <v>110</v>
      </c>
      <c r="B31" s="113" t="s">
        <v>6</v>
      </c>
      <c r="C31" s="113">
        <f>+SUM(C30:C30)</f>
        <v>0.1125</v>
      </c>
      <c r="D31" s="113"/>
      <c r="E31" s="113"/>
      <c r="F31" s="118">
        <f>+SUM(F30:F30)</f>
        <v>0.9</v>
      </c>
      <c r="G31" s="91"/>
    </row>
    <row r="32" spans="1:9">
      <c r="A32" s="106" t="s">
        <v>111</v>
      </c>
      <c r="G32" s="87"/>
    </row>
    <row r="33" spans="1:8">
      <c r="G33" s="87"/>
    </row>
    <row r="34" spans="1:8">
      <c r="A34" s="109" t="s">
        <v>17</v>
      </c>
      <c r="B34" s="111" t="s">
        <v>96</v>
      </c>
      <c r="C34" s="111" t="s">
        <v>11</v>
      </c>
      <c r="D34" s="111" t="s">
        <v>20</v>
      </c>
      <c r="E34" s="111" t="s">
        <v>9</v>
      </c>
      <c r="F34" s="111" t="s">
        <v>1</v>
      </c>
      <c r="G34" s="111" t="s">
        <v>55</v>
      </c>
    </row>
    <row r="35" spans="1:8">
      <c r="A35" s="106" t="s">
        <v>109</v>
      </c>
      <c r="B35" s="137">
        <v>1</v>
      </c>
      <c r="C35" s="110">
        <v>0.1</v>
      </c>
      <c r="D35" s="110">
        <f>+SUM(C35:$C$35)</f>
        <v>0.1</v>
      </c>
      <c r="E35" s="110">
        <f>+E5</f>
        <v>2</v>
      </c>
      <c r="F35" s="110">
        <f>+C35*E35</f>
        <v>0.2</v>
      </c>
      <c r="G35" s="89"/>
    </row>
    <row r="36" spans="1:8">
      <c r="A36" s="106" t="s">
        <v>112</v>
      </c>
      <c r="B36" s="137">
        <v>2</v>
      </c>
      <c r="C36" s="110">
        <v>7.0000000000000007E-2</v>
      </c>
      <c r="D36" s="110">
        <f>+SUM(C$35:$C36)</f>
        <v>0.17</v>
      </c>
      <c r="E36" s="110">
        <f>+E6</f>
        <v>5</v>
      </c>
      <c r="F36" s="110">
        <f t="shared" ref="F36:F37" si="3">+C36*E36</f>
        <v>0.35000000000000003</v>
      </c>
      <c r="G36" s="89"/>
    </row>
    <row r="37" spans="1:8">
      <c r="B37" s="137" t="s">
        <v>99</v>
      </c>
      <c r="C37" s="110">
        <v>0.05</v>
      </c>
      <c r="D37" s="110">
        <f>+SUM(C$35:$C37)</f>
        <v>0.22000000000000003</v>
      </c>
      <c r="E37" s="110">
        <f>+E35+E36</f>
        <v>7</v>
      </c>
      <c r="F37" s="110">
        <f t="shared" si="3"/>
        <v>0.35000000000000003</v>
      </c>
      <c r="G37" s="89">
        <v>0</v>
      </c>
      <c r="H37" s="106" t="s">
        <v>107</v>
      </c>
    </row>
    <row r="38" spans="1:8">
      <c r="A38" s="115"/>
      <c r="B38" s="113" t="s">
        <v>6</v>
      </c>
      <c r="C38" s="113">
        <f>+SUM(C35:C37)</f>
        <v>0.22000000000000003</v>
      </c>
      <c r="D38" s="113"/>
      <c r="E38" s="113"/>
      <c r="F38" s="118">
        <f>+SUM(F35:F37)</f>
        <v>0.90000000000000013</v>
      </c>
      <c r="G38" s="91"/>
    </row>
    <row r="39" spans="1:8">
      <c r="A39" s="115"/>
      <c r="G39" s="87"/>
    </row>
    <row r="40" spans="1:8">
      <c r="G40" s="87"/>
    </row>
    <row r="41" spans="1:8">
      <c r="A41" s="109" t="s">
        <v>18</v>
      </c>
      <c r="B41" s="111" t="s">
        <v>96</v>
      </c>
      <c r="C41" s="111" t="s">
        <v>11</v>
      </c>
      <c r="D41" s="111" t="s">
        <v>20</v>
      </c>
      <c r="E41" s="111" t="s">
        <v>9</v>
      </c>
      <c r="F41" s="111" t="s">
        <v>1</v>
      </c>
      <c r="G41" s="111" t="s">
        <v>55</v>
      </c>
    </row>
    <row r="42" spans="1:8">
      <c r="A42" s="106" t="s">
        <v>109</v>
      </c>
      <c r="B42" s="137">
        <v>1</v>
      </c>
      <c r="C42" s="110">
        <v>0.45</v>
      </c>
      <c r="D42" s="110">
        <f>+SUM(C42:$C$42)</f>
        <v>0.45</v>
      </c>
      <c r="E42" s="110">
        <f>+E5</f>
        <v>2</v>
      </c>
      <c r="F42" s="110">
        <f>+E42*C42</f>
        <v>0.9</v>
      </c>
      <c r="G42" s="89">
        <v>0</v>
      </c>
      <c r="H42" s="106" t="s">
        <v>107</v>
      </c>
    </row>
    <row r="43" spans="1:8">
      <c r="A43" s="106" t="s">
        <v>111</v>
      </c>
      <c r="B43" s="113" t="s">
        <v>6</v>
      </c>
      <c r="C43" s="113">
        <f>+SUM(C42:C42)</f>
        <v>0.45</v>
      </c>
      <c r="D43" s="113"/>
      <c r="E43" s="113"/>
      <c r="F43" s="118">
        <f>+SUM(F42:F42)</f>
        <v>0.9</v>
      </c>
      <c r="G43" s="91"/>
    </row>
    <row r="44" spans="1:8">
      <c r="A44" s="106" t="s">
        <v>112</v>
      </c>
      <c r="G44" s="87"/>
    </row>
    <row r="45" spans="1:8">
      <c r="G45" s="87"/>
    </row>
    <row r="46" spans="1:8">
      <c r="A46" s="109" t="s">
        <v>19</v>
      </c>
      <c r="B46" s="111" t="s">
        <v>96</v>
      </c>
      <c r="C46" s="111" t="s">
        <v>11</v>
      </c>
      <c r="D46" s="111" t="s">
        <v>20</v>
      </c>
      <c r="E46" s="111" t="s">
        <v>9</v>
      </c>
      <c r="F46" s="111" t="s">
        <v>1</v>
      </c>
      <c r="G46" s="111" t="s">
        <v>55</v>
      </c>
    </row>
    <row r="47" spans="1:8">
      <c r="A47" s="106" t="s">
        <v>109</v>
      </c>
      <c r="B47" s="137">
        <v>2</v>
      </c>
      <c r="C47" s="110">
        <v>0.18</v>
      </c>
      <c r="D47" s="110">
        <f>+SUM(C$47:$C47)</f>
        <v>0.18</v>
      </c>
      <c r="E47" s="110">
        <f>+E6</f>
        <v>5</v>
      </c>
      <c r="F47" s="110">
        <f>+E47*C47</f>
        <v>0.89999999999999991</v>
      </c>
      <c r="G47" s="89">
        <v>0</v>
      </c>
      <c r="H47" s="106" t="s">
        <v>107</v>
      </c>
    </row>
    <row r="48" spans="1:8">
      <c r="A48" s="106" t="s">
        <v>110</v>
      </c>
      <c r="B48" s="113" t="s">
        <v>6</v>
      </c>
      <c r="C48" s="113">
        <f>+SUM(C47:C47)</f>
        <v>0.18</v>
      </c>
      <c r="D48" s="113"/>
      <c r="E48" s="113"/>
      <c r="F48" s="118">
        <f>+SUM(F47:F47)</f>
        <v>0.89999999999999991</v>
      </c>
      <c r="G48" s="91"/>
    </row>
    <row r="49" spans="1:7">
      <c r="A49" s="106" t="s">
        <v>112</v>
      </c>
      <c r="G49" s="88"/>
    </row>
    <row r="50" spans="1:7">
      <c r="G50" s="88"/>
    </row>
    <row r="51" spans="1:7">
      <c r="G51" s="88"/>
    </row>
    <row r="52" spans="1:7">
      <c r="G52" s="88"/>
    </row>
    <row r="53" spans="1:7">
      <c r="G53" s="88"/>
    </row>
    <row r="54" spans="1:7">
      <c r="G54" s="88"/>
    </row>
    <row r="55" spans="1:7">
      <c r="G55" s="88"/>
    </row>
    <row r="56" spans="1:7">
      <c r="G56" s="88"/>
    </row>
    <row r="57" spans="1:7">
      <c r="G57" s="88"/>
    </row>
    <row r="58" spans="1:7">
      <c r="G58" s="88"/>
    </row>
    <row r="59" spans="1:7">
      <c r="G59" s="88"/>
    </row>
    <row r="60" spans="1:7">
      <c r="G60" s="88"/>
    </row>
    <row r="61" spans="1:7">
      <c r="G61" s="88"/>
    </row>
    <row r="62" spans="1:7">
      <c r="G62" s="88"/>
    </row>
    <row r="63" spans="1:7">
      <c r="G63" s="88"/>
    </row>
    <row r="64" spans="1:7">
      <c r="G64" s="88"/>
    </row>
    <row r="65" spans="7:7">
      <c r="G65" s="88"/>
    </row>
    <row r="66" spans="7:7">
      <c r="G66" s="88"/>
    </row>
    <row r="67" spans="7:7">
      <c r="G67" s="88"/>
    </row>
    <row r="68" spans="7:7">
      <c r="G68" s="88"/>
    </row>
    <row r="69" spans="7:7">
      <c r="G69" s="88"/>
    </row>
    <row r="70" spans="7:7">
      <c r="G70" s="88"/>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row r="90" spans="7:7">
      <c r="G90" s="87"/>
    </row>
    <row r="91" spans="7:7">
      <c r="G91" s="87"/>
    </row>
    <row r="92" spans="7:7">
      <c r="G92" s="87"/>
    </row>
    <row r="93" spans="7:7">
      <c r="G93" s="87"/>
    </row>
    <row r="94" spans="7:7">
      <c r="G94" s="87"/>
    </row>
    <row r="95" spans="7:7">
      <c r="G95" s="87"/>
    </row>
    <row r="96" spans="7:7">
      <c r="G96" s="87"/>
    </row>
    <row r="97" spans="7:7">
      <c r="G97" s="87"/>
    </row>
    <row r="98" spans="7:7">
      <c r="G98" s="87"/>
    </row>
    <row r="99" spans="7:7">
      <c r="G99" s="87"/>
    </row>
    <row r="100" spans="7:7">
      <c r="G100" s="87"/>
    </row>
    <row r="101" spans="7:7">
      <c r="G101" s="87"/>
    </row>
    <row r="102" spans="7:7">
      <c r="G102" s="87"/>
    </row>
    <row r="103" spans="7:7">
      <c r="G103" s="87"/>
    </row>
    <row r="104" spans="7:7">
      <c r="G104" s="87"/>
    </row>
    <row r="105" spans="7:7">
      <c r="G105" s="87"/>
    </row>
    <row r="106" spans="7:7">
      <c r="G106" s="87"/>
    </row>
    <row r="107" spans="7:7">
      <c r="G107" s="87"/>
    </row>
    <row r="108" spans="7:7">
      <c r="G108" s="87"/>
    </row>
    <row r="109" spans="7:7">
      <c r="G109" s="87"/>
    </row>
    <row r="110" spans="7:7">
      <c r="G110" s="87"/>
    </row>
    <row r="111" spans="7:7">
      <c r="G111" s="87"/>
    </row>
    <row r="112" spans="7:7">
      <c r="G112" s="87"/>
    </row>
    <row r="113" spans="7:7">
      <c r="G113" s="87"/>
    </row>
    <row r="114" spans="7:7">
      <c r="G114" s="87"/>
    </row>
    <row r="115" spans="7:7">
      <c r="G115" s="87"/>
    </row>
    <row r="116" spans="7:7">
      <c r="G116" s="87"/>
    </row>
    <row r="117" spans="7:7">
      <c r="G117" s="87"/>
    </row>
    <row r="118" spans="7:7">
      <c r="G118" s="87"/>
    </row>
    <row r="119" spans="7:7">
      <c r="G119" s="87"/>
    </row>
    <row r="120" spans="7:7">
      <c r="G120" s="87"/>
    </row>
    <row r="121" spans="7:7">
      <c r="G121" s="87"/>
    </row>
    <row r="122" spans="7:7">
      <c r="G122" s="87"/>
    </row>
    <row r="123" spans="7:7">
      <c r="G123" s="87"/>
    </row>
    <row r="124" spans="7:7">
      <c r="G124" s="87"/>
    </row>
    <row r="125" spans="7:7">
      <c r="G125" s="87"/>
    </row>
    <row r="126" spans="7:7">
      <c r="G126" s="87"/>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sheetPr codeName="Hoja5"/>
  <dimension ref="A1:F70"/>
  <sheetViews>
    <sheetView workbookViewId="0">
      <selection activeCell="A26" sqref="A26"/>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5" ht="18">
      <c r="A1" s="143" t="s">
        <v>26</v>
      </c>
      <c r="B1" s="143"/>
      <c r="C1" s="143"/>
      <c r="D1" s="143"/>
      <c r="E1" s="143"/>
    </row>
    <row r="2" spans="1:5">
      <c r="A2" s="29" t="s">
        <v>25</v>
      </c>
    </row>
    <row r="3" spans="1:5" s="29" customFormat="1">
      <c r="A3" s="106" t="s">
        <v>79</v>
      </c>
    </row>
    <row r="4" spans="1:5" s="29" customFormat="1">
      <c r="A4" s="29" t="s">
        <v>28</v>
      </c>
    </row>
    <row r="5" spans="1:5" s="29" customFormat="1">
      <c r="A5" s="29" t="s">
        <v>29</v>
      </c>
    </row>
    <row r="6" spans="1:5" s="29" customFormat="1">
      <c r="A6" s="41" t="s">
        <v>52</v>
      </c>
    </row>
    <row r="7" spans="1:5" s="29" customFormat="1">
      <c r="A7" s="106" t="s">
        <v>138</v>
      </c>
    </row>
    <row r="8" spans="1:5" s="29" customFormat="1" ht="18">
      <c r="A8" s="145" t="s">
        <v>24</v>
      </c>
      <c r="B8" s="145"/>
      <c r="C8" s="145"/>
      <c r="D8" s="145"/>
      <c r="E8" s="145"/>
    </row>
    <row r="9" spans="1:5" s="29" customFormat="1"/>
    <row r="10" spans="1:5">
      <c r="A10" s="30" t="s">
        <v>10</v>
      </c>
      <c r="B10" s="33" t="s">
        <v>24</v>
      </c>
      <c r="C10" s="33" t="s">
        <v>11</v>
      </c>
      <c r="D10" s="33" t="s">
        <v>20</v>
      </c>
      <c r="E10" s="33" t="s">
        <v>1</v>
      </c>
    </row>
    <row r="11" spans="1:5">
      <c r="A11" s="29"/>
      <c r="B11" s="134">
        <v>1</v>
      </c>
      <c r="C11" s="31">
        <v>0.5</v>
      </c>
      <c r="D11" s="31">
        <f>+SUM(C11:$C$11)</f>
        <v>0.5</v>
      </c>
      <c r="E11" s="31">
        <v>0.5</v>
      </c>
    </row>
    <row r="12" spans="1:5">
      <c r="A12" s="29"/>
      <c r="B12" s="134">
        <v>2</v>
      </c>
      <c r="C12" s="31">
        <v>0.2</v>
      </c>
      <c r="D12" s="31">
        <f>+SUM(C$11:$C12)</f>
        <v>0.7</v>
      </c>
      <c r="E12" s="31">
        <v>0.4</v>
      </c>
    </row>
    <row r="13" spans="1:5">
      <c r="A13" s="29"/>
      <c r="B13" s="134">
        <v>3</v>
      </c>
      <c r="C13" s="31">
        <v>0.01</v>
      </c>
      <c r="D13" s="31">
        <f>+SUM(C$11:$C13)</f>
        <v>0.71</v>
      </c>
      <c r="E13" s="31">
        <v>0.03</v>
      </c>
    </row>
    <row r="14" spans="1:5">
      <c r="A14" s="29"/>
      <c r="B14" s="134">
        <v>4</v>
      </c>
      <c r="C14" s="31">
        <v>5.0000000000000001E-3</v>
      </c>
      <c r="D14" s="31">
        <f>+SUM(C$11:$C14)</f>
        <v>0.71499999999999997</v>
      </c>
      <c r="E14" s="31">
        <v>0.02</v>
      </c>
    </row>
    <row r="15" spans="1:5">
      <c r="A15" s="29"/>
      <c r="B15" s="32" t="s">
        <v>12</v>
      </c>
      <c r="C15" s="32">
        <v>0.71499999999999997</v>
      </c>
      <c r="D15" s="32"/>
      <c r="E15" s="34">
        <v>0.95000000000000007</v>
      </c>
    </row>
    <row r="16" spans="1:5">
      <c r="A16" s="29"/>
      <c r="B16" s="35" t="s">
        <v>13</v>
      </c>
      <c r="C16" s="29"/>
      <c r="D16" s="29"/>
    </row>
    <row r="19" spans="1:5" ht="18">
      <c r="A19" s="145" t="s">
        <v>30</v>
      </c>
      <c r="B19" s="145"/>
      <c r="C19" s="145"/>
      <c r="D19" s="145"/>
      <c r="E19" s="145"/>
    </row>
    <row r="20" spans="1:5" ht="15" thickBot="1"/>
    <row r="21" spans="1:5" ht="15" thickBot="1">
      <c r="A21" s="36" t="s">
        <v>27</v>
      </c>
      <c r="B21" s="37">
        <f>+Summary!E7</f>
        <v>50</v>
      </c>
    </row>
    <row r="22" spans="1:5" s="40" customFormat="1">
      <c r="A22" s="44" t="s">
        <v>54</v>
      </c>
      <c r="B22" s="38"/>
    </row>
    <row r="23" spans="1:5">
      <c r="A23" s="29" t="s">
        <v>32</v>
      </c>
    </row>
    <row r="24" spans="1:5">
      <c r="A24" s="29" t="s">
        <v>31</v>
      </c>
    </row>
    <row r="25" spans="1:5">
      <c r="A25" s="2" t="s">
        <v>33</v>
      </c>
    </row>
    <row r="26" spans="1:5" s="40" customFormat="1">
      <c r="A26" s="2" t="s">
        <v>43</v>
      </c>
    </row>
    <row r="28" spans="1:5">
      <c r="A28" s="41" t="s">
        <v>14</v>
      </c>
      <c r="B28" s="45" t="s">
        <v>34</v>
      </c>
      <c r="C28" s="45" t="s">
        <v>36</v>
      </c>
      <c r="D28" s="45" t="s">
        <v>1</v>
      </c>
      <c r="E28" s="40"/>
    </row>
    <row r="29" spans="1:5">
      <c r="B29" s="42">
        <v>1</v>
      </c>
      <c r="C29" s="42">
        <v>0.2</v>
      </c>
      <c r="D29" s="42">
        <f>+B29*C29</f>
        <v>0.2</v>
      </c>
    </row>
    <row r="30" spans="1:5">
      <c r="B30" s="42">
        <v>2</v>
      </c>
      <c r="C30" s="42">
        <v>7.0000000000000007E-2</v>
      </c>
      <c r="D30" s="42">
        <f t="shared" ref="D30:D33" si="0">+B30*C30</f>
        <v>0.14000000000000001</v>
      </c>
    </row>
    <row r="31" spans="1:5">
      <c r="B31" s="42">
        <v>3</v>
      </c>
      <c r="C31" s="42">
        <v>0.05</v>
      </c>
      <c r="D31" s="42">
        <f t="shared" si="0"/>
        <v>0.15000000000000002</v>
      </c>
    </row>
    <row r="32" spans="1:5">
      <c r="B32" s="42">
        <v>4</v>
      </c>
      <c r="C32" s="42">
        <v>0.02</v>
      </c>
      <c r="D32" s="42">
        <f t="shared" si="0"/>
        <v>0.08</v>
      </c>
    </row>
    <row r="33" spans="1:5">
      <c r="B33" s="42">
        <v>5</v>
      </c>
      <c r="C33" s="42">
        <v>0.01</v>
      </c>
      <c r="D33" s="42">
        <f t="shared" si="0"/>
        <v>0.05</v>
      </c>
    </row>
    <row r="34" spans="1:5">
      <c r="B34" s="43" t="s">
        <v>6</v>
      </c>
      <c r="C34" s="43">
        <f>+SUM(C29:C33)</f>
        <v>0.35000000000000003</v>
      </c>
      <c r="D34" s="43">
        <f>+SUM(D29:D33)</f>
        <v>0.62000000000000011</v>
      </c>
      <c r="E34" s="40" t="s">
        <v>51</v>
      </c>
    </row>
    <row r="36" spans="1:5">
      <c r="A36" s="40" t="s">
        <v>35</v>
      </c>
    </row>
    <row r="38" spans="1:5">
      <c r="A38" s="41" t="s">
        <v>15</v>
      </c>
      <c r="B38" s="45" t="s">
        <v>34</v>
      </c>
      <c r="C38" s="45" t="s">
        <v>36</v>
      </c>
      <c r="D38" s="45" t="s">
        <v>1</v>
      </c>
    </row>
    <row r="39" spans="1:5">
      <c r="B39" s="42">
        <v>1</v>
      </c>
      <c r="C39" s="42">
        <v>0.62</v>
      </c>
      <c r="D39" s="42">
        <v>0.2</v>
      </c>
    </row>
    <row r="40" spans="1:5">
      <c r="B40" s="43" t="s">
        <v>6</v>
      </c>
      <c r="C40" s="43">
        <f>+SUM(C39)</f>
        <v>0.62</v>
      </c>
      <c r="D40" s="43">
        <v>0.62000000000000011</v>
      </c>
    </row>
    <row r="42" spans="1:5">
      <c r="A42" s="41" t="s">
        <v>37</v>
      </c>
    </row>
    <row r="43" spans="1:5">
      <c r="A43" s="40" t="s">
        <v>38</v>
      </c>
    </row>
    <row r="44" spans="1:5">
      <c r="A44" s="40" t="s">
        <v>39</v>
      </c>
    </row>
    <row r="45" spans="1:5">
      <c r="A45" s="2" t="s">
        <v>40</v>
      </c>
    </row>
    <row r="47" spans="1:5">
      <c r="A47" s="40" t="s">
        <v>53</v>
      </c>
    </row>
    <row r="49" spans="2:6" s="40" customFormat="1">
      <c r="B49" s="41" t="s">
        <v>41</v>
      </c>
      <c r="C49" s="41" t="s">
        <v>44</v>
      </c>
    </row>
    <row r="50" spans="2:6">
      <c r="B50" s="45" t="s">
        <v>34</v>
      </c>
      <c r="C50" s="45" t="s">
        <v>36</v>
      </c>
      <c r="D50" s="39" t="s">
        <v>45</v>
      </c>
      <c r="E50" s="45" t="s">
        <v>46</v>
      </c>
      <c r="F50" s="45" t="s">
        <v>1</v>
      </c>
    </row>
    <row r="51" spans="2:6">
      <c r="B51" s="42">
        <v>1</v>
      </c>
      <c r="C51" s="42">
        <v>0.2</v>
      </c>
      <c r="D51" s="42">
        <f>25/75</f>
        <v>0.33333333333333331</v>
      </c>
      <c r="E51" s="42">
        <f>+C51*D51</f>
        <v>6.6666666666666666E-2</v>
      </c>
      <c r="F51" s="42">
        <f>+E51*B51</f>
        <v>6.6666666666666666E-2</v>
      </c>
    </row>
    <row r="52" spans="2:6">
      <c r="B52" s="42">
        <v>2</v>
      </c>
      <c r="C52" s="42">
        <v>7.0000000000000007E-2</v>
      </c>
      <c r="D52" s="42">
        <f t="shared" ref="D52:D55" si="1">25/75</f>
        <v>0.33333333333333331</v>
      </c>
      <c r="E52" s="42">
        <f t="shared" ref="E52:E55" si="2">+C52*D52</f>
        <v>2.3333333333333334E-2</v>
      </c>
      <c r="F52" s="42">
        <f t="shared" ref="F52:F55" si="3">+E52*B52</f>
        <v>4.6666666666666669E-2</v>
      </c>
    </row>
    <row r="53" spans="2:6">
      <c r="B53" s="42">
        <v>3</v>
      </c>
      <c r="C53" s="42">
        <v>0.05</v>
      </c>
      <c r="D53" s="42">
        <f t="shared" si="1"/>
        <v>0.33333333333333331</v>
      </c>
      <c r="E53" s="42">
        <f t="shared" si="2"/>
        <v>1.6666666666666666E-2</v>
      </c>
      <c r="F53" s="42">
        <f t="shared" si="3"/>
        <v>0.05</v>
      </c>
    </row>
    <row r="54" spans="2:6">
      <c r="B54" s="42">
        <v>4</v>
      </c>
      <c r="C54" s="42">
        <v>0.02</v>
      </c>
      <c r="D54" s="42">
        <f t="shared" si="1"/>
        <v>0.33333333333333331</v>
      </c>
      <c r="E54" s="42">
        <f t="shared" si="2"/>
        <v>6.6666666666666662E-3</v>
      </c>
      <c r="F54" s="42">
        <f t="shared" si="3"/>
        <v>2.6666666666666665E-2</v>
      </c>
    </row>
    <row r="55" spans="2:6">
      <c r="B55" s="42">
        <v>5</v>
      </c>
      <c r="C55" s="42">
        <v>0.01</v>
      </c>
      <c r="D55" s="42">
        <f t="shared" si="1"/>
        <v>0.33333333333333331</v>
      </c>
      <c r="E55" s="42">
        <f t="shared" si="2"/>
        <v>3.3333333333333331E-3</v>
      </c>
      <c r="F55" s="42">
        <f t="shared" si="3"/>
        <v>1.6666666666666666E-2</v>
      </c>
    </row>
    <row r="56" spans="2:6">
      <c r="B56" s="43" t="s">
        <v>6</v>
      </c>
      <c r="C56" s="43">
        <f>+SUM(C51:C55)</f>
        <v>0.35000000000000003</v>
      </c>
      <c r="D56" s="43"/>
      <c r="E56" s="43">
        <f>+SUM(E51:E55)</f>
        <v>0.11666666666666665</v>
      </c>
      <c r="F56" s="43">
        <f>+SUM(F51:F55)</f>
        <v>0.20666666666666667</v>
      </c>
    </row>
    <row r="57" spans="2:6" s="40" customFormat="1">
      <c r="B57" s="44"/>
      <c r="C57" s="44"/>
      <c r="D57" s="44"/>
      <c r="E57" s="44"/>
      <c r="F57" s="44"/>
    </row>
    <row r="58" spans="2:6">
      <c r="B58" s="41" t="s">
        <v>42</v>
      </c>
      <c r="C58" s="41" t="s">
        <v>47</v>
      </c>
      <c r="D58" s="40"/>
      <c r="E58" s="40"/>
    </row>
    <row r="59" spans="2:6">
      <c r="B59" s="45" t="s">
        <v>34</v>
      </c>
      <c r="C59" s="45" t="s">
        <v>36</v>
      </c>
      <c r="D59" s="39" t="s">
        <v>45</v>
      </c>
      <c r="E59" s="45" t="s">
        <v>46</v>
      </c>
      <c r="F59" s="45" t="s">
        <v>1</v>
      </c>
    </row>
    <row r="60" spans="2:6">
      <c r="B60" s="42">
        <v>1</v>
      </c>
      <c r="C60" s="42">
        <v>0.2</v>
      </c>
      <c r="D60" s="42">
        <f>50/75</f>
        <v>0.66666666666666663</v>
      </c>
      <c r="E60" s="42">
        <f>+C60*D60</f>
        <v>0.13333333333333333</v>
      </c>
      <c r="F60" s="42">
        <f>+E60*B60</f>
        <v>0.13333333333333333</v>
      </c>
    </row>
    <row r="61" spans="2:6">
      <c r="B61" s="42">
        <v>2</v>
      </c>
      <c r="C61" s="42">
        <v>7.0000000000000007E-2</v>
      </c>
      <c r="D61" s="42">
        <f t="shared" ref="D61:D64" si="4">50/75</f>
        <v>0.66666666666666663</v>
      </c>
      <c r="E61" s="42">
        <f t="shared" ref="E61:E64" si="5">+C61*D61</f>
        <v>4.6666666666666669E-2</v>
      </c>
      <c r="F61" s="42">
        <f t="shared" ref="F61:F64" si="6">+E61*B61</f>
        <v>9.3333333333333338E-2</v>
      </c>
    </row>
    <row r="62" spans="2:6">
      <c r="B62" s="42">
        <v>3</v>
      </c>
      <c r="C62" s="42">
        <v>0.05</v>
      </c>
      <c r="D62" s="42">
        <f t="shared" si="4"/>
        <v>0.66666666666666663</v>
      </c>
      <c r="E62" s="42">
        <f t="shared" si="5"/>
        <v>3.3333333333333333E-2</v>
      </c>
      <c r="F62" s="42">
        <f t="shared" si="6"/>
        <v>0.1</v>
      </c>
    </row>
    <row r="63" spans="2:6">
      <c r="B63" s="42">
        <v>4</v>
      </c>
      <c r="C63" s="42">
        <v>0.02</v>
      </c>
      <c r="D63" s="42">
        <f t="shared" si="4"/>
        <v>0.66666666666666663</v>
      </c>
      <c r="E63" s="42">
        <f t="shared" si="5"/>
        <v>1.3333333333333332E-2</v>
      </c>
      <c r="F63" s="42">
        <f t="shared" si="6"/>
        <v>5.333333333333333E-2</v>
      </c>
    </row>
    <row r="64" spans="2:6">
      <c r="B64" s="42">
        <v>5</v>
      </c>
      <c r="C64" s="42">
        <v>0.01</v>
      </c>
      <c r="D64" s="42">
        <f t="shared" si="4"/>
        <v>0.66666666666666663</v>
      </c>
      <c r="E64" s="42">
        <f t="shared" si="5"/>
        <v>6.6666666666666662E-3</v>
      </c>
      <c r="F64" s="42">
        <f t="shared" si="6"/>
        <v>3.3333333333333333E-2</v>
      </c>
    </row>
    <row r="65" spans="1:6">
      <c r="B65" s="43" t="s">
        <v>6</v>
      </c>
      <c r="C65" s="43">
        <f>+SUM(C60:C64)</f>
        <v>0.35000000000000003</v>
      </c>
      <c r="D65" s="43"/>
      <c r="E65" s="43">
        <f>+SUM(E60:E64)</f>
        <v>0.23333333333333331</v>
      </c>
      <c r="F65" s="43">
        <f>+SUM(F60:F64)</f>
        <v>0.41333333333333333</v>
      </c>
    </row>
    <row r="68" spans="1:6">
      <c r="A68" s="40" t="s">
        <v>48</v>
      </c>
    </row>
    <row r="69" spans="1:6">
      <c r="A69" s="40" t="s">
        <v>49</v>
      </c>
    </row>
    <row r="70" spans="1:6">
      <c r="A70" s="40" t="s">
        <v>50</v>
      </c>
    </row>
  </sheetData>
  <mergeCells count="3">
    <mergeCell ref="A1:E1"/>
    <mergeCell ref="A19:E19"/>
    <mergeCell ref="A8:E8"/>
  </mergeCells>
  <pageMargins left="0.7" right="0.7" top="0.75" bottom="0.75" header="0.3" footer="0.3"/>
  <pageSetup orientation="portrait" horizontalDpi="360" verticalDpi="360" r:id="rId1"/>
  <ignoredErrors>
    <ignoredError sqref="D12:D14" formulaRange="1"/>
  </ignoredErrors>
</worksheet>
</file>

<file path=xl/worksheets/sheet28.xml><?xml version="1.0" encoding="utf-8"?>
<worksheet xmlns="http://schemas.openxmlformats.org/spreadsheetml/2006/main" xmlns:r="http://schemas.openxmlformats.org/officeDocument/2006/relationships">
  <sheetPr codeName="Hoja7"/>
  <dimension ref="A1:F70"/>
  <sheetViews>
    <sheetView workbookViewId="0">
      <selection sqref="A1:E1"/>
    </sheetView>
  </sheetViews>
  <sheetFormatPr baseColWidth="10" defaultRowHeight="14.4"/>
  <cols>
    <col min="2" max="2" width="25.21875" bestFit="1" customWidth="1"/>
    <col min="3" max="3" width="18" bestFit="1" customWidth="1"/>
    <col min="4" max="4" width="15.5546875" bestFit="1" customWidth="1"/>
    <col min="5" max="5" width="25.5546875" customWidth="1"/>
  </cols>
  <sheetData>
    <row r="1" spans="1:5" ht="18">
      <c r="A1" s="143" t="s">
        <v>80</v>
      </c>
      <c r="B1" s="143"/>
      <c r="C1" s="143"/>
      <c r="D1" s="143"/>
      <c r="E1" s="143"/>
    </row>
    <row r="2" spans="1:5">
      <c r="A2" s="93" t="s">
        <v>25</v>
      </c>
      <c r="B2" s="93"/>
      <c r="C2" s="93"/>
      <c r="D2" s="93"/>
      <c r="E2" s="93"/>
    </row>
    <row r="3" spans="1:5">
      <c r="A3" s="106" t="s">
        <v>79</v>
      </c>
      <c r="B3" s="93"/>
      <c r="C3" s="93"/>
      <c r="D3" s="93"/>
      <c r="E3" s="93"/>
    </row>
    <row r="4" spans="1:5">
      <c r="A4" s="93" t="s">
        <v>28</v>
      </c>
      <c r="B4" s="93"/>
      <c r="C4" s="93"/>
      <c r="D4" s="93"/>
      <c r="E4" s="93"/>
    </row>
    <row r="5" spans="1:5">
      <c r="A5" s="93" t="s">
        <v>29</v>
      </c>
      <c r="B5" s="93"/>
      <c r="C5" s="93"/>
      <c r="D5" s="93"/>
      <c r="E5" s="93"/>
    </row>
    <row r="6" spans="1:5">
      <c r="A6" s="95" t="s">
        <v>52</v>
      </c>
      <c r="B6" s="93"/>
      <c r="C6" s="93"/>
      <c r="D6" s="93"/>
      <c r="E6" s="93"/>
    </row>
    <row r="8" spans="1:5" ht="18">
      <c r="A8" s="145" t="s">
        <v>24</v>
      </c>
      <c r="B8" s="145"/>
      <c r="C8" s="145"/>
      <c r="D8" s="145"/>
      <c r="E8" s="145"/>
    </row>
    <row r="10" spans="1:5">
      <c r="A10" s="95" t="s">
        <v>10</v>
      </c>
      <c r="B10" s="97" t="s">
        <v>24</v>
      </c>
      <c r="C10" s="97" t="s">
        <v>11</v>
      </c>
      <c r="D10" s="97" t="s">
        <v>20</v>
      </c>
      <c r="E10" s="97" t="s">
        <v>1</v>
      </c>
    </row>
    <row r="11" spans="1:5">
      <c r="A11" s="93"/>
      <c r="B11" s="134">
        <v>1</v>
      </c>
      <c r="C11" s="96">
        <v>0.5</v>
      </c>
      <c r="D11" s="96">
        <v>0.5</v>
      </c>
      <c r="E11" s="96">
        <v>0.5</v>
      </c>
    </row>
    <row r="12" spans="1:5">
      <c r="A12" s="93"/>
      <c r="B12" s="134">
        <v>2</v>
      </c>
      <c r="C12" s="96">
        <v>0.2</v>
      </c>
      <c r="D12" s="96">
        <v>0.7</v>
      </c>
      <c r="E12" s="96">
        <v>0.4</v>
      </c>
    </row>
    <row r="13" spans="1:5">
      <c r="A13" s="93"/>
      <c r="B13" s="134">
        <v>3</v>
      </c>
      <c r="C13" s="96">
        <v>0.01</v>
      </c>
      <c r="D13" s="96">
        <v>0.71</v>
      </c>
      <c r="E13" s="96">
        <v>0.03</v>
      </c>
    </row>
    <row r="14" spans="1:5">
      <c r="A14" s="93"/>
      <c r="B14" s="134">
        <v>4</v>
      </c>
      <c r="C14" s="96">
        <v>5.0000000000000001E-3</v>
      </c>
      <c r="D14" s="96">
        <v>0.71499999999999997</v>
      </c>
      <c r="E14" s="96">
        <v>0.02</v>
      </c>
    </row>
    <row r="15" spans="1:5">
      <c r="A15" s="93"/>
      <c r="B15" s="98" t="s">
        <v>12</v>
      </c>
      <c r="C15" s="98">
        <v>0.71499999999999997</v>
      </c>
      <c r="D15" s="98"/>
      <c r="E15" s="99">
        <v>0.95000000000000007</v>
      </c>
    </row>
    <row r="16" spans="1:5">
      <c r="A16" s="93"/>
      <c r="B16" s="100" t="s">
        <v>13</v>
      </c>
      <c r="C16" s="93"/>
      <c r="D16" s="93"/>
      <c r="E16" s="93"/>
    </row>
    <row r="19" spans="1:5" ht="18">
      <c r="A19" s="145" t="s">
        <v>30</v>
      </c>
      <c r="B19" s="145"/>
      <c r="C19" s="145"/>
      <c r="D19" s="145"/>
      <c r="E19" s="145"/>
    </row>
    <row r="20" spans="1:5" ht="15" thickBot="1">
      <c r="A20" s="93"/>
      <c r="B20" s="93"/>
      <c r="C20" s="93"/>
      <c r="D20" s="93"/>
      <c r="E20" s="93"/>
    </row>
    <row r="21" spans="1:5" ht="15" thickBot="1">
      <c r="A21" s="102" t="s">
        <v>27</v>
      </c>
      <c r="B21" s="103">
        <v>50</v>
      </c>
      <c r="C21" s="93"/>
      <c r="D21" s="93"/>
      <c r="E21" s="93"/>
    </row>
    <row r="22" spans="1:5">
      <c r="A22" s="101" t="s">
        <v>54</v>
      </c>
      <c r="B22" s="104"/>
      <c r="C22" s="93"/>
      <c r="D22" s="93"/>
      <c r="E22" s="93"/>
    </row>
    <row r="23" spans="1:5">
      <c r="A23" s="93" t="s">
        <v>32</v>
      </c>
      <c r="B23" s="93"/>
      <c r="C23" s="93"/>
      <c r="D23" s="93"/>
      <c r="E23" s="93"/>
    </row>
    <row r="24" spans="1:5">
      <c r="A24" s="93" t="s">
        <v>31</v>
      </c>
      <c r="B24" s="93"/>
      <c r="C24" s="93"/>
      <c r="D24" s="93"/>
      <c r="E24" s="93"/>
    </row>
    <row r="25" spans="1:5">
      <c r="A25" s="94" t="s">
        <v>33</v>
      </c>
      <c r="B25" s="93"/>
      <c r="C25" s="93"/>
      <c r="D25" s="93"/>
      <c r="E25" s="93"/>
    </row>
    <row r="26" spans="1:5">
      <c r="A26" s="94" t="s">
        <v>43</v>
      </c>
      <c r="B26" s="93"/>
      <c r="C26" s="93"/>
      <c r="D26" s="93"/>
      <c r="E26" s="93"/>
    </row>
    <row r="28" spans="1:5">
      <c r="A28" s="95" t="s">
        <v>14</v>
      </c>
      <c r="B28" s="97" t="s">
        <v>34</v>
      </c>
      <c r="C28" s="97" t="s">
        <v>36</v>
      </c>
      <c r="D28" s="97" t="s">
        <v>1</v>
      </c>
      <c r="E28" s="93"/>
    </row>
    <row r="29" spans="1:5">
      <c r="A29" s="93"/>
      <c r="B29" s="96">
        <v>1</v>
      </c>
      <c r="C29" s="96">
        <v>0.16</v>
      </c>
      <c r="D29" s="96">
        <v>0.16</v>
      </c>
      <c r="E29" s="93"/>
    </row>
    <row r="30" spans="1:5">
      <c r="A30" s="93"/>
      <c r="B30" s="96">
        <v>2</v>
      </c>
      <c r="C30" s="96">
        <v>7.0000000000000007E-2</v>
      </c>
      <c r="D30" s="96">
        <v>0.14000000000000001</v>
      </c>
      <c r="E30" s="93"/>
    </row>
    <row r="31" spans="1:5">
      <c r="A31" s="93"/>
      <c r="B31" s="96">
        <v>3</v>
      </c>
      <c r="C31" s="96">
        <v>7.0000000000000007E-2</v>
      </c>
      <c r="D31" s="96">
        <v>0.21000000000000002</v>
      </c>
      <c r="E31" s="93"/>
    </row>
    <row r="32" spans="1:5">
      <c r="A32" s="93"/>
      <c r="B32" s="96">
        <v>4</v>
      </c>
      <c r="C32" s="96">
        <v>0.06</v>
      </c>
      <c r="D32" s="96">
        <v>0.24</v>
      </c>
      <c r="E32" s="93"/>
    </row>
    <row r="33" spans="1:5">
      <c r="A33" s="93"/>
      <c r="B33" s="96">
        <v>5</v>
      </c>
      <c r="C33" s="96">
        <v>0.04</v>
      </c>
      <c r="D33" s="96">
        <v>0.2</v>
      </c>
      <c r="E33" s="93"/>
    </row>
    <row r="34" spans="1:5">
      <c r="A34" s="93"/>
      <c r="B34" s="98" t="s">
        <v>6</v>
      </c>
      <c r="C34" s="98">
        <v>0.4</v>
      </c>
      <c r="D34" s="98">
        <v>0.95</v>
      </c>
      <c r="E34" s="93" t="s">
        <v>51</v>
      </c>
    </row>
    <row r="36" spans="1:5">
      <c r="A36" s="93" t="s">
        <v>35</v>
      </c>
      <c r="B36" s="93"/>
      <c r="C36" s="93"/>
      <c r="D36" s="93"/>
      <c r="E36" s="93"/>
    </row>
    <row r="38" spans="1:5">
      <c r="A38" s="95" t="s">
        <v>15</v>
      </c>
      <c r="B38" s="97" t="s">
        <v>34</v>
      </c>
      <c r="C38" s="97" t="s">
        <v>36</v>
      </c>
      <c r="D38" s="97" t="s">
        <v>1</v>
      </c>
      <c r="E38" s="93"/>
    </row>
    <row r="39" spans="1:5">
      <c r="A39" s="93"/>
      <c r="B39" s="96">
        <v>1</v>
      </c>
      <c r="C39" s="96">
        <v>0.95</v>
      </c>
      <c r="D39" s="96">
        <v>0.95</v>
      </c>
      <c r="E39" s="93"/>
    </row>
    <row r="40" spans="1:5">
      <c r="A40" s="93"/>
      <c r="B40" s="98" t="s">
        <v>6</v>
      </c>
      <c r="C40" s="98">
        <v>0.95</v>
      </c>
      <c r="D40" s="98">
        <v>0.95</v>
      </c>
      <c r="E40" s="93"/>
    </row>
    <row r="42" spans="1:5">
      <c r="A42" s="95" t="s">
        <v>37</v>
      </c>
      <c r="B42" s="93"/>
      <c r="C42" s="93"/>
      <c r="D42" s="93"/>
      <c r="E42" s="93"/>
    </row>
    <row r="43" spans="1:5">
      <c r="A43" s="93" t="s">
        <v>38</v>
      </c>
      <c r="B43" s="93"/>
      <c r="C43" s="93"/>
      <c r="D43" s="93"/>
      <c r="E43" s="93"/>
    </row>
    <row r="44" spans="1:5">
      <c r="A44" s="93" t="s">
        <v>39</v>
      </c>
      <c r="B44" s="93"/>
      <c r="C44" s="93"/>
      <c r="D44" s="93"/>
      <c r="E44" s="93"/>
    </row>
    <row r="45" spans="1:5">
      <c r="A45" s="94" t="s">
        <v>40</v>
      </c>
      <c r="B45" s="93"/>
      <c r="C45" s="93"/>
      <c r="D45" s="93"/>
      <c r="E45" s="93"/>
    </row>
    <row r="47" spans="1:5">
      <c r="A47" s="93" t="s">
        <v>53</v>
      </c>
      <c r="B47" s="93"/>
      <c r="C47" s="93"/>
      <c r="D47" s="93"/>
      <c r="E47" s="93"/>
    </row>
    <row r="49" spans="2:6">
      <c r="B49" s="95" t="s">
        <v>41</v>
      </c>
      <c r="C49" s="95" t="s">
        <v>44</v>
      </c>
      <c r="D49" s="93"/>
      <c r="E49" s="93"/>
      <c r="F49" s="93"/>
    </row>
    <row r="50" spans="2:6">
      <c r="B50" s="97" t="s">
        <v>34</v>
      </c>
      <c r="C50" s="97" t="s">
        <v>36</v>
      </c>
      <c r="D50" s="105" t="s">
        <v>45</v>
      </c>
      <c r="E50" s="97" t="s">
        <v>46</v>
      </c>
      <c r="F50" s="97" t="s">
        <v>1</v>
      </c>
    </row>
    <row r="51" spans="2:6">
      <c r="B51" s="96">
        <v>1</v>
      </c>
      <c r="C51" s="96">
        <v>0.16</v>
      </c>
      <c r="D51" s="96">
        <v>0.33333333333333331</v>
      </c>
      <c r="E51" s="96">
        <v>5.333333333333333E-2</v>
      </c>
      <c r="F51" s="96">
        <v>5.333333333333333E-2</v>
      </c>
    </row>
    <row r="52" spans="2:6">
      <c r="B52" s="96">
        <v>2</v>
      </c>
      <c r="C52" s="96">
        <v>7.0000000000000007E-2</v>
      </c>
      <c r="D52" s="96">
        <v>0.33333333333333331</v>
      </c>
      <c r="E52" s="96">
        <v>2.3333333333333334E-2</v>
      </c>
      <c r="F52" s="96">
        <v>4.6666666666666669E-2</v>
      </c>
    </row>
    <row r="53" spans="2:6">
      <c r="B53" s="96">
        <v>3</v>
      </c>
      <c r="C53" s="96">
        <v>7.0000000000000007E-2</v>
      </c>
      <c r="D53" s="96">
        <v>0.33333333333333331</v>
      </c>
      <c r="E53" s="96">
        <v>2.3333333333333334E-2</v>
      </c>
      <c r="F53" s="96">
        <v>7.0000000000000007E-2</v>
      </c>
    </row>
    <row r="54" spans="2:6">
      <c r="B54" s="96">
        <v>4</v>
      </c>
      <c r="C54" s="96">
        <v>0.06</v>
      </c>
      <c r="D54" s="96">
        <v>0.33333333333333331</v>
      </c>
      <c r="E54" s="96">
        <v>1.9999999999999997E-2</v>
      </c>
      <c r="F54" s="96">
        <v>7.9999999999999988E-2</v>
      </c>
    </row>
    <row r="55" spans="2:6">
      <c r="B55" s="96">
        <v>5</v>
      </c>
      <c r="C55" s="96">
        <v>0.04</v>
      </c>
      <c r="D55" s="96">
        <v>0.33333333333333331</v>
      </c>
      <c r="E55" s="96">
        <v>1.3333333333333332E-2</v>
      </c>
      <c r="F55" s="96">
        <v>6.6666666666666666E-2</v>
      </c>
    </row>
    <row r="56" spans="2:6">
      <c r="B56" s="98" t="s">
        <v>6</v>
      </c>
      <c r="C56" s="98">
        <v>0.4</v>
      </c>
      <c r="D56" s="98"/>
      <c r="E56" s="98">
        <v>0.13333333333333333</v>
      </c>
      <c r="F56" s="98">
        <v>0.31666666666666665</v>
      </c>
    </row>
    <row r="57" spans="2:6">
      <c r="B57" s="101"/>
      <c r="C57" s="101"/>
      <c r="D57" s="101"/>
      <c r="E57" s="101"/>
      <c r="F57" s="101"/>
    </row>
    <row r="58" spans="2:6">
      <c r="B58" s="95" t="s">
        <v>42</v>
      </c>
      <c r="C58" s="95" t="s">
        <v>47</v>
      </c>
      <c r="D58" s="93"/>
      <c r="E58" s="93"/>
      <c r="F58" s="93"/>
    </row>
    <row r="59" spans="2:6">
      <c r="B59" s="97" t="s">
        <v>34</v>
      </c>
      <c r="C59" s="97" t="s">
        <v>36</v>
      </c>
      <c r="D59" s="105" t="s">
        <v>45</v>
      </c>
      <c r="E59" s="97" t="s">
        <v>46</v>
      </c>
      <c r="F59" s="97" t="s">
        <v>1</v>
      </c>
    </row>
    <row r="60" spans="2:6">
      <c r="B60" s="96">
        <v>1</v>
      </c>
      <c r="C60" s="96">
        <v>0.16</v>
      </c>
      <c r="D60" s="96">
        <v>0.66666666666666663</v>
      </c>
      <c r="E60" s="96">
        <v>0.10666666666666666</v>
      </c>
      <c r="F60" s="96">
        <v>0.10666666666666666</v>
      </c>
    </row>
    <row r="61" spans="2:6">
      <c r="B61" s="96">
        <v>2</v>
      </c>
      <c r="C61" s="96">
        <v>7.0000000000000007E-2</v>
      </c>
      <c r="D61" s="96">
        <v>0.66666666666666663</v>
      </c>
      <c r="E61" s="96">
        <v>4.6666666666666669E-2</v>
      </c>
      <c r="F61" s="96">
        <v>9.3333333333333338E-2</v>
      </c>
    </row>
    <row r="62" spans="2:6">
      <c r="B62" s="96">
        <v>3</v>
      </c>
      <c r="C62" s="96">
        <v>7.0000000000000007E-2</v>
      </c>
      <c r="D62" s="96">
        <v>0.66666666666666663</v>
      </c>
      <c r="E62" s="96">
        <v>4.6666666666666669E-2</v>
      </c>
      <c r="F62" s="96">
        <v>0.14000000000000001</v>
      </c>
    </row>
    <row r="63" spans="2:6">
      <c r="B63" s="96">
        <v>4</v>
      </c>
      <c r="C63" s="96">
        <v>0.06</v>
      </c>
      <c r="D63" s="96">
        <v>0.66666666666666663</v>
      </c>
      <c r="E63" s="96">
        <v>3.9999999999999994E-2</v>
      </c>
      <c r="F63" s="96">
        <v>0.15999999999999998</v>
      </c>
    </row>
    <row r="64" spans="2:6">
      <c r="B64" s="96">
        <v>5</v>
      </c>
      <c r="C64" s="96">
        <v>0.04</v>
      </c>
      <c r="D64" s="96">
        <v>0.66666666666666663</v>
      </c>
      <c r="E64" s="96">
        <v>2.6666666666666665E-2</v>
      </c>
      <c r="F64" s="96">
        <v>0.13333333333333333</v>
      </c>
    </row>
    <row r="65" spans="1:6">
      <c r="A65" s="93"/>
      <c r="B65" s="98" t="s">
        <v>6</v>
      </c>
      <c r="C65" s="98">
        <v>0.4</v>
      </c>
      <c r="D65" s="98"/>
      <c r="E65" s="98">
        <v>0.26666666666666666</v>
      </c>
      <c r="F65" s="98">
        <v>0.6333333333333333</v>
      </c>
    </row>
    <row r="68" spans="1:6">
      <c r="A68" s="93" t="s">
        <v>48</v>
      </c>
      <c r="B68" s="93"/>
      <c r="C68" s="93"/>
      <c r="D68" s="93"/>
      <c r="E68" s="93"/>
      <c r="F68" s="93"/>
    </row>
    <row r="69" spans="1:6">
      <c r="A69" s="93" t="s">
        <v>49</v>
      </c>
      <c r="B69" s="93"/>
      <c r="C69" s="93"/>
      <c r="D69" s="93"/>
      <c r="E69" s="93"/>
      <c r="F69" s="93"/>
    </row>
    <row r="70" spans="1:6">
      <c r="A70" s="93" t="s">
        <v>50</v>
      </c>
      <c r="B70" s="93"/>
      <c r="C70" s="93"/>
      <c r="D70" s="93"/>
      <c r="E70" s="93"/>
      <c r="F70" s="93"/>
    </row>
  </sheetData>
  <mergeCells count="3">
    <mergeCell ref="A1:E1"/>
    <mergeCell ref="A8:E8"/>
    <mergeCell ref="A19:E19"/>
  </mergeCells>
  <pageMargins left="0.7" right="0.7" top="0.75" bottom="0.75" header="0.3" footer="0.3"/>
</worksheet>
</file>

<file path=xl/worksheets/sheet29.xml><?xml version="1.0" encoding="utf-8"?>
<worksheet xmlns="http://schemas.openxmlformats.org/spreadsheetml/2006/main" xmlns:r="http://schemas.openxmlformats.org/officeDocument/2006/relationships">
  <sheetPr codeName="Hoja18"/>
  <dimension ref="A1:I49"/>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109375" style="106" customWidth="1"/>
    <col min="8" max="8" width="11.5546875" style="106"/>
    <col min="9" max="9" width="12.5546875" style="106" bestFit="1" customWidth="1"/>
    <col min="10" max="16384" width="11.5546875" style="106"/>
  </cols>
  <sheetData>
    <row r="1" spans="1:7" ht="18">
      <c r="A1" s="143" t="s">
        <v>118</v>
      </c>
      <c r="B1" s="143"/>
      <c r="C1" s="143"/>
      <c r="D1" s="143"/>
      <c r="E1" s="143"/>
    </row>
    <row r="2" spans="1:7">
      <c r="A2" s="116" t="s">
        <v>114</v>
      </c>
    </row>
    <row r="4" spans="1:7">
      <c r="A4" s="109" t="s">
        <v>10</v>
      </c>
      <c r="B4" s="111" t="s">
        <v>96</v>
      </c>
      <c r="C4" s="111" t="s">
        <v>11</v>
      </c>
      <c r="D4" s="111" t="s">
        <v>20</v>
      </c>
      <c r="E4" s="111" t="s">
        <v>9</v>
      </c>
      <c r="F4" s="111" t="s">
        <v>1</v>
      </c>
    </row>
    <row r="5" spans="1:7">
      <c r="A5" s="106" t="s">
        <v>108</v>
      </c>
      <c r="B5" s="139">
        <v>1</v>
      </c>
      <c r="C5" s="107">
        <v>0.3</v>
      </c>
      <c r="D5" s="107">
        <f>+SUM($C$5:C5)</f>
        <v>0.3</v>
      </c>
      <c r="E5" s="107">
        <f>+Summary!E27</f>
        <v>0</v>
      </c>
      <c r="F5" s="107">
        <f>+C5*E5</f>
        <v>0</v>
      </c>
    </row>
    <row r="6" spans="1:7">
      <c r="B6" s="139">
        <v>2</v>
      </c>
      <c r="C6" s="107">
        <v>0.3</v>
      </c>
      <c r="D6" s="107">
        <f>+SUM($C$5:C6)</f>
        <v>0.6</v>
      </c>
      <c r="E6" s="107">
        <f>+Summary!E28</f>
        <v>2</v>
      </c>
      <c r="F6" s="107">
        <f t="shared" ref="F6:F11" si="0">+C6*E6</f>
        <v>0.6</v>
      </c>
    </row>
    <row r="7" spans="1:7">
      <c r="B7" s="139">
        <v>3</v>
      </c>
      <c r="C7" s="107">
        <v>0.06</v>
      </c>
      <c r="D7" s="107">
        <f>+SUM($C$5:C7)</f>
        <v>0.65999999999999992</v>
      </c>
      <c r="E7" s="107">
        <f>+Summary!E29</f>
        <v>3</v>
      </c>
      <c r="F7" s="107">
        <f t="shared" si="0"/>
        <v>0.18</v>
      </c>
    </row>
    <row r="8" spans="1:7">
      <c r="B8" s="139" t="s">
        <v>99</v>
      </c>
      <c r="C8" s="107">
        <v>0.02</v>
      </c>
      <c r="D8" s="107">
        <f>+SUM($C$5:C8)</f>
        <v>0.67999999999999994</v>
      </c>
      <c r="E8" s="107">
        <f>+E5+E6</f>
        <v>2</v>
      </c>
      <c r="F8" s="107">
        <f t="shared" si="0"/>
        <v>0.04</v>
      </c>
    </row>
    <row r="9" spans="1:7">
      <c r="B9" s="139" t="s">
        <v>100</v>
      </c>
      <c r="C9" s="107">
        <v>0.01</v>
      </c>
      <c r="D9" s="107">
        <f>+SUM($C$5:C9)</f>
        <v>0.69</v>
      </c>
      <c r="E9" s="107">
        <f>+E5+E7</f>
        <v>3</v>
      </c>
      <c r="F9" s="107">
        <f t="shared" si="0"/>
        <v>0.03</v>
      </c>
    </row>
    <row r="10" spans="1:7">
      <c r="B10" s="139" t="s">
        <v>101</v>
      </c>
      <c r="C10" s="107">
        <v>0.01</v>
      </c>
      <c r="D10" s="107">
        <f>+SUM($C$5:C10)</f>
        <v>0.7</v>
      </c>
      <c r="E10" s="107">
        <f>+E6+E7</f>
        <v>5</v>
      </c>
      <c r="F10" s="107">
        <f t="shared" si="0"/>
        <v>0.05</v>
      </c>
    </row>
    <row r="11" spans="1:7">
      <c r="B11" s="139" t="s">
        <v>102</v>
      </c>
      <c r="C11" s="107">
        <v>0.01</v>
      </c>
      <c r="D11" s="107">
        <f>+SUM($C$5:C11)</f>
        <v>0.71</v>
      </c>
      <c r="E11" s="107">
        <f>+E5+E6+E7</f>
        <v>5</v>
      </c>
      <c r="F11" s="107">
        <f t="shared" si="0"/>
        <v>0.05</v>
      </c>
      <c r="G11" s="106" t="s">
        <v>107</v>
      </c>
    </row>
    <row r="12" spans="1:7">
      <c r="B12" s="113" t="s">
        <v>12</v>
      </c>
      <c r="C12" s="113">
        <f>+SUM(C5:C11)</f>
        <v>0.71</v>
      </c>
      <c r="D12" s="113"/>
      <c r="E12" s="113"/>
      <c r="F12" s="120">
        <f>+SUM(F5:F11)</f>
        <v>0.95000000000000018</v>
      </c>
    </row>
    <row r="13" spans="1:7">
      <c r="B13" s="114" t="s">
        <v>103</v>
      </c>
    </row>
    <row r="15" spans="1:7">
      <c r="A15" s="109" t="s">
        <v>14</v>
      </c>
      <c r="B15" s="111" t="s">
        <v>96</v>
      </c>
      <c r="C15" s="111" t="s">
        <v>11</v>
      </c>
      <c r="D15" s="111" t="s">
        <v>20</v>
      </c>
      <c r="E15" s="111" t="s">
        <v>9</v>
      </c>
      <c r="F15" s="111" t="s">
        <v>1</v>
      </c>
    </row>
    <row r="16" spans="1:7">
      <c r="A16" s="106" t="s">
        <v>109</v>
      </c>
      <c r="B16" s="137">
        <v>2</v>
      </c>
      <c r="C16" s="110">
        <v>0.3</v>
      </c>
      <c r="D16" s="110">
        <f>+SUM(C16:$C$16)</f>
        <v>0.3</v>
      </c>
      <c r="E16" s="110">
        <f>+E6</f>
        <v>2</v>
      </c>
      <c r="F16" s="110">
        <f>+C16*E16</f>
        <v>0.6</v>
      </c>
    </row>
    <row r="17" spans="1:9">
      <c r="A17" s="106" t="s">
        <v>110</v>
      </c>
      <c r="B17" s="137">
        <v>3</v>
      </c>
      <c r="C17" s="110">
        <v>0.05</v>
      </c>
      <c r="D17" s="110">
        <f>+SUM(C$16:$C17)</f>
        <v>0.35</v>
      </c>
      <c r="E17" s="110">
        <f>+E7</f>
        <v>3</v>
      </c>
      <c r="F17" s="110">
        <f t="shared" ref="F17:F18" si="1">+C17*E17</f>
        <v>0.15000000000000002</v>
      </c>
    </row>
    <row r="18" spans="1:9">
      <c r="B18" s="137" t="s">
        <v>101</v>
      </c>
      <c r="C18" s="110">
        <v>0.04</v>
      </c>
      <c r="D18" s="110">
        <f>+SUM(C$16:$C18)</f>
        <v>0.38999999999999996</v>
      </c>
      <c r="E18" s="110">
        <f>+E16+E17</f>
        <v>5</v>
      </c>
      <c r="F18" s="110">
        <f t="shared" si="1"/>
        <v>0.2</v>
      </c>
      <c r="G18" s="106" t="s">
        <v>107</v>
      </c>
    </row>
    <row r="19" spans="1:9">
      <c r="B19" s="113" t="s">
        <v>6</v>
      </c>
      <c r="C19" s="113">
        <f>+SUM(C16:C18)</f>
        <v>0.38999999999999996</v>
      </c>
      <c r="D19" s="113"/>
      <c r="E19" s="113"/>
      <c r="F19" s="118">
        <f>+SUM(F16:F18)</f>
        <v>0.95</v>
      </c>
    </row>
    <row r="20" spans="1:9">
      <c r="B20" s="117"/>
      <c r="C20" s="117"/>
      <c r="D20" s="117"/>
      <c r="E20" s="117"/>
      <c r="F20" s="112"/>
    </row>
    <row r="21" spans="1:9">
      <c r="B21" s="117"/>
      <c r="C21" s="117"/>
      <c r="D21" s="117"/>
      <c r="E21" s="117"/>
      <c r="F21" s="112"/>
    </row>
    <row r="22" spans="1:9">
      <c r="A22" s="109" t="s">
        <v>15</v>
      </c>
      <c r="B22" s="111" t="s">
        <v>96</v>
      </c>
      <c r="C22" s="111" t="s">
        <v>11</v>
      </c>
      <c r="D22" s="111" t="s">
        <v>20</v>
      </c>
      <c r="E22" s="111" t="s">
        <v>9</v>
      </c>
      <c r="F22" s="111" t="s">
        <v>1</v>
      </c>
    </row>
    <row r="23" spans="1:9">
      <c r="A23" s="106" t="s">
        <v>109</v>
      </c>
      <c r="B23" s="137">
        <v>1</v>
      </c>
      <c r="C23" s="110">
        <v>0.39333333333333298</v>
      </c>
      <c r="D23" s="110">
        <f>+SUM(C23:$C$23)</f>
        <v>0.39333333333333298</v>
      </c>
      <c r="E23" s="110">
        <f>+E5</f>
        <v>0</v>
      </c>
      <c r="F23" s="110">
        <f>+C23*E23</f>
        <v>0</v>
      </c>
    </row>
    <row r="24" spans="1:9">
      <c r="A24" s="106" t="s">
        <v>111</v>
      </c>
      <c r="B24" s="137">
        <v>3</v>
      </c>
      <c r="C24" s="110">
        <v>0.27666666666666601</v>
      </c>
      <c r="D24" s="110">
        <f>+SUM(C$23:$C24)</f>
        <v>0.66999999999999904</v>
      </c>
      <c r="E24" s="110">
        <f>+E7</f>
        <v>3</v>
      </c>
      <c r="F24" s="110">
        <f t="shared" ref="F24:F25" si="2">+C24*E24</f>
        <v>0.82999999999999807</v>
      </c>
    </row>
    <row r="25" spans="1:9">
      <c r="B25" s="137" t="s">
        <v>100</v>
      </c>
      <c r="C25" s="110">
        <v>0.04</v>
      </c>
      <c r="D25" s="110">
        <f>+SUM(C$23:$C25)</f>
        <v>0.70999999999999908</v>
      </c>
      <c r="E25" s="110">
        <f>+E23+E24</f>
        <v>3</v>
      </c>
      <c r="F25" s="110">
        <f t="shared" si="2"/>
        <v>0.12</v>
      </c>
      <c r="G25" s="106" t="s">
        <v>107</v>
      </c>
      <c r="I25" s="119"/>
    </row>
    <row r="26" spans="1:9">
      <c r="B26" s="113" t="s">
        <v>6</v>
      </c>
      <c r="C26" s="113">
        <f>+SUM(C23:C25)</f>
        <v>0.70999999999999908</v>
      </c>
      <c r="D26" s="113"/>
      <c r="E26" s="113"/>
      <c r="F26" s="118">
        <f>+SUM(F23:F25)</f>
        <v>0.94999999999999807</v>
      </c>
    </row>
    <row r="27" spans="1:9">
      <c r="B27" s="117"/>
      <c r="C27" s="117"/>
      <c r="D27" s="117"/>
      <c r="E27" s="117"/>
      <c r="F27" s="112"/>
    </row>
    <row r="29" spans="1:9">
      <c r="A29" s="109" t="s">
        <v>16</v>
      </c>
      <c r="B29" s="111" t="s">
        <v>96</v>
      </c>
      <c r="C29" s="111" t="s">
        <v>11</v>
      </c>
      <c r="D29" s="111" t="s">
        <v>20</v>
      </c>
      <c r="E29" s="111" t="s">
        <v>9</v>
      </c>
      <c r="F29" s="111" t="s">
        <v>1</v>
      </c>
    </row>
    <row r="30" spans="1:9">
      <c r="A30" s="106" t="s">
        <v>109</v>
      </c>
      <c r="B30" s="137">
        <v>3</v>
      </c>
      <c r="C30" s="110">
        <v>0.31666666666666665</v>
      </c>
      <c r="D30" s="110">
        <f>+SUM(C30:$C$30)</f>
        <v>0.31666666666666665</v>
      </c>
      <c r="E30" s="110">
        <f>+E7</f>
        <v>3</v>
      </c>
      <c r="F30" s="110">
        <f>+C30*E30</f>
        <v>0.95</v>
      </c>
      <c r="G30" s="106" t="s">
        <v>107</v>
      </c>
    </row>
    <row r="31" spans="1:9">
      <c r="A31" s="106" t="s">
        <v>110</v>
      </c>
      <c r="B31" s="113" t="s">
        <v>6</v>
      </c>
      <c r="C31" s="113">
        <f>+SUM(C30:C30)</f>
        <v>0.31666666666666665</v>
      </c>
      <c r="D31" s="113"/>
      <c r="E31" s="113"/>
      <c r="F31" s="118">
        <f>+SUM(F30:F30)</f>
        <v>0.95</v>
      </c>
    </row>
    <row r="32" spans="1:9">
      <c r="A32" s="106" t="s">
        <v>111</v>
      </c>
    </row>
    <row r="34" spans="1:7">
      <c r="A34" s="109" t="s">
        <v>17</v>
      </c>
      <c r="B34" s="111" t="s">
        <v>96</v>
      </c>
      <c r="C34" s="111" t="s">
        <v>11</v>
      </c>
      <c r="D34" s="111" t="s">
        <v>20</v>
      </c>
      <c r="E34" s="111" t="s">
        <v>9</v>
      </c>
      <c r="F34" s="111" t="s">
        <v>1</v>
      </c>
    </row>
    <row r="35" spans="1:7">
      <c r="A35" s="106" t="s">
        <v>109</v>
      </c>
      <c r="B35" s="137">
        <v>1</v>
      </c>
      <c r="C35" s="110">
        <v>0.25</v>
      </c>
      <c r="D35" s="110">
        <f>+SUM(C35:$C$35)</f>
        <v>0.25</v>
      </c>
      <c r="E35" s="110">
        <f>+E5</f>
        <v>0</v>
      </c>
      <c r="F35" s="110">
        <f>+C35*E35</f>
        <v>0</v>
      </c>
    </row>
    <row r="36" spans="1:7">
      <c r="A36" s="106" t="s">
        <v>112</v>
      </c>
      <c r="B36" s="137">
        <v>2</v>
      </c>
      <c r="C36" s="110">
        <v>0.40833333333333299</v>
      </c>
      <c r="D36" s="110">
        <f>+SUM(C$35:$C36)</f>
        <v>0.65833333333333299</v>
      </c>
      <c r="E36" s="110">
        <f>+E6</f>
        <v>2</v>
      </c>
      <c r="F36" s="110">
        <f t="shared" ref="F36:F37" si="3">+C36*E36</f>
        <v>0.81666666666666599</v>
      </c>
    </row>
    <row r="37" spans="1:7">
      <c r="B37" s="137" t="s">
        <v>99</v>
      </c>
      <c r="C37" s="110">
        <v>6.6666666666666596E-2</v>
      </c>
      <c r="D37" s="110">
        <f>+SUM(C$35:$C37)</f>
        <v>0.72499999999999964</v>
      </c>
      <c r="E37" s="110">
        <f>+E35+E36</f>
        <v>2</v>
      </c>
      <c r="F37" s="110">
        <f t="shared" si="3"/>
        <v>0.13333333333333319</v>
      </c>
      <c r="G37" s="106" t="s">
        <v>107</v>
      </c>
    </row>
    <row r="38" spans="1:7">
      <c r="A38" s="115"/>
      <c r="B38" s="113" t="s">
        <v>6</v>
      </c>
      <c r="C38" s="113">
        <f>+SUM(C35:C37)</f>
        <v>0.72499999999999964</v>
      </c>
      <c r="D38" s="113"/>
      <c r="E38" s="113"/>
      <c r="F38" s="118">
        <f>+SUM(F35:F37)</f>
        <v>0.94999999999999918</v>
      </c>
    </row>
    <row r="39" spans="1:7">
      <c r="A39" s="115"/>
    </row>
    <row r="41" spans="1:7">
      <c r="A41" s="109" t="s">
        <v>18</v>
      </c>
      <c r="B41" s="111" t="s">
        <v>96</v>
      </c>
      <c r="C41" s="111" t="s">
        <v>11</v>
      </c>
      <c r="D41" s="111" t="s">
        <v>20</v>
      </c>
      <c r="E41" s="111" t="s">
        <v>9</v>
      </c>
      <c r="F41" s="111" t="s">
        <v>1</v>
      </c>
    </row>
    <row r="42" spans="1:7">
      <c r="A42" s="106" t="s">
        <v>109</v>
      </c>
      <c r="B42" s="137">
        <v>1</v>
      </c>
      <c r="C42" s="110">
        <v>0.6333333333333333</v>
      </c>
      <c r="D42" s="110">
        <f>+SUM(C42:$C$42)</f>
        <v>0.6333333333333333</v>
      </c>
      <c r="E42" s="110">
        <f>+E5</f>
        <v>0</v>
      </c>
      <c r="F42" s="110">
        <f>+E42*C42</f>
        <v>0</v>
      </c>
      <c r="G42" s="106" t="s">
        <v>107</v>
      </c>
    </row>
    <row r="43" spans="1:7">
      <c r="A43" s="106" t="s">
        <v>111</v>
      </c>
      <c r="B43" s="113" t="s">
        <v>6</v>
      </c>
      <c r="C43" s="113">
        <f>+SUM(C42:C42)</f>
        <v>0.6333333333333333</v>
      </c>
      <c r="D43" s="113"/>
      <c r="E43" s="113"/>
      <c r="F43" s="118">
        <f>+SUM(F42:F42)</f>
        <v>0</v>
      </c>
    </row>
    <row r="44" spans="1:7">
      <c r="A44" s="106" t="s">
        <v>112</v>
      </c>
    </row>
    <row r="46" spans="1:7">
      <c r="A46" s="109" t="s">
        <v>19</v>
      </c>
      <c r="B46" s="111" t="s">
        <v>96</v>
      </c>
      <c r="C46" s="111" t="s">
        <v>11</v>
      </c>
      <c r="D46" s="111" t="s">
        <v>20</v>
      </c>
      <c r="E46" s="111" t="s">
        <v>9</v>
      </c>
      <c r="F46" s="111" t="s">
        <v>1</v>
      </c>
    </row>
    <row r="47" spans="1:7">
      <c r="A47" s="106" t="s">
        <v>109</v>
      </c>
      <c r="B47" s="137">
        <v>2</v>
      </c>
      <c r="C47" s="110">
        <v>0.47499999999999998</v>
      </c>
      <c r="D47" s="110">
        <f>+SUM(C$47:$C47)</f>
        <v>0.47499999999999998</v>
      </c>
      <c r="E47" s="110">
        <f>+E6</f>
        <v>2</v>
      </c>
      <c r="F47" s="110">
        <f>+E47*C47</f>
        <v>0.95</v>
      </c>
      <c r="G47" s="106" t="s">
        <v>107</v>
      </c>
    </row>
    <row r="48" spans="1:7">
      <c r="A48" s="106" t="s">
        <v>110</v>
      </c>
      <c r="B48" s="113" t="s">
        <v>6</v>
      </c>
      <c r="C48" s="113">
        <f>+SUM(C47:C47)</f>
        <v>0.47499999999999998</v>
      </c>
      <c r="D48" s="113"/>
      <c r="E48" s="113"/>
      <c r="F48" s="118">
        <f>+SUM(F47:F47)</f>
        <v>0.95</v>
      </c>
    </row>
    <row r="49" spans="1:1">
      <c r="A49" s="106" t="s">
        <v>112</v>
      </c>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sheetPr codeName="Hoja6"/>
  <dimension ref="A1:I49"/>
  <sheetViews>
    <sheetView topLeftCell="A34"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109375" style="106" customWidth="1"/>
    <col min="8" max="8" width="11.5546875" style="106"/>
    <col min="9" max="9" width="12.5546875" style="106" bestFit="1" customWidth="1"/>
    <col min="10" max="16384" width="11.5546875" style="106"/>
  </cols>
  <sheetData>
    <row r="1" spans="1:7" ht="18">
      <c r="A1" s="143" t="s">
        <v>123</v>
      </c>
      <c r="B1" s="143"/>
      <c r="C1" s="143"/>
      <c r="D1" s="143"/>
      <c r="E1" s="143"/>
    </row>
    <row r="2" spans="1:7">
      <c r="A2" s="116" t="s">
        <v>114</v>
      </c>
    </row>
    <row r="4" spans="1:7">
      <c r="A4" s="109" t="s">
        <v>10</v>
      </c>
      <c r="B4" s="111" t="s">
        <v>96</v>
      </c>
      <c r="C4" s="111" t="s">
        <v>11</v>
      </c>
      <c r="D4" s="111" t="s">
        <v>20</v>
      </c>
      <c r="E4" s="111" t="s">
        <v>9</v>
      </c>
      <c r="F4" s="111" t="s">
        <v>1</v>
      </c>
    </row>
    <row r="5" spans="1:7">
      <c r="A5" s="106" t="s">
        <v>108</v>
      </c>
      <c r="B5" s="139">
        <v>1</v>
      </c>
      <c r="C5" s="107">
        <v>0.17499999999999999</v>
      </c>
      <c r="D5" s="107">
        <f>+SUM($C$5:C5)</f>
        <v>0.17499999999999999</v>
      </c>
      <c r="E5" s="107">
        <f>+Summary!H27</f>
        <v>2</v>
      </c>
      <c r="F5" s="107">
        <f>+C5*E5</f>
        <v>0.35</v>
      </c>
    </row>
    <row r="6" spans="1:7">
      <c r="B6" s="139">
        <v>2</v>
      </c>
      <c r="C6" s="107">
        <v>0.17499999999999999</v>
      </c>
      <c r="D6" s="107">
        <f>+SUM($C$5:C6)</f>
        <v>0.35</v>
      </c>
      <c r="E6" s="107">
        <f>+Summary!H28</f>
        <v>2</v>
      </c>
      <c r="F6" s="107">
        <f t="shared" ref="F6:F11" si="0">+C6*E6</f>
        <v>0.35</v>
      </c>
    </row>
    <row r="7" spans="1:7">
      <c r="B7" s="139">
        <v>3</v>
      </c>
      <c r="C7" s="107">
        <v>1.0500000000000001E-2</v>
      </c>
      <c r="D7" s="107">
        <f>+SUM($C$5:C7)</f>
        <v>0.36049999999999999</v>
      </c>
      <c r="E7" s="107">
        <f>+Summary!H29</f>
        <v>4</v>
      </c>
      <c r="F7" s="107">
        <f t="shared" si="0"/>
        <v>4.2000000000000003E-2</v>
      </c>
    </row>
    <row r="8" spans="1:7">
      <c r="B8" s="139" t="s">
        <v>99</v>
      </c>
      <c r="C8" s="107">
        <v>0.02</v>
      </c>
      <c r="D8" s="107">
        <f>+SUM($C$5:C8)</f>
        <v>0.3805</v>
      </c>
      <c r="E8" s="107">
        <f>+E5+E6</f>
        <v>4</v>
      </c>
      <c r="F8" s="107">
        <f t="shared" si="0"/>
        <v>0.08</v>
      </c>
    </row>
    <row r="9" spans="1:7">
      <c r="B9" s="139" t="s">
        <v>100</v>
      </c>
      <c r="C9" s="107">
        <v>4.0000000000000001E-3</v>
      </c>
      <c r="D9" s="107">
        <f>+SUM($C$5:C9)</f>
        <v>0.38450000000000001</v>
      </c>
      <c r="E9" s="107">
        <f>+E5+E7</f>
        <v>6</v>
      </c>
      <c r="F9" s="107">
        <f t="shared" si="0"/>
        <v>2.4E-2</v>
      </c>
    </row>
    <row r="10" spans="1:7">
      <c r="B10" s="139" t="s">
        <v>101</v>
      </c>
      <c r="C10" s="107">
        <v>4.0000000000000001E-3</v>
      </c>
      <c r="D10" s="107">
        <f>+SUM($C$5:C10)</f>
        <v>0.38850000000000001</v>
      </c>
      <c r="E10" s="107">
        <f>+E6+E7</f>
        <v>6</v>
      </c>
      <c r="F10" s="107">
        <f t="shared" si="0"/>
        <v>2.4E-2</v>
      </c>
    </row>
    <row r="11" spans="1:7">
      <c r="B11" s="139" t="s">
        <v>102</v>
      </c>
      <c r="C11" s="107">
        <v>0.01</v>
      </c>
      <c r="D11" s="107">
        <f>+SUM($C$5:C11)</f>
        <v>0.39850000000000002</v>
      </c>
      <c r="E11" s="107">
        <f>+E5+E6+E7</f>
        <v>8</v>
      </c>
      <c r="F11" s="107">
        <f t="shared" si="0"/>
        <v>0.08</v>
      </c>
      <c r="G11" s="106" t="s">
        <v>107</v>
      </c>
    </row>
    <row r="12" spans="1:7">
      <c r="B12" s="113" t="s">
        <v>12</v>
      </c>
      <c r="C12" s="113">
        <f>+SUM(C5:C11)</f>
        <v>0.39850000000000002</v>
      </c>
      <c r="D12" s="113"/>
      <c r="E12" s="113"/>
      <c r="F12" s="120">
        <f>+SUM(F5:F11)</f>
        <v>0.95</v>
      </c>
    </row>
    <row r="13" spans="1:7">
      <c r="B13" s="114" t="s">
        <v>103</v>
      </c>
    </row>
    <row r="15" spans="1:7">
      <c r="A15" s="109" t="s">
        <v>14</v>
      </c>
      <c r="B15" s="111" t="s">
        <v>96</v>
      </c>
      <c r="C15" s="111" t="s">
        <v>11</v>
      </c>
      <c r="D15" s="111" t="s">
        <v>20</v>
      </c>
      <c r="E15" s="111" t="s">
        <v>9</v>
      </c>
      <c r="F15" s="111" t="s">
        <v>1</v>
      </c>
    </row>
    <row r="16" spans="1:7">
      <c r="A16" s="106" t="s">
        <v>109</v>
      </c>
      <c r="B16" s="137">
        <v>2</v>
      </c>
      <c r="C16" s="110">
        <v>0.40500000000000003</v>
      </c>
      <c r="D16" s="110">
        <f>+SUM(C16:$C$16)</f>
        <v>0.40500000000000003</v>
      </c>
      <c r="E16" s="110">
        <f>+E6</f>
        <v>2</v>
      </c>
      <c r="F16" s="110">
        <f>+C16*E16</f>
        <v>0.81</v>
      </c>
    </row>
    <row r="17" spans="1:9">
      <c r="A17" s="106" t="s">
        <v>110</v>
      </c>
      <c r="B17" s="137">
        <v>3</v>
      </c>
      <c r="C17" s="110">
        <v>0.02</v>
      </c>
      <c r="D17" s="110">
        <f>+SUM(C$16:$C17)</f>
        <v>0.42500000000000004</v>
      </c>
      <c r="E17" s="110">
        <f>+E7</f>
        <v>4</v>
      </c>
      <c r="F17" s="110">
        <f t="shared" ref="F17:F18" si="1">+C17*E17</f>
        <v>0.08</v>
      </c>
    </row>
    <row r="18" spans="1:9">
      <c r="B18" s="137" t="s">
        <v>101</v>
      </c>
      <c r="C18" s="110">
        <v>0.01</v>
      </c>
      <c r="D18" s="110">
        <f>+SUM(C$16:$C18)</f>
        <v>0.43500000000000005</v>
      </c>
      <c r="E18" s="110">
        <f>+E16+E17</f>
        <v>6</v>
      </c>
      <c r="F18" s="110">
        <f t="shared" si="1"/>
        <v>0.06</v>
      </c>
      <c r="G18" s="106" t="s">
        <v>107</v>
      </c>
    </row>
    <row r="19" spans="1:9">
      <c r="B19" s="113" t="s">
        <v>6</v>
      </c>
      <c r="C19" s="113">
        <f>+SUM(C16:C18)</f>
        <v>0.43500000000000005</v>
      </c>
      <c r="D19" s="113"/>
      <c r="E19" s="113"/>
      <c r="F19" s="118">
        <f>+SUM(F16:F18)</f>
        <v>0.95</v>
      </c>
    </row>
    <row r="20" spans="1:9">
      <c r="B20" s="117"/>
      <c r="C20" s="117"/>
      <c r="D20" s="117"/>
      <c r="E20" s="117"/>
      <c r="F20" s="112"/>
    </row>
    <row r="21" spans="1:9">
      <c r="B21" s="117"/>
      <c r="C21" s="117"/>
      <c r="D21" s="117"/>
      <c r="E21" s="117"/>
      <c r="F21" s="112"/>
    </row>
    <row r="22" spans="1:9">
      <c r="A22" s="109" t="s">
        <v>15</v>
      </c>
      <c r="B22" s="111" t="s">
        <v>96</v>
      </c>
      <c r="C22" s="111" t="s">
        <v>11</v>
      </c>
      <c r="D22" s="111" t="s">
        <v>20</v>
      </c>
      <c r="E22" s="111" t="s">
        <v>9</v>
      </c>
      <c r="F22" s="111" t="s">
        <v>1</v>
      </c>
    </row>
    <row r="23" spans="1:9">
      <c r="A23" s="106" t="s">
        <v>109</v>
      </c>
      <c r="B23" s="137">
        <v>1</v>
      </c>
      <c r="C23" s="110">
        <v>0.40500000000000003</v>
      </c>
      <c r="D23" s="110">
        <f>+SUM(C23:$C$23)</f>
        <v>0.40500000000000003</v>
      </c>
      <c r="E23" s="110">
        <f>+E5</f>
        <v>2</v>
      </c>
      <c r="F23" s="110">
        <f>+C23*E23</f>
        <v>0.81</v>
      </c>
    </row>
    <row r="24" spans="1:9">
      <c r="A24" s="106" t="s">
        <v>111</v>
      </c>
      <c r="B24" s="137">
        <v>3</v>
      </c>
      <c r="C24" s="110">
        <v>0.02</v>
      </c>
      <c r="D24" s="110">
        <f>+SUM(C$23:$C24)</f>
        <v>0.42500000000000004</v>
      </c>
      <c r="E24" s="110">
        <f>+E7</f>
        <v>4</v>
      </c>
      <c r="F24" s="110">
        <f t="shared" ref="F24:F25" si="2">+C24*E24</f>
        <v>0.08</v>
      </c>
    </row>
    <row r="25" spans="1:9">
      <c r="B25" s="137" t="s">
        <v>100</v>
      </c>
      <c r="C25" s="110">
        <v>0.01</v>
      </c>
      <c r="D25" s="110">
        <f>+SUM(C$23:$C25)</f>
        <v>0.43500000000000005</v>
      </c>
      <c r="E25" s="110">
        <f>+E23+E24</f>
        <v>6</v>
      </c>
      <c r="F25" s="110">
        <f t="shared" si="2"/>
        <v>0.06</v>
      </c>
      <c r="G25" s="106" t="s">
        <v>107</v>
      </c>
      <c r="I25" s="119"/>
    </row>
    <row r="26" spans="1:9">
      <c r="B26" s="113" t="s">
        <v>6</v>
      </c>
      <c r="C26" s="113">
        <f>+SUM(C23:C25)</f>
        <v>0.43500000000000005</v>
      </c>
      <c r="D26" s="113"/>
      <c r="E26" s="113"/>
      <c r="F26" s="118">
        <f>+SUM(F23:F25)</f>
        <v>0.95</v>
      </c>
    </row>
    <row r="27" spans="1:9">
      <c r="B27" s="117"/>
      <c r="C27" s="117"/>
      <c r="D27" s="117"/>
      <c r="E27" s="117"/>
      <c r="F27" s="112"/>
    </row>
    <row r="29" spans="1:9">
      <c r="A29" s="109" t="s">
        <v>16</v>
      </c>
      <c r="B29" s="111" t="s">
        <v>96</v>
      </c>
      <c r="C29" s="111" t="s">
        <v>11</v>
      </c>
      <c r="D29" s="111" t="s">
        <v>20</v>
      </c>
      <c r="E29" s="111" t="s">
        <v>9</v>
      </c>
      <c r="F29" s="111" t="s">
        <v>1</v>
      </c>
    </row>
    <row r="30" spans="1:9">
      <c r="A30" s="106" t="s">
        <v>109</v>
      </c>
      <c r="B30" s="137">
        <v>3</v>
      </c>
      <c r="C30" s="110">
        <v>0.23749999999999999</v>
      </c>
      <c r="D30" s="110">
        <f>+SUM(C30:$C$30)</f>
        <v>0.23749999999999999</v>
      </c>
      <c r="E30" s="110">
        <f>+E7</f>
        <v>4</v>
      </c>
      <c r="F30" s="110">
        <f>+C30*E30</f>
        <v>0.95</v>
      </c>
      <c r="G30" s="106" t="s">
        <v>107</v>
      </c>
    </row>
    <row r="31" spans="1:9">
      <c r="A31" s="106" t="s">
        <v>110</v>
      </c>
      <c r="B31" s="113" t="s">
        <v>6</v>
      </c>
      <c r="C31" s="113">
        <f>+SUM(C30:C30)</f>
        <v>0.23749999999999999</v>
      </c>
      <c r="D31" s="113"/>
      <c r="E31" s="113"/>
      <c r="F31" s="118">
        <f>+SUM(F30:F30)</f>
        <v>0.95</v>
      </c>
    </row>
    <row r="32" spans="1:9">
      <c r="A32" s="106" t="s">
        <v>111</v>
      </c>
    </row>
    <row r="34" spans="1:7">
      <c r="A34" s="109" t="s">
        <v>17</v>
      </c>
      <c r="B34" s="111" t="s">
        <v>96</v>
      </c>
      <c r="C34" s="111" t="s">
        <v>11</v>
      </c>
      <c r="D34" s="111" t="s">
        <v>20</v>
      </c>
      <c r="E34" s="111" t="s">
        <v>9</v>
      </c>
      <c r="F34" s="111" t="s">
        <v>1</v>
      </c>
    </row>
    <row r="35" spans="1:7">
      <c r="A35" s="106" t="s">
        <v>109</v>
      </c>
      <c r="B35" s="137">
        <v>1</v>
      </c>
      <c r="C35" s="110">
        <v>0.2</v>
      </c>
      <c r="D35" s="110">
        <f>+SUM(C35:$C$35)</f>
        <v>0.2</v>
      </c>
      <c r="E35" s="110">
        <f>+E5</f>
        <v>2</v>
      </c>
      <c r="F35" s="110">
        <f>+C35*E35</f>
        <v>0.4</v>
      </c>
    </row>
    <row r="36" spans="1:7">
      <c r="A36" s="106" t="s">
        <v>112</v>
      </c>
      <c r="B36" s="137">
        <v>2</v>
      </c>
      <c r="C36" s="110">
        <v>0.2</v>
      </c>
      <c r="D36" s="110">
        <f>+SUM(C$35:$C36)</f>
        <v>0.4</v>
      </c>
      <c r="E36" s="110">
        <f>+E6</f>
        <v>2</v>
      </c>
      <c r="F36" s="110">
        <f t="shared" ref="F36:F37" si="3">+C36*E36</f>
        <v>0.4</v>
      </c>
    </row>
    <row r="37" spans="1:7">
      <c r="B37" s="137" t="s">
        <v>99</v>
      </c>
      <c r="C37" s="110">
        <v>3.7499999999999999E-2</v>
      </c>
      <c r="D37" s="110">
        <f>+SUM(C$35:$C37)</f>
        <v>0.4375</v>
      </c>
      <c r="E37" s="110">
        <f>+E35+E36</f>
        <v>4</v>
      </c>
      <c r="F37" s="110">
        <f t="shared" si="3"/>
        <v>0.15</v>
      </c>
      <c r="G37" s="106" t="s">
        <v>107</v>
      </c>
    </row>
    <row r="38" spans="1:7">
      <c r="A38" s="115"/>
      <c r="B38" s="113" t="s">
        <v>6</v>
      </c>
      <c r="C38" s="113">
        <f>+SUM(C35:C37)</f>
        <v>0.4375</v>
      </c>
      <c r="D38" s="113"/>
      <c r="E38" s="113"/>
      <c r="F38" s="118">
        <f>+SUM(F35:F37)</f>
        <v>0.95000000000000007</v>
      </c>
    </row>
    <row r="39" spans="1:7">
      <c r="A39" s="115"/>
    </row>
    <row r="41" spans="1:7">
      <c r="A41" s="109" t="s">
        <v>18</v>
      </c>
      <c r="B41" s="111" t="s">
        <v>96</v>
      </c>
      <c r="C41" s="111" t="s">
        <v>11</v>
      </c>
      <c r="D41" s="111" t="s">
        <v>20</v>
      </c>
      <c r="E41" s="111" t="s">
        <v>9</v>
      </c>
      <c r="F41" s="111" t="s">
        <v>1</v>
      </c>
    </row>
    <row r="42" spans="1:7">
      <c r="A42" s="106" t="s">
        <v>109</v>
      </c>
      <c r="B42" s="137">
        <v>1</v>
      </c>
      <c r="C42" s="110">
        <v>0.47499999999999998</v>
      </c>
      <c r="D42" s="110">
        <f>+SUM(C42:$C$42)</f>
        <v>0.47499999999999998</v>
      </c>
      <c r="E42" s="110">
        <f>+E5</f>
        <v>2</v>
      </c>
      <c r="F42" s="110">
        <f>+E42*C42</f>
        <v>0.95</v>
      </c>
      <c r="G42" s="106" t="s">
        <v>107</v>
      </c>
    </row>
    <row r="43" spans="1:7">
      <c r="A43" s="106" t="s">
        <v>111</v>
      </c>
      <c r="B43" s="113" t="s">
        <v>6</v>
      </c>
      <c r="C43" s="113">
        <f>+SUM(C42:C42)</f>
        <v>0.47499999999999998</v>
      </c>
      <c r="D43" s="113"/>
      <c r="E43" s="113"/>
      <c r="F43" s="118">
        <f>+SUM(F42:F42)</f>
        <v>0.95</v>
      </c>
    </row>
    <row r="44" spans="1:7">
      <c r="A44" s="106" t="s">
        <v>112</v>
      </c>
    </row>
    <row r="46" spans="1:7">
      <c r="A46" s="109" t="s">
        <v>19</v>
      </c>
      <c r="B46" s="111" t="s">
        <v>96</v>
      </c>
      <c r="C46" s="111" t="s">
        <v>11</v>
      </c>
      <c r="D46" s="111" t="s">
        <v>20</v>
      </c>
      <c r="E46" s="111" t="s">
        <v>9</v>
      </c>
      <c r="F46" s="111" t="s">
        <v>1</v>
      </c>
    </row>
    <row r="47" spans="1:7">
      <c r="A47" s="106" t="s">
        <v>109</v>
      </c>
      <c r="B47" s="137">
        <v>2</v>
      </c>
      <c r="C47" s="110">
        <v>0.47499999999999998</v>
      </c>
      <c r="D47" s="110">
        <f>+SUM(C$47:$C47)</f>
        <v>0.47499999999999998</v>
      </c>
      <c r="E47" s="110">
        <f>+E6</f>
        <v>2</v>
      </c>
      <c r="F47" s="110">
        <f>+E47*C47</f>
        <v>0.95</v>
      </c>
      <c r="G47" s="106" t="s">
        <v>107</v>
      </c>
    </row>
    <row r="48" spans="1:7">
      <c r="A48" s="106" t="s">
        <v>110</v>
      </c>
      <c r="B48" s="113" t="s">
        <v>6</v>
      </c>
      <c r="C48" s="113">
        <f>+SUM(C47:C47)</f>
        <v>0.47499999999999998</v>
      </c>
      <c r="D48" s="113"/>
      <c r="E48" s="113"/>
      <c r="F48" s="118">
        <f>+SUM(F47:F47)</f>
        <v>0.95</v>
      </c>
    </row>
    <row r="49" spans="1:1">
      <c r="A49" s="106" t="s">
        <v>112</v>
      </c>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sheetPr codeName="Hoja19"/>
  <dimension ref="A1:I49"/>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109375" style="106" customWidth="1"/>
    <col min="8" max="8" width="11.5546875" style="106"/>
    <col min="9" max="9" width="12.5546875" style="106" bestFit="1" customWidth="1"/>
    <col min="10" max="16384" width="11.5546875" style="106"/>
  </cols>
  <sheetData>
    <row r="1" spans="1:7" ht="18">
      <c r="A1" s="143" t="s">
        <v>127</v>
      </c>
      <c r="B1" s="143"/>
      <c r="C1" s="143"/>
      <c r="D1" s="143"/>
      <c r="E1" s="143"/>
    </row>
    <row r="2" spans="1:7">
      <c r="A2" s="116" t="s">
        <v>114</v>
      </c>
    </row>
    <row r="4" spans="1:7">
      <c r="A4" s="109" t="s">
        <v>10</v>
      </c>
      <c r="B4" s="111" t="s">
        <v>96</v>
      </c>
      <c r="C4" s="111" t="s">
        <v>11</v>
      </c>
      <c r="D4" s="111" t="s">
        <v>20</v>
      </c>
      <c r="E4" s="111" t="s">
        <v>9</v>
      </c>
      <c r="F4" s="111" t="s">
        <v>1</v>
      </c>
    </row>
    <row r="5" spans="1:7">
      <c r="A5" s="106" t="s">
        <v>108</v>
      </c>
      <c r="B5" s="139">
        <v>1</v>
      </c>
      <c r="C5" s="107">
        <v>0.103333333333333</v>
      </c>
      <c r="D5" s="107">
        <f>+SUM($C$5:C5)</f>
        <v>0.103333333333333</v>
      </c>
      <c r="E5" s="107">
        <f>+Summary!K27</f>
        <v>3</v>
      </c>
      <c r="F5" s="107">
        <f>+C5*E5</f>
        <v>0.309999999999999</v>
      </c>
    </row>
    <row r="6" spans="1:7">
      <c r="B6" s="139">
        <v>2</v>
      </c>
      <c r="C6" s="107">
        <v>0.103333333333333</v>
      </c>
      <c r="D6" s="107">
        <f>+SUM($C$5:C6)</f>
        <v>0.206666666666666</v>
      </c>
      <c r="E6" s="107">
        <f>+Summary!K28</f>
        <v>3</v>
      </c>
      <c r="F6" s="107">
        <f t="shared" ref="F6:F11" si="0">+C6*E6</f>
        <v>0.309999999999999</v>
      </c>
    </row>
    <row r="7" spans="1:7">
      <c r="B7" s="139">
        <v>3</v>
      </c>
      <c r="C7" s="107">
        <v>0.01</v>
      </c>
      <c r="D7" s="107">
        <f>+SUM($C$5:C7)</f>
        <v>0.21666666666666601</v>
      </c>
      <c r="E7" s="107">
        <f>+Summary!K29</f>
        <v>6</v>
      </c>
      <c r="F7" s="107">
        <f t="shared" si="0"/>
        <v>0.06</v>
      </c>
    </row>
    <row r="8" spans="1:7">
      <c r="B8" s="139" t="s">
        <v>99</v>
      </c>
      <c r="C8" s="107">
        <v>0.01</v>
      </c>
      <c r="D8" s="107">
        <f>+SUM($C$5:C8)</f>
        <v>0.22666666666666602</v>
      </c>
      <c r="E8" s="107">
        <f>+E5+E6</f>
        <v>6</v>
      </c>
      <c r="F8" s="107">
        <f t="shared" si="0"/>
        <v>0.06</v>
      </c>
    </row>
    <row r="9" spans="1:7">
      <c r="B9" s="139" t="s">
        <v>100</v>
      </c>
      <c r="C9" s="107">
        <v>5.0000000000000001E-3</v>
      </c>
      <c r="D9" s="107">
        <f>+SUM($C$5:C9)</f>
        <v>0.23166666666666602</v>
      </c>
      <c r="E9" s="107">
        <f>+E5+E7</f>
        <v>9</v>
      </c>
      <c r="F9" s="107">
        <f t="shared" si="0"/>
        <v>4.4999999999999998E-2</v>
      </c>
    </row>
    <row r="10" spans="1:7">
      <c r="B10" s="139" t="s">
        <v>101</v>
      </c>
      <c r="C10" s="107">
        <v>5.0000000000000001E-3</v>
      </c>
      <c r="D10" s="107">
        <f>+SUM($C$5:C10)</f>
        <v>0.23666666666666603</v>
      </c>
      <c r="E10" s="107">
        <f>+E6+E7</f>
        <v>9</v>
      </c>
      <c r="F10" s="107">
        <f t="shared" si="0"/>
        <v>4.4999999999999998E-2</v>
      </c>
    </row>
    <row r="11" spans="1:7">
      <c r="B11" s="139" t="s">
        <v>102</v>
      </c>
      <c r="C11" s="107">
        <v>0.01</v>
      </c>
      <c r="D11" s="107">
        <f>+SUM($C$5:C11)</f>
        <v>0.24666666666666603</v>
      </c>
      <c r="E11" s="107">
        <f>+E5+E6+E7</f>
        <v>12</v>
      </c>
      <c r="F11" s="107">
        <f t="shared" si="0"/>
        <v>0.12</v>
      </c>
      <c r="G11" s="106" t="s">
        <v>107</v>
      </c>
    </row>
    <row r="12" spans="1:7">
      <c r="B12" s="113" t="s">
        <v>12</v>
      </c>
      <c r="C12" s="113">
        <f>+SUM(C5:C11)</f>
        <v>0.24666666666666603</v>
      </c>
      <c r="D12" s="113"/>
      <c r="E12" s="113"/>
      <c r="F12" s="120">
        <f>+SUM(F5:F11)</f>
        <v>0.94999999999999807</v>
      </c>
    </row>
    <row r="13" spans="1:7">
      <c r="B13" s="114" t="s">
        <v>103</v>
      </c>
    </row>
    <row r="15" spans="1:7">
      <c r="A15" s="109" t="s">
        <v>14</v>
      </c>
      <c r="B15" s="111" t="s">
        <v>96</v>
      </c>
      <c r="C15" s="111" t="s">
        <v>11</v>
      </c>
      <c r="D15" s="111" t="s">
        <v>20</v>
      </c>
      <c r="E15" s="111" t="s">
        <v>9</v>
      </c>
      <c r="F15" s="111" t="s">
        <v>1</v>
      </c>
    </row>
    <row r="16" spans="1:7">
      <c r="A16" s="106" t="s">
        <v>109</v>
      </c>
      <c r="B16" s="137">
        <v>2</v>
      </c>
      <c r="C16" s="110">
        <v>0.24666666666666601</v>
      </c>
      <c r="D16" s="110">
        <f>+SUM(C16:$C$16)</f>
        <v>0.24666666666666601</v>
      </c>
      <c r="E16" s="110">
        <f>+E6</f>
        <v>3</v>
      </c>
      <c r="F16" s="110">
        <f>+C16*E16</f>
        <v>0.73999999999999799</v>
      </c>
    </row>
    <row r="17" spans="1:9">
      <c r="A17" s="106" t="s">
        <v>110</v>
      </c>
      <c r="B17" s="137">
        <v>3</v>
      </c>
      <c r="C17" s="110">
        <v>0.02</v>
      </c>
      <c r="D17" s="110">
        <f>+SUM(C$16:$C17)</f>
        <v>0.266666666666666</v>
      </c>
      <c r="E17" s="110">
        <f>+E7</f>
        <v>6</v>
      </c>
      <c r="F17" s="110">
        <f t="shared" ref="F17:F18" si="1">+C17*E17</f>
        <v>0.12</v>
      </c>
    </row>
    <row r="18" spans="1:9">
      <c r="B18" s="137" t="s">
        <v>101</v>
      </c>
      <c r="C18" s="110">
        <v>0.01</v>
      </c>
      <c r="D18" s="110">
        <f>+SUM(C$16:$C18)</f>
        <v>0.27666666666666601</v>
      </c>
      <c r="E18" s="110">
        <f>+E16+E17</f>
        <v>9</v>
      </c>
      <c r="F18" s="110">
        <f t="shared" si="1"/>
        <v>0.09</v>
      </c>
      <c r="G18" s="106" t="s">
        <v>107</v>
      </c>
    </row>
    <row r="19" spans="1:9">
      <c r="B19" s="113" t="s">
        <v>6</v>
      </c>
      <c r="C19" s="113">
        <f>+SUM(C16:C18)</f>
        <v>0.27666666666666601</v>
      </c>
      <c r="D19" s="113"/>
      <c r="E19" s="113"/>
      <c r="F19" s="118">
        <f>+SUM(F16:F18)</f>
        <v>0.94999999999999796</v>
      </c>
    </row>
    <row r="20" spans="1:9">
      <c r="B20" s="117"/>
      <c r="C20" s="117"/>
      <c r="D20" s="117"/>
      <c r="E20" s="117"/>
      <c r="F20" s="112"/>
    </row>
    <row r="21" spans="1:9">
      <c r="B21" s="117"/>
      <c r="C21" s="117"/>
      <c r="D21" s="117"/>
      <c r="E21" s="117"/>
      <c r="F21" s="112"/>
    </row>
    <row r="22" spans="1:9">
      <c r="A22" s="109" t="s">
        <v>15</v>
      </c>
      <c r="B22" s="111" t="s">
        <v>96</v>
      </c>
      <c r="C22" s="111" t="s">
        <v>11</v>
      </c>
      <c r="D22" s="111" t="s">
        <v>20</v>
      </c>
      <c r="E22" s="111" t="s">
        <v>9</v>
      </c>
      <c r="F22" s="111" t="s">
        <v>1</v>
      </c>
    </row>
    <row r="23" spans="1:9">
      <c r="A23" s="106" t="s">
        <v>109</v>
      </c>
      <c r="B23" s="137">
        <v>1</v>
      </c>
      <c r="C23" s="110">
        <v>0.24666666666666601</v>
      </c>
      <c r="D23" s="110">
        <f>+SUM(C23:$C$23)</f>
        <v>0.24666666666666601</v>
      </c>
      <c r="E23" s="110">
        <f>+E5</f>
        <v>3</v>
      </c>
      <c r="F23" s="110">
        <f>+C23*E23</f>
        <v>0.73999999999999799</v>
      </c>
    </row>
    <row r="24" spans="1:9">
      <c r="A24" s="106" t="s">
        <v>111</v>
      </c>
      <c r="B24" s="137">
        <v>3</v>
      </c>
      <c r="C24" s="110">
        <v>0.02</v>
      </c>
      <c r="D24" s="110">
        <f>+SUM(C$23:$C24)</f>
        <v>0.266666666666666</v>
      </c>
      <c r="E24" s="110">
        <f>+E7</f>
        <v>6</v>
      </c>
      <c r="F24" s="110">
        <f t="shared" ref="F24:F25" si="2">+C24*E24</f>
        <v>0.12</v>
      </c>
    </row>
    <row r="25" spans="1:9">
      <c r="B25" s="137" t="s">
        <v>100</v>
      </c>
      <c r="C25" s="110">
        <v>0.01</v>
      </c>
      <c r="D25" s="110">
        <f>+SUM(C$23:$C25)</f>
        <v>0.27666666666666601</v>
      </c>
      <c r="E25" s="110">
        <f>+E23+E24</f>
        <v>9</v>
      </c>
      <c r="F25" s="110">
        <f t="shared" si="2"/>
        <v>0.09</v>
      </c>
      <c r="G25" s="106" t="s">
        <v>107</v>
      </c>
      <c r="I25" s="119"/>
    </row>
    <row r="26" spans="1:9">
      <c r="B26" s="113" t="s">
        <v>6</v>
      </c>
      <c r="C26" s="113">
        <f>+SUM(C23:C25)</f>
        <v>0.27666666666666601</v>
      </c>
      <c r="D26" s="113"/>
      <c r="E26" s="113"/>
      <c r="F26" s="118">
        <f>+SUM(F23:F25)</f>
        <v>0.94999999999999796</v>
      </c>
    </row>
    <row r="27" spans="1:9">
      <c r="B27" s="117"/>
      <c r="C27" s="117"/>
      <c r="D27" s="117"/>
      <c r="E27" s="117"/>
      <c r="F27" s="112"/>
    </row>
    <row r="29" spans="1:9">
      <c r="A29" s="109" t="s">
        <v>16</v>
      </c>
      <c r="B29" s="111" t="s">
        <v>96</v>
      </c>
      <c r="C29" s="111" t="s">
        <v>11</v>
      </c>
      <c r="D29" s="111" t="s">
        <v>20</v>
      </c>
      <c r="E29" s="111" t="s">
        <v>9</v>
      </c>
      <c r="F29" s="111" t="s">
        <v>1</v>
      </c>
    </row>
    <row r="30" spans="1:9">
      <c r="A30" s="106" t="s">
        <v>109</v>
      </c>
      <c r="B30" s="137">
        <v>3</v>
      </c>
      <c r="C30" s="110">
        <v>0.15833333333333333</v>
      </c>
      <c r="D30" s="110">
        <f>+SUM(C30:$C$30)</f>
        <v>0.15833333333333333</v>
      </c>
      <c r="E30" s="110">
        <f>+E7</f>
        <v>6</v>
      </c>
      <c r="F30" s="110">
        <f>+C30*E30</f>
        <v>0.95</v>
      </c>
      <c r="G30" s="106" t="s">
        <v>107</v>
      </c>
    </row>
    <row r="31" spans="1:9">
      <c r="A31" s="106" t="s">
        <v>110</v>
      </c>
      <c r="B31" s="113" t="s">
        <v>6</v>
      </c>
      <c r="C31" s="113">
        <f>+SUM(C30:C30)</f>
        <v>0.15833333333333333</v>
      </c>
      <c r="D31" s="113"/>
      <c r="E31" s="113"/>
      <c r="F31" s="118">
        <f>+SUM(F30:F30)</f>
        <v>0.95</v>
      </c>
    </row>
    <row r="32" spans="1:9">
      <c r="A32" s="106" t="s">
        <v>111</v>
      </c>
    </row>
    <row r="34" spans="1:7">
      <c r="A34" s="109" t="s">
        <v>17</v>
      </c>
      <c r="B34" s="111" t="s">
        <v>96</v>
      </c>
      <c r="C34" s="111" t="s">
        <v>11</v>
      </c>
      <c r="D34" s="111" t="s">
        <v>20</v>
      </c>
      <c r="E34" s="111" t="s">
        <v>9</v>
      </c>
      <c r="F34" s="111" t="s">
        <v>1</v>
      </c>
    </row>
    <row r="35" spans="1:7">
      <c r="A35" s="106" t="s">
        <v>109</v>
      </c>
      <c r="B35" s="137">
        <v>1</v>
      </c>
      <c r="C35" s="110">
        <v>0.12833333333333299</v>
      </c>
      <c r="D35" s="110">
        <f>+SUM(C35:$C$35)</f>
        <v>0.12833333333333299</v>
      </c>
      <c r="E35" s="110">
        <f>+E5</f>
        <v>3</v>
      </c>
      <c r="F35" s="110">
        <f>+C35*E35</f>
        <v>0.38499999999999901</v>
      </c>
    </row>
    <row r="36" spans="1:7">
      <c r="A36" s="106" t="s">
        <v>112</v>
      </c>
      <c r="B36" s="137">
        <v>2</v>
      </c>
      <c r="C36" s="110">
        <v>0.12833333333333299</v>
      </c>
      <c r="D36" s="110">
        <f>+SUM(C$35:$C36)</f>
        <v>0.25666666666666599</v>
      </c>
      <c r="E36" s="110">
        <f>+E6</f>
        <v>3</v>
      </c>
      <c r="F36" s="110">
        <f t="shared" ref="F36:F37" si="3">+C36*E36</f>
        <v>0.38499999999999901</v>
      </c>
    </row>
    <row r="37" spans="1:7">
      <c r="B37" s="137" t="s">
        <v>99</v>
      </c>
      <c r="C37" s="110">
        <v>0.03</v>
      </c>
      <c r="D37" s="110">
        <f>+SUM(C$35:$C37)</f>
        <v>0.28666666666666596</v>
      </c>
      <c r="E37" s="110">
        <f>+E35+E36</f>
        <v>6</v>
      </c>
      <c r="F37" s="110">
        <f t="shared" si="3"/>
        <v>0.18</v>
      </c>
      <c r="G37" s="106" t="s">
        <v>107</v>
      </c>
    </row>
    <row r="38" spans="1:7">
      <c r="A38" s="115"/>
      <c r="B38" s="113" t="s">
        <v>6</v>
      </c>
      <c r="C38" s="113">
        <f>+SUM(C35:C37)</f>
        <v>0.28666666666666596</v>
      </c>
      <c r="D38" s="113"/>
      <c r="E38" s="113"/>
      <c r="F38" s="118">
        <f>+SUM(F35:F37)</f>
        <v>0.94999999999999796</v>
      </c>
    </row>
    <row r="39" spans="1:7">
      <c r="A39" s="115"/>
    </row>
    <row r="41" spans="1:7">
      <c r="A41" s="109" t="s">
        <v>18</v>
      </c>
      <c r="B41" s="111" t="s">
        <v>96</v>
      </c>
      <c r="C41" s="111" t="s">
        <v>11</v>
      </c>
      <c r="D41" s="111" t="s">
        <v>20</v>
      </c>
      <c r="E41" s="111" t="s">
        <v>9</v>
      </c>
      <c r="F41" s="111" t="s">
        <v>1</v>
      </c>
    </row>
    <row r="42" spans="1:7">
      <c r="A42" s="106" t="s">
        <v>109</v>
      </c>
      <c r="B42" s="137">
        <v>1</v>
      </c>
      <c r="C42" s="110">
        <v>0.31666666666666665</v>
      </c>
      <c r="D42" s="110">
        <f>+SUM(C42:$C$42)</f>
        <v>0.31666666666666665</v>
      </c>
      <c r="E42" s="110">
        <f>+E5</f>
        <v>3</v>
      </c>
      <c r="F42" s="110">
        <f>+E42*C42</f>
        <v>0.95</v>
      </c>
      <c r="G42" s="106" t="s">
        <v>107</v>
      </c>
    </row>
    <row r="43" spans="1:7">
      <c r="A43" s="106" t="s">
        <v>111</v>
      </c>
      <c r="B43" s="113" t="s">
        <v>6</v>
      </c>
      <c r="C43" s="113">
        <f>+SUM(C42:C42)</f>
        <v>0.31666666666666665</v>
      </c>
      <c r="D43" s="113"/>
      <c r="E43" s="113"/>
      <c r="F43" s="118">
        <f>+SUM(F42:F42)</f>
        <v>0.95</v>
      </c>
    </row>
    <row r="44" spans="1:7">
      <c r="A44" s="106" t="s">
        <v>112</v>
      </c>
    </row>
    <row r="46" spans="1:7">
      <c r="A46" s="109" t="s">
        <v>19</v>
      </c>
      <c r="B46" s="111" t="s">
        <v>96</v>
      </c>
      <c r="C46" s="111" t="s">
        <v>11</v>
      </c>
      <c r="D46" s="111" t="s">
        <v>20</v>
      </c>
      <c r="E46" s="111" t="s">
        <v>9</v>
      </c>
      <c r="F46" s="111" t="s">
        <v>1</v>
      </c>
    </row>
    <row r="47" spans="1:7">
      <c r="A47" s="106" t="s">
        <v>109</v>
      </c>
      <c r="B47" s="137">
        <v>2</v>
      </c>
      <c r="C47" s="110">
        <v>0.31666666666666665</v>
      </c>
      <c r="D47" s="110">
        <f>+SUM(C$47:$C47)</f>
        <v>0.31666666666666665</v>
      </c>
      <c r="E47" s="110">
        <f>+E6</f>
        <v>3</v>
      </c>
      <c r="F47" s="110">
        <f>+E47*C47</f>
        <v>0.95</v>
      </c>
      <c r="G47" s="106" t="s">
        <v>107</v>
      </c>
    </row>
    <row r="48" spans="1:7">
      <c r="A48" s="106" t="s">
        <v>110</v>
      </c>
      <c r="B48" s="113" t="s">
        <v>6</v>
      </c>
      <c r="C48" s="113">
        <f>+SUM(C47:C47)</f>
        <v>0.31666666666666665</v>
      </c>
      <c r="D48" s="113"/>
      <c r="E48" s="113"/>
      <c r="F48" s="118">
        <f>+SUM(F47:F47)</f>
        <v>0.95</v>
      </c>
    </row>
    <row r="49" spans="1:1">
      <c r="A49" s="106" t="s">
        <v>112</v>
      </c>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H19"/>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88671875" style="106" customWidth="1"/>
    <col min="8" max="8" width="12" style="106" customWidth="1"/>
    <col min="9" max="16384" width="11.5546875" style="106"/>
  </cols>
  <sheetData>
    <row r="1" spans="1:8" ht="18">
      <c r="A1" s="143" t="s">
        <v>139</v>
      </c>
      <c r="B1" s="143"/>
      <c r="C1" s="143"/>
      <c r="D1" s="143"/>
      <c r="E1" s="143"/>
    </row>
    <row r="2" spans="1:8">
      <c r="A2" s="116" t="s">
        <v>114</v>
      </c>
    </row>
    <row r="4" spans="1:8">
      <c r="A4" s="109" t="s">
        <v>10</v>
      </c>
      <c r="B4" s="111" t="s">
        <v>96</v>
      </c>
      <c r="C4" s="111" t="s">
        <v>11</v>
      </c>
      <c r="D4" s="111" t="s">
        <v>20</v>
      </c>
      <c r="E4" s="111" t="s">
        <v>9</v>
      </c>
      <c r="F4" s="111" t="s">
        <v>1</v>
      </c>
    </row>
    <row r="5" spans="1:8">
      <c r="A5" s="106" t="s">
        <v>108</v>
      </c>
      <c r="B5" s="139">
        <v>1</v>
      </c>
      <c r="C5" s="79">
        <v>0.25</v>
      </c>
      <c r="D5" s="107">
        <f>+SUM($C$5:C5)</f>
        <v>0.25</v>
      </c>
      <c r="E5" s="107">
        <f>+Summary!B27</f>
        <v>2</v>
      </c>
      <c r="F5" s="107">
        <f>+C5*E5</f>
        <v>0.5</v>
      </c>
    </row>
    <row r="6" spans="1:8">
      <c r="B6" s="139">
        <v>2</v>
      </c>
      <c r="C6" s="79">
        <v>0.1</v>
      </c>
      <c r="D6" s="107">
        <f>+SUM($C$5:C6)</f>
        <v>0.35</v>
      </c>
      <c r="E6" s="107">
        <f>+Summary!B28</f>
        <v>3</v>
      </c>
      <c r="F6" s="107">
        <f t="shared" ref="F6:F7" si="0">+C6*E6</f>
        <v>0.30000000000000004</v>
      </c>
    </row>
    <row r="7" spans="1:8">
      <c r="B7" s="139" t="s">
        <v>99</v>
      </c>
      <c r="C7" s="79">
        <v>0.03</v>
      </c>
      <c r="D7" s="107">
        <f>+SUM($C$5:C7)</f>
        <v>0.38</v>
      </c>
      <c r="E7" s="107">
        <f>+E5+E6</f>
        <v>5</v>
      </c>
      <c r="F7" s="107">
        <f t="shared" si="0"/>
        <v>0.15</v>
      </c>
      <c r="G7" s="106" t="s">
        <v>107</v>
      </c>
      <c r="H7" s="141"/>
    </row>
    <row r="8" spans="1:8">
      <c r="B8" s="113" t="s">
        <v>12</v>
      </c>
      <c r="C8" s="113">
        <f>+SUM(C5:C7)</f>
        <v>0.38</v>
      </c>
      <c r="D8" s="113"/>
      <c r="E8" s="113"/>
      <c r="F8" s="99">
        <f>+SUM(F5:F7)</f>
        <v>0.95000000000000007</v>
      </c>
    </row>
    <row r="9" spans="1:8">
      <c r="B9" s="114" t="s">
        <v>103</v>
      </c>
    </row>
    <row r="12" spans="1:8">
      <c r="A12" s="109" t="s">
        <v>18</v>
      </c>
      <c r="B12" s="111" t="s">
        <v>96</v>
      </c>
      <c r="C12" s="111" t="s">
        <v>11</v>
      </c>
      <c r="D12" s="111" t="s">
        <v>20</v>
      </c>
      <c r="E12" s="111" t="s">
        <v>9</v>
      </c>
      <c r="F12" s="111" t="s">
        <v>1</v>
      </c>
    </row>
    <row r="13" spans="1:8">
      <c r="A13" s="106" t="s">
        <v>109</v>
      </c>
      <c r="B13" s="137">
        <v>1</v>
      </c>
      <c r="C13" s="110">
        <v>0.47499999999999998</v>
      </c>
      <c r="D13" s="110">
        <f>+SUM(C13:$C$13)</f>
        <v>0.47499999999999998</v>
      </c>
      <c r="E13" s="110">
        <f>+E5</f>
        <v>2</v>
      </c>
      <c r="F13" s="110">
        <f>+E13*C13</f>
        <v>0.95</v>
      </c>
      <c r="G13" s="106" t="s">
        <v>107</v>
      </c>
    </row>
    <row r="14" spans="1:8">
      <c r="A14" s="106" t="s">
        <v>111</v>
      </c>
      <c r="B14" s="113" t="s">
        <v>6</v>
      </c>
      <c r="C14" s="113">
        <f>+SUM(C13:C13)</f>
        <v>0.47499999999999998</v>
      </c>
      <c r="D14" s="113"/>
      <c r="E14" s="113"/>
      <c r="F14" s="118">
        <f>+SUM(F13:F13)</f>
        <v>0.95</v>
      </c>
    </row>
    <row r="17" spans="1:7">
      <c r="A17" s="109" t="s">
        <v>19</v>
      </c>
      <c r="B17" s="111" t="s">
        <v>96</v>
      </c>
      <c r="C17" s="111" t="s">
        <v>11</v>
      </c>
      <c r="D17" s="111" t="s">
        <v>20</v>
      </c>
      <c r="E17" s="111" t="s">
        <v>9</v>
      </c>
      <c r="F17" s="111" t="s">
        <v>1</v>
      </c>
    </row>
    <row r="18" spans="1:7">
      <c r="A18" s="106" t="s">
        <v>109</v>
      </c>
      <c r="B18" s="137">
        <v>2</v>
      </c>
      <c r="C18" s="110">
        <v>0.31666666666666599</v>
      </c>
      <c r="D18" s="110">
        <f>+SUM(C$18:$C18)</f>
        <v>0.31666666666666599</v>
      </c>
      <c r="E18" s="110">
        <f>+E6</f>
        <v>3</v>
      </c>
      <c r="F18" s="110">
        <f>+E18*C18</f>
        <v>0.94999999999999796</v>
      </c>
      <c r="G18" s="106" t="s">
        <v>107</v>
      </c>
    </row>
    <row r="19" spans="1:7">
      <c r="A19" s="106" t="s">
        <v>110</v>
      </c>
      <c r="B19" s="113" t="s">
        <v>6</v>
      </c>
      <c r="C19" s="113">
        <f>+SUM(C18:C18)</f>
        <v>0.31666666666666599</v>
      </c>
      <c r="D19" s="113"/>
      <c r="E19" s="113"/>
      <c r="F19" s="118">
        <f>+SUM(F18:F18)</f>
        <v>0.94999999999999796</v>
      </c>
    </row>
  </sheetData>
  <mergeCells count="1">
    <mergeCell ref="A1:E1"/>
  </mergeCell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106" customWidth="1"/>
    <col min="2" max="2" width="25.21875" style="106" bestFit="1" customWidth="1"/>
    <col min="3" max="3" width="11.5546875" style="106"/>
    <col min="4" max="4" width="15.5546875" style="106" bestFit="1" customWidth="1"/>
    <col min="5" max="5" width="11.5546875" style="106"/>
    <col min="6" max="6" width="13.33203125" style="106" customWidth="1"/>
    <col min="7" max="7" width="15.33203125" style="106" bestFit="1" customWidth="1"/>
    <col min="8" max="8" width="15.109375" style="106" customWidth="1"/>
    <col min="9" max="9" width="11.5546875" style="106"/>
    <col min="10" max="10" width="12.5546875" style="106" bestFit="1" customWidth="1"/>
    <col min="11" max="16384" width="11.5546875" style="106"/>
  </cols>
  <sheetData>
    <row r="1" spans="1:8" ht="18">
      <c r="A1" s="143" t="s">
        <v>140</v>
      </c>
      <c r="B1" s="143"/>
      <c r="C1" s="143"/>
      <c r="D1" s="143"/>
      <c r="E1" s="143"/>
    </row>
    <row r="2" spans="1:8">
      <c r="A2" s="116"/>
    </row>
    <row r="4" spans="1:8">
      <c r="A4" s="109" t="s">
        <v>85</v>
      </c>
      <c r="B4" s="111" t="s">
        <v>96</v>
      </c>
      <c r="C4" s="111" t="s">
        <v>11</v>
      </c>
      <c r="D4" s="111" t="s">
        <v>20</v>
      </c>
      <c r="E4" s="111" t="s">
        <v>9</v>
      </c>
      <c r="F4" s="111" t="s">
        <v>1</v>
      </c>
      <c r="G4" s="111" t="s">
        <v>55</v>
      </c>
    </row>
    <row r="5" spans="1:8">
      <c r="B5" s="137">
        <v>1</v>
      </c>
      <c r="C5" s="110">
        <v>0.47499999999999998</v>
      </c>
      <c r="D5" s="110">
        <f>+SUM(C5:$C$5)</f>
        <v>0.47499999999999998</v>
      </c>
      <c r="E5" s="110">
        <f>+Summary!B21</f>
        <v>2</v>
      </c>
      <c r="F5" s="110">
        <f>+E5*C5</f>
        <v>0.95</v>
      </c>
      <c r="G5" s="89">
        <v>0.02</v>
      </c>
      <c r="H5" s="106" t="s">
        <v>107</v>
      </c>
    </row>
    <row r="6" spans="1:8">
      <c r="B6" s="113" t="s">
        <v>6</v>
      </c>
      <c r="C6" s="113">
        <f>+SUM(C5:C5)</f>
        <v>0.47499999999999998</v>
      </c>
      <c r="D6" s="113"/>
      <c r="E6" s="113"/>
      <c r="F6" s="118">
        <f>+SUM(F5:F5)</f>
        <v>0.95</v>
      </c>
      <c r="G6" s="91"/>
    </row>
    <row r="7" spans="1:8">
      <c r="G7" s="87"/>
    </row>
    <row r="8" spans="1:8">
      <c r="G8" s="87"/>
    </row>
    <row r="9" spans="1:8">
      <c r="A9" s="109" t="s">
        <v>86</v>
      </c>
      <c r="B9" s="111" t="s">
        <v>96</v>
      </c>
      <c r="C9" s="111" t="s">
        <v>11</v>
      </c>
      <c r="D9" s="111" t="s">
        <v>20</v>
      </c>
      <c r="E9" s="111" t="s">
        <v>9</v>
      </c>
      <c r="F9" s="111" t="s">
        <v>1</v>
      </c>
      <c r="G9" s="111" t="s">
        <v>55</v>
      </c>
    </row>
    <row r="10" spans="1:8">
      <c r="B10" s="137">
        <v>1</v>
      </c>
      <c r="C10" s="110">
        <v>0.31666666666666599</v>
      </c>
      <c r="D10" s="110">
        <f>1/6</f>
        <v>0.16666666666666666</v>
      </c>
      <c r="E10" s="110">
        <f>+Summary!E21</f>
        <v>3</v>
      </c>
      <c r="F10" s="110">
        <f>+E10*C10</f>
        <v>0.94999999999999796</v>
      </c>
      <c r="G10" s="89">
        <v>0.03</v>
      </c>
      <c r="H10" s="106" t="s">
        <v>107</v>
      </c>
    </row>
    <row r="11" spans="1:8">
      <c r="B11" s="113" t="s">
        <v>6</v>
      </c>
      <c r="C11" s="113">
        <f>+SUM(C10:C10)</f>
        <v>0.31666666666666599</v>
      </c>
      <c r="D11" s="113"/>
      <c r="E11" s="113"/>
      <c r="F11" s="118">
        <f>+SUM(F10:F10)</f>
        <v>0.94999999999999796</v>
      </c>
      <c r="G11" s="91"/>
    </row>
    <row r="12" spans="1:8">
      <c r="G12" s="88"/>
    </row>
    <row r="13" spans="1:8">
      <c r="G13" s="88"/>
    </row>
    <row r="14" spans="1:8">
      <c r="A14" s="109" t="s">
        <v>87</v>
      </c>
      <c r="B14" s="111" t="s">
        <v>96</v>
      </c>
      <c r="C14" s="111" t="s">
        <v>11</v>
      </c>
      <c r="D14" s="111" t="s">
        <v>20</v>
      </c>
      <c r="E14" s="111" t="s">
        <v>9</v>
      </c>
      <c r="F14" s="111" t="s">
        <v>1</v>
      </c>
      <c r="G14" s="111" t="s">
        <v>55</v>
      </c>
    </row>
    <row r="15" spans="1:8">
      <c r="B15" s="137">
        <v>1</v>
      </c>
      <c r="C15" s="110">
        <v>0.23749999999999999</v>
      </c>
      <c r="D15" s="110">
        <f>+SUM(C$15:$C15)</f>
        <v>0.23749999999999999</v>
      </c>
      <c r="E15" s="110">
        <f>+Summary!H21</f>
        <v>4</v>
      </c>
      <c r="F15" s="110">
        <f>+E15*C15</f>
        <v>0.95</v>
      </c>
      <c r="G15" s="89">
        <v>0.04</v>
      </c>
      <c r="H15" s="106" t="s">
        <v>107</v>
      </c>
    </row>
    <row r="16" spans="1:8">
      <c r="B16" s="113" t="s">
        <v>6</v>
      </c>
      <c r="C16" s="113">
        <f>+SUM(C15:C15)</f>
        <v>0.23749999999999999</v>
      </c>
      <c r="D16" s="113"/>
      <c r="E16" s="113"/>
      <c r="F16" s="118">
        <f>+SUM(F15:F15)</f>
        <v>0.95</v>
      </c>
      <c r="G16" s="91"/>
    </row>
    <row r="17" spans="7:7">
      <c r="G17" s="88"/>
    </row>
    <row r="18" spans="7:7">
      <c r="G18" s="88"/>
    </row>
    <row r="19" spans="7:7">
      <c r="G19" s="88"/>
    </row>
    <row r="20" spans="7:7">
      <c r="G20" s="88"/>
    </row>
    <row r="21" spans="7:7">
      <c r="G21" s="88"/>
    </row>
    <row r="22" spans="7:7">
      <c r="G22" s="88"/>
    </row>
    <row r="23" spans="7:7">
      <c r="G23" s="88"/>
    </row>
    <row r="24" spans="7:7">
      <c r="G24" s="88"/>
    </row>
    <row r="25" spans="7:7">
      <c r="G25" s="88"/>
    </row>
    <row r="26" spans="7:7">
      <c r="G26" s="88"/>
    </row>
    <row r="27" spans="7:7">
      <c r="G27" s="88"/>
    </row>
    <row r="28" spans="7:7">
      <c r="G28" s="88"/>
    </row>
    <row r="29" spans="7:7">
      <c r="G29" s="88"/>
    </row>
    <row r="30" spans="7:7">
      <c r="G30" s="88"/>
    </row>
    <row r="31" spans="7:7">
      <c r="G31" s="88"/>
    </row>
    <row r="32" spans="7:7">
      <c r="G32" s="88"/>
    </row>
    <row r="33" spans="7:7">
      <c r="G33" s="88"/>
    </row>
    <row r="34" spans="7:7">
      <c r="G34" s="87"/>
    </row>
    <row r="35" spans="7:7">
      <c r="G35" s="87"/>
    </row>
    <row r="36" spans="7:7">
      <c r="G36" s="87"/>
    </row>
    <row r="37" spans="7:7">
      <c r="G37" s="87"/>
    </row>
    <row r="38" spans="7:7">
      <c r="G38" s="87"/>
    </row>
    <row r="39" spans="7:7">
      <c r="G39" s="87"/>
    </row>
    <row r="40" spans="7:7">
      <c r="G40" s="87"/>
    </row>
    <row r="41" spans="7:7">
      <c r="G41" s="87"/>
    </row>
    <row r="42" spans="7:7">
      <c r="G42" s="87"/>
    </row>
    <row r="43" spans="7:7">
      <c r="G43" s="87"/>
    </row>
    <row r="44" spans="7:7">
      <c r="G44" s="87"/>
    </row>
    <row r="45" spans="7:7">
      <c r="G45" s="87"/>
    </row>
    <row r="46" spans="7:7">
      <c r="G46" s="87"/>
    </row>
    <row r="47" spans="7:7">
      <c r="G47" s="87"/>
    </row>
    <row r="48" spans="7:7">
      <c r="G48" s="87"/>
    </row>
    <row r="49" spans="7:7">
      <c r="G49" s="87"/>
    </row>
    <row r="50" spans="7:7">
      <c r="G50" s="87"/>
    </row>
    <row r="51" spans="7:7">
      <c r="G51" s="87"/>
    </row>
    <row r="52" spans="7:7">
      <c r="G52" s="87"/>
    </row>
    <row r="53" spans="7:7">
      <c r="G53" s="87"/>
    </row>
    <row r="54" spans="7:7">
      <c r="G54" s="87"/>
    </row>
    <row r="55" spans="7:7">
      <c r="G55" s="87"/>
    </row>
    <row r="56" spans="7:7">
      <c r="G56" s="87"/>
    </row>
    <row r="57" spans="7:7">
      <c r="G57" s="87"/>
    </row>
    <row r="58" spans="7:7">
      <c r="G58" s="87"/>
    </row>
    <row r="59" spans="7:7">
      <c r="G59" s="87"/>
    </row>
    <row r="60" spans="7:7">
      <c r="G60" s="87"/>
    </row>
    <row r="61" spans="7:7">
      <c r="G61" s="87"/>
    </row>
    <row r="62" spans="7:7">
      <c r="G62" s="87"/>
    </row>
    <row r="63" spans="7:7">
      <c r="G63" s="87"/>
    </row>
    <row r="64" spans="7:7">
      <c r="G64" s="87"/>
    </row>
    <row r="65" spans="7:7">
      <c r="G65" s="87"/>
    </row>
    <row r="66" spans="7:7">
      <c r="G66" s="87"/>
    </row>
    <row r="67" spans="7:7">
      <c r="G67" s="87"/>
    </row>
    <row r="68" spans="7:7">
      <c r="G68" s="87"/>
    </row>
    <row r="69" spans="7:7">
      <c r="G69" s="87"/>
    </row>
    <row r="70" spans="7:7">
      <c r="G70" s="87"/>
    </row>
    <row r="71" spans="7:7">
      <c r="G71" s="87"/>
    </row>
    <row r="72" spans="7:7">
      <c r="G72" s="87"/>
    </row>
    <row r="73" spans="7:7">
      <c r="G73" s="87"/>
    </row>
    <row r="74" spans="7:7">
      <c r="G74" s="87"/>
    </row>
    <row r="75" spans="7:7">
      <c r="G75" s="87"/>
    </row>
    <row r="76" spans="7:7">
      <c r="G76" s="87"/>
    </row>
    <row r="77" spans="7:7">
      <c r="G77" s="87"/>
    </row>
    <row r="78" spans="7:7">
      <c r="G78" s="87"/>
    </row>
    <row r="79" spans="7:7">
      <c r="G79" s="87"/>
    </row>
    <row r="80" spans="7:7">
      <c r="G80" s="87"/>
    </row>
    <row r="81" spans="7:7">
      <c r="G81" s="87"/>
    </row>
    <row r="82" spans="7:7">
      <c r="G82" s="87"/>
    </row>
    <row r="83" spans="7:7">
      <c r="G83" s="87"/>
    </row>
    <row r="84" spans="7:7">
      <c r="G84" s="87"/>
    </row>
    <row r="85" spans="7:7">
      <c r="G85" s="87"/>
    </row>
    <row r="86" spans="7:7">
      <c r="G86" s="87"/>
    </row>
    <row r="87" spans="7:7">
      <c r="G87" s="87"/>
    </row>
    <row r="88" spans="7:7">
      <c r="G88" s="87"/>
    </row>
    <row r="89" spans="7:7">
      <c r="G89" s="87"/>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33</vt:i4>
      </vt:variant>
    </vt:vector>
  </HeadingPairs>
  <TitlesOfParts>
    <vt:vector size="33" baseType="lpstr">
      <vt:lpstr>Summary</vt:lpstr>
      <vt:lpstr>Special weapon</vt:lpstr>
      <vt:lpstr>Base game (Mummy A)</vt:lpstr>
      <vt:lpstr>Base game (Mummy B)</vt:lpstr>
      <vt:lpstr>Base game (Mummy C)</vt:lpstr>
      <vt:lpstr>Base game (Standard Mummy)</vt:lpstr>
      <vt:lpstr>Base game (Scarabs)</vt:lpstr>
      <vt:lpstr>Base game (Pharaoh A &amp; B)</vt:lpstr>
      <vt:lpstr>Special weapon 1 (Mummy A) </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lpstr>Boss round</vt:lpstr>
      <vt:lpstr>Boss (Hoard)</vt:lpstr>
      <vt:lpstr>Hoard (Mummy A)</vt:lpstr>
      <vt:lpstr>Hoard (Mummy B)</vt:lpstr>
      <vt:lpstr>Hoard (Mummy C)</vt:lpstr>
      <vt:lpstr>Hord (Standard Mummy)</vt:lpstr>
      <vt:lpstr>Hoard (Scarabs)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2017-11-21T04:37:13Z</dcterms:modified>
</cp:coreProperties>
</file>