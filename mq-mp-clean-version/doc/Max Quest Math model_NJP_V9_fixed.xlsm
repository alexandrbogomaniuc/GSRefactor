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3.xml" ContentType="application/vnd.openxmlformats-officedocument.spreadsheetml.comments+xml"/>
  <Override PartName="/xl/comments12.xml" ContentType="application/vnd.openxmlformats-officedocument.spreadsheetml.comments+xml"/>
  <Override PartName="/xl/comments10.xml" ContentType="application/vnd.openxmlformats-officedocument.spreadsheetml.comments+xml"/>
  <Override PartName="/xl/comments9.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xl/comments11.xml" ContentType="application/vnd.openxmlformats-officedocument.spreadsheetml.comments+xml"/>
  <Override PartName="/xl/worksheets/_rels/sheet16.xml.rels" ContentType="application/vnd.openxmlformats-package.relationships+xml"/>
  <Override PartName="/xl/worksheets/_rels/sheet15.xml.rels" ContentType="application/vnd.openxmlformats-package.relationships+xml"/>
  <Override PartName="/xl/worksheets/_rels/sheet14.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6.xml.rels" ContentType="application/vnd.openxmlformats-package.relationships+xml"/>
  <Override PartName="/xl/worksheets/_rels/sheet9.xml.rels" ContentType="application/vnd.openxmlformats-package.relationships+xml"/>
  <Override PartName="/xl/worksheets/_rels/sheet10.xml.rels" ContentType="application/vnd.openxmlformats-package.relationships+xml"/>
  <Override PartName="/xl/worksheets/_rels/sheet11.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comments14.xml" ContentType="application/vnd.openxmlformats-officedocument.spreadsheetml.comments+xml"/>
  <Override PartName="/xl/styles.xml" ContentType="application/vnd.openxmlformats-officedocument.spreadsheetml.styles+xml"/>
  <Override PartName="/xl/drawings/drawing11.xml" ContentType="application/vnd.openxmlformats-officedocument.drawing+xml"/>
  <Override PartName="/xl/drawings/drawing10.xml" ContentType="application/vnd.openxmlformats-officedocument.drawing+xml"/>
  <Override PartName="/xl/drawings/vmlDrawing9.vml" ContentType="application/vnd.openxmlformats-officedocument.vmlDrawing"/>
  <Override PartName="/xl/drawings/vmlDrawing3.vml" ContentType="application/vnd.openxmlformats-officedocument.vmlDrawing"/>
  <Override PartName="/xl/drawings/vmlDrawing2.vml" ContentType="application/vnd.openxmlformats-officedocument.vmlDrawing"/>
  <Override PartName="/xl/drawings/vmlDrawing8.vml" ContentType="application/vnd.openxmlformats-officedocument.vmlDrawing"/>
  <Override PartName="/xl/drawings/vmlDrawing1.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drawings/vmlDrawing7.vml" ContentType="application/vnd.openxmlformats-officedocument.vmlDrawing"/>
  <Override PartName="/xl/drawings/drawing9.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haredStrings.xml" ContentType="application/vnd.openxmlformats-officedocument.spreadsheetml.sharedStrings+xml"/>
  <Override PartName="/xl/comments6.xml" ContentType="application/vnd.openxmlformats-officedocument.spreadsheetml.comment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Summary" sheetId="1" state="visible" r:id="rId3"/>
    <sheet name="Special weapon" sheetId="2" state="visible" r:id="rId4"/>
    <sheet name="Buying Special weapons" sheetId="3" state="visible" r:id="rId5"/>
    <sheet name="Boss round (4 or more players)" sheetId="4" state="visible" r:id="rId6"/>
    <sheet name="Boss round (1,2,or 3 players)" sheetId="5" state="visible" r:id="rId7"/>
    <sheet name="Scarab Black" sheetId="6" state="visible" r:id="rId8"/>
    <sheet name="Scarab Gold" sheetId="7" state="visible" r:id="rId9"/>
    <sheet name="Scarab Gem Covered" sheetId="8" state="visible" r:id="rId10"/>
    <sheet name="Standard Mummy" sheetId="9" state="visible" r:id="rId11"/>
    <sheet name="Mummy A" sheetId="10" state="visible" r:id="rId12"/>
    <sheet name="Mummy B" sheetId="11" state="visible" r:id="rId13"/>
    <sheet name="Mummy C" sheetId="12" state="visible" r:id="rId14"/>
    <sheet name="Pharaoh A" sheetId="13" state="visible" r:id="rId15"/>
    <sheet name="Pharaoh B" sheetId="14" state="visible" r:id="rId16"/>
    <sheet name="HV Scarab" sheetId="15" state="visible" r:id="rId17"/>
    <sheet name="HV enemy" sheetId="16" state="visible" r:id="rId18"/>
    <sheet name="Profiles" sheetId="17" state="visible" r:id="rId19"/>
  </sheets>
  <definedNames>
    <definedName function="true" hidden="false" name="button_sim.shoot_enemy" vbProcedure="true"/>
    <definedName function="true" hidden="false" name="button_sim.reset_sim_values" vbProcedure="true"/>
  </definedNames>
  <calcPr iterateCount="100" refMode="A1" iterate="false" iterateDelta="0.0001"/>
  <extLst>
    <ext xmlns:loext="http://schemas.libreoffice.org/" uri="{7626C862-2A13-11E5-B345-FEFF819CDC9F}">
      <loext:extCalcPr stringRefSyntax="ExcelA1"/>
    </ext>
  </extLst>
</workbook>
</file>

<file path=xl/comments6.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13.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comments14.xml><?xml version="1.0" encoding="utf-8"?>
<comments xmlns="http://schemas.openxmlformats.org/spreadsheetml/2006/main" xmlns:xdr="http://schemas.openxmlformats.org/drawingml/2006/spreadsheetDrawing">
  <authors>
    <author> </author>
  </authors>
  <commentList>
    <comment ref="C2" authorId="0">
      <text>
        <r>
          <rPr>
            <b val="true"/>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<sst xmlns="http://schemas.openxmlformats.org/spreadsheetml/2006/main" count="1128" uniqueCount="166">
  <si>
    <t xml:space="preserve">Notes: the number of enemies of each type in each location is irrelevant from the mathematical point of view.</t>
  </si>
  <si>
    <t xml:space="preserve">If locations act as "levels", it may be interesting to have weak enemies in the first location and add other species in the following locations.</t>
  </si>
  <si>
    <t xml:space="preserve">Regular enemies in Boss Round</t>
  </si>
  <si>
    <t xml:space="preserve">Feature</t>
  </si>
  <si>
    <t xml:space="preserve">RTP</t>
  </si>
  <si>
    <t xml:space="preserve">Freq</t>
  </si>
  <si>
    <t xml:space="preserve">Probability</t>
  </si>
  <si>
    <t xml:space="preserve">Max avg pay</t>
  </si>
  <si>
    <t xml:space="preserve">Min avg pay</t>
  </si>
  <si>
    <t xml:space="preserve">Min RTP</t>
  </si>
  <si>
    <t xml:space="preserve">Base game</t>
  </si>
  <si>
    <t xml:space="preserve">Boss round</t>
  </si>
  <si>
    <t xml:space="preserve">Special weapon (*)</t>
  </si>
  <si>
    <t xml:space="preserve">Leaderboard</t>
  </si>
  <si>
    <t xml:space="preserve">Jackpot</t>
  </si>
  <si>
    <t xml:space="preserve">Total</t>
  </si>
  <si>
    <t xml:space="preserve">(*) Shots using special weapons are not paid. Each special weapon has a limited number of shots and could be used anytime.</t>
  </si>
  <si>
    <t xml:space="preserve">There are different kind of enemies. Each enemy has its own prizes. Stronger enemies grant bigger prizes but are more difficult to kill.</t>
  </si>
  <si>
    <t xml:space="preserve">Scarab black</t>
  </si>
  <si>
    <t xml:space="preserve">Scarab gold</t>
  </si>
  <si>
    <t xml:space="preserve">Scarab gem covered</t>
  </si>
  <si>
    <t xml:space="preserve">Prize #</t>
  </si>
  <si>
    <t xml:space="preserve">Pays</t>
  </si>
  <si>
    <t xml:space="preserve">Standard Mummy</t>
  </si>
  <si>
    <t xml:space="preserve">Medium Mummy A</t>
  </si>
  <si>
    <t xml:space="preserve">Medium Mummy B</t>
  </si>
  <si>
    <t xml:space="preserve">Medium Mummy C</t>
  </si>
  <si>
    <t xml:space="preserve">Prize</t>
  </si>
  <si>
    <t xml:space="preserve">Powerful Pharaoh Mummy A</t>
  </si>
  <si>
    <t xml:space="preserve">Powerful Pharaoh Mummy B</t>
  </si>
  <si>
    <t xml:space="preserve">High Volatility Scarab</t>
  </si>
  <si>
    <t xml:space="preserve">High Volatility enemy</t>
  </si>
  <si>
    <r>
      <rPr>
        <sz val="11"/>
        <color rgb="FF000000"/>
        <rFont val="Calibri"/>
        <family val="2"/>
        <charset val="1"/>
      </rPr>
      <t xml:space="preserve">For each shot in base game with a regular weapon draw if player gets a special weapon or not. </t>
    </r>
    <r>
      <rPr>
        <b val="true"/>
        <sz val="11"/>
        <color rgb="FFFF0000"/>
        <rFont val="Calibri"/>
        <family val="2"/>
        <charset val="1"/>
      </rPr>
      <t xml:space="preserve">Except shots at High Volatility Enemy and High Volatility Scarab.</t>
    </r>
  </si>
  <si>
    <t xml:space="preserve">If player gets a special weapon then draw which one he gets using the weights in the table below.</t>
  </si>
  <si>
    <t xml:space="preserve">Special weapons can be use anytime.</t>
  </si>
  <si>
    <t xml:space="preserve">Special weapons:</t>
  </si>
  <si>
    <t xml:space="preserve">Shots</t>
  </si>
  <si>
    <t xml:space="preserve">Avg pay by shot</t>
  </si>
  <si>
    <t xml:space="preserve">Total avg pay</t>
  </si>
  <si>
    <t xml:space="preserve">Weights</t>
  </si>
  <si>
    <t xml:space="preserve">Special weapon 1</t>
  </si>
  <si>
    <t xml:space="preserve">Special weapon 2</t>
  </si>
  <si>
    <t xml:space="preserve">Special weapon 3</t>
  </si>
  <si>
    <t xml:space="preserve">Plasma Gun</t>
  </si>
  <si>
    <t xml:space="preserve">(*) avg pay using best strategy</t>
  </si>
  <si>
    <t xml:space="preserve">Avg win</t>
  </si>
  <si>
    <t xml:space="preserve">Each special weapon has its own probabilities of damage for each kind of enemy. Prizes must be multiplied by the stake that triggered the feature.</t>
  </si>
  <si>
    <t xml:space="preserve">For instance, if player gets a special weapon betting 100 credits, at the moment he decides to use it the prizes must be multiplied by 100. It doesn’t matter if after getting the special weapon he changed the stake.</t>
  </si>
  <si>
    <t xml:space="preserve">Special weapons description</t>
  </si>
  <si>
    <t xml:space="preserve">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</si>
  <si>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</si>
  <si>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</si>
  <si>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 xml:space="preserve">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</si>
  <si>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</si>
  <si>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 xml:space="preserve">Special weapon 3: every time a player gets special weapon 3 choose at random between a Chain gun or Ricochet.</t>
  </si>
  <si>
    <t xml:space="preserve">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</si>
  <si>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</si>
  <si>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 xml:space="preserve">Worst strategy</t>
  </si>
  <si>
    <t xml:space="preserve">(*) worst strategy is to shoot when there is only one enemy on screen. In this case, for each granade 4 shots are wasted.</t>
  </si>
  <si>
    <t xml:space="preserve">Special weapon 3 (Chain gun)</t>
  </si>
  <si>
    <t xml:space="preserve">Special weapon 3 (Ricochet) (**)</t>
  </si>
  <si>
    <t xml:space="preserve">(**) worst strategy is to shoot when there is only one enemy on screen. In this case every shot wastes the bounce shot.</t>
  </si>
  <si>
    <t xml:space="preserve">Player can buy special weapons, the price for each weapon is the table below.</t>
  </si>
  <si>
    <t xml:space="preserve">Crate price (credits)</t>
  </si>
  <si>
    <t xml:space="preserve">Crate content (random):</t>
  </si>
  <si>
    <t xml:space="preserve">Weight</t>
  </si>
  <si>
    <t xml:space="preserve">Avg pay/price</t>
  </si>
  <si>
    <t xml:space="preserve">Total RTP:</t>
  </si>
  <si>
    <t xml:space="preserve">Environmental Boss round</t>
  </si>
  <si>
    <t xml:space="preserve">As each shot to boss is a bet, the RTP for this bet should be the same as base game (95.5%) to avoid player's strategies. </t>
  </si>
  <si>
    <t xml:space="preserve">So, each shot can grant an extra prize (Table 1) and cause a damage. The RTP of these shots will be 95.5% plus the RTP from Boss prize.</t>
  </si>
  <si>
    <t xml:space="preserve">Extra prizes can be inmediately granted to players or they can be accumulate and granted at the end of the round added to the part of the Boss prize.</t>
  </si>
  <si>
    <t xml:space="preserve">For each shot, draw an extra prize (Table 1) and boss damage (Table 2 and 3 corrected by player's bet). They are independent events.</t>
  </si>
  <si>
    <t xml:space="preserve">Extra prize</t>
  </si>
  <si>
    <t xml:space="preserve">Regular weapon</t>
  </si>
  <si>
    <t xml:space="preserve">Table 1</t>
  </si>
  <si>
    <t xml:space="preserve">Cumulative prob.</t>
  </si>
  <si>
    <t xml:space="preserve">Avg prize</t>
  </si>
  <si>
    <t xml:space="preserve">Total (*)</t>
  </si>
  <si>
    <t xml:space="preserve">Boss damage</t>
  </si>
  <si>
    <t xml:space="preserve">Boss energy:</t>
  </si>
  <si>
    <t xml:space="preserve">The total Boss prize must return to players. The part of this prize won by bots will be added to Leaderboard prizes.</t>
  </si>
  <si>
    <t xml:space="preserve">Each energy unit is equivalent to the stake that has triggered the boss round. The boss prize is 100 times the stake that has triggered the boss round (in the same currency).</t>
  </si>
  <si>
    <t xml:space="preserve">If player A has caused a damage of 15 energy units then player wins a prize of 15 times the triggering stake (it probably needs to be converted to player's currency) plus the extra prizes (in player currency).</t>
  </si>
  <si>
    <t xml:space="preserve">Players who have bet the most are likely to win the most. So, probabilities are proportional to player's total bet in the base game previous to Boss round.</t>
  </si>
  <si>
    <t xml:space="preserve">For each player the probabilities in the table below must be multiplied by player's total bet in base game previous to Boss round and divided by total bet in base game previous to Boss round.</t>
  </si>
  <si>
    <t xml:space="preserve">Probability factor correction (PFC): player's bet divided by total bet</t>
  </si>
  <si>
    <t xml:space="preserve">Damage probabilities do not depend on the weapon used.</t>
  </si>
  <si>
    <t xml:space="preserve">Table 2</t>
  </si>
  <si>
    <t xml:space="preserve">Damage</t>
  </si>
  <si>
    <t xml:space="preserve">Probability Base line</t>
  </si>
  <si>
    <t xml:space="preserve">Avg damage:</t>
  </si>
  <si>
    <t xml:space="preserve">Avg shots to kill boss</t>
  </si>
  <si>
    <t xml:space="preserve">&lt;- this RTP is distributed between players</t>
  </si>
  <si>
    <t xml:space="preserve">When Boss energy is less than 5 some damage levels are not possible, in that case each player can only cause a damage of 1 unit with this probability:</t>
  </si>
  <si>
    <t xml:space="preserve">Table 3</t>
  </si>
  <si>
    <t xml:space="preserve">Example:</t>
  </si>
  <si>
    <t xml:space="preserve">Player 1 has bet 25 EUR in base game.</t>
  </si>
  <si>
    <t xml:space="preserve">Player 2 has bet 50 EUR in base game.</t>
  </si>
  <si>
    <t xml:space="preserve">Total bet: 25+50 = 75</t>
  </si>
  <si>
    <t xml:space="preserve">If Boss energy is at least 5 units the probabilities of damages are:</t>
  </si>
  <si>
    <t xml:space="preserve">Player 1</t>
  </si>
  <si>
    <t xml:space="preserve">PFC= 25/75</t>
  </si>
  <si>
    <t xml:space="preserve">PFC</t>
  </si>
  <si>
    <t xml:space="preserve">Player's probabilities</t>
  </si>
  <si>
    <t xml:space="preserve">Player 2</t>
  </si>
  <si>
    <t xml:space="preserve">PFC= 50/75</t>
  </si>
  <si>
    <t xml:space="preserve">With this numbers the RTP for player 1 is 95.5% due "extra prizes" plus 0.1% due Boss damage.</t>
  </si>
  <si>
    <t xml:space="preserve">RTP for player 2 is 95.5% due "extra prizes" plus 0.05% due Boss damage.</t>
  </si>
  <si>
    <t xml:space="preserve">RTP for player 2 is greater than RTP for player 1 because player 2 has bet more in base game.</t>
  </si>
  <si>
    <t xml:space="preserve">Scarab Black summary</t>
  </si>
  <si>
    <t xml:space="preserve">REGULAR WEAPON</t>
  </si>
  <si>
    <t xml:space="preserve">SPECIAL WEAPON 1</t>
  </si>
  <si>
    <t xml:space="preserve">SPECIAL WEAPON 2</t>
  </si>
  <si>
    <t xml:space="preserve">SPECIAL WEAPON 3</t>
  </si>
  <si>
    <t xml:space="preserve">PLASMA GUN</t>
  </si>
  <si>
    <t xml:space="preserve">Probabilities</t>
  </si>
  <si>
    <t xml:space="preserve">Boss Probability (*)</t>
  </si>
  <si>
    <t xml:space="preserve">Avg payout</t>
  </si>
  <si>
    <t xml:space="preserve">Award</t>
  </si>
  <si>
    <t xml:space="preserve">Count Sim</t>
  </si>
  <si>
    <t xml:space="preserve">Killing the enemy</t>
  </si>
  <si>
    <t xml:space="preserve">Killing the enemy (special weapon1)</t>
  </si>
  <si>
    <t xml:space="preserve">Killing the enemy (special weapon2)</t>
  </si>
  <si>
    <t xml:space="preserve">Killing the enemy (special weapon3)</t>
  </si>
  <si>
    <t xml:space="preserve">Killing the enemy (plasma)</t>
  </si>
  <si>
    <t xml:space="preserve">Range of prizes</t>
  </si>
  <si>
    <t xml:space="preserve">Total paid shots:</t>
  </si>
  <si>
    <t xml:space="preserve">Total shots:</t>
  </si>
  <si>
    <t xml:space="preserve">Total killed:</t>
  </si>
  <si>
    <t xml:space="preserve">Weapon</t>
  </si>
  <si>
    <t xml:space="preserve">Shots:</t>
  </si>
  <si>
    <t xml:space="preserve">Hit rate:</t>
  </si>
  <si>
    <t xml:space="preserve">RTP base:</t>
  </si>
  <si>
    <t xml:space="preserve">RTP special weapon:</t>
  </si>
  <si>
    <t xml:space="preserve">Scarab Gold summary</t>
  </si>
  <si>
    <t xml:space="preserve">Scarab Gem Covered summary</t>
  </si>
  <si>
    <t xml:space="preserve">Standard Mummy summary</t>
  </si>
  <si>
    <t xml:space="preserve">Mummy A Summary</t>
  </si>
  <si>
    <t xml:space="preserve">Mummy B Summary</t>
  </si>
  <si>
    <t xml:space="preserve">Mummy C Summary</t>
  </si>
  <si>
    <t xml:space="preserve">Pharaoh A Summary</t>
  </si>
  <si>
    <t xml:space="preserve">Pharaoh B Summary</t>
  </si>
  <si>
    <t xml:space="preserve">HV Scarab Summary</t>
  </si>
  <si>
    <t xml:space="preserve">Boss Probability</t>
  </si>
  <si>
    <t xml:space="preserve">HV Enemy Summary</t>
  </si>
  <si>
    <t xml:space="preserve">Weapons power</t>
  </si>
  <si>
    <t xml:space="preserve">Average shots to kill</t>
  </si>
  <si>
    <t xml:space="preserve">Regular </t>
  </si>
  <si>
    <t xml:space="preserve">Special 1</t>
  </si>
  <si>
    <t xml:space="preserve">Special 2</t>
  </si>
  <si>
    <t xml:space="preserve">Special 3</t>
  </si>
  <si>
    <t xml:space="preserve">Plasma</t>
  </si>
  <si>
    <t xml:space="preserve">Scarab Black</t>
  </si>
  <si>
    <t xml:space="preserve">Scarab Gold</t>
  </si>
  <si>
    <t xml:space="preserve">Scarab Gem Covered</t>
  </si>
  <si>
    <t xml:space="preserve">Mummy A</t>
  </si>
  <si>
    <t xml:space="preserve">Mummy B</t>
  </si>
  <si>
    <t xml:space="preserve">Mummy C</t>
  </si>
  <si>
    <t xml:space="preserve">Pharaoh A</t>
  </si>
  <si>
    <t xml:space="preserve">Pharaoh B</t>
  </si>
  <si>
    <t xml:space="preserve">HV Scarab</t>
  </si>
  <si>
    <t xml:space="preserve">HV Enemy</t>
  </si>
  <si>
    <t xml:space="preserve">Boss (1-3 players)</t>
  </si>
  <si>
    <t xml:space="preserve">Boss (+4 players)</t>
  </si>
  <si>
    <t xml:space="preserve">Special weapons strength</t>
  </si>
</sst>
</file>

<file path=xl/styles.xml><?xml version="1.0" encoding="utf-8"?>
<styleSheet xmlns="http://schemas.openxmlformats.org/spreadsheetml/2006/main">
  <numFmts count="12">
    <numFmt numFmtId="164" formatCode="General"/>
    <numFmt numFmtId="165" formatCode="0%"/>
    <numFmt numFmtId="166" formatCode="0.0%"/>
    <numFmt numFmtId="167" formatCode="0.00"/>
    <numFmt numFmtId="168" formatCode="0.00%"/>
    <numFmt numFmtId="169" formatCode="\x0.00"/>
    <numFmt numFmtId="170" formatCode="#,##0"/>
    <numFmt numFmtId="171" formatCode="0.0"/>
    <numFmt numFmtId="172" formatCode="0.0000"/>
    <numFmt numFmtId="173" formatCode="\x0"/>
    <numFmt numFmtId="174" formatCode="0.0000000"/>
    <numFmt numFmtId="175" formatCode="0.000"/>
  </numFmts>
  <fonts count="17">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rgb="FFFFFFFF"/>
      <name val="Calibri"/>
      <family val="2"/>
      <charset val="1"/>
    </font>
    <font>
      <sz val="11"/>
      <name val="Calibri"/>
      <family val="2"/>
      <charset val="1"/>
    </font>
    <font>
      <b val="true"/>
      <sz val="11"/>
      <color rgb="FFFF0000"/>
      <name val="Calibri"/>
      <family val="2"/>
      <charset val="1"/>
    </font>
    <font>
      <b val="true"/>
      <sz val="12"/>
      <color rgb="FF000000"/>
      <name val="Calibri"/>
      <family val="2"/>
      <charset val="1"/>
    </font>
    <font>
      <b val="true"/>
      <sz val="14"/>
      <color rgb="FFFFFFFF"/>
      <name val="Calibri"/>
      <family val="2"/>
      <charset val="1"/>
    </font>
    <font>
      <b val="true"/>
      <sz val="14"/>
      <color rgb="FF000000"/>
      <name val="Calibri"/>
      <family val="2"/>
      <charset val="1"/>
    </font>
    <font>
      <sz val="11"/>
      <color rgb="FFFF0000"/>
      <name val="Calibri"/>
      <family val="2"/>
      <charset val="1"/>
    </font>
    <font>
      <b val="true"/>
      <sz val="11"/>
      <color rgb="FFC00000"/>
      <name val="Calibri"/>
      <family val="2"/>
      <charset val="1"/>
    </font>
    <font>
      <b val="true"/>
      <sz val="9"/>
      <color rgb="FF000000"/>
      <name val="Tahoma"/>
      <family val="2"/>
      <charset val="1"/>
    </font>
    <font>
      <sz val="9"/>
      <color rgb="FF000000"/>
      <name val="Tahoma"/>
      <family val="2"/>
      <charset val="1"/>
    </font>
    <font>
      <b val="true"/>
      <sz val="11"/>
      <color rgb="FF000000"/>
      <name val="Calibri"/>
      <family val="0"/>
      <charset val="1"/>
    </font>
    <font>
      <sz val="11"/>
      <color rgb="FF000000"/>
      <name val="Calibri"/>
      <family val="0"/>
      <charset val="1"/>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0">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right style="medium"/>
      <top/>
      <bottom/>
      <diagonal/>
    </border>
    <border diagonalUp="false" diagonalDown="false">
      <left/>
      <right style="medium"/>
      <top/>
      <bottom style="medium"/>
      <diagonal/>
    </border>
    <border diagonalUp="false" diagonalDown="false">
      <left style="thin"/>
      <right style="thin"/>
      <top/>
      <bottom style="thin"/>
      <diagonal/>
    </border>
    <border diagonalUp="false" diagonalDown="false">
      <left style="thin"/>
      <right/>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cellStyleXfs>
  <cellXfs count="11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6" fontId="0" fillId="0" borderId="1" xfId="19" applyFont="true" applyBorder="true" applyAlignment="true" applyProtection="true">
      <alignment horizontal="general" vertical="bottom" textRotation="0" wrapText="false" indent="0" shrinkToFit="false"/>
      <protection locked="true" hidden="false"/>
    </xf>
    <xf numFmtId="166" fontId="6" fillId="0" borderId="1" xfId="19" applyFont="true" applyBorder="true" applyAlignment="true" applyProtection="true">
      <alignment horizontal="general" vertical="bottom" textRotation="0" wrapText="false" indent="0" shrinkToFit="false"/>
      <protection locked="true" hidden="false"/>
    </xf>
    <xf numFmtId="167" fontId="0" fillId="0" borderId="1" xfId="0" applyFont="false" applyBorder="true" applyAlignment="false" applyProtection="false">
      <alignment horizontal="general" vertical="bottom" textRotation="0" wrapText="false" indent="0" shrinkToFit="false"/>
      <protection locked="true" hidden="false"/>
    </xf>
    <xf numFmtId="168" fontId="5" fillId="2" borderId="1" xfId="19" applyFont="true" applyBorder="true" applyAlignment="true" applyProtection="true">
      <alignment horizontal="general" vertical="bottom" textRotation="0" wrapText="false" indent="0" shrinkToFit="false"/>
      <protection locked="true" hidden="false"/>
    </xf>
    <xf numFmtId="168" fontId="5" fillId="2" borderId="1"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9" fontId="4"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9" fontId="4" fillId="0" borderId="0" xfId="0" applyFont="true" applyBorder="true" applyAlignment="true" applyProtection="false">
      <alignment horizontal="right"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8"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7" fontId="0" fillId="0" borderId="5" xfId="0" applyFont="fals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17"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false">
      <alignment horizontal="center"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71" fontId="0" fillId="0" borderId="7" xfId="19" applyFont="true" applyBorder="true" applyAlignment="true" applyProtection="tru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71" fontId="0" fillId="0" borderId="8" xfId="19" applyFont="tru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71" fontId="0" fillId="0" borderId="11" xfId="19" applyFont="true" applyBorder="true" applyAlignment="true" applyProtection="tru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72" fontId="4" fillId="0" borderId="4" xfId="19"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false" applyProtection="fals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64" fontId="9" fillId="3" borderId="0" xfId="0" applyFont="true" applyBorder="true" applyAlignment="true" applyProtection="false">
      <alignment horizontal="center" vertical="bottom" textRotation="0" wrapText="false" indent="0" shrinkToFit="false"/>
      <protection locked="true" hidden="false"/>
    </xf>
    <xf numFmtId="164" fontId="10" fillId="4" borderId="0" xfId="0" applyFont="true" applyBorder="true" applyAlignment="true" applyProtection="false">
      <alignment horizontal="center" vertical="bottom" textRotation="0" wrapText="false" indent="0" shrinkToFit="false"/>
      <protection locked="true" hidden="false"/>
    </xf>
    <xf numFmtId="164" fontId="5" fillId="2" borderId="12" xfId="0" applyFont="true" applyBorder="true" applyAlignment="true" applyProtection="false">
      <alignment horizontal="center" vertical="bottom" textRotation="0" wrapText="false" indent="0" shrinkToFit="false"/>
      <protection locked="true" hidden="false"/>
    </xf>
    <xf numFmtId="164" fontId="5" fillId="2" borderId="18" xfId="0" applyFont="true" applyBorder="true" applyAlignment="false" applyProtection="false">
      <alignment horizontal="general" vertical="bottom" textRotation="0" wrapText="false" indent="0" shrinkToFit="false"/>
      <protection locked="true" hidden="false"/>
    </xf>
    <xf numFmtId="173" fontId="4" fillId="0" borderId="1" xfId="0" applyFont="tru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74" fontId="4" fillId="0" borderId="1"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4" fontId="7" fillId="2" borderId="1" xfId="0" applyFont="true" applyBorder="true" applyAlignment="false" applyProtection="false">
      <alignment horizontal="general"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false" applyProtection="false">
      <alignment horizontal="general" vertical="bottom" textRotation="0" wrapText="false" indent="0" shrinkToFit="false"/>
      <protection locked="true" hidden="false"/>
    </xf>
    <xf numFmtId="174" fontId="7" fillId="0" borderId="1" xfId="0" applyFont="true" applyBorder="true" applyAlignment="false" applyProtection="false">
      <alignment horizontal="general" vertical="bottom" textRotation="0" wrapText="false" indent="0" shrinkToFit="false"/>
      <protection locked="true" hidden="false"/>
    </xf>
    <xf numFmtId="164" fontId="5" fillId="2" borderId="19"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75"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right" vertical="bottom" textRotation="0" wrapText="false" indent="0" shrinkToFit="false"/>
      <protection locked="true" hidden="false"/>
    </xf>
    <xf numFmtId="174" fontId="6" fillId="0" borderId="1" xfId="19" applyFont="true" applyBorder="true" applyAlignment="true" applyProtection="true">
      <alignment horizontal="general" vertical="bottom" textRotation="0" wrapText="false" indent="0" shrinkToFit="false"/>
      <protection locked="false" hidden="false"/>
    </xf>
    <xf numFmtId="174" fontId="0" fillId="0" borderId="1" xfId="0" applyFont="fals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false" hidden="false"/>
    </xf>
    <xf numFmtId="175" fontId="0" fillId="0" borderId="1" xfId="0" applyFont="fals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74" fontId="6" fillId="0" borderId="1"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12" fillId="0" borderId="1" xfId="0" applyFont="true" applyBorder="true" applyAlignment="false" applyProtection="true">
      <alignment horizontal="general" vertical="bottom" textRotation="0" wrapText="false" indent="0" shrinkToFit="false"/>
      <protection locked="false" hidden="false"/>
    </xf>
    <xf numFmtId="164" fontId="4" fillId="4" borderId="7" xfId="0" applyFont="true" applyBorder="true" applyAlignment="false" applyProtection="false">
      <alignment horizontal="general" vertical="bottom" textRotation="0" wrapText="false" indent="0" shrinkToFit="false"/>
      <protection locked="true" hidden="false"/>
    </xf>
    <xf numFmtId="164" fontId="4" fillId="4" borderId="11" xfId="0" applyFont="tru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false">
      <alignment horizontal="general" vertical="bottom" textRotation="0" wrapText="false" indent="0" shrinkToFit="false"/>
      <protection locked="true" hidden="false"/>
    </xf>
    <xf numFmtId="164" fontId="4" fillId="0" borderId="12" xfId="0" applyFont="true" applyBorder="true" applyAlignment="true" applyProtection="false">
      <alignment horizontal="center"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68" fontId="0" fillId="0" borderId="6" xfId="19" applyFont="true" applyBorder="true" applyAlignment="true" applyProtection="true">
      <alignment horizontal="general" vertical="bottom" textRotation="0" wrapText="false" indent="0" shrinkToFit="false"/>
      <protection locked="true" hidden="false"/>
    </xf>
    <xf numFmtId="168" fontId="0" fillId="0" borderId="0" xfId="19" applyFont="true" applyBorder="true" applyAlignment="true" applyProtection="true">
      <alignment horizontal="general" vertical="bottom" textRotation="0" wrapText="false" indent="0" shrinkToFit="false"/>
      <protection locked="true" hidden="false"/>
    </xf>
    <xf numFmtId="168" fontId="0" fillId="0" borderId="16" xfId="19" applyFont="true" applyBorder="true" applyAlignment="true" applyProtection="true">
      <alignment horizontal="general" vertical="bottom" textRotation="0" wrapText="false" indent="0" shrinkToFit="false"/>
      <protection locked="true" hidden="false"/>
    </xf>
    <xf numFmtId="167" fontId="0" fillId="0" borderId="6" xfId="19" applyFont="true" applyBorder="true" applyAlignment="true" applyProtection="true">
      <alignment horizontal="general" vertical="bottom" textRotation="0" wrapText="false" indent="0" shrinkToFit="false"/>
      <protection locked="true" hidden="false"/>
    </xf>
    <xf numFmtId="167" fontId="0" fillId="0" borderId="0" xfId="19" applyFont="true" applyBorder="true" applyAlignment="true" applyProtection="true">
      <alignment horizontal="general" vertical="bottom" textRotation="0" wrapText="false" indent="0" shrinkToFit="false"/>
      <protection locked="true" hidden="false"/>
    </xf>
    <xf numFmtId="167" fontId="0" fillId="0" borderId="16" xfId="19" applyFont="true" applyBorder="true" applyAlignment="true" applyProtection="true">
      <alignment horizontal="general" vertical="bottom" textRotation="0" wrapText="false" indent="0" shrinkToFit="false"/>
      <protection locked="true" hidden="false"/>
    </xf>
    <xf numFmtId="164" fontId="0" fillId="0" borderId="8" xfId="0" applyFont="false" applyBorder="true" applyAlignment="true" applyProtection="false">
      <alignment horizontal="right"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8" fontId="4" fillId="0" borderId="6" xfId="19" applyFont="true" applyBorder="true" applyAlignment="true" applyProtection="true">
      <alignment horizontal="general" vertical="bottom" textRotation="0" wrapText="false" indent="0" shrinkToFit="false"/>
      <protection locked="true" hidden="false"/>
    </xf>
    <xf numFmtId="168" fontId="4" fillId="0" borderId="16" xfId="19" applyFont="true" applyBorder="true" applyAlignment="true" applyProtection="true">
      <alignment horizontal="general" vertical="bottom" textRotation="0" wrapText="false" indent="0" shrinkToFit="false"/>
      <protection locked="true" hidden="false"/>
    </xf>
    <xf numFmtId="167" fontId="4" fillId="0" borderId="6" xfId="19" applyFont="true" applyBorder="true" applyAlignment="true" applyProtection="true">
      <alignment horizontal="general" vertical="bottom" textRotation="0" wrapText="false" indent="0" shrinkToFit="false"/>
      <protection locked="true" hidden="false"/>
    </xf>
    <xf numFmtId="167" fontId="4" fillId="0" borderId="0" xfId="19" applyFont="true" applyBorder="true" applyAlignment="true" applyProtection="true">
      <alignment horizontal="general" vertical="bottom" textRotation="0" wrapText="false" indent="0" shrinkToFit="false"/>
      <protection locked="true" hidden="false"/>
    </xf>
    <xf numFmtId="167" fontId="4" fillId="0" borderId="16" xfId="19" applyFont="true" applyBorder="true" applyAlignment="true" applyProtection="true">
      <alignment horizontal="general" vertical="bottom" textRotation="0" wrapText="false" indent="0" shrinkToFit="false"/>
      <protection locked="true" hidden="false"/>
    </xf>
    <xf numFmtId="164" fontId="4" fillId="0" borderId="8" xfId="0" applyFont="true" applyBorder="true" applyAlignment="true" applyProtection="false">
      <alignment horizontal="right"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8" fontId="4" fillId="0" borderId="9"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68" fontId="4" fillId="0" borderId="17" xfId="19" applyFont="true" applyBorder="true" applyAlignment="true" applyProtection="true">
      <alignment horizontal="general" vertical="bottom" textRotation="0" wrapText="false" indent="0" shrinkToFit="false"/>
      <protection locked="true" hidden="false"/>
    </xf>
    <xf numFmtId="167" fontId="4" fillId="0" borderId="9" xfId="19" applyFont="true" applyBorder="true" applyAlignment="true" applyProtection="true">
      <alignment horizontal="general" vertical="bottom" textRotation="0" wrapText="false" indent="0" shrinkToFit="false"/>
      <protection locked="true" hidden="false"/>
    </xf>
    <xf numFmtId="167" fontId="4" fillId="0" borderId="10" xfId="19" applyFont="true" applyBorder="true" applyAlignment="true" applyProtection="true">
      <alignment horizontal="general" vertical="bottom" textRotation="0" wrapText="false" indent="0" shrinkToFit="false"/>
      <protection locked="true" hidden="false"/>
    </xf>
    <xf numFmtId="167" fontId="4" fillId="0" borderId="17" xfId="19" applyFont="true" applyBorder="true" applyAlignment="true" applyProtection="true">
      <alignment horizontal="general" vertical="bottom" textRotation="0" wrapText="false" indent="0" shrinkToFit="false"/>
      <protection locked="true" hidden="false"/>
    </xf>
    <xf numFmtId="167" fontId="0" fillId="0" borderId="9" xfId="19" applyFont="true" applyBorder="true" applyAlignment="true" applyProtection="true">
      <alignment horizontal="general" vertical="bottom" textRotation="0" wrapText="false" indent="0" shrinkToFit="false"/>
      <protection locked="true" hidden="false"/>
    </xf>
    <xf numFmtId="167" fontId="0" fillId="0" borderId="10" xfId="19" applyFont="true" applyBorder="true" applyAlignment="true" applyProtection="true">
      <alignment horizontal="general" vertical="bottom" textRotation="0" wrapText="false" indent="0" shrinkToFit="false"/>
      <protection locked="true" hidden="false"/>
    </xf>
    <xf numFmtId="167" fontId="0" fillId="0" borderId="17" xfId="19" applyFont="true" applyBorder="tru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79">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
      <alignment horizontal="general" vertical="bottom" textRotation="0" wrapText="false" indent="0" shrinkToFit="false" readingOrder="1"/>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C00000"/>
      <rgbColor rgb="FF008080"/>
      <rgbColor rgb="FF0000FF"/>
      <rgbColor rgb="FF00CCFF"/>
      <rgbColor rgb="FFCCFFFF"/>
      <rgbColor rgb="FFCCFFCC"/>
      <rgbColor rgb="FFFFFF99"/>
      <rgbColor rgb="FF93CDDD"/>
      <rgbColor rgb="FFFF99CC"/>
      <rgbColor rgb="FFCC99FF"/>
      <rgbColor rgb="FFFFC7CE"/>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9.xml"/><Relationship Id="rId3" Type="http://schemas.openxmlformats.org/officeDocument/2006/relationships/vmlDrawing" Target="../drawings/vmlDrawing9.vml"/>
</Relationships>
</file>

<file path=xl/worksheets/_rels/sheet15.xml.rels><?xml version="1.0" encoding="UTF-8"?>
<Relationships xmlns="http://schemas.openxmlformats.org/package/2006/relationships"><Relationship Id="rId1" Type="http://schemas.openxmlformats.org/officeDocument/2006/relationships/drawing" Target="../drawings/drawing10.xml"/>
</Relationships>
</file>

<file path=xl/worksheets/_rels/sheet16.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O51"/>
  <sheetViews>
    <sheetView showFormulas="false" showGridLines="true" showRowColHeaders="true" showZeros="true" rightToLeft="false" tabSelected="false" showOutlineSymbols="true" defaultGridColor="true" view="normal" topLeftCell="A25" colorId="64" zoomScale="100" zoomScaleNormal="100" zoomScalePageLayoutView="100" workbookViewId="0">
      <selection pane="topLeft" activeCell="J41" activeCellId="0" sqref="J41"/>
    </sheetView>
  </sheetViews>
  <sheetFormatPr defaultRowHeight="14.4" zeroHeight="false" outlineLevelRow="0" outlineLevelCol="0"/>
  <cols>
    <col collapsed="false" customWidth="true" hidden="false" outlineLevel="0" max="1" min="1" style="0" width="18"/>
    <col collapsed="false" customWidth="true" hidden="false" outlineLevel="0" max="3" min="2" style="0" width="11.55"/>
    <col collapsed="false" customWidth="true" hidden="false" outlineLevel="0" max="4" min="4" style="0" width="15.89"/>
    <col collapsed="false" customWidth="true" hidden="false" outlineLevel="0" max="5" min="5" style="0" width="14.89"/>
    <col collapsed="false" customWidth="true" hidden="false" outlineLevel="0" max="6" min="6" style="0" width="11.55"/>
    <col collapsed="false" customWidth="true" hidden="false" outlineLevel="0" max="7" min="7" style="0" width="13.55"/>
    <col collapsed="false" customWidth="true" hidden="false" outlineLevel="0" max="8" min="8" style="0" width="15"/>
    <col collapsed="false" customWidth="true" hidden="false" outlineLevel="0" max="9" min="9" style="0" width="16.33"/>
    <col collapsed="false" customWidth="true" hidden="false" outlineLevel="0" max="10" min="10" style="0" width="14.11"/>
    <col collapsed="false" customWidth="true" hidden="false" outlineLevel="0" max="11" min="11" style="0" width="10.78"/>
    <col collapsed="false" customWidth="true" hidden="false" outlineLevel="0" max="13" min="12" style="0" width="12"/>
    <col collapsed="false" customWidth="true" hidden="false" outlineLevel="0" max="1025" min="14" style="0" width="11.55"/>
  </cols>
  <sheetData>
    <row r="1" customFormat="false" ht="14.4" hidden="false" customHeight="false" outlineLevel="0" collapsed="false">
      <c r="A1" s="0" t="s">
        <v>0</v>
      </c>
    </row>
    <row r="2" customFormat="false" ht="14.4" hidden="false" customHeight="false" outlineLevel="0" collapsed="false">
      <c r="A2" s="0" t="s">
        <v>1</v>
      </c>
    </row>
    <row r="4" customFormat="false" ht="14.4" hidden="false" customHeight="false" outlineLevel="0" collapsed="false">
      <c r="I4" s="1" t="s">
        <v>2</v>
      </c>
    </row>
    <row r="5" customFormat="false" ht="14.4" hidden="false" customHeight="false" outlineLevel="0" collapsed="false">
      <c r="A5" s="2" t="s">
        <v>3</v>
      </c>
      <c r="B5" s="2" t="s">
        <v>4</v>
      </c>
      <c r="C5" s="2" t="s">
        <v>5</v>
      </c>
      <c r="D5" s="2" t="s">
        <v>6</v>
      </c>
      <c r="E5" s="2" t="s">
        <v>7</v>
      </c>
      <c r="F5" s="2" t="s">
        <v>8</v>
      </c>
      <c r="G5" s="2" t="s">
        <v>9</v>
      </c>
      <c r="I5" s="2" t="s">
        <v>3</v>
      </c>
      <c r="J5" s="2" t="s">
        <v>4</v>
      </c>
      <c r="K5" s="2" t="s">
        <v>5</v>
      </c>
      <c r="L5" s="2" t="s">
        <v>6</v>
      </c>
      <c r="M5" s="2" t="s">
        <v>7</v>
      </c>
      <c r="N5" s="2" t="s">
        <v>8</v>
      </c>
      <c r="O5" s="2" t="s">
        <v>9</v>
      </c>
    </row>
    <row r="6" customFormat="false" ht="14.4" hidden="false" customHeight="false" outlineLevel="0" collapsed="false">
      <c r="A6" s="3" t="s">
        <v>10</v>
      </c>
      <c r="B6" s="4" t="n">
        <v>0.655</v>
      </c>
      <c r="C6" s="3"/>
      <c r="D6" s="3"/>
      <c r="E6" s="3"/>
      <c r="F6" s="3"/>
      <c r="G6" s="4" t="n">
        <f aca="false">+B6</f>
        <v>0.655</v>
      </c>
      <c r="I6" s="3" t="s">
        <v>10</v>
      </c>
      <c r="J6" s="4" t="n">
        <v>0.655</v>
      </c>
      <c r="K6" s="3"/>
      <c r="L6" s="3"/>
      <c r="M6" s="3"/>
      <c r="N6" s="3"/>
      <c r="O6" s="4" t="n">
        <f aca="false">+J6</f>
        <v>0.655</v>
      </c>
    </row>
    <row r="7" customFormat="false" ht="14.4" hidden="false" customHeight="false" outlineLevel="0" collapsed="false">
      <c r="A7" s="3" t="s">
        <v>11</v>
      </c>
      <c r="B7" s="5" t="n">
        <f aca="false">1/C7*E7</f>
        <v>0.1</v>
      </c>
      <c r="C7" s="3" t="n">
        <v>1000</v>
      </c>
      <c r="D7" s="3" t="n">
        <f aca="false">1/C7</f>
        <v>0.001</v>
      </c>
      <c r="E7" s="3" t="n">
        <v>100</v>
      </c>
      <c r="F7" s="3" t="n">
        <v>100</v>
      </c>
      <c r="G7" s="5" t="n">
        <f aca="false">+B7</f>
        <v>0.1</v>
      </c>
      <c r="I7" s="3" t="s">
        <v>11</v>
      </c>
      <c r="J7" s="5" t="n">
        <v>0</v>
      </c>
      <c r="K7" s="3" t="n">
        <v>0</v>
      </c>
      <c r="L7" s="3" t="n">
        <v>0</v>
      </c>
      <c r="M7" s="3" t="n">
        <v>0</v>
      </c>
      <c r="N7" s="3" t="n">
        <v>0</v>
      </c>
      <c r="O7" s="5" t="n">
        <f aca="false">+J7</f>
        <v>0</v>
      </c>
    </row>
    <row r="8" customFormat="false" ht="14.4" hidden="false" customHeight="false" outlineLevel="0" collapsed="false">
      <c r="A8" s="3" t="s">
        <v>12</v>
      </c>
      <c r="B8" s="5" t="n">
        <f aca="false">1/C8*E8</f>
        <v>0.2</v>
      </c>
      <c r="C8" s="3" t="n">
        <v>700</v>
      </c>
      <c r="D8" s="3" t="n">
        <f aca="false">1/C8</f>
        <v>0.00142857142857143</v>
      </c>
      <c r="E8" s="6" t="n">
        <v>140</v>
      </c>
      <c r="F8" s="6" t="n">
        <f aca="false">+'Special weapon'!D60</f>
        <v>96.76</v>
      </c>
      <c r="G8" s="5" t="n">
        <f aca="false">1/C8*F8</f>
        <v>0.138228571428571</v>
      </c>
      <c r="I8" s="3" t="s">
        <v>12</v>
      </c>
      <c r="J8" s="5" t="n">
        <f aca="false">1/K8*M8</f>
        <v>0.3</v>
      </c>
      <c r="K8" s="3" t="n">
        <v>466.666666666666</v>
      </c>
      <c r="L8" s="3" t="n">
        <f aca="false">1/K8</f>
        <v>0.00214285714285715</v>
      </c>
      <c r="M8" s="6" t="n">
        <v>140</v>
      </c>
      <c r="N8" s="6" t="n">
        <f aca="false">+'Special weapon'!D60</f>
        <v>96.76</v>
      </c>
      <c r="O8" s="5" t="n">
        <f aca="false">1/K8*N8</f>
        <v>0.207342857142857</v>
      </c>
    </row>
    <row r="9" customFormat="false" ht="14.4" hidden="false" customHeight="false" outlineLevel="0" collapsed="false">
      <c r="A9" s="3" t="s">
        <v>13</v>
      </c>
      <c r="B9" s="5" t="n">
        <v>0.02</v>
      </c>
      <c r="C9" s="3"/>
      <c r="D9" s="3"/>
      <c r="E9" s="3"/>
      <c r="F9" s="3"/>
      <c r="G9" s="5" t="n">
        <v>0.02</v>
      </c>
      <c r="I9" s="3" t="s">
        <v>13</v>
      </c>
      <c r="J9" s="5" t="n">
        <v>0.02</v>
      </c>
      <c r="K9" s="3"/>
      <c r="L9" s="3"/>
      <c r="M9" s="3"/>
      <c r="N9" s="3"/>
      <c r="O9" s="5" t="n">
        <v>0.02</v>
      </c>
    </row>
    <row r="10" customFormat="false" ht="14.4" hidden="false" customHeight="false" outlineLevel="0" collapsed="false">
      <c r="A10" s="3" t="s">
        <v>14</v>
      </c>
      <c r="B10" s="5" t="n">
        <v>0</v>
      </c>
      <c r="C10" s="3"/>
      <c r="D10" s="3"/>
      <c r="E10" s="3"/>
      <c r="F10" s="3"/>
      <c r="G10" s="5" t="n">
        <v>0</v>
      </c>
      <c r="I10" s="3" t="s">
        <v>14</v>
      </c>
      <c r="J10" s="5" t="n">
        <v>0</v>
      </c>
      <c r="K10" s="3"/>
      <c r="L10" s="3"/>
      <c r="M10" s="3"/>
      <c r="N10" s="3"/>
      <c r="O10" s="5" t="n">
        <v>0</v>
      </c>
    </row>
    <row r="11" customFormat="false" ht="14.4" hidden="false" customHeight="false" outlineLevel="0" collapsed="false">
      <c r="A11" s="2" t="s">
        <v>15</v>
      </c>
      <c r="B11" s="7" t="n">
        <f aca="false">+SUM(B6:B10)</f>
        <v>0.975</v>
      </c>
      <c r="C11" s="2"/>
      <c r="D11" s="2"/>
      <c r="E11" s="2"/>
      <c r="F11" s="2"/>
      <c r="G11" s="8" t="n">
        <f aca="false">+SUM(G6:G10)</f>
        <v>0.913228571428571</v>
      </c>
      <c r="I11" s="2" t="s">
        <v>15</v>
      </c>
      <c r="J11" s="7" t="n">
        <f aca="false">+SUM(J6:J10)</f>
        <v>0.975000000000001</v>
      </c>
      <c r="K11" s="2"/>
      <c r="L11" s="2"/>
      <c r="M11" s="2"/>
      <c r="N11" s="2"/>
      <c r="O11" s="8" t="n">
        <f aca="false">+SUM(O6:O10)</f>
        <v>0.882342857142858</v>
      </c>
    </row>
    <row r="12" customFormat="false" ht="14.4" hidden="false" customHeight="false" outlineLevel="0" collapsed="false">
      <c r="A12" s="9" t="s">
        <v>16</v>
      </c>
    </row>
    <row r="13" customFormat="false" ht="14.4" hidden="false" customHeight="false" outlineLevel="0" collapsed="false">
      <c r="A13" s="10" t="str">
        <f aca="false">+CONCATENATE("Boss Prize: ", E7, "x to be distributed between players according to total bet during triggering round")</f>
        <v>Boss Prize: 100x to be distributed between players according to total bet during triggering round</v>
      </c>
    </row>
    <row r="14" customFormat="false" ht="14.4" hidden="false" customHeight="false" outlineLevel="0" collapsed="false">
      <c r="A14" s="10"/>
    </row>
    <row r="15" customFormat="false" ht="14.4" hidden="false" customHeight="false" outlineLevel="0" collapsed="false">
      <c r="A15" s="10"/>
    </row>
    <row r="16" customFormat="false" ht="14.4" hidden="false" customHeight="false" outlineLevel="0" collapsed="false">
      <c r="A16" s="11" t="s">
        <v>17</v>
      </c>
    </row>
    <row r="17" customFormat="false" ht="14.4" hidden="false" customHeight="false" outlineLevel="0" collapsed="false">
      <c r="A17" s="11"/>
    </row>
    <row r="18" s="12" customFormat="true" ht="14.4" hidden="false" customHeight="false" outlineLevel="0" collapsed="false">
      <c r="A18" s="11"/>
    </row>
    <row r="19" customFormat="false" ht="14.4" hidden="false" customHeight="false" outlineLevel="0" collapsed="false">
      <c r="A19" s="1" t="s">
        <v>18</v>
      </c>
      <c r="D19" s="1" t="s">
        <v>19</v>
      </c>
      <c r="G19" s="1" t="s">
        <v>20</v>
      </c>
    </row>
    <row r="20" customFormat="false" ht="14.4" hidden="false" customHeight="false" outlineLevel="0" collapsed="false">
      <c r="A20" s="2" t="s">
        <v>21</v>
      </c>
      <c r="B20" s="2" t="s">
        <v>22</v>
      </c>
      <c r="D20" s="2" t="s">
        <v>21</v>
      </c>
      <c r="E20" s="2" t="s">
        <v>22</v>
      </c>
      <c r="G20" s="2" t="s">
        <v>21</v>
      </c>
      <c r="H20" s="2" t="s">
        <v>22</v>
      </c>
    </row>
    <row r="21" customFormat="false" ht="14.4" hidden="false" customHeight="false" outlineLevel="0" collapsed="false">
      <c r="A21" s="3" t="n">
        <v>1</v>
      </c>
      <c r="B21" s="13" t="n">
        <f aca="false">+'Scarab Black'!$J3</f>
        <v>2</v>
      </c>
      <c r="D21" s="3" t="n">
        <v>1</v>
      </c>
      <c r="E21" s="13" t="n">
        <f aca="false">+'Scarab Gold'!$J3</f>
        <v>2</v>
      </c>
      <c r="G21" s="3" t="n">
        <v>1</v>
      </c>
      <c r="H21" s="13" t="n">
        <f aca="false">+'Scarab Gem Covered'!$J3</f>
        <v>3</v>
      </c>
    </row>
    <row r="22" customFormat="false" ht="14.4" hidden="false" customHeight="false" outlineLevel="0" collapsed="false">
      <c r="A22" s="3" t="n">
        <v>2</v>
      </c>
      <c r="B22" s="13" t="n">
        <f aca="false">+'Scarab Black'!$J4</f>
        <v>3</v>
      </c>
      <c r="D22" s="3" t="n">
        <v>2</v>
      </c>
      <c r="E22" s="13" t="n">
        <f aca="false">+'Scarab Gold'!$J4</f>
        <v>3</v>
      </c>
      <c r="G22" s="3" t="n">
        <v>2</v>
      </c>
      <c r="H22" s="13" t="n">
        <f aca="false">+'Scarab Gem Covered'!$J4</f>
        <v>4</v>
      </c>
    </row>
    <row r="23" customFormat="false" ht="14.4" hidden="false" customHeight="false" outlineLevel="0" collapsed="false">
      <c r="A23" s="3" t="n">
        <v>3</v>
      </c>
      <c r="B23" s="13" t="n">
        <f aca="false">+'Scarab Black'!$J5</f>
        <v>5</v>
      </c>
      <c r="D23" s="3" t="n">
        <v>3</v>
      </c>
      <c r="E23" s="13" t="n">
        <f aca="false">+'Scarab Gold'!$J5</f>
        <v>5</v>
      </c>
      <c r="G23" s="3" t="n">
        <v>3</v>
      </c>
      <c r="H23" s="13" t="n">
        <f aca="false">+'Scarab Gem Covered'!$J5</f>
        <v>6</v>
      </c>
    </row>
    <row r="24" customFormat="false" ht="14.4" hidden="false" customHeight="false" outlineLevel="0" collapsed="false">
      <c r="A24" s="3" t="n">
        <v>4</v>
      </c>
      <c r="B24" s="13" t="n">
        <f aca="false">+'Scarab Black'!$J6</f>
        <v>7</v>
      </c>
      <c r="D24" s="3" t="n">
        <v>4</v>
      </c>
      <c r="E24" s="13" t="n">
        <f aca="false">+'Scarab Gold'!$J6</f>
        <v>7</v>
      </c>
      <c r="G24" s="3" t="n">
        <v>4</v>
      </c>
      <c r="H24" s="13" t="n">
        <f aca="false">+'Scarab Gem Covered'!$J6</f>
        <v>8</v>
      </c>
    </row>
    <row r="25" customFormat="false" ht="14.4" hidden="false" customHeight="false" outlineLevel="0" collapsed="false">
      <c r="A25" s="3" t="n">
        <v>5</v>
      </c>
      <c r="B25" s="13" t="n">
        <f aca="false">+'Scarab Black'!$J7</f>
        <v>10</v>
      </c>
      <c r="D25" s="3" t="n">
        <v>5</v>
      </c>
      <c r="E25" s="13" t="n">
        <f aca="false">+'Scarab Gold'!$J7</f>
        <v>10</v>
      </c>
      <c r="G25" s="3" t="n">
        <v>5</v>
      </c>
      <c r="H25" s="13" t="n">
        <f aca="false">+'Scarab Gem Covered'!$J7</f>
        <v>12</v>
      </c>
    </row>
    <row r="26" customFormat="false" ht="14.4" hidden="false" customHeight="false" outlineLevel="0" collapsed="false">
      <c r="A26" s="3" t="n">
        <v>6</v>
      </c>
      <c r="B26" s="13" t="n">
        <f aca="false">+'Scarab Black'!$J8</f>
        <v>20</v>
      </c>
      <c r="D26" s="3" t="n">
        <v>6</v>
      </c>
      <c r="E26" s="13" t="n">
        <f aca="false">+'Scarab Gold'!$J8</f>
        <v>20</v>
      </c>
      <c r="G26" s="3" t="n">
        <v>6</v>
      </c>
      <c r="H26" s="13" t="n">
        <f aca="false">+'Scarab Gem Covered'!$J8</f>
        <v>25</v>
      </c>
    </row>
    <row r="27" customFormat="false" ht="14.4" hidden="false" customHeight="false" outlineLevel="0" collapsed="false">
      <c r="A27" s="3" t="n">
        <v>7</v>
      </c>
      <c r="B27" s="13" t="n">
        <f aca="false">+'Scarab Black'!$J9</f>
        <v>50</v>
      </c>
      <c r="D27" s="3" t="n">
        <v>7</v>
      </c>
      <c r="E27" s="13" t="n">
        <f aca="false">+'Scarab Gold'!$J9</f>
        <v>50</v>
      </c>
      <c r="G27" s="3" t="n">
        <v>7</v>
      </c>
      <c r="H27" s="13" t="n">
        <f aca="false">+'Scarab Gem Covered'!$J9</f>
        <v>60</v>
      </c>
    </row>
    <row r="28" customFormat="false" ht="14.4" hidden="false" customHeight="false" outlineLevel="0" collapsed="false">
      <c r="A28" s="14"/>
      <c r="B28" s="15"/>
      <c r="D28" s="14"/>
      <c r="E28" s="15"/>
      <c r="G28" s="14"/>
      <c r="H28" s="15"/>
    </row>
    <row r="29" customFormat="false" ht="14.4" hidden="false" customHeight="false" outlineLevel="0" collapsed="false">
      <c r="A29" s="14"/>
      <c r="B29" s="15"/>
      <c r="D29" s="14"/>
      <c r="E29" s="15"/>
      <c r="G29" s="14"/>
      <c r="H29" s="15"/>
    </row>
    <row r="30" customFormat="false" ht="14.4" hidden="false" customHeight="false" outlineLevel="0" collapsed="false">
      <c r="A30" s="1" t="s">
        <v>23</v>
      </c>
      <c r="D30" s="1" t="s">
        <v>24</v>
      </c>
      <c r="G30" s="1" t="s">
        <v>25</v>
      </c>
      <c r="J30" s="1" t="s">
        <v>26</v>
      </c>
    </row>
    <row r="31" customFormat="false" ht="14.4" hidden="false" customHeight="false" outlineLevel="0" collapsed="false">
      <c r="A31" s="2" t="s">
        <v>27</v>
      </c>
      <c r="B31" s="2" t="s">
        <v>22</v>
      </c>
      <c r="D31" s="2" t="s">
        <v>21</v>
      </c>
      <c r="E31" s="2" t="s">
        <v>22</v>
      </c>
      <c r="G31" s="2" t="s">
        <v>21</v>
      </c>
      <c r="H31" s="2" t="s">
        <v>22</v>
      </c>
      <c r="J31" s="2" t="s">
        <v>21</v>
      </c>
      <c r="K31" s="2" t="s">
        <v>22</v>
      </c>
    </row>
    <row r="32" customFormat="false" ht="14.4" hidden="false" customHeight="false" outlineLevel="0" collapsed="false">
      <c r="A32" s="3" t="n">
        <v>1</v>
      </c>
      <c r="B32" s="13" t="n">
        <f aca="false">+'Standard Mummy'!$J3</f>
        <v>5</v>
      </c>
      <c r="D32" s="3" t="n">
        <v>1</v>
      </c>
      <c r="E32" s="13" t="n">
        <f aca="false">+'Mummy A'!$J3</f>
        <v>5</v>
      </c>
      <c r="G32" s="3" t="n">
        <v>1</v>
      </c>
      <c r="H32" s="13" t="n">
        <f aca="false">+'Mummy B'!$J3</f>
        <v>5</v>
      </c>
      <c r="J32" s="3" t="n">
        <v>1</v>
      </c>
      <c r="K32" s="13" t="n">
        <f aca="false">+'Mummy C'!$J3</f>
        <v>7</v>
      </c>
    </row>
    <row r="33" customFormat="false" ht="14.4" hidden="false" customHeight="false" outlineLevel="0" collapsed="false">
      <c r="A33" s="3" t="n">
        <v>2</v>
      </c>
      <c r="B33" s="13" t="n">
        <f aca="false">+'Standard Mummy'!$J4</f>
        <v>7</v>
      </c>
      <c r="D33" s="3" t="n">
        <v>2</v>
      </c>
      <c r="E33" s="13" t="n">
        <f aca="false">+'Mummy A'!$J4</f>
        <v>7</v>
      </c>
      <c r="G33" s="3" t="n">
        <v>2</v>
      </c>
      <c r="H33" s="13" t="n">
        <f aca="false">+'Mummy B'!$J4</f>
        <v>7</v>
      </c>
      <c r="J33" s="3" t="n">
        <v>2</v>
      </c>
      <c r="K33" s="13" t="n">
        <f aca="false">+'Mummy C'!$J4</f>
        <v>10</v>
      </c>
    </row>
    <row r="34" customFormat="false" ht="14.4" hidden="false" customHeight="false" outlineLevel="0" collapsed="false">
      <c r="A34" s="3" t="n">
        <v>3</v>
      </c>
      <c r="B34" s="13" t="n">
        <f aca="false">+'Standard Mummy'!$J5</f>
        <v>10</v>
      </c>
      <c r="D34" s="3" t="n">
        <v>3</v>
      </c>
      <c r="E34" s="13" t="n">
        <f aca="false">+'Mummy A'!$J5</f>
        <v>10</v>
      </c>
      <c r="G34" s="3" t="n">
        <v>3</v>
      </c>
      <c r="H34" s="13" t="n">
        <f aca="false">+'Mummy B'!$J5</f>
        <v>10</v>
      </c>
      <c r="J34" s="3" t="n">
        <v>3</v>
      </c>
      <c r="K34" s="13" t="n">
        <f aca="false">+'Mummy C'!$J5</f>
        <v>15</v>
      </c>
    </row>
    <row r="35" customFormat="false" ht="14.4" hidden="false" customHeight="false" outlineLevel="0" collapsed="false">
      <c r="A35" s="3" t="n">
        <v>4</v>
      </c>
      <c r="B35" s="13" t="n">
        <f aca="false">+'Standard Mummy'!$J6</f>
        <v>15</v>
      </c>
      <c r="D35" s="3" t="n">
        <v>4</v>
      </c>
      <c r="E35" s="13" t="n">
        <f aca="false">+'Mummy A'!$J6</f>
        <v>15</v>
      </c>
      <c r="F35" s="1"/>
      <c r="G35" s="3" t="n">
        <v>4</v>
      </c>
      <c r="H35" s="13" t="n">
        <f aca="false">+'Mummy B'!$J6</f>
        <v>15</v>
      </c>
      <c r="I35" s="1"/>
      <c r="J35" s="3" t="n">
        <v>4</v>
      </c>
      <c r="K35" s="13" t="n">
        <f aca="false">+'Mummy C'!$J6</f>
        <v>20</v>
      </c>
    </row>
    <row r="36" customFormat="false" ht="14.4" hidden="false" customHeight="false" outlineLevel="0" collapsed="false">
      <c r="A36" s="3" t="n">
        <v>5</v>
      </c>
      <c r="B36" s="13" t="n">
        <f aca="false">+'Standard Mummy'!$J7</f>
        <v>25</v>
      </c>
      <c r="D36" s="3" t="n">
        <v>5</v>
      </c>
      <c r="E36" s="13" t="n">
        <f aca="false">+'Mummy A'!$J7</f>
        <v>25</v>
      </c>
      <c r="F36" s="1"/>
      <c r="G36" s="3" t="n">
        <v>5</v>
      </c>
      <c r="H36" s="13" t="n">
        <f aca="false">+'Mummy B'!$J7</f>
        <v>25</v>
      </c>
      <c r="I36" s="1"/>
      <c r="J36" s="3" t="n">
        <v>5</v>
      </c>
      <c r="K36" s="13" t="n">
        <f aca="false">+'Mummy C'!$J7</f>
        <v>40</v>
      </c>
    </row>
    <row r="37" customFormat="false" ht="14.4" hidden="false" customHeight="false" outlineLevel="0" collapsed="false">
      <c r="A37" s="3" t="n">
        <v>6</v>
      </c>
      <c r="B37" s="13" t="n">
        <f aca="false">+'Standard Mummy'!$J8</f>
        <v>50</v>
      </c>
      <c r="D37" s="3" t="n">
        <v>6</v>
      </c>
      <c r="E37" s="13" t="n">
        <f aca="false">+'Mummy A'!$J8</f>
        <v>50</v>
      </c>
      <c r="F37" s="1"/>
      <c r="G37" s="3" t="n">
        <v>6</v>
      </c>
      <c r="H37" s="13" t="n">
        <f aca="false">+'Mummy B'!$J8</f>
        <v>50</v>
      </c>
      <c r="I37" s="1"/>
      <c r="J37" s="3" t="n">
        <v>6</v>
      </c>
      <c r="K37" s="13" t="n">
        <f aca="false">+'Mummy C'!$J8</f>
        <v>75</v>
      </c>
    </row>
    <row r="38" customFormat="false" ht="14.4" hidden="false" customHeight="false" outlineLevel="0" collapsed="false">
      <c r="A38" s="3" t="n">
        <v>7</v>
      </c>
      <c r="B38" s="13" t="n">
        <f aca="false">+'Standard Mummy'!$J9</f>
        <v>100</v>
      </c>
      <c r="D38" s="3" t="n">
        <v>7</v>
      </c>
      <c r="E38" s="13" t="n">
        <f aca="false">+'Mummy A'!$J9</f>
        <v>100</v>
      </c>
      <c r="F38" s="1"/>
      <c r="G38" s="3" t="n">
        <v>7</v>
      </c>
      <c r="H38" s="13" t="n">
        <f aca="false">+'Mummy B'!$J9</f>
        <v>100</v>
      </c>
      <c r="I38" s="1"/>
      <c r="J38" s="3" t="n">
        <v>7</v>
      </c>
      <c r="K38" s="13" t="n">
        <f aca="false">+'Mummy C'!$J9</f>
        <v>150</v>
      </c>
    </row>
    <row r="39" customFormat="false" ht="14.4" hidden="false" customHeight="false" outlineLevel="0" collapsed="false">
      <c r="A39" s="14"/>
      <c r="B39" s="15"/>
      <c r="D39" s="14"/>
      <c r="E39" s="15"/>
      <c r="F39" s="1"/>
    </row>
    <row r="41" customFormat="false" ht="14.4" hidden="false" customHeight="false" outlineLevel="0" collapsed="false">
      <c r="A41" s="1" t="s">
        <v>28</v>
      </c>
      <c r="D41" s="1" t="s">
        <v>29</v>
      </c>
      <c r="G41" s="1" t="s">
        <v>30</v>
      </c>
      <c r="J41" s="1" t="s">
        <v>31</v>
      </c>
    </row>
    <row r="42" customFormat="false" ht="14.4" hidden="false" customHeight="false" outlineLevel="0" collapsed="false">
      <c r="A42" s="2" t="s">
        <v>21</v>
      </c>
      <c r="B42" s="2" t="s">
        <v>22</v>
      </c>
      <c r="D42" s="2" t="s">
        <v>21</v>
      </c>
      <c r="E42" s="2" t="s">
        <v>22</v>
      </c>
      <c r="G42" s="2" t="s">
        <v>21</v>
      </c>
      <c r="H42" s="2" t="s">
        <v>22</v>
      </c>
      <c r="J42" s="2" t="s">
        <v>21</v>
      </c>
      <c r="K42" s="2" t="s">
        <v>22</v>
      </c>
    </row>
    <row r="43" customFormat="false" ht="14.4" hidden="false" customHeight="false" outlineLevel="0" collapsed="false">
      <c r="A43" s="3" t="n">
        <v>1</v>
      </c>
      <c r="B43" s="13" t="n">
        <f aca="false">+'Pharaoh A'!$J3</f>
        <v>10</v>
      </c>
      <c r="D43" s="3" t="n">
        <v>1</v>
      </c>
      <c r="E43" s="13" t="n">
        <f aca="false">+'Pharaoh B'!$J3</f>
        <v>10</v>
      </c>
      <c r="G43" s="3" t="n">
        <v>1</v>
      </c>
      <c r="H43" s="13" t="n">
        <f aca="false">+'HV Scarab'!$J3</f>
        <v>50</v>
      </c>
      <c r="J43" s="3" t="n">
        <v>1</v>
      </c>
      <c r="K43" s="13" t="n">
        <f aca="false">+'HV enemy'!$J3</f>
        <v>75</v>
      </c>
    </row>
    <row r="44" customFormat="false" ht="14.4" hidden="false" customHeight="false" outlineLevel="0" collapsed="false">
      <c r="A44" s="3" t="n">
        <v>2</v>
      </c>
      <c r="B44" s="13" t="n">
        <f aca="false">+'Pharaoh A'!$J4</f>
        <v>15</v>
      </c>
      <c r="D44" s="3" t="n">
        <v>2</v>
      </c>
      <c r="E44" s="13" t="n">
        <f aca="false">+'Pharaoh B'!$J4</f>
        <v>15</v>
      </c>
      <c r="G44" s="3" t="n">
        <v>2</v>
      </c>
      <c r="H44" s="13" t="n">
        <f aca="false">+'HV Scarab'!$J4</f>
        <v>100</v>
      </c>
      <c r="J44" s="3" t="n">
        <v>2</v>
      </c>
      <c r="K44" s="13" t="n">
        <f aca="false">+'HV enemy'!$J4</f>
        <v>150</v>
      </c>
    </row>
    <row r="45" customFormat="false" ht="14.4" hidden="false" customHeight="false" outlineLevel="0" collapsed="false">
      <c r="A45" s="3" t="n">
        <v>3</v>
      </c>
      <c r="B45" s="13" t="n">
        <f aca="false">+'Pharaoh A'!$J5</f>
        <v>20</v>
      </c>
      <c r="D45" s="3" t="n">
        <v>3</v>
      </c>
      <c r="E45" s="13" t="n">
        <f aca="false">+'Pharaoh B'!$J5</f>
        <v>20</v>
      </c>
      <c r="G45" s="3" t="n">
        <v>3</v>
      </c>
      <c r="H45" s="13" t="n">
        <f aca="false">+'HV Scarab'!$J5</f>
        <v>200</v>
      </c>
      <c r="J45" s="3" t="n">
        <v>3</v>
      </c>
      <c r="K45" s="13" t="n">
        <f aca="false">+'HV enemy'!$J5</f>
        <v>300</v>
      </c>
    </row>
    <row r="46" customFormat="false" ht="14.4" hidden="false" customHeight="false" outlineLevel="0" collapsed="false">
      <c r="A46" s="3" t="n">
        <v>4</v>
      </c>
      <c r="B46" s="13" t="n">
        <f aca="false">+'Pharaoh A'!$J6</f>
        <v>40</v>
      </c>
      <c r="D46" s="3" t="n">
        <v>4</v>
      </c>
      <c r="E46" s="13" t="n">
        <f aca="false">+'Pharaoh B'!$J6</f>
        <v>40</v>
      </c>
      <c r="G46" s="3" t="n">
        <v>4</v>
      </c>
      <c r="H46" s="13" t="n">
        <f aca="false">+'HV Scarab'!$J6</f>
        <v>500</v>
      </c>
      <c r="J46" s="3" t="n">
        <v>4</v>
      </c>
      <c r="K46" s="13" t="n">
        <f aca="false">+'HV enemy'!$J6</f>
        <v>500</v>
      </c>
    </row>
    <row r="47" customFormat="false" ht="14.4" hidden="false" customHeight="false" outlineLevel="0" collapsed="false">
      <c r="A47" s="3" t="n">
        <v>5</v>
      </c>
      <c r="B47" s="13" t="n">
        <f aca="false">+'Pharaoh A'!$J7</f>
        <v>75</v>
      </c>
      <c r="D47" s="3" t="n">
        <v>5</v>
      </c>
      <c r="E47" s="13" t="n">
        <f aca="false">+'Pharaoh B'!$J7</f>
        <v>75</v>
      </c>
      <c r="G47" s="3" t="n">
        <v>5</v>
      </c>
      <c r="H47" s="13" t="n">
        <f aca="false">+'HV Scarab'!$J7</f>
        <v>750</v>
      </c>
      <c r="J47" s="3" t="n">
        <v>5</v>
      </c>
      <c r="K47" s="13" t="n">
        <f aca="false">+'HV enemy'!$J7</f>
        <v>1000</v>
      </c>
    </row>
    <row r="48" customFormat="false" ht="14.4" hidden="false" customHeight="false" outlineLevel="0" collapsed="false">
      <c r="A48" s="3" t="n">
        <v>6</v>
      </c>
      <c r="B48" s="13" t="n">
        <f aca="false">+'Pharaoh A'!$J8</f>
        <v>100</v>
      </c>
      <c r="D48" s="3" t="n">
        <v>6</v>
      </c>
      <c r="E48" s="13" t="n">
        <f aca="false">+'Pharaoh B'!$J8</f>
        <v>100</v>
      </c>
      <c r="G48" s="3" t="n">
        <v>6</v>
      </c>
      <c r="H48" s="13" t="n">
        <f aca="false">+'HV Scarab'!$J8</f>
        <v>1000</v>
      </c>
      <c r="J48" s="3" t="n">
        <v>6</v>
      </c>
      <c r="K48" s="13" t="n">
        <f aca="false">+'HV enemy'!$J8</f>
        <v>2000</v>
      </c>
    </row>
    <row r="49" customFormat="false" ht="14.4" hidden="false" customHeight="false" outlineLevel="0" collapsed="false">
      <c r="A49" s="3" t="n">
        <v>7</v>
      </c>
      <c r="B49" s="13" t="n">
        <f aca="false">+'Pharaoh A'!$J9</f>
        <v>200</v>
      </c>
      <c r="D49" s="3" t="n">
        <v>7</v>
      </c>
      <c r="E49" s="13" t="n">
        <f aca="false">+'Pharaoh B'!$J9</f>
        <v>200</v>
      </c>
      <c r="G49" s="3" t="n">
        <v>7</v>
      </c>
      <c r="H49" s="13" t="n">
        <f aca="false">+'HV Scarab'!$J9</f>
        <v>2000</v>
      </c>
      <c r="J49" s="3" t="n">
        <v>7</v>
      </c>
      <c r="K49" s="13" t="n">
        <f aca="false">+'HV enemy'!$J9</f>
        <v>5000</v>
      </c>
    </row>
    <row r="51" customFormat="false" ht="14.4" hidden="false" customHeight="false" outlineLevel="0" collapsed="false">
      <c r="C51" s="1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F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8" activeCellId="0" sqref="A8"/>
    </sheetView>
  </sheetViews>
  <sheetFormatPr defaultRowHeight="14.4" zeroHeight="false" outlineLevelRow="0" outlineLevelCol="0"/>
  <cols>
    <col collapsed="false" customWidth="true" hidden="false" outlineLevel="0" max="1" min="1" style="0" width="28.33"/>
    <col collapsed="false" customWidth="true" hidden="false" outlineLevel="0" max="2" min="2" style="0" width="11.55"/>
    <col collapsed="false" customWidth="true" hidden="false" outlineLevel="0" max="3" min="3" style="0" width="17"/>
    <col collapsed="false" customWidth="true" hidden="false" outlineLevel="0" max="4" min="4" style="0" width="13.55"/>
    <col collapsed="false" customWidth="true" hidden="false" outlineLevel="0" max="1025" min="5" style="0" width="11.55"/>
  </cols>
  <sheetData>
    <row r="1" customFormat="false" ht="14.4" hidden="false" customHeight="false" outlineLevel="0" collapsed="false">
      <c r="A1" s="0" t="s">
        <v>32</v>
      </c>
    </row>
    <row r="2" customFormat="false" ht="14.4" hidden="false" customHeight="false" outlineLevel="0" collapsed="false">
      <c r="A2" s="0" t="str">
        <f aca="false">+CONCATENATE("Probability of getting a special weapon = 1/",Summary!C8)</f>
        <v>Probability of getting a special weapon = 1/700</v>
      </c>
    </row>
    <row r="3" customFormat="false" ht="14.4" hidden="false" customHeight="false" outlineLevel="0" collapsed="false">
      <c r="A3" s="0" t="s">
        <v>33</v>
      </c>
    </row>
    <row r="6" customFormat="false" ht="14.4" hidden="false" customHeight="false" outlineLevel="0" collapsed="false">
      <c r="A6" s="0" t="s">
        <v>34</v>
      </c>
    </row>
    <row r="7" customFormat="false" ht="15" hidden="false" customHeight="false" outlineLevel="0" collapsed="false"/>
    <row r="8" customFormat="false" ht="15" hidden="false" customHeight="false" outlineLevel="0" collapsed="false">
      <c r="A8" s="17" t="s">
        <v>35</v>
      </c>
      <c r="B8" s="18" t="s">
        <v>36</v>
      </c>
      <c r="C8" s="18" t="s">
        <v>37</v>
      </c>
      <c r="D8" s="18" t="s">
        <v>38</v>
      </c>
      <c r="E8" s="19" t="s">
        <v>39</v>
      </c>
    </row>
    <row r="9" customFormat="false" ht="14.4" hidden="false" customHeight="false" outlineLevel="0" collapsed="false">
      <c r="A9" s="20" t="s">
        <v>40</v>
      </c>
      <c r="B9" s="21" t="n">
        <v>10</v>
      </c>
      <c r="C9" s="21" t="n">
        <v>5</v>
      </c>
      <c r="D9" s="21" t="n">
        <f aca="false">+B9*C9</f>
        <v>50</v>
      </c>
      <c r="E9" s="22" t="n">
        <v>46</v>
      </c>
    </row>
    <row r="10" customFormat="false" ht="14.4" hidden="false" customHeight="false" outlineLevel="0" collapsed="false">
      <c r="A10" s="20" t="s">
        <v>41</v>
      </c>
      <c r="B10" s="21" t="n">
        <v>15</v>
      </c>
      <c r="C10" s="21" t="n">
        <v>8</v>
      </c>
      <c r="D10" s="21" t="n">
        <f aca="false">+B10*C10</f>
        <v>120</v>
      </c>
      <c r="E10" s="23" t="n">
        <v>53</v>
      </c>
    </row>
    <row r="11" customFormat="false" ht="14.4" hidden="false" customHeight="false" outlineLevel="0" collapsed="false">
      <c r="A11" s="20" t="s">
        <v>42</v>
      </c>
      <c r="B11" s="21" t="n">
        <v>20</v>
      </c>
      <c r="C11" s="21" t="n">
        <v>10</v>
      </c>
      <c r="D11" s="21" t="n">
        <f aca="false">+B11*C11</f>
        <v>200</v>
      </c>
      <c r="E11" s="23" t="n">
        <v>41</v>
      </c>
    </row>
    <row r="12" customFormat="false" ht="15" hidden="false" customHeight="false" outlineLevel="0" collapsed="false">
      <c r="A12" s="24" t="s">
        <v>43</v>
      </c>
      <c r="B12" s="25" t="n">
        <v>3</v>
      </c>
      <c r="C12" s="25" t="n">
        <v>50</v>
      </c>
      <c r="D12" s="25" t="n">
        <f aca="false">+B12*C12</f>
        <v>150</v>
      </c>
      <c r="E12" s="26" t="n">
        <v>38</v>
      </c>
    </row>
    <row r="13" customFormat="false" ht="14.4" hidden="false" customHeight="false" outlineLevel="0" collapsed="false">
      <c r="A13" s="20" t="s">
        <v>40</v>
      </c>
      <c r="B13" s="21" t="n">
        <v>14</v>
      </c>
      <c r="C13" s="21" t="n">
        <v>5</v>
      </c>
      <c r="D13" s="21" t="n">
        <f aca="false">+B13*C13</f>
        <v>70</v>
      </c>
      <c r="E13" s="23" t="n">
        <v>7</v>
      </c>
    </row>
    <row r="14" customFormat="false" ht="14.4" hidden="false" customHeight="false" outlineLevel="0" collapsed="false">
      <c r="A14" s="20" t="s">
        <v>41</v>
      </c>
      <c r="B14" s="21" t="n">
        <v>25</v>
      </c>
      <c r="C14" s="21" t="n">
        <v>8</v>
      </c>
      <c r="D14" s="21" t="n">
        <f aca="false">+B14*C14</f>
        <v>200</v>
      </c>
      <c r="E14" s="23" t="n">
        <v>4</v>
      </c>
    </row>
    <row r="15" customFormat="false" ht="14.4" hidden="false" customHeight="false" outlineLevel="0" collapsed="false">
      <c r="A15" s="20" t="s">
        <v>42</v>
      </c>
      <c r="B15" s="21" t="n">
        <v>40</v>
      </c>
      <c r="C15" s="21" t="n">
        <v>10</v>
      </c>
      <c r="D15" s="21" t="n">
        <f aca="false">+B15*C15</f>
        <v>400</v>
      </c>
      <c r="E15" s="23" t="n">
        <v>3</v>
      </c>
    </row>
    <row r="16" customFormat="false" ht="15" hidden="false" customHeight="false" outlineLevel="0" collapsed="false">
      <c r="A16" s="24" t="s">
        <v>43</v>
      </c>
      <c r="B16" s="25" t="n">
        <v>5</v>
      </c>
      <c r="C16" s="25" t="n">
        <v>50</v>
      </c>
      <c r="D16" s="25" t="n">
        <f aca="false">+B16*C16</f>
        <v>250</v>
      </c>
      <c r="E16" s="26" t="n">
        <v>3</v>
      </c>
    </row>
    <row r="17" customFormat="false" ht="14.4" hidden="false" customHeight="false" outlineLevel="0" collapsed="false">
      <c r="A17" s="20" t="s">
        <v>40</v>
      </c>
      <c r="B17" s="21" t="n">
        <v>30</v>
      </c>
      <c r="C17" s="21" t="n">
        <v>5</v>
      </c>
      <c r="D17" s="21" t="n">
        <f aca="false">+B17*C17</f>
        <v>150</v>
      </c>
      <c r="E17" s="23" t="n">
        <v>2</v>
      </c>
    </row>
    <row r="18" customFormat="false" ht="14.4" hidden="false" customHeight="false" outlineLevel="0" collapsed="false">
      <c r="A18" s="20" t="s">
        <v>41</v>
      </c>
      <c r="B18" s="21" t="n">
        <v>50</v>
      </c>
      <c r="C18" s="21" t="n">
        <v>8</v>
      </c>
      <c r="D18" s="21" t="n">
        <f aca="false">+B18*C18</f>
        <v>400</v>
      </c>
      <c r="E18" s="23" t="n">
        <v>1</v>
      </c>
    </row>
    <row r="19" customFormat="false" ht="14.4" hidden="false" customHeight="false" outlineLevel="0" collapsed="false">
      <c r="A19" s="20" t="s">
        <v>42</v>
      </c>
      <c r="B19" s="21" t="n">
        <v>100</v>
      </c>
      <c r="C19" s="21" t="n">
        <v>10</v>
      </c>
      <c r="D19" s="21" t="n">
        <f aca="false">+B19*C19</f>
        <v>1000</v>
      </c>
      <c r="E19" s="23" t="n">
        <v>1</v>
      </c>
    </row>
    <row r="20" customFormat="false" ht="15" hidden="false" customHeight="false" outlineLevel="0" collapsed="false">
      <c r="A20" s="24" t="s">
        <v>43</v>
      </c>
      <c r="B20" s="25" t="n">
        <v>10</v>
      </c>
      <c r="C20" s="25" t="n">
        <v>50</v>
      </c>
      <c r="D20" s="25" t="n">
        <f aca="false">+B20*C20</f>
        <v>500</v>
      </c>
      <c r="E20" s="26" t="n">
        <v>1</v>
      </c>
    </row>
    <row r="21" customFormat="false" ht="15" hidden="false" customHeight="false" outlineLevel="0" collapsed="false">
      <c r="A21" s="11" t="s">
        <v>44</v>
      </c>
      <c r="E21" s="27" t="n">
        <f aca="false">+SUM(E9:E20)</f>
        <v>200</v>
      </c>
    </row>
    <row r="22" customFormat="false" ht="15" hidden="false" customHeight="false" outlineLevel="0" collapsed="false">
      <c r="A22" s="11"/>
    </row>
    <row r="23" customFormat="false" ht="15" hidden="false" customHeight="false" outlineLevel="0" collapsed="false">
      <c r="C23" s="28" t="s">
        <v>45</v>
      </c>
      <c r="D23" s="29" t="n">
        <f aca="false">+SUMPRODUCT(D9:D20,E9:E20)/SUM(E9:E20)</f>
        <v>140</v>
      </c>
    </row>
    <row r="25" customFormat="false" ht="14.4" hidden="false" customHeight="false" outlineLevel="0" collapsed="false">
      <c r="A25" s="0" t="s">
        <v>46</v>
      </c>
    </row>
    <row r="26" customFormat="false" ht="14.4" hidden="false" customHeight="false" outlineLevel="0" collapsed="false">
      <c r="A26" s="0" t="s">
        <v>47</v>
      </c>
    </row>
    <row r="29" customFormat="false" ht="15.6" hidden="false" customHeight="false" outlineLevel="0" collapsed="false">
      <c r="A29" s="30" t="s">
        <v>48</v>
      </c>
    </row>
    <row r="30" customFormat="false" ht="14.4" hidden="false" customHeight="false" outlineLevel="0" collapsed="false">
      <c r="A30" s="31" t="s">
        <v>49</v>
      </c>
    </row>
    <row r="32" customFormat="false" ht="14.4" hidden="false" customHeight="false" outlineLevel="0" collapsed="false">
      <c r="A32" s="0" t="s">
        <v>50</v>
      </c>
    </row>
    <row r="33" customFormat="false" ht="14.4" hidden="false" customHeight="false" outlineLevel="0" collapsed="false">
      <c r="A33" s="32" t="s">
        <v>51</v>
      </c>
    </row>
    <row r="34" customFormat="false" ht="14.4" hidden="false" customHeight="false" outlineLevel="0" collapsed="false">
      <c r="A34" s="0" t="s">
        <v>52</v>
      </c>
    </row>
    <row r="35" customFormat="false" ht="14.4" hidden="false" customHeight="false" outlineLevel="0" collapsed="false">
      <c r="A35" s="0" t="s">
        <v>53</v>
      </c>
    </row>
    <row r="37" customFormat="false" ht="14.4" hidden="false" customHeight="false" outlineLevel="0" collapsed="false">
      <c r="A37" s="0" t="s">
        <v>54</v>
      </c>
    </row>
    <row r="38" customFormat="false" ht="14.4" hidden="false" customHeight="false" outlineLevel="0" collapsed="false">
      <c r="A38" s="0" t="s">
        <v>55</v>
      </c>
    </row>
    <row r="39" customFormat="false" ht="14.4" hidden="false" customHeight="false" outlineLevel="0" collapsed="false">
      <c r="A39" s="0" t="s">
        <v>56</v>
      </c>
    </row>
    <row r="42" customFormat="false" ht="15" hidden="false" customHeight="false" outlineLevel="0" collapsed="false">
      <c r="A42" s="1" t="s">
        <v>57</v>
      </c>
    </row>
    <row r="43" customFormat="false" ht="14.4" hidden="false" customHeight="false" outlineLevel="0" collapsed="false">
      <c r="A43" s="33" t="s">
        <v>35</v>
      </c>
      <c r="B43" s="34" t="s">
        <v>36</v>
      </c>
      <c r="C43" s="34" t="s">
        <v>37</v>
      </c>
      <c r="D43" s="34" t="s">
        <v>38</v>
      </c>
      <c r="E43" s="35" t="s">
        <v>6</v>
      </c>
    </row>
    <row r="44" customFormat="false" ht="14.4" hidden="false" customHeight="false" outlineLevel="0" collapsed="false">
      <c r="A44" s="20" t="s">
        <v>40</v>
      </c>
      <c r="B44" s="21" t="n">
        <f aca="false">+B9</f>
        <v>10</v>
      </c>
      <c r="C44" s="21" t="n">
        <v>5</v>
      </c>
      <c r="D44" s="21" t="n">
        <f aca="false">+B44*C44</f>
        <v>50</v>
      </c>
      <c r="E44" s="36" t="n">
        <f aca="false">+E9/SUM($E$9:$E$20)</f>
        <v>0.23</v>
      </c>
    </row>
    <row r="45" customFormat="false" ht="14.4" hidden="false" customHeight="false" outlineLevel="0" collapsed="false">
      <c r="A45" s="20" t="s">
        <v>41</v>
      </c>
      <c r="B45" s="21" t="n">
        <f aca="false">+B10/5</f>
        <v>3</v>
      </c>
      <c r="C45" s="21" t="n">
        <v>8</v>
      </c>
      <c r="D45" s="21" t="n">
        <f aca="false">+B45*C45</f>
        <v>24</v>
      </c>
      <c r="E45" s="36" t="n">
        <f aca="false">+E10/SUM($E$9:$E$20)</f>
        <v>0.265</v>
      </c>
      <c r="F45" s="37" t="s">
        <v>58</v>
      </c>
    </row>
    <row r="46" customFormat="false" ht="14.4" hidden="false" customHeight="false" outlineLevel="0" collapsed="false">
      <c r="A46" s="20" t="s">
        <v>59</v>
      </c>
      <c r="B46" s="21" t="n">
        <f aca="false">+B11</f>
        <v>20</v>
      </c>
      <c r="C46" s="21" t="n">
        <v>10</v>
      </c>
      <c r="D46" s="21" t="n">
        <f aca="false">+B46*C46</f>
        <v>200</v>
      </c>
      <c r="E46" s="36" t="n">
        <f aca="false">+E11/SUM($E$9:$E$20)*1/2</f>
        <v>0.1025</v>
      </c>
      <c r="F46" s="37"/>
    </row>
    <row r="47" customFormat="false" ht="14.4" hidden="false" customHeight="false" outlineLevel="0" collapsed="false">
      <c r="A47" s="20" t="s">
        <v>60</v>
      </c>
      <c r="B47" s="11" t="n">
        <f aca="false">+B11/2</f>
        <v>10</v>
      </c>
      <c r="C47" s="11" t="n">
        <v>10</v>
      </c>
      <c r="D47" s="21" t="n">
        <f aca="false">+B47*C47</f>
        <v>100</v>
      </c>
      <c r="E47" s="36" t="n">
        <f aca="false">+E11/SUM($E$9:$E$20)*1/2</f>
        <v>0.1025</v>
      </c>
      <c r="F47" s="37" t="s">
        <v>61</v>
      </c>
    </row>
    <row r="48" customFormat="false" ht="15" hidden="false" customHeight="false" outlineLevel="0" collapsed="false">
      <c r="A48" s="24" t="s">
        <v>43</v>
      </c>
      <c r="B48" s="25" t="n">
        <v>3</v>
      </c>
      <c r="C48" s="25" t="n">
        <v>50</v>
      </c>
      <c r="D48" s="25" t="n">
        <f aca="false">+B48*C48</f>
        <v>150</v>
      </c>
      <c r="E48" s="38" t="n">
        <f aca="false">+E12/SUM($E$9:$E$20)</f>
        <v>0.19</v>
      </c>
    </row>
    <row r="49" customFormat="false" ht="14.4" hidden="false" customHeight="false" outlineLevel="0" collapsed="false">
      <c r="A49" s="20" t="s">
        <v>40</v>
      </c>
      <c r="B49" s="21" t="n">
        <f aca="false">+B13</f>
        <v>14</v>
      </c>
      <c r="C49" s="21" t="n">
        <v>5</v>
      </c>
      <c r="D49" s="21" t="n">
        <f aca="false">+B49*C49</f>
        <v>70</v>
      </c>
      <c r="E49" s="36" t="n">
        <f aca="false">+E13/SUM($E$9:$E$20)</f>
        <v>0.035</v>
      </c>
    </row>
    <row r="50" customFormat="false" ht="14.4" hidden="false" customHeight="false" outlineLevel="0" collapsed="false">
      <c r="A50" s="20" t="s">
        <v>41</v>
      </c>
      <c r="B50" s="21" t="n">
        <f aca="false">+B14/5</f>
        <v>5</v>
      </c>
      <c r="C50" s="21" t="n">
        <v>8</v>
      </c>
      <c r="D50" s="21" t="n">
        <f aca="false">+B50*C50</f>
        <v>40</v>
      </c>
      <c r="E50" s="36" t="n">
        <f aca="false">+E14/SUM($E$9:$E$20)</f>
        <v>0.02</v>
      </c>
      <c r="F50" s="37" t="s">
        <v>58</v>
      </c>
    </row>
    <row r="51" customFormat="false" ht="14.4" hidden="false" customHeight="false" outlineLevel="0" collapsed="false">
      <c r="A51" s="20" t="s">
        <v>59</v>
      </c>
      <c r="B51" s="21" t="n">
        <f aca="false">+B15</f>
        <v>40</v>
      </c>
      <c r="C51" s="21" t="n">
        <v>10</v>
      </c>
      <c r="D51" s="21" t="n">
        <f aca="false">+B51*C51</f>
        <v>400</v>
      </c>
      <c r="E51" s="36" t="n">
        <f aca="false">+E15/SUM($E$9:$E$20)*1/2</f>
        <v>0.0075</v>
      </c>
      <c r="F51" s="37"/>
    </row>
    <row r="52" customFormat="false" ht="14.4" hidden="false" customHeight="false" outlineLevel="0" collapsed="false">
      <c r="A52" s="20" t="s">
        <v>60</v>
      </c>
      <c r="B52" s="11" t="n">
        <f aca="false">+B15/2</f>
        <v>20</v>
      </c>
      <c r="C52" s="11" t="n">
        <v>10</v>
      </c>
      <c r="D52" s="21" t="n">
        <f aca="false">+B52*C52</f>
        <v>200</v>
      </c>
      <c r="E52" s="36" t="n">
        <f aca="false">+E15/SUM($E$9:$E$20)*1/2</f>
        <v>0.0075</v>
      </c>
      <c r="F52" s="37" t="s">
        <v>61</v>
      </c>
    </row>
    <row r="53" customFormat="false" ht="15" hidden="false" customHeight="false" outlineLevel="0" collapsed="false">
      <c r="A53" s="24" t="s">
        <v>43</v>
      </c>
      <c r="B53" s="25" t="n">
        <f aca="false">+B16</f>
        <v>5</v>
      </c>
      <c r="C53" s="25" t="n">
        <v>50</v>
      </c>
      <c r="D53" s="25" t="n">
        <f aca="false">+B53*C53</f>
        <v>250</v>
      </c>
      <c r="E53" s="38" t="n">
        <f aca="false">+E16/SUM($E$9:$E$20)</f>
        <v>0.015</v>
      </c>
    </row>
    <row r="54" customFormat="false" ht="14.4" hidden="false" customHeight="false" outlineLevel="0" collapsed="false">
      <c r="A54" s="20" t="s">
        <v>40</v>
      </c>
      <c r="B54" s="21" t="n">
        <f aca="false">+B17</f>
        <v>30</v>
      </c>
      <c r="C54" s="21" t="n">
        <v>5</v>
      </c>
      <c r="D54" s="21" t="n">
        <f aca="false">+B54*C54</f>
        <v>150</v>
      </c>
      <c r="E54" s="36" t="n">
        <f aca="false">+E17/SUM($E$9:$E$20)</f>
        <v>0.01</v>
      </c>
      <c r="F54" s="37"/>
    </row>
    <row r="55" customFormat="false" ht="14.4" hidden="false" customHeight="false" outlineLevel="0" collapsed="false">
      <c r="A55" s="20" t="s">
        <v>41</v>
      </c>
      <c r="B55" s="21" t="n">
        <f aca="false">+B18/5</f>
        <v>10</v>
      </c>
      <c r="C55" s="21" t="n">
        <v>8</v>
      </c>
      <c r="D55" s="21" t="n">
        <f aca="false">+B55*C55</f>
        <v>80</v>
      </c>
      <c r="E55" s="36" t="n">
        <f aca="false">+E18/SUM($E$9:$E$20)</f>
        <v>0.005</v>
      </c>
      <c r="F55" s="37" t="s">
        <v>58</v>
      </c>
    </row>
    <row r="56" customFormat="false" ht="14.4" hidden="false" customHeight="false" outlineLevel="0" collapsed="false">
      <c r="A56" s="20" t="s">
        <v>59</v>
      </c>
      <c r="B56" s="21" t="n">
        <f aca="false">+B19</f>
        <v>100</v>
      </c>
      <c r="C56" s="21" t="n">
        <v>10</v>
      </c>
      <c r="D56" s="21" t="n">
        <f aca="false">+B56*C56</f>
        <v>1000</v>
      </c>
      <c r="E56" s="36" t="n">
        <f aca="false">+E19/SUM($E$9:$E$20)*1/2</f>
        <v>0.0025</v>
      </c>
      <c r="F56" s="37"/>
    </row>
    <row r="57" customFormat="false" ht="14.4" hidden="false" customHeight="false" outlineLevel="0" collapsed="false">
      <c r="A57" s="20" t="s">
        <v>60</v>
      </c>
      <c r="B57" s="11" t="n">
        <f aca="false">+B19/2</f>
        <v>50</v>
      </c>
      <c r="C57" s="11" t="n">
        <v>10</v>
      </c>
      <c r="D57" s="21" t="n">
        <f aca="false">+B57*C57</f>
        <v>500</v>
      </c>
      <c r="E57" s="36" t="n">
        <f aca="false">+E19/SUM($E$9:$E$20)*1/2</f>
        <v>0.0025</v>
      </c>
      <c r="F57" s="37" t="s">
        <v>61</v>
      </c>
    </row>
    <row r="58" customFormat="false" ht="15" hidden="false" customHeight="false" outlineLevel="0" collapsed="false">
      <c r="A58" s="24" t="s">
        <v>43</v>
      </c>
      <c r="B58" s="25" t="n">
        <f aca="false">+B20</f>
        <v>10</v>
      </c>
      <c r="C58" s="25" t="n">
        <v>50</v>
      </c>
      <c r="D58" s="25" t="n">
        <f aca="false">+B58*C58</f>
        <v>500</v>
      </c>
      <c r="E58" s="38" t="n">
        <f aca="false">+E20/SUM($E$9:$E$20)</f>
        <v>0.005</v>
      </c>
      <c r="F58" s="37"/>
    </row>
    <row r="59" customFormat="false" ht="15" hidden="false" customHeight="false" outlineLevel="0" collapsed="false">
      <c r="A59" s="11"/>
    </row>
    <row r="60" customFormat="false" ht="15" hidden="false" customHeight="false" outlineLevel="0" collapsed="false">
      <c r="C60" s="28" t="s">
        <v>45</v>
      </c>
      <c r="D60" s="29" t="n">
        <f aca="false">+SUMPRODUCT(D44:D58,E44:E58)</f>
        <v>96.76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T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Q18" activeCellId="0" sqref="Q18"/>
    </sheetView>
  </sheetViews>
  <sheetFormatPr defaultRowHeight="14.4" zeroHeight="false" outlineLevelRow="0" outlineLevelCol="0"/>
  <cols>
    <col collapsed="false" customWidth="true" hidden="false" outlineLevel="0" max="1" min="1" style="0" width="19.55"/>
    <col collapsed="false" customWidth="true" hidden="false" outlineLevel="0" max="2" min="2" style="0" width="11.55"/>
    <col collapsed="false" customWidth="true" hidden="false" outlineLevel="0" max="3" min="3" style="0" width="17"/>
    <col collapsed="false" customWidth="true" hidden="false" outlineLevel="0" max="4" min="4" style="0" width="13.55"/>
    <col collapsed="false" customWidth="true" hidden="false" outlineLevel="0" max="5" min="5" style="0" width="11.55"/>
    <col collapsed="false" customWidth="true" hidden="false" outlineLevel="0" max="6" min="6" style="0" width="14"/>
    <col collapsed="false" customWidth="true" hidden="false" outlineLevel="0" max="7" min="7" style="0" width="11.55"/>
    <col collapsed="false" customWidth="true" hidden="false" outlineLevel="0" max="8" min="8" style="0" width="20.89"/>
    <col collapsed="false" customWidth="true" hidden="false" outlineLevel="0" max="12" min="9" style="0" width="11.55"/>
    <col collapsed="false" customWidth="true" hidden="false" outlineLevel="0" max="13" min="13" style="0" width="12.78"/>
    <col collapsed="false" customWidth="true" hidden="false" outlineLevel="0" max="14" min="14" style="0" width="11.55"/>
    <col collapsed="false" customWidth="true" hidden="false" outlineLevel="0" max="15" min="15" style="0" width="21.11"/>
    <col collapsed="false" customWidth="true" hidden="false" outlineLevel="0" max="16" min="16" style="0" width="11.55"/>
    <col collapsed="false" customWidth="true" hidden="false" outlineLevel="0" max="17" min="17" style="0" width="14.44"/>
    <col collapsed="false" customWidth="true" hidden="false" outlineLevel="0" max="18" min="18" style="0" width="12.22"/>
    <col collapsed="false" customWidth="true" hidden="false" outlineLevel="0" max="19" min="19" style="0" width="11.55"/>
    <col collapsed="false" customWidth="true" hidden="false" outlineLevel="0" max="20" min="20" style="0" width="12.78"/>
    <col collapsed="false" customWidth="true" hidden="false" outlineLevel="0" max="1025" min="21" style="0" width="11.55"/>
  </cols>
  <sheetData>
    <row r="1" customFormat="false" ht="14.4" hidden="false" customHeight="false" outlineLevel="0" collapsed="false">
      <c r="A1" s="0" t="s">
        <v>62</v>
      </c>
    </row>
    <row r="2" customFormat="false" ht="14.4" hidden="false" customHeight="false" outlineLevel="0" collapsed="false">
      <c r="A2" s="0" t="s">
        <v>34</v>
      </c>
    </row>
    <row r="3" customFormat="false" ht="15" hidden="false" customHeight="false" outlineLevel="0" collapsed="false"/>
    <row r="4" customFormat="false" ht="15" hidden="false" customHeight="false" outlineLevel="0" collapsed="false">
      <c r="A4" s="18" t="s">
        <v>63</v>
      </c>
      <c r="B4" s="19" t="n">
        <v>400</v>
      </c>
      <c r="H4" s="17" t="s">
        <v>63</v>
      </c>
      <c r="I4" s="19" t="n">
        <v>200</v>
      </c>
      <c r="O4" s="17" t="s">
        <v>63</v>
      </c>
      <c r="P4" s="19" t="n">
        <v>100</v>
      </c>
    </row>
    <row r="6" customFormat="false" ht="14.4" hidden="false" customHeight="false" outlineLevel="0" collapsed="false">
      <c r="A6" s="0" t="s">
        <v>64</v>
      </c>
      <c r="H6" s="0" t="s">
        <v>64</v>
      </c>
      <c r="O6" s="0" t="s">
        <v>64</v>
      </c>
    </row>
    <row r="8" customFormat="false" ht="15" hidden="false" customHeight="false" outlineLevel="0" collapsed="false"/>
    <row r="9" customFormat="false" ht="15" hidden="false" customHeight="false" outlineLevel="0" collapsed="false">
      <c r="A9" s="33" t="s">
        <v>35</v>
      </c>
      <c r="B9" s="34" t="s">
        <v>36</v>
      </c>
      <c r="C9" s="34" t="s">
        <v>37</v>
      </c>
      <c r="D9" s="35" t="s">
        <v>38</v>
      </c>
      <c r="E9" s="39" t="s">
        <v>65</v>
      </c>
      <c r="F9" s="39" t="s">
        <v>66</v>
      </c>
      <c r="H9" s="33" t="s">
        <v>35</v>
      </c>
      <c r="I9" s="34" t="s">
        <v>36</v>
      </c>
      <c r="J9" s="34" t="s">
        <v>37</v>
      </c>
      <c r="K9" s="35" t="s">
        <v>38</v>
      </c>
      <c r="L9" s="39" t="s">
        <v>65</v>
      </c>
      <c r="M9" s="39" t="s">
        <v>66</v>
      </c>
      <c r="O9" s="33" t="s">
        <v>35</v>
      </c>
      <c r="P9" s="34" t="s">
        <v>36</v>
      </c>
      <c r="Q9" s="34" t="s">
        <v>37</v>
      </c>
      <c r="R9" s="35" t="s">
        <v>38</v>
      </c>
      <c r="S9" s="39" t="s">
        <v>65</v>
      </c>
      <c r="T9" s="39" t="s">
        <v>66</v>
      </c>
    </row>
    <row r="10" customFormat="false" ht="14.4" hidden="false" customHeight="false" outlineLevel="0" collapsed="false">
      <c r="A10" s="40" t="s">
        <v>40</v>
      </c>
      <c r="B10" s="41" t="n">
        <v>40</v>
      </c>
      <c r="C10" s="42" t="n">
        <v>5</v>
      </c>
      <c r="D10" s="43" t="n">
        <f aca="false">+B10*C10</f>
        <v>200</v>
      </c>
      <c r="E10" s="22" t="n">
        <v>9</v>
      </c>
      <c r="F10" s="44" t="n">
        <f aca="false">+D10/$B$4</f>
        <v>0.5</v>
      </c>
      <c r="G10" s="37"/>
      <c r="H10" s="40" t="s">
        <v>40</v>
      </c>
      <c r="I10" s="42" t="n">
        <v>24</v>
      </c>
      <c r="J10" s="42" t="n">
        <v>5</v>
      </c>
      <c r="K10" s="43" t="n">
        <f aca="false">+I10*J10</f>
        <v>120</v>
      </c>
      <c r="L10" s="22" t="n">
        <v>14</v>
      </c>
      <c r="M10" s="44" t="n">
        <f aca="false">+K10/$I$4</f>
        <v>0.6</v>
      </c>
      <c r="N10" s="37"/>
      <c r="O10" s="40" t="s">
        <v>40</v>
      </c>
      <c r="P10" s="42" t="n">
        <v>8</v>
      </c>
      <c r="Q10" s="42" t="n">
        <v>5</v>
      </c>
      <c r="R10" s="43" t="n">
        <f aca="false">+P10*Q10</f>
        <v>40</v>
      </c>
      <c r="S10" s="22" t="n">
        <v>12</v>
      </c>
      <c r="T10" s="44" t="n">
        <f aca="false">+R10/$P$4</f>
        <v>0.4</v>
      </c>
    </row>
    <row r="11" customFormat="false" ht="14.4" hidden="false" customHeight="false" outlineLevel="0" collapsed="false">
      <c r="A11" s="20" t="s">
        <v>40</v>
      </c>
      <c r="B11" s="45" t="n">
        <v>44</v>
      </c>
      <c r="C11" s="21" t="n">
        <v>5</v>
      </c>
      <c r="D11" s="36" t="n">
        <f aca="false">+B11*C11</f>
        <v>220</v>
      </c>
      <c r="E11" s="23" t="n">
        <v>8</v>
      </c>
      <c r="F11" s="46" t="n">
        <f aca="false">+D11/$B$4</f>
        <v>0.55</v>
      </c>
      <c r="G11" s="37"/>
      <c r="H11" s="20" t="s">
        <v>40</v>
      </c>
      <c r="I11" s="21" t="n">
        <v>26</v>
      </c>
      <c r="J11" s="21" t="n">
        <v>5</v>
      </c>
      <c r="K11" s="36" t="n">
        <f aca="false">+I11*J11</f>
        <v>130</v>
      </c>
      <c r="L11" s="23" t="n">
        <v>10</v>
      </c>
      <c r="M11" s="46" t="n">
        <f aca="false">+K11/$I$4</f>
        <v>0.65</v>
      </c>
      <c r="N11" s="37"/>
      <c r="O11" s="20" t="s">
        <v>40</v>
      </c>
      <c r="P11" s="21" t="n">
        <v>10</v>
      </c>
      <c r="Q11" s="21" t="n">
        <v>5</v>
      </c>
      <c r="R11" s="36" t="n">
        <f aca="false">+P11*Q11</f>
        <v>50</v>
      </c>
      <c r="S11" s="23" t="n">
        <v>10</v>
      </c>
      <c r="T11" s="46" t="n">
        <f aca="false">+R11/$P$4</f>
        <v>0.5</v>
      </c>
    </row>
    <row r="12" customFormat="false" ht="14.4" hidden="false" customHeight="false" outlineLevel="0" collapsed="false">
      <c r="A12" s="20" t="s">
        <v>40</v>
      </c>
      <c r="B12" s="45" t="n">
        <v>48</v>
      </c>
      <c r="C12" s="21" t="n">
        <v>5</v>
      </c>
      <c r="D12" s="36" t="n">
        <f aca="false">+B12*C12</f>
        <v>240</v>
      </c>
      <c r="E12" s="23" t="n">
        <v>9</v>
      </c>
      <c r="F12" s="46" t="n">
        <f aca="false">+D12/$B$4</f>
        <v>0.6</v>
      </c>
      <c r="G12" s="37"/>
      <c r="H12" s="20" t="s">
        <v>40</v>
      </c>
      <c r="I12" s="21" t="n">
        <v>28</v>
      </c>
      <c r="J12" s="21" t="n">
        <v>5</v>
      </c>
      <c r="K12" s="36" t="n">
        <f aca="false">+I12*J12</f>
        <v>140</v>
      </c>
      <c r="L12" s="23" t="n">
        <v>8</v>
      </c>
      <c r="M12" s="46" t="n">
        <f aca="false">+K12/$I$4</f>
        <v>0.7</v>
      </c>
      <c r="N12" s="37"/>
      <c r="O12" s="20" t="s">
        <v>40</v>
      </c>
      <c r="P12" s="21" t="n">
        <v>14</v>
      </c>
      <c r="Q12" s="21" t="n">
        <v>5</v>
      </c>
      <c r="R12" s="36" t="n">
        <f aca="false">+P12*Q12</f>
        <v>70</v>
      </c>
      <c r="S12" s="23" t="n">
        <v>6</v>
      </c>
      <c r="T12" s="46" t="n">
        <f aca="false">+R12/$P$4</f>
        <v>0.7</v>
      </c>
    </row>
    <row r="13" customFormat="false" ht="14.4" hidden="false" customHeight="false" outlineLevel="0" collapsed="false">
      <c r="A13" s="20" t="s">
        <v>40</v>
      </c>
      <c r="B13" s="45" t="n">
        <v>50</v>
      </c>
      <c r="C13" s="21" t="n">
        <v>5</v>
      </c>
      <c r="D13" s="36" t="n">
        <f aca="false">+B13*C13</f>
        <v>250</v>
      </c>
      <c r="E13" s="23" t="n">
        <v>9</v>
      </c>
      <c r="F13" s="46" t="n">
        <f aca="false">+D13/$B$4</f>
        <v>0.625</v>
      </c>
      <c r="G13" s="37"/>
      <c r="H13" s="20" t="s">
        <v>40</v>
      </c>
      <c r="I13" s="21" t="n">
        <v>32</v>
      </c>
      <c r="J13" s="21" t="n">
        <v>5</v>
      </c>
      <c r="K13" s="36" t="n">
        <f aca="false">+I13*J13</f>
        <v>160</v>
      </c>
      <c r="L13" s="23" t="n">
        <v>3</v>
      </c>
      <c r="M13" s="46" t="n">
        <f aca="false">+K13/$I$4</f>
        <v>0.8</v>
      </c>
      <c r="N13" s="37"/>
      <c r="O13" s="20" t="s">
        <v>40</v>
      </c>
      <c r="P13" s="21" t="n">
        <v>20</v>
      </c>
      <c r="Q13" s="21" t="n">
        <v>5</v>
      </c>
      <c r="R13" s="36" t="n">
        <f aca="false">+P13*Q13</f>
        <v>100</v>
      </c>
      <c r="S13" s="23" t="n">
        <v>3</v>
      </c>
      <c r="T13" s="46" t="n">
        <f aca="false">+R13/$P$4</f>
        <v>1</v>
      </c>
    </row>
    <row r="14" customFormat="false" ht="15" hidden="false" customHeight="false" outlineLevel="0" collapsed="false">
      <c r="A14" s="24" t="s">
        <v>40</v>
      </c>
      <c r="B14" s="47" t="n">
        <v>60</v>
      </c>
      <c r="C14" s="25" t="n">
        <v>5</v>
      </c>
      <c r="D14" s="38" t="n">
        <f aca="false">+B14*C14</f>
        <v>300</v>
      </c>
      <c r="E14" s="26" t="n">
        <v>3</v>
      </c>
      <c r="F14" s="48" t="n">
        <f aca="false">+D14/$B$4</f>
        <v>0.75</v>
      </c>
      <c r="G14" s="37"/>
      <c r="H14" s="24" t="s">
        <v>40</v>
      </c>
      <c r="I14" s="25" t="n">
        <v>36</v>
      </c>
      <c r="J14" s="25" t="n">
        <v>5</v>
      </c>
      <c r="K14" s="38" t="n">
        <f aca="false">+I14*J14</f>
        <v>180</v>
      </c>
      <c r="L14" s="26" t="n">
        <v>2</v>
      </c>
      <c r="M14" s="48" t="n">
        <f aca="false">+K14/$I$4</f>
        <v>0.9</v>
      </c>
      <c r="N14" s="37"/>
      <c r="O14" s="24" t="s">
        <v>40</v>
      </c>
      <c r="P14" s="25" t="n">
        <v>22</v>
      </c>
      <c r="Q14" s="25" t="n">
        <v>5</v>
      </c>
      <c r="R14" s="38" t="n">
        <f aca="false">+P14*Q14</f>
        <v>110</v>
      </c>
      <c r="S14" s="26" t="n">
        <v>4</v>
      </c>
      <c r="T14" s="48" t="n">
        <f aca="false">+R14/$P$4</f>
        <v>1.1</v>
      </c>
    </row>
    <row r="15" customFormat="false" ht="14.4" hidden="false" customHeight="false" outlineLevel="0" collapsed="false">
      <c r="A15" s="40" t="s">
        <v>41</v>
      </c>
      <c r="B15" s="41" t="n">
        <v>35</v>
      </c>
      <c r="C15" s="49" t="n">
        <v>8</v>
      </c>
      <c r="D15" s="43" t="n">
        <f aca="false">+B15*C15</f>
        <v>280</v>
      </c>
      <c r="E15" s="22" t="n">
        <v>22</v>
      </c>
      <c r="F15" s="44" t="n">
        <f aca="false">+D15/$B$4</f>
        <v>0.7</v>
      </c>
      <c r="G15" s="37"/>
      <c r="H15" s="40" t="s">
        <v>41</v>
      </c>
      <c r="I15" s="42" t="n">
        <v>20</v>
      </c>
      <c r="J15" s="49" t="n">
        <v>8</v>
      </c>
      <c r="K15" s="43" t="n">
        <f aca="false">+I15*J15</f>
        <v>160</v>
      </c>
      <c r="L15" s="22" t="n">
        <v>19</v>
      </c>
      <c r="M15" s="44" t="n">
        <f aca="false">+K15/$I$4</f>
        <v>0.8</v>
      </c>
      <c r="N15" s="37"/>
      <c r="O15" s="40" t="s">
        <v>41</v>
      </c>
      <c r="P15" s="42" t="n">
        <v>5</v>
      </c>
      <c r="Q15" s="49" t="n">
        <v>8</v>
      </c>
      <c r="R15" s="43" t="n">
        <f aca="false">+P15*Q15</f>
        <v>40</v>
      </c>
      <c r="S15" s="22" t="n">
        <v>14</v>
      </c>
      <c r="T15" s="44" t="n">
        <f aca="false">+R15/$P$4</f>
        <v>0.4</v>
      </c>
    </row>
    <row r="16" customFormat="false" ht="14.4" hidden="false" customHeight="false" outlineLevel="0" collapsed="false">
      <c r="A16" s="20" t="s">
        <v>41</v>
      </c>
      <c r="B16" s="45" t="n">
        <v>40</v>
      </c>
      <c r="C16" s="11" t="n">
        <v>8</v>
      </c>
      <c r="D16" s="36" t="n">
        <f aca="false">+B16*C16</f>
        <v>320</v>
      </c>
      <c r="E16" s="23" t="n">
        <v>11</v>
      </c>
      <c r="F16" s="46" t="n">
        <f aca="false">+D16/$B$4</f>
        <v>0.8</v>
      </c>
      <c r="G16" s="37"/>
      <c r="H16" s="20" t="s">
        <v>41</v>
      </c>
      <c r="I16" s="21" t="n">
        <v>25</v>
      </c>
      <c r="J16" s="11" t="n">
        <v>8</v>
      </c>
      <c r="K16" s="36" t="n">
        <f aca="false">+I16*J16</f>
        <v>200</v>
      </c>
      <c r="L16" s="23" t="n">
        <v>11</v>
      </c>
      <c r="M16" s="46" t="n">
        <f aca="false">+K16/$I$4</f>
        <v>1</v>
      </c>
      <c r="N16" s="37"/>
      <c r="O16" s="20" t="s">
        <v>41</v>
      </c>
      <c r="P16" s="21" t="n">
        <v>10</v>
      </c>
      <c r="Q16" s="11" t="n">
        <v>8</v>
      </c>
      <c r="R16" s="36" t="n">
        <f aca="false">+P16*Q16</f>
        <v>80</v>
      </c>
      <c r="S16" s="23" t="n">
        <v>9</v>
      </c>
      <c r="T16" s="46" t="n">
        <f aca="false">+R16/$P$4</f>
        <v>0.8</v>
      </c>
    </row>
    <row r="17" customFormat="false" ht="15" hidden="false" customHeight="false" outlineLevel="0" collapsed="false">
      <c r="A17" s="24" t="s">
        <v>41</v>
      </c>
      <c r="B17" s="47" t="n">
        <v>50</v>
      </c>
      <c r="C17" s="50" t="n">
        <v>8</v>
      </c>
      <c r="D17" s="38" t="n">
        <f aca="false">+B17*C17</f>
        <v>400</v>
      </c>
      <c r="E17" s="26" t="n">
        <v>4</v>
      </c>
      <c r="F17" s="48" t="n">
        <f aca="false">+D17/$B$4</f>
        <v>1</v>
      </c>
      <c r="G17" s="37"/>
      <c r="H17" s="24" t="s">
        <v>41</v>
      </c>
      <c r="I17" s="25" t="n">
        <v>30</v>
      </c>
      <c r="J17" s="50" t="n">
        <v>8</v>
      </c>
      <c r="K17" s="38" t="n">
        <f aca="false">+I17*J17</f>
        <v>240</v>
      </c>
      <c r="L17" s="26" t="n">
        <v>1</v>
      </c>
      <c r="M17" s="48" t="n">
        <f aca="false">+K17/$I$4</f>
        <v>1.2</v>
      </c>
      <c r="N17" s="37"/>
      <c r="O17" s="24" t="s">
        <v>41</v>
      </c>
      <c r="P17" s="25" t="n">
        <v>15</v>
      </c>
      <c r="Q17" s="50" t="n">
        <v>8</v>
      </c>
      <c r="R17" s="38" t="n">
        <f aca="false">+P17*Q17</f>
        <v>120</v>
      </c>
      <c r="S17" s="26" t="n">
        <v>7</v>
      </c>
      <c r="T17" s="48" t="n">
        <f aca="false">+R17/$P$4</f>
        <v>1.2</v>
      </c>
    </row>
    <row r="18" customFormat="false" ht="14.4" hidden="false" customHeight="false" outlineLevel="0" collapsed="false">
      <c r="A18" s="20" t="s">
        <v>42</v>
      </c>
      <c r="B18" s="45" t="n">
        <v>45</v>
      </c>
      <c r="C18" s="11" t="n">
        <v>10</v>
      </c>
      <c r="D18" s="36" t="n">
        <f aca="false">+B18*C18</f>
        <v>450</v>
      </c>
      <c r="E18" s="23" t="n">
        <v>16</v>
      </c>
      <c r="F18" s="46" t="n">
        <f aca="false">+D18/$B$4</f>
        <v>1.125</v>
      </c>
      <c r="G18" s="37"/>
      <c r="H18" s="20" t="s">
        <v>42</v>
      </c>
      <c r="I18" s="21" t="n">
        <v>25</v>
      </c>
      <c r="J18" s="11" t="n">
        <v>10</v>
      </c>
      <c r="K18" s="36" t="n">
        <f aca="false">+I18*J18</f>
        <v>250</v>
      </c>
      <c r="L18" s="23" t="n">
        <v>16</v>
      </c>
      <c r="M18" s="46" t="n">
        <f aca="false">+K18/$I$4</f>
        <v>1.25</v>
      </c>
      <c r="N18" s="37"/>
      <c r="O18" s="20" t="s">
        <v>42</v>
      </c>
      <c r="P18" s="21" t="n">
        <v>10</v>
      </c>
      <c r="Q18" s="11" t="n">
        <v>10</v>
      </c>
      <c r="R18" s="36" t="n">
        <f aca="false">+P18*Q18</f>
        <v>100</v>
      </c>
      <c r="S18" s="23" t="n">
        <v>5</v>
      </c>
      <c r="T18" s="46" t="n">
        <f aca="false">+R18/$P$4</f>
        <v>1</v>
      </c>
    </row>
    <row r="19" customFormat="false" ht="14.4" hidden="false" customHeight="false" outlineLevel="0" collapsed="false">
      <c r="A19" s="20" t="s">
        <v>42</v>
      </c>
      <c r="B19" s="45" t="n">
        <v>50</v>
      </c>
      <c r="C19" s="11" t="n">
        <v>10</v>
      </c>
      <c r="D19" s="36" t="n">
        <f aca="false">+B19*C19</f>
        <v>500</v>
      </c>
      <c r="E19" s="23" t="n">
        <v>12</v>
      </c>
      <c r="F19" s="46" t="n">
        <f aca="false">+D19/$B$4</f>
        <v>1.25</v>
      </c>
      <c r="G19" s="37"/>
      <c r="H19" s="20" t="s">
        <v>42</v>
      </c>
      <c r="I19" s="21" t="n">
        <v>30</v>
      </c>
      <c r="J19" s="11" t="n">
        <v>10</v>
      </c>
      <c r="K19" s="36" t="n">
        <f aca="false">+I19*J19</f>
        <v>300</v>
      </c>
      <c r="L19" s="23" t="n">
        <v>7</v>
      </c>
      <c r="M19" s="46" t="n">
        <f aca="false">+K19/$I$4</f>
        <v>1.5</v>
      </c>
      <c r="N19" s="37"/>
      <c r="O19" s="20" t="s">
        <v>42</v>
      </c>
      <c r="P19" s="21" t="n">
        <v>10</v>
      </c>
      <c r="Q19" s="11" t="n">
        <v>10</v>
      </c>
      <c r="R19" s="36" t="n">
        <f aca="false">+P19*Q19</f>
        <v>100</v>
      </c>
      <c r="S19" s="23" t="n">
        <v>5</v>
      </c>
      <c r="T19" s="46" t="n">
        <f aca="false">+R19/$P$4</f>
        <v>1</v>
      </c>
    </row>
    <row r="20" customFormat="false" ht="14.4" hidden="false" customHeight="false" outlineLevel="0" collapsed="false">
      <c r="A20" s="20" t="s">
        <v>42</v>
      </c>
      <c r="B20" s="45" t="n">
        <v>55</v>
      </c>
      <c r="C20" s="11" t="n">
        <v>10</v>
      </c>
      <c r="D20" s="36" t="n">
        <f aca="false">+B20*C20</f>
        <v>550</v>
      </c>
      <c r="E20" s="23" t="n">
        <v>6</v>
      </c>
      <c r="F20" s="46" t="n">
        <f aca="false">+D20/$B$4</f>
        <v>1.375</v>
      </c>
      <c r="G20" s="37"/>
      <c r="H20" s="20" t="s">
        <v>42</v>
      </c>
      <c r="I20" s="21" t="n">
        <v>35</v>
      </c>
      <c r="J20" s="11" t="n">
        <v>10</v>
      </c>
      <c r="K20" s="36" t="n">
        <f aca="false">+I20*J20</f>
        <v>350</v>
      </c>
      <c r="L20" s="23" t="n">
        <v>1</v>
      </c>
      <c r="M20" s="46" t="n">
        <f aca="false">+K20/$I$4</f>
        <v>1.75</v>
      </c>
      <c r="N20" s="37"/>
      <c r="O20" s="20" t="s">
        <v>42</v>
      </c>
      <c r="P20" s="21" t="n">
        <v>15</v>
      </c>
      <c r="Q20" s="11" t="n">
        <v>10</v>
      </c>
      <c r="R20" s="36" t="n">
        <f aca="false">+P20*Q20</f>
        <v>150</v>
      </c>
      <c r="S20" s="23" t="n">
        <v>10</v>
      </c>
      <c r="T20" s="46" t="n">
        <f aca="false">+R20/$P$4</f>
        <v>1.5</v>
      </c>
    </row>
    <row r="21" customFormat="false" ht="15" hidden="false" customHeight="false" outlineLevel="0" collapsed="false">
      <c r="A21" s="24" t="s">
        <v>42</v>
      </c>
      <c r="B21" s="47" t="n">
        <v>60</v>
      </c>
      <c r="C21" s="50" t="n">
        <v>10</v>
      </c>
      <c r="D21" s="38" t="n">
        <f aca="false">+B21*C21</f>
        <v>600</v>
      </c>
      <c r="E21" s="26" t="n">
        <v>2</v>
      </c>
      <c r="F21" s="48" t="n">
        <f aca="false">+D21/$B$4</f>
        <v>1.5</v>
      </c>
      <c r="G21" s="37"/>
      <c r="H21" s="24" t="s">
        <v>42</v>
      </c>
      <c r="I21" s="25" t="n">
        <v>40</v>
      </c>
      <c r="J21" s="50" t="n">
        <v>10</v>
      </c>
      <c r="K21" s="38" t="n">
        <f aca="false">+I21*J21</f>
        <v>400</v>
      </c>
      <c r="L21" s="26" t="n">
        <v>1</v>
      </c>
      <c r="M21" s="48" t="n">
        <f aca="false">+K21/$I$4</f>
        <v>2</v>
      </c>
      <c r="N21" s="37"/>
      <c r="O21" s="24" t="s">
        <v>42</v>
      </c>
      <c r="P21" s="25" t="n">
        <v>20</v>
      </c>
      <c r="Q21" s="50" t="n">
        <v>10</v>
      </c>
      <c r="R21" s="38" t="n">
        <f aca="false">+P21*Q21</f>
        <v>200</v>
      </c>
      <c r="S21" s="26" t="n">
        <v>9</v>
      </c>
      <c r="T21" s="48" t="n">
        <f aca="false">+R21/$P$4</f>
        <v>2</v>
      </c>
    </row>
    <row r="22" customFormat="false" ht="14.4" hidden="false" customHeight="false" outlineLevel="0" collapsed="false">
      <c r="A22" s="20" t="s">
        <v>43</v>
      </c>
      <c r="B22" s="11" t="n">
        <v>15</v>
      </c>
      <c r="C22" s="11" t="n">
        <v>50</v>
      </c>
      <c r="D22" s="36" t="n">
        <f aca="false">+B22*C22</f>
        <v>750</v>
      </c>
      <c r="E22" s="23" t="n">
        <v>5</v>
      </c>
      <c r="F22" s="46" t="n">
        <f aca="false">+D22/$B$4</f>
        <v>1.875</v>
      </c>
      <c r="G22" s="37"/>
      <c r="H22" s="20" t="s">
        <v>43</v>
      </c>
      <c r="I22" s="11" t="n">
        <v>6</v>
      </c>
      <c r="J22" s="11" t="n">
        <v>50</v>
      </c>
      <c r="K22" s="36" t="n">
        <f aca="false">+I22*J22</f>
        <v>300</v>
      </c>
      <c r="L22" s="23" t="n">
        <v>5</v>
      </c>
      <c r="M22" s="46" t="n">
        <f aca="false">+K22/$I$4</f>
        <v>1.5</v>
      </c>
      <c r="N22" s="37"/>
      <c r="O22" s="20" t="s">
        <v>43</v>
      </c>
      <c r="P22" s="11" t="n">
        <v>3</v>
      </c>
      <c r="Q22" s="11" t="n">
        <v>50</v>
      </c>
      <c r="R22" s="36" t="n">
        <f aca="false">+P22*Q22</f>
        <v>150</v>
      </c>
      <c r="S22" s="23" t="n">
        <v>2</v>
      </c>
      <c r="T22" s="46" t="n">
        <f aca="false">+R22/$P$4</f>
        <v>1.5</v>
      </c>
    </row>
    <row r="23" customFormat="false" ht="14.4" hidden="false" customHeight="false" outlineLevel="0" collapsed="false">
      <c r="A23" s="20" t="s">
        <v>43</v>
      </c>
      <c r="B23" s="11" t="n">
        <v>25</v>
      </c>
      <c r="C23" s="11" t="n">
        <v>50</v>
      </c>
      <c r="D23" s="36" t="n">
        <f aca="false">+B23*C23</f>
        <v>1250</v>
      </c>
      <c r="E23" s="23" t="n">
        <v>3</v>
      </c>
      <c r="F23" s="46" t="n">
        <f aca="false">+D23/$B$4</f>
        <v>3.125</v>
      </c>
      <c r="G23" s="37"/>
      <c r="H23" s="20" t="s">
        <v>43</v>
      </c>
      <c r="I23" s="11" t="n">
        <v>7</v>
      </c>
      <c r="J23" s="11" t="n">
        <v>50</v>
      </c>
      <c r="K23" s="36" t="n">
        <f aca="false">+I23*J23</f>
        <v>350</v>
      </c>
      <c r="L23" s="23" t="n">
        <v>1</v>
      </c>
      <c r="M23" s="46" t="n">
        <f aca="false">+K23/$I$4</f>
        <v>1.75</v>
      </c>
      <c r="N23" s="37"/>
      <c r="O23" s="20" t="s">
        <v>43</v>
      </c>
      <c r="P23" s="11" t="n">
        <v>4</v>
      </c>
      <c r="Q23" s="11" t="n">
        <v>50</v>
      </c>
      <c r="R23" s="36" t="n">
        <f aca="false">+P23*Q23</f>
        <v>200</v>
      </c>
      <c r="S23" s="23" t="n">
        <v>2</v>
      </c>
      <c r="T23" s="46" t="n">
        <f aca="false">+R23/$P$4</f>
        <v>2</v>
      </c>
    </row>
    <row r="24" customFormat="false" ht="15" hidden="false" customHeight="false" outlineLevel="0" collapsed="false">
      <c r="A24" s="20" t="s">
        <v>43</v>
      </c>
      <c r="B24" s="47" t="n">
        <v>30</v>
      </c>
      <c r="C24" s="50" t="n">
        <v>50</v>
      </c>
      <c r="D24" s="38" t="n">
        <f aca="false">+B24*C24</f>
        <v>1500</v>
      </c>
      <c r="E24" s="26" t="n">
        <v>1</v>
      </c>
      <c r="F24" s="48" t="n">
        <f aca="false">+D24/$B$4</f>
        <v>3.75</v>
      </c>
      <c r="G24" s="37"/>
      <c r="H24" s="20" t="s">
        <v>43</v>
      </c>
      <c r="I24" s="25" t="n">
        <v>8</v>
      </c>
      <c r="J24" s="50" t="n">
        <v>50</v>
      </c>
      <c r="K24" s="38" t="n">
        <f aca="false">+I24*J24</f>
        <v>400</v>
      </c>
      <c r="L24" s="26" t="n">
        <v>1</v>
      </c>
      <c r="M24" s="48" t="n">
        <f aca="false">+K24/$I$4</f>
        <v>2</v>
      </c>
      <c r="N24" s="37"/>
      <c r="O24" s="20" t="s">
        <v>43</v>
      </c>
      <c r="P24" s="25" t="n">
        <v>5</v>
      </c>
      <c r="Q24" s="50" t="n">
        <v>50</v>
      </c>
      <c r="R24" s="38" t="n">
        <f aca="false">+P24*Q24</f>
        <v>250</v>
      </c>
      <c r="S24" s="26" t="n">
        <v>2</v>
      </c>
      <c r="T24" s="48" t="n">
        <f aca="false">+R24/$P$4</f>
        <v>2.5</v>
      </c>
    </row>
    <row r="25" customFormat="false" ht="15" hidden="false" customHeight="false" outlineLevel="0" collapsed="false">
      <c r="A25" s="51" t="s">
        <v>15</v>
      </c>
      <c r="B25" s="18"/>
      <c r="C25" s="18"/>
      <c r="D25" s="52" t="n">
        <f aca="false">+SUMPRODUCT(D10:D24,E10:E24)/SUM(E10:E24)</f>
        <v>390.416666666667</v>
      </c>
      <c r="E25" s="53" t="n">
        <f aca="false">+SUM(E10:E24)</f>
        <v>120</v>
      </c>
      <c r="H25" s="51" t="s">
        <v>15</v>
      </c>
      <c r="I25" s="18"/>
      <c r="J25" s="18"/>
      <c r="K25" s="52" t="n">
        <f aca="false">+SUMPRODUCT(K10:K24,L10:L24)/SUM(L10:L24)</f>
        <v>195.2</v>
      </c>
      <c r="L25" s="53" t="n">
        <f aca="false">+SUM(L10:L24)</f>
        <v>100</v>
      </c>
      <c r="O25" s="51" t="s">
        <v>15</v>
      </c>
      <c r="P25" s="18"/>
      <c r="Q25" s="18"/>
      <c r="R25" s="52" t="n">
        <f aca="false">+SUMPRODUCT(R10:R24,S10:S24)/SUM(S10:S24)</f>
        <v>97.6</v>
      </c>
      <c r="S25" s="53" t="n">
        <f aca="false">+SUM(S10:S24)</f>
        <v>100</v>
      </c>
    </row>
    <row r="27" customFormat="false" ht="14.4" hidden="false" customHeight="false" outlineLevel="0" collapsed="false">
      <c r="A27" s="14" t="s">
        <v>67</v>
      </c>
      <c r="B27" s="54" t="n">
        <f aca="false">+D25/B4</f>
        <v>0.976041666666667</v>
      </c>
      <c r="H27" s="14" t="s">
        <v>67</v>
      </c>
      <c r="I27" s="54" t="n">
        <f aca="false">+K25/I4</f>
        <v>0.976</v>
      </c>
      <c r="O27" s="14" t="s">
        <v>67</v>
      </c>
      <c r="P27" s="54" t="n">
        <f aca="false">+R25/P4</f>
        <v>0.976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Y7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2" activeCellId="0" sqref="H12"/>
    </sheetView>
  </sheetViews>
  <sheetFormatPr defaultRowHeight="14.4" zeroHeight="false" outlineLevelRow="0" outlineLevelCol="0"/>
  <cols>
    <col collapsed="false" customWidth="true" hidden="false" outlineLevel="0" max="1" min="1" style="0" width="13.11"/>
    <col collapsed="false" customWidth="true" hidden="false" outlineLevel="0" max="2" min="2" style="0" width="14.11"/>
    <col collapsed="false" customWidth="true" hidden="false" outlineLevel="0" max="3" min="3" style="0" width="18.77"/>
    <col collapsed="false" customWidth="true" hidden="false" outlineLevel="0" max="4" min="4" style="0" width="15.55"/>
    <col collapsed="false" customWidth="true" hidden="false" outlineLevel="0" max="5" min="5" style="0" width="19.33"/>
    <col collapsed="false" customWidth="true" hidden="false" outlineLevel="0" max="6" min="6" style="0" width="17.77"/>
    <col collapsed="false" customWidth="true" hidden="false" outlineLevel="0" max="8" min="7" style="0" width="11.55"/>
    <col collapsed="false" customWidth="true" hidden="false" outlineLevel="0" max="9" min="9" style="0" width="15.55"/>
    <col collapsed="false" customWidth="true" hidden="false" outlineLevel="0" max="13" min="10" style="0" width="11.55"/>
    <col collapsed="false" customWidth="true" hidden="false" outlineLevel="0" max="14" min="14" style="0" width="15.55"/>
    <col collapsed="false" customWidth="true" hidden="false" outlineLevel="0" max="18" min="15" style="0" width="11.55"/>
    <col collapsed="false" customWidth="true" hidden="false" outlineLevel="0" max="19" min="19" style="0" width="15.55"/>
    <col collapsed="false" customWidth="true" hidden="false" outlineLevel="0" max="23" min="20" style="0" width="11.55"/>
    <col collapsed="false" customWidth="true" hidden="false" outlineLevel="0" max="24" min="24" style="0" width="15.55"/>
    <col collapsed="false" customWidth="true" hidden="false" outlineLevel="0" max="1025" min="25" style="0" width="11.55"/>
  </cols>
  <sheetData>
    <row r="1" customFormat="false" ht="18" hidden="false" customHeight="false" outlineLevel="0" collapsed="false">
      <c r="A1" s="55" t="s">
        <v>68</v>
      </c>
      <c r="B1" s="55"/>
      <c r="C1" s="55"/>
      <c r="D1" s="55"/>
      <c r="E1" s="55"/>
    </row>
    <row r="2" customFormat="false" ht="14.4" hidden="false" customHeight="false" outlineLevel="0" collapsed="false">
      <c r="A2" s="0" t="s">
        <v>69</v>
      </c>
    </row>
    <row r="3" customFormat="false" ht="14.4" hidden="false" customHeight="false" outlineLevel="0" collapsed="false">
      <c r="A3" s="0" t="str">
        <f aca="false">+CONCATENATE("But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customFormat="false" ht="14.4" hidden="false" customHeight="false" outlineLevel="0" collapsed="false">
      <c r="A4" s="0" t="s">
        <v>70</v>
      </c>
    </row>
    <row r="5" customFormat="false" ht="14.4" hidden="false" customHeight="false" outlineLevel="0" collapsed="false">
      <c r="A5" s="0" t="s">
        <v>71</v>
      </c>
    </row>
    <row r="6" customFormat="false" ht="14.4" hidden="false" customHeight="false" outlineLevel="0" collapsed="false">
      <c r="A6" s="1" t="s">
        <v>72</v>
      </c>
    </row>
    <row r="8" customFormat="false" ht="18" hidden="false" customHeight="false" outlineLevel="0" collapsed="false">
      <c r="A8" s="56" t="s">
        <v>73</v>
      </c>
      <c r="B8" s="56"/>
      <c r="C8" s="56"/>
      <c r="D8" s="56"/>
      <c r="E8" s="56"/>
    </row>
    <row r="9" customFormat="false" ht="15" hidden="false" customHeight="false" outlineLevel="0" collapsed="false"/>
    <row r="10" customFormat="false" ht="15" hidden="false" customHeight="false" outlineLevel="0" collapsed="false">
      <c r="B10" s="57" t="s">
        <v>74</v>
      </c>
      <c r="C10" s="57"/>
      <c r="D10" s="57"/>
      <c r="E10" s="57"/>
      <c r="G10" s="57" t="s">
        <v>40</v>
      </c>
      <c r="H10" s="57"/>
      <c r="I10" s="57"/>
      <c r="J10" s="57"/>
      <c r="L10" s="57" t="s">
        <v>41</v>
      </c>
      <c r="M10" s="57"/>
      <c r="N10" s="57"/>
      <c r="O10" s="57"/>
      <c r="Q10" s="57" t="s">
        <v>42</v>
      </c>
      <c r="R10" s="57"/>
      <c r="S10" s="57"/>
      <c r="T10" s="57"/>
      <c r="V10" s="57" t="s">
        <v>43</v>
      </c>
      <c r="W10" s="57"/>
      <c r="X10" s="57"/>
      <c r="Y10" s="57"/>
    </row>
    <row r="11" customFormat="false" ht="14.4" hidden="false" customHeight="false" outlineLevel="0" collapsed="false">
      <c r="A11" s="1" t="s">
        <v>75</v>
      </c>
      <c r="B11" s="58" t="s">
        <v>27</v>
      </c>
      <c r="C11" s="58" t="s">
        <v>6</v>
      </c>
      <c r="D11" s="58" t="s">
        <v>76</v>
      </c>
      <c r="E11" s="58" t="s">
        <v>4</v>
      </c>
      <c r="G11" s="2" t="s">
        <v>27</v>
      </c>
      <c r="H11" s="2" t="s">
        <v>6</v>
      </c>
      <c r="I11" s="2" t="s">
        <v>76</v>
      </c>
      <c r="J11" s="2" t="s">
        <v>77</v>
      </c>
      <c r="L11" s="2" t="s">
        <v>27</v>
      </c>
      <c r="M11" s="2" t="s">
        <v>6</v>
      </c>
      <c r="N11" s="2" t="s">
        <v>76</v>
      </c>
      <c r="O11" s="2" t="s">
        <v>77</v>
      </c>
      <c r="Q11" s="2" t="s">
        <v>27</v>
      </c>
      <c r="R11" s="2" t="s">
        <v>6</v>
      </c>
      <c r="S11" s="2" t="s">
        <v>76</v>
      </c>
      <c r="T11" s="2" t="s">
        <v>77</v>
      </c>
      <c r="V11" s="2" t="s">
        <v>27</v>
      </c>
      <c r="W11" s="2" t="s">
        <v>6</v>
      </c>
      <c r="X11" s="2" t="s">
        <v>76</v>
      </c>
      <c r="Y11" s="2" t="s">
        <v>77</v>
      </c>
    </row>
    <row r="12" customFormat="false" ht="14.4" hidden="false" customHeight="false" outlineLevel="0" collapsed="false">
      <c r="B12" s="59" t="n">
        <v>5</v>
      </c>
      <c r="C12" s="3" t="n">
        <v>0.083</v>
      </c>
      <c r="D12" s="3" t="n">
        <f aca="false">+SUM(C$11:$C12)</f>
        <v>0.083</v>
      </c>
      <c r="E12" s="3" t="n">
        <f aca="false">+B12*C12</f>
        <v>0.415</v>
      </c>
      <c r="G12" s="59" t="n">
        <v>20</v>
      </c>
      <c r="H12" s="3" t="n">
        <v>0.07</v>
      </c>
      <c r="I12" s="3" t="n">
        <f aca="false">+SUM($H$12:H12)</f>
        <v>0.07</v>
      </c>
      <c r="J12" s="3" t="n">
        <f aca="false">+G12*H12</f>
        <v>1.4</v>
      </c>
      <c r="L12" s="59" t="n">
        <v>25</v>
      </c>
      <c r="M12" s="3" t="n">
        <v>0.06</v>
      </c>
      <c r="N12" s="3" t="n">
        <f aca="false">+SUM($M$12:M12)</f>
        <v>0.06</v>
      </c>
      <c r="O12" s="3" t="n">
        <f aca="false">+L12*M12</f>
        <v>1.5</v>
      </c>
      <c r="Q12" s="59" t="n">
        <v>30</v>
      </c>
      <c r="R12" s="3" t="n">
        <v>0.06</v>
      </c>
      <c r="S12" s="3" t="n">
        <f aca="false">+SUM($R$11:R12)</f>
        <v>0.06</v>
      </c>
      <c r="T12" s="3" t="n">
        <f aca="false">+Q12*R12</f>
        <v>1.8</v>
      </c>
      <c r="V12" s="59" t="n">
        <v>50</v>
      </c>
      <c r="W12" s="3" t="n">
        <v>0.15</v>
      </c>
      <c r="X12" s="3" t="n">
        <f aca="false">+SUM($W$12:W12)</f>
        <v>0.15</v>
      </c>
      <c r="Y12" s="3" t="n">
        <f aca="false">+V12*W12</f>
        <v>7.5</v>
      </c>
    </row>
    <row r="13" customFormat="false" ht="14.4" hidden="false" customHeight="false" outlineLevel="0" collapsed="false">
      <c r="B13" s="59" t="n">
        <v>10</v>
      </c>
      <c r="C13" s="3" t="n">
        <v>0.0315</v>
      </c>
      <c r="D13" s="3" t="n">
        <f aca="false">+SUM(C$11:$C13)</f>
        <v>0.1145</v>
      </c>
      <c r="E13" s="3" t="n">
        <f aca="false">+B13*C13</f>
        <v>0.315</v>
      </c>
      <c r="G13" s="59" t="n">
        <v>30</v>
      </c>
      <c r="H13" s="3" t="n">
        <v>0.05</v>
      </c>
      <c r="I13" s="3" t="n">
        <f aca="false">+SUM($H$12:H13)</f>
        <v>0.12</v>
      </c>
      <c r="J13" s="3" t="n">
        <f aca="false">+G13*H13</f>
        <v>1.5</v>
      </c>
      <c r="L13" s="59" t="n">
        <v>35</v>
      </c>
      <c r="M13" s="3" t="n">
        <v>0.04</v>
      </c>
      <c r="N13" s="3" t="n">
        <f aca="false">+SUM($M$12:M13)</f>
        <v>0.1</v>
      </c>
      <c r="O13" s="3" t="n">
        <f aca="false">+L13*M13</f>
        <v>1.4</v>
      </c>
      <c r="Q13" s="59" t="n">
        <v>50</v>
      </c>
      <c r="R13" s="3" t="n">
        <v>0.031</v>
      </c>
      <c r="S13" s="3" t="n">
        <f aca="false">+SUM($R$11:R13)</f>
        <v>0.091</v>
      </c>
      <c r="T13" s="3" t="n">
        <f aca="false">+Q13*R13</f>
        <v>1.55</v>
      </c>
      <c r="V13" s="59" t="n">
        <v>75</v>
      </c>
      <c r="W13" s="3" t="n">
        <v>0.1</v>
      </c>
      <c r="X13" s="3" t="n">
        <f aca="false">+SUM($W$12:W13)</f>
        <v>0.25</v>
      </c>
      <c r="Y13" s="3" t="n">
        <f aca="false">+V13*W13</f>
        <v>7.5</v>
      </c>
    </row>
    <row r="14" customFormat="false" ht="14.4" hidden="false" customHeight="false" outlineLevel="0" collapsed="false">
      <c r="B14" s="59" t="n">
        <v>15</v>
      </c>
      <c r="C14" s="3" t="n">
        <v>0.008</v>
      </c>
      <c r="D14" s="3" t="n">
        <f aca="false">+SUM(C$11:$C14)</f>
        <v>0.1225</v>
      </c>
      <c r="E14" s="3" t="n">
        <f aca="false">+B14*C14</f>
        <v>0.12</v>
      </c>
      <c r="G14" s="59" t="n">
        <v>40</v>
      </c>
      <c r="H14" s="3" t="n">
        <v>0.04</v>
      </c>
      <c r="I14" s="3" t="n">
        <f aca="false">+SUM($H$12:H14)</f>
        <v>0.16</v>
      </c>
      <c r="J14" s="3" t="n">
        <f aca="false">+G14*H14</f>
        <v>1.6</v>
      </c>
      <c r="L14" s="59" t="n">
        <v>50</v>
      </c>
      <c r="M14" s="3" t="n">
        <v>0.033</v>
      </c>
      <c r="N14" s="3" t="n">
        <f aca="false">+SUM($M$12:M14)</f>
        <v>0.133</v>
      </c>
      <c r="O14" s="3" t="n">
        <f aca="false">+L14*M14</f>
        <v>1.65</v>
      </c>
      <c r="Q14" s="59" t="n">
        <v>75</v>
      </c>
      <c r="R14" s="3" t="n">
        <v>0.018</v>
      </c>
      <c r="S14" s="3" t="n">
        <f aca="false">+SUM($R$11:R14)</f>
        <v>0.109</v>
      </c>
      <c r="T14" s="3" t="n">
        <f aca="false">+Q14*R14</f>
        <v>1.35</v>
      </c>
      <c r="V14" s="59" t="n">
        <v>100</v>
      </c>
      <c r="W14" s="3" t="n">
        <v>0.1</v>
      </c>
      <c r="X14" s="3" t="n">
        <f aca="false">+SUM($W$12:W14)</f>
        <v>0.35</v>
      </c>
      <c r="Y14" s="3" t="n">
        <f aca="false">+V14*W14</f>
        <v>10</v>
      </c>
    </row>
    <row r="15" customFormat="false" ht="14.4" hidden="false" customHeight="false" outlineLevel="0" collapsed="false">
      <c r="B15" s="59" t="n">
        <v>20</v>
      </c>
      <c r="C15" s="3" t="n">
        <v>0.001</v>
      </c>
      <c r="D15" s="3" t="n">
        <f aca="false">+SUM(C$11:$C15)</f>
        <v>0.1235</v>
      </c>
      <c r="E15" s="3" t="n">
        <f aca="false">+B15*C15</f>
        <v>0.02</v>
      </c>
      <c r="G15" s="59" t="n">
        <v>75</v>
      </c>
      <c r="H15" s="3" t="n">
        <v>0.03</v>
      </c>
      <c r="I15" s="3" t="n">
        <f aca="false">+SUM($H$12:H15)</f>
        <v>0.19</v>
      </c>
      <c r="J15" s="3" t="n">
        <f aca="false">+G15*H15</f>
        <v>2.25</v>
      </c>
      <c r="L15" s="59" t="n">
        <v>80</v>
      </c>
      <c r="M15" s="3" t="n">
        <v>0.015</v>
      </c>
      <c r="N15" s="3" t="n">
        <f aca="false">+SUM($M$12:M15)</f>
        <v>0.148</v>
      </c>
      <c r="O15" s="3" t="n">
        <f aca="false">+L15*M15</f>
        <v>1.2</v>
      </c>
      <c r="Q15" s="59" t="n">
        <v>100</v>
      </c>
      <c r="R15" s="3" t="n">
        <v>0.001</v>
      </c>
      <c r="S15" s="3" t="n">
        <f aca="false">+SUM($R$11:R15)</f>
        <v>0.11</v>
      </c>
      <c r="T15" s="3" t="n">
        <f aca="false">+Q15*R15</f>
        <v>0.1</v>
      </c>
      <c r="V15" s="59" t="n">
        <v>200</v>
      </c>
      <c r="W15" s="3" t="n">
        <v>0.05</v>
      </c>
      <c r="X15" s="3" t="n">
        <f aca="false">+SUM($W$12:W15)</f>
        <v>0.4</v>
      </c>
      <c r="Y15" s="3" t="n">
        <f aca="false">+V15*W15</f>
        <v>10</v>
      </c>
    </row>
    <row r="16" customFormat="false" ht="14.4" hidden="false" customHeight="false" outlineLevel="0" collapsed="false">
      <c r="B16" s="59" t="n">
        <v>35</v>
      </c>
      <c r="C16" s="3" t="n">
        <v>0.001</v>
      </c>
      <c r="D16" s="3" t="n">
        <f aca="false">+SUM(C$11:$C16)</f>
        <v>0.1245</v>
      </c>
      <c r="E16" s="3" t="n">
        <f aca="false">+B16*C16</f>
        <v>0.035</v>
      </c>
      <c r="G16" s="59" t="n">
        <v>125</v>
      </c>
      <c r="H16" s="3" t="n">
        <v>0.01</v>
      </c>
      <c r="I16" s="3" t="n">
        <f aca="false">+SUM($H$12:H16)</f>
        <v>0.2</v>
      </c>
      <c r="J16" s="3" t="n">
        <f aca="false">+G16*H16</f>
        <v>1.25</v>
      </c>
      <c r="L16" s="59" t="n">
        <v>150</v>
      </c>
      <c r="M16" s="3" t="n">
        <v>0.005</v>
      </c>
      <c r="N16" s="3" t="n">
        <f aca="false">+SUM($M$12:M16)</f>
        <v>0.153</v>
      </c>
      <c r="O16" s="3" t="n">
        <f aca="false">+L16*M16</f>
        <v>0.75</v>
      </c>
      <c r="Q16" s="59" t="n">
        <v>200</v>
      </c>
      <c r="R16" s="3" t="n">
        <v>0.0005</v>
      </c>
      <c r="S16" s="3" t="n">
        <f aca="false">+SUM($R$11:R16)</f>
        <v>0.1105</v>
      </c>
      <c r="T16" s="3" t="n">
        <f aca="false">+Q16*R16</f>
        <v>0.1</v>
      </c>
      <c r="V16" s="59" t="n">
        <v>500</v>
      </c>
      <c r="W16" s="3" t="n">
        <v>0.02</v>
      </c>
      <c r="X16" s="3" t="n">
        <f aca="false">+SUM($W$12:W16)</f>
        <v>0.42</v>
      </c>
      <c r="Y16" s="3" t="n">
        <f aca="false">+V16*W16</f>
        <v>10</v>
      </c>
    </row>
    <row r="17" customFormat="false" ht="14.4" hidden="false" customHeight="false" outlineLevel="0" collapsed="false">
      <c r="B17" s="59" t="n">
        <v>50</v>
      </c>
      <c r="C17" s="3" t="n">
        <v>0.001</v>
      </c>
      <c r="D17" s="3" t="n">
        <f aca="false">+SUM(C$11:$C17)</f>
        <v>0.1255</v>
      </c>
      <c r="E17" s="3" t="n">
        <f aca="false">+B17*C17</f>
        <v>0.05</v>
      </c>
      <c r="G17" s="59" t="n">
        <v>200</v>
      </c>
      <c r="H17" s="3" t="n">
        <v>0.01</v>
      </c>
      <c r="I17" s="3" t="n">
        <f aca="false">+SUM($H$12:H17)</f>
        <v>0.21</v>
      </c>
      <c r="J17" s="3" t="n">
        <f aca="false">+G17*H17</f>
        <v>2</v>
      </c>
      <c r="L17" s="59" t="n">
        <v>300</v>
      </c>
      <c r="M17" s="3" t="n">
        <v>0.005</v>
      </c>
      <c r="N17" s="3" t="n">
        <f aca="false">+SUM($M$12:M17)</f>
        <v>0.158</v>
      </c>
      <c r="O17" s="3" t="n">
        <f aca="false">+L17*M17</f>
        <v>1.5</v>
      </c>
      <c r="Q17" s="59" t="n">
        <v>500</v>
      </c>
      <c r="R17" s="3" t="n">
        <v>0.0002</v>
      </c>
      <c r="S17" s="3" t="n">
        <f aca="false">+SUM($R$11:R17)</f>
        <v>0.1107</v>
      </c>
      <c r="T17" s="3" t="n">
        <f aca="false">+Q17*R17</f>
        <v>0.1</v>
      </c>
      <c r="V17" s="59" t="n">
        <v>1000</v>
      </c>
      <c r="W17" s="3" t="n">
        <v>0.005</v>
      </c>
      <c r="X17" s="3" t="n">
        <f aca="false">+SUM($W$12:W17)</f>
        <v>0.425</v>
      </c>
      <c r="Y17" s="3" t="n">
        <f aca="false">+V17*W17</f>
        <v>5</v>
      </c>
    </row>
    <row r="18" customFormat="false" ht="14.4" hidden="false" customHeight="false" outlineLevel="0" collapsed="false">
      <c r="B18" s="60" t="s">
        <v>78</v>
      </c>
      <c r="C18" s="60" t="n">
        <f aca="false">+SUM(C12:C17)</f>
        <v>0.1255</v>
      </c>
      <c r="D18" s="60"/>
      <c r="E18" s="61" t="n">
        <f aca="false">+SUM(E12:E17)</f>
        <v>0.955</v>
      </c>
      <c r="G18" s="60" t="s">
        <v>78</v>
      </c>
      <c r="H18" s="60" t="n">
        <f aca="false">+SUM(H12:H17)</f>
        <v>0.21</v>
      </c>
      <c r="I18" s="60"/>
      <c r="J18" s="61" t="n">
        <f aca="false">+SUM(J12:J17)</f>
        <v>10</v>
      </c>
      <c r="L18" s="60" t="s">
        <v>78</v>
      </c>
      <c r="M18" s="60" t="n">
        <f aca="false">+SUM(M12:M17)</f>
        <v>0.158</v>
      </c>
      <c r="N18" s="60"/>
      <c r="O18" s="61" t="n">
        <f aca="false">+SUM(O12:O17)</f>
        <v>8</v>
      </c>
      <c r="Q18" s="60" t="s">
        <v>78</v>
      </c>
      <c r="R18" s="60" t="n">
        <f aca="false">+SUM(R12:R17)</f>
        <v>0.1107</v>
      </c>
      <c r="S18" s="60"/>
      <c r="T18" s="61" t="n">
        <f aca="false">+SUM(T12:T17)</f>
        <v>5</v>
      </c>
      <c r="V18" s="60" t="s">
        <v>78</v>
      </c>
      <c r="W18" s="60" t="n">
        <f aca="false">+SUM(W12:W17)</f>
        <v>0.425</v>
      </c>
      <c r="X18" s="60"/>
      <c r="Y18" s="61" t="n">
        <f aca="false">+SUM(Y12:Y17)</f>
        <v>50</v>
      </c>
    </row>
    <row r="19" customFormat="false" ht="14.4" hidden="false" customHeight="false" outlineLevel="0" collapsed="false">
      <c r="B19" s="11"/>
    </row>
    <row r="21" customFormat="false" ht="18" hidden="false" customHeight="false" outlineLevel="0" collapsed="false">
      <c r="A21" s="56" t="s">
        <v>79</v>
      </c>
      <c r="B21" s="56"/>
      <c r="C21" s="56"/>
      <c r="D21" s="56"/>
      <c r="E21" s="56"/>
    </row>
    <row r="22" customFormat="false" ht="15" hidden="false" customHeight="false" outlineLevel="0" collapsed="false"/>
    <row r="23" customFormat="false" ht="15" hidden="false" customHeight="false" outlineLevel="0" collapsed="false">
      <c r="A23" s="17" t="s">
        <v>80</v>
      </c>
      <c r="B23" s="62" t="n">
        <f aca="false">+Summary!E7</f>
        <v>100</v>
      </c>
    </row>
    <row r="24" customFormat="false" ht="14.4" hidden="false" customHeight="false" outlineLevel="0" collapsed="false">
      <c r="A24" s="63" t="s">
        <v>81</v>
      </c>
      <c r="B24" s="64"/>
    </row>
    <row r="25" customFormat="false" ht="14.4" hidden="false" customHeight="false" outlineLevel="0" collapsed="false">
      <c r="A25" s="65" t="s">
        <v>82</v>
      </c>
    </row>
    <row r="26" customFormat="false" ht="14.4" hidden="false" customHeight="false" outlineLevel="0" collapsed="false">
      <c r="A26" s="65" t="s">
        <v>83</v>
      </c>
    </row>
    <row r="27" customFormat="false" ht="14.4" hidden="false" customHeight="false" outlineLevel="0" collapsed="false">
      <c r="A27" s="0" t="s">
        <v>84</v>
      </c>
    </row>
    <row r="28" customFormat="false" ht="14.4" hidden="false" customHeight="false" outlineLevel="0" collapsed="false">
      <c r="A28" s="11" t="s">
        <v>85</v>
      </c>
    </row>
    <row r="29" customFormat="false" ht="14.4" hidden="false" customHeight="false" outlineLevel="0" collapsed="false">
      <c r="A29" s="11" t="s">
        <v>86</v>
      </c>
    </row>
    <row r="30" customFormat="false" ht="14.4" hidden="false" customHeight="false" outlineLevel="0" collapsed="false">
      <c r="A30" s="14" t="s">
        <v>87</v>
      </c>
    </row>
    <row r="31" customFormat="false" ht="15" hidden="false" customHeight="false" outlineLevel="0" collapsed="false"/>
    <row r="32" customFormat="false" ht="14.4" hidden="false" customHeight="false" outlineLevel="0" collapsed="false">
      <c r="A32" s="1" t="s">
        <v>88</v>
      </c>
      <c r="B32" s="2" t="s">
        <v>89</v>
      </c>
      <c r="C32" s="2" t="s">
        <v>90</v>
      </c>
      <c r="D32" s="2" t="s">
        <v>4</v>
      </c>
      <c r="F32" s="40" t="s">
        <v>91</v>
      </c>
      <c r="G32" s="66" t="n">
        <f aca="false">+SUMPRODUCT(B33:B37,C33:C37)</f>
        <v>0.1</v>
      </c>
    </row>
    <row r="33" customFormat="false" ht="15" hidden="false" customHeight="false" outlineLevel="0" collapsed="false">
      <c r="B33" s="3" t="n">
        <v>1</v>
      </c>
      <c r="C33" s="3" t="n">
        <v>0.01</v>
      </c>
      <c r="D33" s="3" t="n">
        <f aca="false">+B33*C33</f>
        <v>0.01</v>
      </c>
      <c r="F33" s="24" t="s">
        <v>92</v>
      </c>
      <c r="G33" s="67" t="n">
        <f aca="false">+B23/G32</f>
        <v>1000</v>
      </c>
    </row>
    <row r="34" customFormat="false" ht="14.4" hidden="false" customHeight="false" outlineLevel="0" collapsed="false">
      <c r="B34" s="3" t="n">
        <v>2</v>
      </c>
      <c r="C34" s="3" t="n">
        <v>0.015</v>
      </c>
      <c r="D34" s="3" t="n">
        <f aca="false">+B34*C34</f>
        <v>0.03</v>
      </c>
    </row>
    <row r="35" customFormat="false" ht="14.4" hidden="false" customHeight="false" outlineLevel="0" collapsed="false">
      <c r="B35" s="3" t="n">
        <v>3</v>
      </c>
      <c r="C35" s="3" t="n">
        <v>0.005</v>
      </c>
      <c r="D35" s="3" t="n">
        <f aca="false">+B35*C35</f>
        <v>0.015</v>
      </c>
    </row>
    <row r="36" customFormat="false" ht="14.4" hidden="false" customHeight="false" outlineLevel="0" collapsed="false">
      <c r="B36" s="3" t="n">
        <v>4</v>
      </c>
      <c r="C36" s="3" t="n">
        <v>0.005</v>
      </c>
      <c r="D36" s="3" t="n">
        <f aca="false">+B36*C36</f>
        <v>0.02</v>
      </c>
    </row>
    <row r="37" customFormat="false" ht="14.4" hidden="false" customHeight="false" outlineLevel="0" collapsed="false">
      <c r="B37" s="3" t="n">
        <v>5</v>
      </c>
      <c r="C37" s="3" t="n">
        <v>0.005</v>
      </c>
      <c r="D37" s="3" t="n">
        <f aca="false">+B37*C37</f>
        <v>0.025</v>
      </c>
    </row>
    <row r="38" customFormat="false" ht="14.4" hidden="false" customHeight="false" outlineLevel="0" collapsed="false">
      <c r="B38" s="60" t="s">
        <v>15</v>
      </c>
      <c r="C38" s="60" t="n">
        <f aca="false">+SUM(C33:C37)</f>
        <v>0.04</v>
      </c>
      <c r="D38" s="60" t="n">
        <f aca="false">+SUM(D33:D37)</f>
        <v>0.1</v>
      </c>
      <c r="E38" s="0" t="s">
        <v>93</v>
      </c>
    </row>
    <row r="40" customFormat="false" ht="14.4" hidden="false" customHeight="false" outlineLevel="0" collapsed="false">
      <c r="A40" s="0" t="s">
        <v>94</v>
      </c>
    </row>
    <row r="42" customFormat="false" ht="14.4" hidden="false" customHeight="false" outlineLevel="0" collapsed="false">
      <c r="A42" s="1" t="s">
        <v>95</v>
      </c>
      <c r="B42" s="2" t="s">
        <v>89</v>
      </c>
      <c r="C42" s="2" t="s">
        <v>90</v>
      </c>
      <c r="D42" s="2" t="s">
        <v>4</v>
      </c>
    </row>
    <row r="43" customFormat="false" ht="14.4" hidden="false" customHeight="false" outlineLevel="0" collapsed="false">
      <c r="B43" s="3" t="n">
        <v>1</v>
      </c>
      <c r="C43" s="3" t="n">
        <f aca="false">+D38</f>
        <v>0.1</v>
      </c>
      <c r="D43" s="3" t="n">
        <f aca="false">+C43*B43</f>
        <v>0.1</v>
      </c>
    </row>
    <row r="44" customFormat="false" ht="14.4" hidden="false" customHeight="false" outlineLevel="0" collapsed="false">
      <c r="B44" s="60" t="s">
        <v>15</v>
      </c>
      <c r="C44" s="60" t="n">
        <f aca="false">+SUM(C43)</f>
        <v>0.1</v>
      </c>
      <c r="D44" s="60" t="n">
        <f aca="false">+D43</f>
        <v>0.1</v>
      </c>
    </row>
    <row r="46" customFormat="false" ht="14.4" hidden="false" customHeight="false" outlineLevel="0" collapsed="false">
      <c r="A46" s="1" t="s">
        <v>96</v>
      </c>
    </row>
    <row r="47" customFormat="false" ht="14.4" hidden="false" customHeight="false" outlineLevel="0" collapsed="false">
      <c r="A47" s="0" t="s">
        <v>97</v>
      </c>
    </row>
    <row r="48" customFormat="false" ht="14.4" hidden="false" customHeight="false" outlineLevel="0" collapsed="false">
      <c r="A48" s="0" t="s">
        <v>98</v>
      </c>
    </row>
    <row r="49" customFormat="false" ht="14.4" hidden="false" customHeight="false" outlineLevel="0" collapsed="false">
      <c r="A49" s="11" t="s">
        <v>99</v>
      </c>
    </row>
    <row r="51" customFormat="false" ht="14.4" hidden="false" customHeight="false" outlineLevel="0" collapsed="false">
      <c r="A51" s="0" t="s">
        <v>100</v>
      </c>
    </row>
    <row r="53" customFormat="false" ht="14.4" hidden="false" customHeight="false" outlineLevel="0" collapsed="false">
      <c r="B53" s="1" t="s">
        <v>101</v>
      </c>
      <c r="C53" s="1" t="s">
        <v>102</v>
      </c>
    </row>
    <row r="54" customFormat="false" ht="14.4" hidden="false" customHeight="false" outlineLevel="0" collapsed="false">
      <c r="B54" s="2" t="s">
        <v>89</v>
      </c>
      <c r="C54" s="2" t="s">
        <v>90</v>
      </c>
      <c r="D54" s="68" t="s">
        <v>103</v>
      </c>
      <c r="E54" s="2" t="s">
        <v>104</v>
      </c>
      <c r="F54" s="2" t="s">
        <v>4</v>
      </c>
    </row>
    <row r="55" customFormat="false" ht="14.4" hidden="false" customHeight="false" outlineLevel="0" collapsed="false">
      <c r="B55" s="3" t="n">
        <v>1</v>
      </c>
      <c r="C55" s="3" t="n">
        <v>0.01</v>
      </c>
      <c r="D55" s="3" t="n">
        <f aca="false">25/75</f>
        <v>0.333333333333333</v>
      </c>
      <c r="E55" s="3" t="n">
        <f aca="false">+C55*D55</f>
        <v>0.00333333333333333</v>
      </c>
      <c r="F55" s="3" t="n">
        <f aca="false">+E55*B55</f>
        <v>0.00333333333333333</v>
      </c>
    </row>
    <row r="56" customFormat="false" ht="14.4" hidden="false" customHeight="false" outlineLevel="0" collapsed="false">
      <c r="B56" s="3" t="n">
        <v>2</v>
      </c>
      <c r="C56" s="3" t="n">
        <v>0.01</v>
      </c>
      <c r="D56" s="3" t="n">
        <f aca="false">25/75</f>
        <v>0.333333333333333</v>
      </c>
      <c r="E56" s="3" t="n">
        <f aca="false">+C56*D56</f>
        <v>0.00333333333333333</v>
      </c>
      <c r="F56" s="3" t="n">
        <f aca="false">+E56*B56</f>
        <v>0.00666666666666667</v>
      </c>
    </row>
    <row r="57" customFormat="false" ht="14.4" hidden="false" customHeight="false" outlineLevel="0" collapsed="false">
      <c r="B57" s="3" t="n">
        <v>3</v>
      </c>
      <c r="C57" s="3" t="n">
        <v>0.01</v>
      </c>
      <c r="D57" s="3" t="n">
        <f aca="false">25/75</f>
        <v>0.333333333333333</v>
      </c>
      <c r="E57" s="3" t="n">
        <f aca="false">+C57*D57</f>
        <v>0.00333333333333333</v>
      </c>
      <c r="F57" s="3" t="n">
        <f aca="false">+E57*B57</f>
        <v>0.01</v>
      </c>
    </row>
    <row r="58" customFormat="false" ht="14.4" hidden="false" customHeight="false" outlineLevel="0" collapsed="false">
      <c r="B58" s="3" t="n">
        <v>4</v>
      </c>
      <c r="C58" s="3" t="n">
        <v>0.01</v>
      </c>
      <c r="D58" s="3" t="n">
        <f aca="false">25/75</f>
        <v>0.333333333333333</v>
      </c>
      <c r="E58" s="3" t="n">
        <f aca="false">+C58*D58</f>
        <v>0.00333333333333333</v>
      </c>
      <c r="F58" s="3" t="n">
        <f aca="false">+E58*B58</f>
        <v>0.0133333333333333</v>
      </c>
    </row>
    <row r="59" customFormat="false" ht="14.4" hidden="false" customHeight="false" outlineLevel="0" collapsed="false">
      <c r="B59" s="3" t="n">
        <v>5</v>
      </c>
      <c r="C59" s="3" t="n">
        <v>0.01</v>
      </c>
      <c r="D59" s="3" t="n">
        <f aca="false">25/75</f>
        <v>0.333333333333333</v>
      </c>
      <c r="E59" s="3" t="n">
        <f aca="false">+C59*D59</f>
        <v>0.00333333333333333</v>
      </c>
      <c r="F59" s="3" t="n">
        <f aca="false">+E59*B59</f>
        <v>0.0166666666666667</v>
      </c>
    </row>
    <row r="60" customFormat="false" ht="14.4" hidden="false" customHeight="false" outlineLevel="0" collapsed="false">
      <c r="B60" s="60" t="s">
        <v>15</v>
      </c>
      <c r="C60" s="60" t="n">
        <f aca="false">+SUM(C55:C59)</f>
        <v>0.05</v>
      </c>
      <c r="D60" s="60"/>
      <c r="E60" s="60" t="n">
        <f aca="false">+SUM(E55:E59)</f>
        <v>0.0166666666666667</v>
      </c>
      <c r="F60" s="60" t="n">
        <f aca="false">+SUM(F55:F59)</f>
        <v>0.05</v>
      </c>
    </row>
    <row r="61" customFormat="false" ht="14.4" hidden="false" customHeight="false" outlineLevel="0" collapsed="false">
      <c r="B61" s="63"/>
      <c r="C61" s="63"/>
      <c r="D61" s="63"/>
      <c r="E61" s="63"/>
      <c r="F61" s="63"/>
    </row>
    <row r="62" customFormat="false" ht="14.4" hidden="false" customHeight="false" outlineLevel="0" collapsed="false">
      <c r="B62" s="1" t="s">
        <v>105</v>
      </c>
      <c r="C62" s="1" t="s">
        <v>106</v>
      </c>
    </row>
    <row r="63" customFormat="false" ht="14.4" hidden="false" customHeight="false" outlineLevel="0" collapsed="false">
      <c r="B63" s="2" t="s">
        <v>89</v>
      </c>
      <c r="C63" s="2" t="s">
        <v>90</v>
      </c>
      <c r="D63" s="68" t="s">
        <v>103</v>
      </c>
      <c r="E63" s="2" t="s">
        <v>104</v>
      </c>
      <c r="F63" s="2" t="s">
        <v>4</v>
      </c>
    </row>
    <row r="64" customFormat="false" ht="14.4" hidden="false" customHeight="false" outlineLevel="0" collapsed="false">
      <c r="B64" s="3" t="n">
        <v>1</v>
      </c>
      <c r="C64" s="3" t="n">
        <v>0.01</v>
      </c>
      <c r="D64" s="3" t="n">
        <f aca="false">50/75</f>
        <v>0.666666666666667</v>
      </c>
      <c r="E64" s="3" t="n">
        <f aca="false">+C64*D64</f>
        <v>0.00666666666666667</v>
      </c>
      <c r="F64" s="3" t="n">
        <f aca="false">+E64*B64</f>
        <v>0.00666666666666667</v>
      </c>
    </row>
    <row r="65" customFormat="false" ht="14.4" hidden="false" customHeight="false" outlineLevel="0" collapsed="false">
      <c r="B65" s="3" t="n">
        <v>2</v>
      </c>
      <c r="C65" s="3" t="n">
        <v>0.01</v>
      </c>
      <c r="D65" s="3" t="n">
        <f aca="false">50/75</f>
        <v>0.666666666666667</v>
      </c>
      <c r="E65" s="3" t="n">
        <f aca="false">+C65*D65</f>
        <v>0.00666666666666667</v>
      </c>
      <c r="F65" s="3" t="n">
        <f aca="false">+E65*B65</f>
        <v>0.0133333333333333</v>
      </c>
    </row>
    <row r="66" customFormat="false" ht="14.4" hidden="false" customHeight="false" outlineLevel="0" collapsed="false">
      <c r="B66" s="3" t="n">
        <v>3</v>
      </c>
      <c r="C66" s="3" t="n">
        <v>0.01</v>
      </c>
      <c r="D66" s="3" t="n">
        <f aca="false">50/75</f>
        <v>0.666666666666667</v>
      </c>
      <c r="E66" s="3" t="n">
        <f aca="false">+C66*D66</f>
        <v>0.00666666666666667</v>
      </c>
      <c r="F66" s="3" t="n">
        <f aca="false">+E66*B66</f>
        <v>0.02</v>
      </c>
    </row>
    <row r="67" customFormat="false" ht="14.4" hidden="false" customHeight="false" outlineLevel="0" collapsed="false">
      <c r="B67" s="3" t="n">
        <v>4</v>
      </c>
      <c r="C67" s="3" t="n">
        <v>0.01</v>
      </c>
      <c r="D67" s="3" t="n">
        <f aca="false">50/75</f>
        <v>0.666666666666667</v>
      </c>
      <c r="E67" s="3" t="n">
        <f aca="false">+C67*D67</f>
        <v>0.00666666666666667</v>
      </c>
      <c r="F67" s="3" t="n">
        <f aca="false">+E67*B67</f>
        <v>0.0266666666666667</v>
      </c>
    </row>
    <row r="68" customFormat="false" ht="14.4" hidden="false" customHeight="false" outlineLevel="0" collapsed="false">
      <c r="B68" s="3" t="n">
        <v>5</v>
      </c>
      <c r="C68" s="3" t="n">
        <v>0.01</v>
      </c>
      <c r="D68" s="3" t="n">
        <f aca="false">50/75</f>
        <v>0.666666666666667</v>
      </c>
      <c r="E68" s="3" t="n">
        <f aca="false">+C68*D68</f>
        <v>0.00666666666666667</v>
      </c>
      <c r="F68" s="3" t="n">
        <f aca="false">+E68*B68</f>
        <v>0.0333333333333333</v>
      </c>
    </row>
    <row r="69" customFormat="false" ht="14.4" hidden="false" customHeight="false" outlineLevel="0" collapsed="false">
      <c r="B69" s="60" t="s">
        <v>15</v>
      </c>
      <c r="C69" s="60" t="n">
        <f aca="false">+SUM(C64:C68)</f>
        <v>0.05</v>
      </c>
      <c r="D69" s="60"/>
      <c r="E69" s="60" t="n">
        <f aca="false">+SUM(E64:E68)</f>
        <v>0.0333333333333333</v>
      </c>
      <c r="F69" s="60" t="n">
        <f aca="false">+SUM(F64:F68)</f>
        <v>0.1</v>
      </c>
    </row>
    <row r="72" customFormat="false" ht="14.4" hidden="false" customHeight="false" outlineLevel="0" collapsed="false">
      <c r="A72" s="0" t="s">
        <v>107</v>
      </c>
    </row>
    <row r="73" customFormat="false" ht="14.4" hidden="false" customHeight="false" outlineLevel="0" collapsed="false">
      <c r="A73" s="0" t="s">
        <v>108</v>
      </c>
    </row>
    <row r="74" customFormat="false" ht="14.4" hidden="false" customHeight="false" outlineLevel="0" collapsed="false">
      <c r="A74" s="0" t="s">
        <v>109</v>
      </c>
    </row>
  </sheetData>
  <mergeCells count="8">
    <mergeCell ref="A1:E1"/>
    <mergeCell ref="A8:E8"/>
    <mergeCell ref="B10:E10"/>
    <mergeCell ref="G10:J10"/>
    <mergeCell ref="L10:O10"/>
    <mergeCell ref="Q10:T10"/>
    <mergeCell ref="V10:Y10"/>
    <mergeCell ref="A21:E2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Y7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P25" activeCellId="0" sqref="P25"/>
    </sheetView>
  </sheetViews>
  <sheetFormatPr defaultRowHeight="14.4" zeroHeight="false" outlineLevelRow="0" outlineLevelCol="0"/>
  <cols>
    <col collapsed="false" customWidth="true" hidden="false" outlineLevel="0" max="1" min="1" style="0" width="13.11"/>
    <col collapsed="false" customWidth="true" hidden="false" outlineLevel="0" max="2" min="2" style="0" width="14.11"/>
    <col collapsed="false" customWidth="true" hidden="false" outlineLevel="0" max="3" min="3" style="0" width="18.77"/>
    <col collapsed="false" customWidth="true" hidden="false" outlineLevel="0" max="4" min="4" style="0" width="15.55"/>
    <col collapsed="false" customWidth="true" hidden="false" outlineLevel="0" max="5" min="5" style="0" width="19.33"/>
    <col collapsed="false" customWidth="true" hidden="false" outlineLevel="0" max="6" min="6" style="0" width="17.77"/>
    <col collapsed="false" customWidth="true" hidden="false" outlineLevel="0" max="7" min="7" style="0" width="11.55"/>
    <col collapsed="false" customWidth="true" hidden="false" outlineLevel="0" max="8" min="8" style="0" width="24.36"/>
    <col collapsed="false" customWidth="true" hidden="false" outlineLevel="0" max="9" min="9" style="0" width="15.55"/>
    <col collapsed="false" customWidth="true" hidden="false" outlineLevel="0" max="13" min="11" style="0" width="11.55"/>
    <col collapsed="false" customWidth="true" hidden="false" outlineLevel="0" max="14" min="14" style="0" width="15.55"/>
    <col collapsed="false" customWidth="true" hidden="false" outlineLevel="0" max="18" min="15" style="0" width="11.55"/>
    <col collapsed="false" customWidth="true" hidden="false" outlineLevel="0" max="19" min="19" style="0" width="15.55"/>
    <col collapsed="false" customWidth="true" hidden="false" outlineLevel="0" max="20" min="20" style="0" width="14.99"/>
    <col collapsed="false" customWidth="true" hidden="false" outlineLevel="0" max="23" min="21" style="0" width="11.55"/>
    <col collapsed="false" customWidth="true" hidden="false" outlineLevel="0" max="24" min="24" style="0" width="15.55"/>
    <col collapsed="false" customWidth="true" hidden="false" outlineLevel="0" max="1025" min="25" style="0" width="11.55"/>
  </cols>
  <sheetData>
    <row r="1" customFormat="false" ht="18" hidden="false" customHeight="false" outlineLevel="0" collapsed="false">
      <c r="A1" s="55" t="s">
        <v>68</v>
      </c>
      <c r="B1" s="55"/>
      <c r="C1" s="55"/>
      <c r="D1" s="55"/>
      <c r="E1" s="55"/>
    </row>
    <row r="2" customFormat="false" ht="14.4" hidden="false" customHeight="false" outlineLevel="0" collapsed="false">
      <c r="A2" s="0" t="s">
        <v>69</v>
      </c>
    </row>
    <row r="3" customFormat="false" ht="14.4" hidden="false" customHeight="false" outlineLevel="0" collapsed="false">
      <c r="A3" s="0" t="str">
        <f aca="false">+CONCATENATE("But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customFormat="false" ht="14.4" hidden="false" customHeight="false" outlineLevel="0" collapsed="false">
      <c r="A4" s="0" t="s">
        <v>70</v>
      </c>
    </row>
    <row r="5" customFormat="false" ht="14.4" hidden="false" customHeight="false" outlineLevel="0" collapsed="false">
      <c r="A5" s="0" t="s">
        <v>71</v>
      </c>
    </row>
    <row r="6" customFormat="false" ht="14.4" hidden="false" customHeight="false" outlineLevel="0" collapsed="false">
      <c r="A6" s="1" t="s">
        <v>72</v>
      </c>
    </row>
    <row r="8" customFormat="false" ht="18" hidden="false" customHeight="false" outlineLevel="0" collapsed="false">
      <c r="A8" s="56" t="s">
        <v>73</v>
      </c>
      <c r="B8" s="56"/>
      <c r="C8" s="56"/>
      <c r="D8" s="56"/>
      <c r="E8" s="56"/>
    </row>
    <row r="9" customFormat="false" ht="15" hidden="false" customHeight="false" outlineLevel="0" collapsed="false"/>
    <row r="10" customFormat="false" ht="15" hidden="false" customHeight="false" outlineLevel="0" collapsed="false">
      <c r="B10" s="57" t="s">
        <v>74</v>
      </c>
      <c r="C10" s="57"/>
      <c r="D10" s="57"/>
      <c r="E10" s="57"/>
      <c r="G10" s="57" t="s">
        <v>40</v>
      </c>
      <c r="H10" s="57"/>
      <c r="I10" s="57"/>
      <c r="J10" s="57"/>
      <c r="L10" s="57" t="s">
        <v>41</v>
      </c>
      <c r="M10" s="57"/>
      <c r="N10" s="57"/>
      <c r="O10" s="57"/>
      <c r="Q10" s="57" t="s">
        <v>42</v>
      </c>
      <c r="R10" s="57"/>
      <c r="S10" s="57"/>
      <c r="T10" s="57"/>
      <c r="V10" s="57" t="s">
        <v>43</v>
      </c>
      <c r="W10" s="57"/>
      <c r="X10" s="57"/>
      <c r="Y10" s="57"/>
    </row>
    <row r="11" customFormat="false" ht="14.4" hidden="false" customHeight="false" outlineLevel="0" collapsed="false">
      <c r="A11" s="1" t="s">
        <v>75</v>
      </c>
      <c r="B11" s="58" t="s">
        <v>27</v>
      </c>
      <c r="C11" s="58" t="s">
        <v>6</v>
      </c>
      <c r="D11" s="58" t="s">
        <v>76</v>
      </c>
      <c r="E11" s="58" t="s">
        <v>4</v>
      </c>
      <c r="G11" s="2" t="s">
        <v>27</v>
      </c>
      <c r="H11" s="2" t="s">
        <v>6</v>
      </c>
      <c r="I11" s="2" t="s">
        <v>76</v>
      </c>
      <c r="J11" s="2" t="s">
        <v>77</v>
      </c>
      <c r="L11" s="2" t="s">
        <v>27</v>
      </c>
      <c r="M11" s="2" t="s">
        <v>6</v>
      </c>
      <c r="N11" s="2" t="s">
        <v>76</v>
      </c>
      <c r="O11" s="2" t="s">
        <v>77</v>
      </c>
      <c r="Q11" s="2" t="s">
        <v>27</v>
      </c>
      <c r="R11" s="69" t="s">
        <v>6</v>
      </c>
      <c r="S11" s="2" t="s">
        <v>76</v>
      </c>
      <c r="T11" s="2" t="s">
        <v>77</v>
      </c>
      <c r="V11" s="2" t="s">
        <v>27</v>
      </c>
      <c r="W11" s="2" t="s">
        <v>6</v>
      </c>
      <c r="X11" s="2" t="s">
        <v>76</v>
      </c>
      <c r="Y11" s="2" t="s">
        <v>77</v>
      </c>
    </row>
    <row r="12" customFormat="false" ht="13.8" hidden="false" customHeight="false" outlineLevel="0" collapsed="false">
      <c r="B12" s="59" t="n">
        <v>5</v>
      </c>
      <c r="C12" s="3" t="n">
        <v>0.083</v>
      </c>
      <c r="D12" s="3" t="n">
        <f aca="false">+SUM(C$11:$C12)</f>
        <v>0.083</v>
      </c>
      <c r="E12" s="3" t="n">
        <f aca="false">+B12*C12</f>
        <v>0.415</v>
      </c>
      <c r="G12" s="59" t="n">
        <v>20</v>
      </c>
      <c r="H12" s="70" t="n">
        <v>0.04</v>
      </c>
      <c r="I12" s="3" t="n">
        <f aca="false">+SUM($H$12:H12)</f>
        <v>0.04</v>
      </c>
      <c r="J12" s="3" t="n">
        <f aca="false">+G12*H12</f>
        <v>0.8</v>
      </c>
      <c r="L12" s="59" t="n">
        <v>25</v>
      </c>
      <c r="M12" s="3" t="n">
        <v>0.06</v>
      </c>
      <c r="N12" s="3" t="n">
        <f aca="false">+SUM($M$12:M12)</f>
        <v>0.06</v>
      </c>
      <c r="O12" s="3" t="n">
        <f aca="false">+L12*M12</f>
        <v>1.5</v>
      </c>
      <c r="Q12" s="59" t="n">
        <v>30</v>
      </c>
      <c r="R12" s="70" t="n">
        <v>0.07</v>
      </c>
      <c r="S12" s="3" t="n">
        <f aca="false">+SUM($R$11:R12)</f>
        <v>0.07</v>
      </c>
      <c r="T12" s="3" t="n">
        <f aca="false">+Q12*R12</f>
        <v>2.1</v>
      </c>
      <c r="V12" s="59" t="n">
        <v>50</v>
      </c>
      <c r="W12" s="3" t="n">
        <v>0.15</v>
      </c>
      <c r="X12" s="3" t="n">
        <f aca="false">+SUM($W$12:W12)</f>
        <v>0.15</v>
      </c>
      <c r="Y12" s="3" t="n">
        <f aca="false">+V12*W12</f>
        <v>7.5</v>
      </c>
    </row>
    <row r="13" customFormat="false" ht="13.8" hidden="false" customHeight="false" outlineLevel="0" collapsed="false">
      <c r="B13" s="59" t="n">
        <v>10</v>
      </c>
      <c r="C13" s="3" t="n">
        <v>0.0315</v>
      </c>
      <c r="D13" s="3" t="n">
        <f aca="false">+SUM(C$11:$C13)</f>
        <v>0.1145</v>
      </c>
      <c r="E13" s="3" t="n">
        <f aca="false">+B13*C13</f>
        <v>0.315</v>
      </c>
      <c r="G13" s="59" t="n">
        <v>30</v>
      </c>
      <c r="H13" s="70" t="n">
        <v>0.025833332</v>
      </c>
      <c r="I13" s="3" t="n">
        <f aca="false">+SUM($H$12:H13)</f>
        <v>0.065833332</v>
      </c>
      <c r="J13" s="3" t="n">
        <f aca="false">+G13*H13</f>
        <v>0.77499996</v>
      </c>
      <c r="L13" s="59" t="n">
        <v>35</v>
      </c>
      <c r="M13" s="3" t="n">
        <v>0.04</v>
      </c>
      <c r="N13" s="3" t="n">
        <f aca="false">+SUM($M$12:M13)</f>
        <v>0.1</v>
      </c>
      <c r="O13" s="3" t="n">
        <f aca="false">+L13*M13</f>
        <v>1.4</v>
      </c>
      <c r="Q13" s="59" t="n">
        <v>50</v>
      </c>
      <c r="R13" s="70" t="n">
        <v>0.061</v>
      </c>
      <c r="S13" s="3" t="n">
        <f aca="false">+SUM($R$11:R13)</f>
        <v>0.131</v>
      </c>
      <c r="T13" s="3" t="n">
        <f aca="false">+Q13*R13</f>
        <v>3.05</v>
      </c>
      <c r="V13" s="59" t="n">
        <v>75</v>
      </c>
      <c r="W13" s="3" t="n">
        <v>0.1</v>
      </c>
      <c r="X13" s="3" t="n">
        <f aca="false">+SUM($W$12:W13)</f>
        <v>0.25</v>
      </c>
      <c r="Y13" s="3" t="n">
        <f aca="false">+V13*W13</f>
        <v>7.5</v>
      </c>
    </row>
    <row r="14" customFormat="false" ht="13.8" hidden="false" customHeight="false" outlineLevel="0" collapsed="false">
      <c r="B14" s="59" t="n">
        <v>15</v>
      </c>
      <c r="C14" s="3" t="n">
        <v>0.008</v>
      </c>
      <c r="D14" s="3" t="n">
        <f aca="false">+SUM(C$11:$C14)</f>
        <v>0.1225</v>
      </c>
      <c r="E14" s="3" t="n">
        <f aca="false">+B14*C14</f>
        <v>0.12</v>
      </c>
      <c r="G14" s="59" t="n">
        <v>40</v>
      </c>
      <c r="H14" s="70" t="n">
        <v>0.02</v>
      </c>
      <c r="I14" s="3" t="n">
        <f aca="false">+SUM($H$12:H14)</f>
        <v>0.085833332</v>
      </c>
      <c r="J14" s="3" t="n">
        <f aca="false">+G14*H14</f>
        <v>0.8</v>
      </c>
      <c r="L14" s="59" t="n">
        <v>50</v>
      </c>
      <c r="M14" s="3" t="n">
        <v>0.033</v>
      </c>
      <c r="N14" s="3" t="n">
        <f aca="false">+SUM($M$12:M14)</f>
        <v>0.133</v>
      </c>
      <c r="O14" s="3" t="n">
        <f aca="false">+L14*M14</f>
        <v>1.65</v>
      </c>
      <c r="Q14" s="59" t="n">
        <v>75</v>
      </c>
      <c r="R14" s="70" t="n">
        <v>0.041</v>
      </c>
      <c r="S14" s="3" t="n">
        <f aca="false">+SUM($R$11:R14)</f>
        <v>0.172</v>
      </c>
      <c r="T14" s="3" t="n">
        <f aca="false">+Q14*R14</f>
        <v>3.075</v>
      </c>
      <c r="V14" s="59" t="n">
        <v>100</v>
      </c>
      <c r="W14" s="3" t="n">
        <v>0.1</v>
      </c>
      <c r="X14" s="3" t="n">
        <f aca="false">+SUM($W$12:W14)</f>
        <v>0.35</v>
      </c>
      <c r="Y14" s="3" t="n">
        <f aca="false">+V14*W14</f>
        <v>10</v>
      </c>
    </row>
    <row r="15" customFormat="false" ht="13.8" hidden="false" customHeight="false" outlineLevel="0" collapsed="false">
      <c r="B15" s="59" t="n">
        <v>20</v>
      </c>
      <c r="C15" s="3" t="n">
        <v>0.001</v>
      </c>
      <c r="D15" s="3" t="n">
        <f aca="false">+SUM(C$11:$C15)</f>
        <v>0.1235</v>
      </c>
      <c r="E15" s="3" t="n">
        <f aca="false">+B15*C15</f>
        <v>0.02</v>
      </c>
      <c r="G15" s="59" t="n">
        <v>75</v>
      </c>
      <c r="H15" s="70" t="n">
        <v>0.01</v>
      </c>
      <c r="I15" s="3" t="n">
        <f aca="false">+SUM($H$12:H15)</f>
        <v>0.095833332</v>
      </c>
      <c r="J15" s="3" t="n">
        <f aca="false">+G15*H15</f>
        <v>0.75</v>
      </c>
      <c r="L15" s="59" t="n">
        <v>80</v>
      </c>
      <c r="M15" s="3" t="n">
        <v>0.015</v>
      </c>
      <c r="N15" s="3" t="n">
        <f aca="false">+SUM($M$12:M15)</f>
        <v>0.148</v>
      </c>
      <c r="O15" s="3" t="n">
        <f aca="false">+L15*M15</f>
        <v>1.2</v>
      </c>
      <c r="Q15" s="59" t="n">
        <v>100</v>
      </c>
      <c r="R15" s="70" t="n">
        <v>0.01575</v>
      </c>
      <c r="S15" s="3" t="n">
        <f aca="false">+SUM($R$11:R15)</f>
        <v>0.18775</v>
      </c>
      <c r="T15" s="3" t="n">
        <f aca="false">+Q15*R15</f>
        <v>1.575</v>
      </c>
      <c r="V15" s="59" t="n">
        <v>200</v>
      </c>
      <c r="W15" s="3" t="n">
        <v>0.05</v>
      </c>
      <c r="X15" s="3" t="n">
        <f aca="false">+SUM($W$12:W15)</f>
        <v>0.4</v>
      </c>
      <c r="Y15" s="3" t="n">
        <f aca="false">+V15*W15</f>
        <v>10</v>
      </c>
    </row>
    <row r="16" customFormat="false" ht="13.8" hidden="false" customHeight="false" outlineLevel="0" collapsed="false">
      <c r="B16" s="59" t="n">
        <v>35</v>
      </c>
      <c r="C16" s="3" t="n">
        <v>0.001</v>
      </c>
      <c r="D16" s="3" t="n">
        <f aca="false">+SUM(C$11:$C16)</f>
        <v>0.1245</v>
      </c>
      <c r="E16" s="3" t="n">
        <f aca="false">+B16*C16</f>
        <v>0.035</v>
      </c>
      <c r="G16" s="59" t="n">
        <v>125</v>
      </c>
      <c r="H16" s="70" t="n">
        <v>0.007</v>
      </c>
      <c r="I16" s="3" t="n">
        <f aca="false">+SUM($H$12:H16)</f>
        <v>0.102833332</v>
      </c>
      <c r="J16" s="3" t="n">
        <f aca="false">+G16*H16</f>
        <v>0.875</v>
      </c>
      <c r="L16" s="59" t="n">
        <v>150</v>
      </c>
      <c r="M16" s="3" t="n">
        <v>0.005</v>
      </c>
      <c r="N16" s="3" t="n">
        <f aca="false">+SUM($M$12:M16)</f>
        <v>0.153</v>
      </c>
      <c r="O16" s="3" t="n">
        <f aca="false">+L16*M16</f>
        <v>0.75</v>
      </c>
      <c r="Q16" s="59" t="n">
        <v>200</v>
      </c>
      <c r="R16" s="70" t="n">
        <v>0.0005</v>
      </c>
      <c r="S16" s="3" t="n">
        <f aca="false">+SUM($R$11:R16)</f>
        <v>0.18825</v>
      </c>
      <c r="T16" s="3" t="n">
        <f aca="false">+Q16*R16</f>
        <v>0.1</v>
      </c>
      <c r="V16" s="59" t="n">
        <v>500</v>
      </c>
      <c r="W16" s="3" t="n">
        <v>0.02</v>
      </c>
      <c r="X16" s="3" t="n">
        <f aca="false">+SUM($W$12:W16)</f>
        <v>0.42</v>
      </c>
      <c r="Y16" s="3" t="n">
        <f aca="false">+V16*W16</f>
        <v>10</v>
      </c>
    </row>
    <row r="17" customFormat="false" ht="13.8" hidden="false" customHeight="false" outlineLevel="0" collapsed="false">
      <c r="B17" s="59" t="n">
        <v>50</v>
      </c>
      <c r="C17" s="3" t="n">
        <v>0.001</v>
      </c>
      <c r="D17" s="3" t="n">
        <f aca="false">+SUM(C$11:$C17)</f>
        <v>0.1255</v>
      </c>
      <c r="E17" s="3" t="n">
        <f aca="false">+B17*C17</f>
        <v>0.05</v>
      </c>
      <c r="G17" s="59" t="n">
        <v>200</v>
      </c>
      <c r="H17" s="70" t="n">
        <v>0.005</v>
      </c>
      <c r="I17" s="3" t="n">
        <f aca="false">+SUM($H$12:H17)</f>
        <v>0.107833332</v>
      </c>
      <c r="J17" s="3" t="n">
        <f aca="false">+G17*H17</f>
        <v>1</v>
      </c>
      <c r="L17" s="59" t="n">
        <v>300</v>
      </c>
      <c r="M17" s="3" t="n">
        <v>0.005</v>
      </c>
      <c r="N17" s="3" t="n">
        <f aca="false">+SUM($M$12:M17)</f>
        <v>0.158</v>
      </c>
      <c r="O17" s="3" t="n">
        <f aca="false">+L17*M17</f>
        <v>1.5</v>
      </c>
      <c r="Q17" s="59" t="n">
        <v>500</v>
      </c>
      <c r="R17" s="70" t="n">
        <v>0.0002</v>
      </c>
      <c r="S17" s="3" t="n">
        <f aca="false">+SUM($R$11:R17)</f>
        <v>0.18845</v>
      </c>
      <c r="T17" s="3" t="n">
        <f aca="false">+Q17*R17</f>
        <v>0.1</v>
      </c>
      <c r="V17" s="59" t="n">
        <v>1000</v>
      </c>
      <c r="W17" s="3" t="n">
        <v>0.005</v>
      </c>
      <c r="X17" s="3" t="n">
        <f aca="false">+SUM($W$12:W17)</f>
        <v>0.425</v>
      </c>
      <c r="Y17" s="3" t="n">
        <f aca="false">+V17*W17</f>
        <v>5</v>
      </c>
    </row>
    <row r="18" customFormat="false" ht="13.8" hidden="false" customHeight="false" outlineLevel="0" collapsed="false">
      <c r="B18" s="60" t="s">
        <v>78</v>
      </c>
      <c r="C18" s="60" t="n">
        <f aca="false">+SUM(C12:C17)</f>
        <v>0.1255</v>
      </c>
      <c r="D18" s="60"/>
      <c r="E18" s="61" t="n">
        <f aca="false">+SUM(E12:E17)</f>
        <v>0.955</v>
      </c>
      <c r="G18" s="60" t="s">
        <v>78</v>
      </c>
      <c r="H18" s="71" t="n">
        <f aca="false">+SUM(H12:H17)</f>
        <v>0.107833332</v>
      </c>
      <c r="I18" s="60"/>
      <c r="J18" s="72" t="n">
        <f aca="false">+SUM(J12:J17)</f>
        <v>4.99999996</v>
      </c>
      <c r="L18" s="60" t="s">
        <v>78</v>
      </c>
      <c r="M18" s="60" t="n">
        <f aca="false">+SUM(M12:M17)</f>
        <v>0.158</v>
      </c>
      <c r="N18" s="60"/>
      <c r="O18" s="61" t="n">
        <f aca="false">+SUM(O12:O17)</f>
        <v>8</v>
      </c>
      <c r="Q18" s="60" t="s">
        <v>78</v>
      </c>
      <c r="R18" s="71" t="n">
        <f aca="false">+SUM(R12:R17)</f>
        <v>0.18845</v>
      </c>
      <c r="S18" s="60"/>
      <c r="T18" s="72" t="n">
        <f aca="false">+SUM(T12:T17)</f>
        <v>10</v>
      </c>
      <c r="V18" s="60" t="s">
        <v>78</v>
      </c>
      <c r="W18" s="60" t="n">
        <f aca="false">+SUM(W12:W17)</f>
        <v>0.425</v>
      </c>
      <c r="X18" s="60"/>
      <c r="Y18" s="61" t="n">
        <f aca="false">+SUM(Y12:Y17)</f>
        <v>50</v>
      </c>
    </row>
    <row r="19" customFormat="false" ht="14.4" hidden="false" customHeight="false" outlineLevel="0" collapsed="false">
      <c r="B19" s="11"/>
    </row>
    <row r="21" customFormat="false" ht="18" hidden="false" customHeight="false" outlineLevel="0" collapsed="false">
      <c r="A21" s="56" t="s">
        <v>79</v>
      </c>
      <c r="B21" s="56"/>
      <c r="C21" s="56"/>
      <c r="D21" s="56"/>
      <c r="E21" s="56"/>
    </row>
    <row r="22" customFormat="false" ht="15" hidden="false" customHeight="false" outlineLevel="0" collapsed="false"/>
    <row r="23" customFormat="false" ht="15" hidden="false" customHeight="false" outlineLevel="0" collapsed="false">
      <c r="A23" s="17" t="s">
        <v>80</v>
      </c>
      <c r="B23" s="62" t="n">
        <f aca="false">+Summary!E7</f>
        <v>100</v>
      </c>
    </row>
    <row r="24" customFormat="false" ht="14.4" hidden="false" customHeight="false" outlineLevel="0" collapsed="false">
      <c r="A24" s="63" t="s">
        <v>81</v>
      </c>
      <c r="B24" s="64"/>
    </row>
    <row r="25" customFormat="false" ht="14.4" hidden="false" customHeight="false" outlineLevel="0" collapsed="false">
      <c r="A25" s="65" t="s">
        <v>82</v>
      </c>
    </row>
    <row r="26" customFormat="false" ht="14.4" hidden="false" customHeight="false" outlineLevel="0" collapsed="false">
      <c r="A26" s="65" t="s">
        <v>83</v>
      </c>
    </row>
    <row r="27" customFormat="false" ht="14.4" hidden="false" customHeight="false" outlineLevel="0" collapsed="false">
      <c r="A27" s="0" t="s">
        <v>84</v>
      </c>
    </row>
    <row r="28" customFormat="false" ht="14.4" hidden="false" customHeight="false" outlineLevel="0" collapsed="false">
      <c r="A28" s="11" t="s">
        <v>85</v>
      </c>
    </row>
    <row r="29" customFormat="false" ht="14.4" hidden="false" customHeight="false" outlineLevel="0" collapsed="false">
      <c r="A29" s="11" t="s">
        <v>86</v>
      </c>
    </row>
    <row r="30" customFormat="false" ht="14.4" hidden="false" customHeight="false" outlineLevel="0" collapsed="false">
      <c r="A30" s="14" t="s">
        <v>87</v>
      </c>
    </row>
    <row r="31" customFormat="false" ht="15" hidden="false" customHeight="false" outlineLevel="0" collapsed="false"/>
    <row r="32" customFormat="false" ht="14.4" hidden="false" customHeight="false" outlineLevel="0" collapsed="false">
      <c r="A32" s="1" t="s">
        <v>88</v>
      </c>
      <c r="B32" s="2" t="s">
        <v>89</v>
      </c>
      <c r="C32" s="2" t="s">
        <v>90</v>
      </c>
      <c r="D32" s="2" t="s">
        <v>4</v>
      </c>
      <c r="F32" s="40" t="s">
        <v>91</v>
      </c>
      <c r="G32" s="66" t="n">
        <f aca="false">+SUMPRODUCT(B33:B37,C33:C37)</f>
        <v>0.145</v>
      </c>
    </row>
    <row r="33" customFormat="false" ht="15" hidden="false" customHeight="false" outlineLevel="0" collapsed="false">
      <c r="B33" s="3" t="n">
        <v>1</v>
      </c>
      <c r="C33" s="3" t="n">
        <v>0.01</v>
      </c>
      <c r="D33" s="3" t="n">
        <f aca="false">+B33*C33</f>
        <v>0.01</v>
      </c>
      <c r="F33" s="24" t="s">
        <v>92</v>
      </c>
      <c r="G33" s="67" t="n">
        <f aca="false">+B23/G32</f>
        <v>689.655172413793</v>
      </c>
    </row>
    <row r="34" customFormat="false" ht="14.4" hidden="false" customHeight="false" outlineLevel="0" collapsed="false">
      <c r="B34" s="3" t="n">
        <v>2</v>
      </c>
      <c r="C34" s="3" t="n">
        <v>0.02</v>
      </c>
      <c r="D34" s="3" t="n">
        <f aca="false">+B34*C34</f>
        <v>0.04</v>
      </c>
    </row>
    <row r="35" customFormat="false" ht="14.4" hidden="false" customHeight="false" outlineLevel="0" collapsed="false">
      <c r="B35" s="3" t="n">
        <v>3</v>
      </c>
      <c r="C35" s="3" t="n">
        <v>0.01</v>
      </c>
      <c r="D35" s="3" t="n">
        <f aca="false">+B35*C35</f>
        <v>0.03</v>
      </c>
    </row>
    <row r="36" customFormat="false" ht="14.4" hidden="false" customHeight="false" outlineLevel="0" collapsed="false">
      <c r="B36" s="3" t="n">
        <v>4</v>
      </c>
      <c r="C36" s="3" t="n">
        <v>0.01</v>
      </c>
      <c r="D36" s="3" t="n">
        <f aca="false">+B36*C36</f>
        <v>0.04</v>
      </c>
    </row>
    <row r="37" customFormat="false" ht="14.4" hidden="false" customHeight="false" outlineLevel="0" collapsed="false">
      <c r="B37" s="3" t="n">
        <v>5</v>
      </c>
      <c r="C37" s="3" t="n">
        <v>0.005</v>
      </c>
      <c r="D37" s="3" t="n">
        <f aca="false">+B37*C37</f>
        <v>0.025</v>
      </c>
    </row>
    <row r="38" customFormat="false" ht="14.4" hidden="false" customHeight="false" outlineLevel="0" collapsed="false">
      <c r="B38" s="60" t="s">
        <v>15</v>
      </c>
      <c r="C38" s="60" t="n">
        <f aca="false">+SUM(C33:C37)</f>
        <v>0.055</v>
      </c>
      <c r="D38" s="60" t="n">
        <f aca="false">+SUM(D33:D37)</f>
        <v>0.145</v>
      </c>
      <c r="E38" s="0" t="s">
        <v>93</v>
      </c>
    </row>
    <row r="40" customFormat="false" ht="14.4" hidden="false" customHeight="false" outlineLevel="0" collapsed="false">
      <c r="A40" s="0" t="s">
        <v>94</v>
      </c>
    </row>
    <row r="42" customFormat="false" ht="14.4" hidden="false" customHeight="false" outlineLevel="0" collapsed="false">
      <c r="A42" s="1" t="s">
        <v>95</v>
      </c>
      <c r="B42" s="2" t="s">
        <v>89</v>
      </c>
      <c r="C42" s="2" t="s">
        <v>90</v>
      </c>
      <c r="D42" s="2" t="s">
        <v>4</v>
      </c>
    </row>
    <row r="43" customFormat="false" ht="14.4" hidden="false" customHeight="false" outlineLevel="0" collapsed="false">
      <c r="B43" s="3" t="n">
        <v>1</v>
      </c>
      <c r="C43" s="3" t="n">
        <f aca="false">+SUMPRODUCT(B33:B37,C33:C37)</f>
        <v>0.145</v>
      </c>
      <c r="D43" s="3" t="n">
        <f aca="false">+C43*B43</f>
        <v>0.145</v>
      </c>
    </row>
    <row r="44" customFormat="false" ht="14.4" hidden="false" customHeight="false" outlineLevel="0" collapsed="false">
      <c r="B44" s="60" t="s">
        <v>15</v>
      </c>
      <c r="C44" s="60" t="n">
        <f aca="false">+SUM(C43)</f>
        <v>0.145</v>
      </c>
      <c r="D44" s="60" t="n">
        <f aca="false">+D43</f>
        <v>0.145</v>
      </c>
    </row>
    <row r="46" customFormat="false" ht="14.4" hidden="false" customHeight="false" outlineLevel="0" collapsed="false">
      <c r="A46" s="1" t="s">
        <v>96</v>
      </c>
    </row>
    <row r="47" customFormat="false" ht="14.4" hidden="false" customHeight="false" outlineLevel="0" collapsed="false">
      <c r="A47" s="0" t="s">
        <v>97</v>
      </c>
    </row>
    <row r="48" customFormat="false" ht="14.4" hidden="false" customHeight="false" outlineLevel="0" collapsed="false">
      <c r="A48" s="0" t="s">
        <v>98</v>
      </c>
    </row>
    <row r="49" customFormat="false" ht="14.4" hidden="false" customHeight="false" outlineLevel="0" collapsed="false">
      <c r="A49" s="11" t="s">
        <v>99</v>
      </c>
    </row>
    <row r="51" customFormat="false" ht="14.4" hidden="false" customHeight="false" outlineLevel="0" collapsed="false">
      <c r="A51" s="0" t="s">
        <v>100</v>
      </c>
    </row>
    <row r="53" customFormat="false" ht="14.4" hidden="false" customHeight="false" outlineLevel="0" collapsed="false">
      <c r="B53" s="1" t="s">
        <v>101</v>
      </c>
      <c r="C53" s="1" t="s">
        <v>102</v>
      </c>
    </row>
    <row r="54" customFormat="false" ht="14.4" hidden="false" customHeight="false" outlineLevel="0" collapsed="false">
      <c r="B54" s="2" t="s">
        <v>89</v>
      </c>
      <c r="C54" s="2" t="s">
        <v>90</v>
      </c>
      <c r="D54" s="68" t="s">
        <v>103</v>
      </c>
      <c r="E54" s="2" t="s">
        <v>104</v>
      </c>
      <c r="F54" s="2" t="s">
        <v>4</v>
      </c>
    </row>
    <row r="55" customFormat="false" ht="14.4" hidden="false" customHeight="false" outlineLevel="0" collapsed="false">
      <c r="B55" s="3" t="n">
        <v>1</v>
      </c>
      <c r="C55" s="3" t="n">
        <v>0.01</v>
      </c>
      <c r="D55" s="3" t="n">
        <f aca="false">25/75</f>
        <v>0.333333333333333</v>
      </c>
      <c r="E55" s="3" t="n">
        <f aca="false">+C55*D55</f>
        <v>0.00333333333333333</v>
      </c>
      <c r="F55" s="3" t="n">
        <f aca="false">+E55*B55</f>
        <v>0.00333333333333333</v>
      </c>
    </row>
    <row r="56" customFormat="false" ht="14.4" hidden="false" customHeight="false" outlineLevel="0" collapsed="false">
      <c r="B56" s="3" t="n">
        <v>2</v>
      </c>
      <c r="C56" s="3" t="n">
        <v>0.01</v>
      </c>
      <c r="D56" s="3" t="n">
        <f aca="false">25/75</f>
        <v>0.333333333333333</v>
      </c>
      <c r="E56" s="3" t="n">
        <f aca="false">+C56*D56</f>
        <v>0.00333333333333333</v>
      </c>
      <c r="F56" s="3" t="n">
        <f aca="false">+E56*B56</f>
        <v>0.00666666666666667</v>
      </c>
    </row>
    <row r="57" customFormat="false" ht="14.4" hidden="false" customHeight="false" outlineLevel="0" collapsed="false">
      <c r="B57" s="3" t="n">
        <v>3</v>
      </c>
      <c r="C57" s="3" t="n">
        <v>0.01</v>
      </c>
      <c r="D57" s="3" t="n">
        <f aca="false">25/75</f>
        <v>0.333333333333333</v>
      </c>
      <c r="E57" s="3" t="n">
        <f aca="false">+C57*D57</f>
        <v>0.00333333333333333</v>
      </c>
      <c r="F57" s="3" t="n">
        <f aca="false">+E57*B57</f>
        <v>0.01</v>
      </c>
    </row>
    <row r="58" customFormat="false" ht="14.4" hidden="false" customHeight="false" outlineLevel="0" collapsed="false">
      <c r="B58" s="3" t="n">
        <v>4</v>
      </c>
      <c r="C58" s="3" t="n">
        <v>0.01</v>
      </c>
      <c r="D58" s="3" t="n">
        <f aca="false">25/75</f>
        <v>0.333333333333333</v>
      </c>
      <c r="E58" s="3" t="n">
        <f aca="false">+C58*D58</f>
        <v>0.00333333333333333</v>
      </c>
      <c r="F58" s="3" t="n">
        <f aca="false">+E58*B58</f>
        <v>0.0133333333333333</v>
      </c>
    </row>
    <row r="59" customFormat="false" ht="14.4" hidden="false" customHeight="false" outlineLevel="0" collapsed="false">
      <c r="B59" s="3" t="n">
        <v>5</v>
      </c>
      <c r="C59" s="3" t="n">
        <v>0.01</v>
      </c>
      <c r="D59" s="3" t="n">
        <f aca="false">25/75</f>
        <v>0.333333333333333</v>
      </c>
      <c r="E59" s="3" t="n">
        <f aca="false">+C59*D59</f>
        <v>0.00333333333333333</v>
      </c>
      <c r="F59" s="3" t="n">
        <f aca="false">+E59*B59</f>
        <v>0.0166666666666667</v>
      </c>
    </row>
    <row r="60" customFormat="false" ht="14.4" hidden="false" customHeight="false" outlineLevel="0" collapsed="false">
      <c r="B60" s="60" t="s">
        <v>15</v>
      </c>
      <c r="C60" s="60" t="n">
        <f aca="false">+SUM(C55:C59)</f>
        <v>0.05</v>
      </c>
      <c r="D60" s="60"/>
      <c r="E60" s="60" t="n">
        <f aca="false">+SUM(E55:E59)</f>
        <v>0.0166666666666667</v>
      </c>
      <c r="F60" s="60" t="n">
        <f aca="false">+SUM(F55:F59)</f>
        <v>0.05</v>
      </c>
    </row>
    <row r="61" customFormat="false" ht="14.4" hidden="false" customHeight="false" outlineLevel="0" collapsed="false">
      <c r="B61" s="63"/>
      <c r="C61" s="63"/>
      <c r="D61" s="63"/>
      <c r="E61" s="63"/>
      <c r="F61" s="63"/>
    </row>
    <row r="62" customFormat="false" ht="14.4" hidden="false" customHeight="false" outlineLevel="0" collapsed="false">
      <c r="B62" s="1" t="s">
        <v>105</v>
      </c>
      <c r="C62" s="1" t="s">
        <v>106</v>
      </c>
    </row>
    <row r="63" customFormat="false" ht="14.4" hidden="false" customHeight="false" outlineLevel="0" collapsed="false">
      <c r="B63" s="2" t="s">
        <v>89</v>
      </c>
      <c r="C63" s="2" t="s">
        <v>90</v>
      </c>
      <c r="D63" s="68" t="s">
        <v>103</v>
      </c>
      <c r="E63" s="2" t="s">
        <v>104</v>
      </c>
      <c r="F63" s="2" t="s">
        <v>4</v>
      </c>
    </row>
    <row r="64" customFormat="false" ht="14.4" hidden="false" customHeight="false" outlineLevel="0" collapsed="false">
      <c r="B64" s="3" t="n">
        <v>1</v>
      </c>
      <c r="C64" s="3" t="n">
        <v>0.01</v>
      </c>
      <c r="D64" s="3" t="n">
        <f aca="false">50/75</f>
        <v>0.666666666666667</v>
      </c>
      <c r="E64" s="3" t="n">
        <f aca="false">+C64*D64</f>
        <v>0.00666666666666667</v>
      </c>
      <c r="F64" s="3" t="n">
        <f aca="false">+E64*B64</f>
        <v>0.00666666666666667</v>
      </c>
    </row>
    <row r="65" customFormat="false" ht="14.4" hidden="false" customHeight="false" outlineLevel="0" collapsed="false">
      <c r="B65" s="3" t="n">
        <v>2</v>
      </c>
      <c r="C65" s="3" t="n">
        <v>0.01</v>
      </c>
      <c r="D65" s="3" t="n">
        <f aca="false">50/75</f>
        <v>0.666666666666667</v>
      </c>
      <c r="E65" s="3" t="n">
        <f aca="false">+C65*D65</f>
        <v>0.00666666666666667</v>
      </c>
      <c r="F65" s="3" t="n">
        <f aca="false">+E65*B65</f>
        <v>0.0133333333333333</v>
      </c>
    </row>
    <row r="66" customFormat="false" ht="14.4" hidden="false" customHeight="false" outlineLevel="0" collapsed="false">
      <c r="B66" s="3" t="n">
        <v>3</v>
      </c>
      <c r="C66" s="3" t="n">
        <v>0.01</v>
      </c>
      <c r="D66" s="3" t="n">
        <f aca="false">50/75</f>
        <v>0.666666666666667</v>
      </c>
      <c r="E66" s="3" t="n">
        <f aca="false">+C66*D66</f>
        <v>0.00666666666666667</v>
      </c>
      <c r="F66" s="3" t="n">
        <f aca="false">+E66*B66</f>
        <v>0.02</v>
      </c>
    </row>
    <row r="67" customFormat="false" ht="14.4" hidden="false" customHeight="false" outlineLevel="0" collapsed="false">
      <c r="B67" s="3" t="n">
        <v>4</v>
      </c>
      <c r="C67" s="3" t="n">
        <v>0.01</v>
      </c>
      <c r="D67" s="3" t="n">
        <f aca="false">50/75</f>
        <v>0.666666666666667</v>
      </c>
      <c r="E67" s="3" t="n">
        <f aca="false">+C67*D67</f>
        <v>0.00666666666666667</v>
      </c>
      <c r="F67" s="3" t="n">
        <f aca="false">+E67*B67</f>
        <v>0.0266666666666667</v>
      </c>
    </row>
    <row r="68" customFormat="false" ht="14.4" hidden="false" customHeight="false" outlineLevel="0" collapsed="false">
      <c r="B68" s="3" t="n">
        <v>5</v>
      </c>
      <c r="C68" s="3" t="n">
        <v>0.01</v>
      </c>
      <c r="D68" s="3" t="n">
        <f aca="false">50/75</f>
        <v>0.666666666666667</v>
      </c>
      <c r="E68" s="3" t="n">
        <f aca="false">+C68*D68</f>
        <v>0.00666666666666667</v>
      </c>
      <c r="F68" s="3" t="n">
        <f aca="false">+E68*B68</f>
        <v>0.0333333333333333</v>
      </c>
    </row>
    <row r="69" customFormat="false" ht="14.4" hidden="false" customHeight="false" outlineLevel="0" collapsed="false">
      <c r="B69" s="60" t="s">
        <v>15</v>
      </c>
      <c r="C69" s="60" t="n">
        <f aca="false">+SUM(C64:C68)</f>
        <v>0.05</v>
      </c>
      <c r="D69" s="60"/>
      <c r="E69" s="60" t="n">
        <f aca="false">+SUM(E64:E68)</f>
        <v>0.0333333333333333</v>
      </c>
      <c r="F69" s="60" t="n">
        <f aca="false">+SUM(F64:F68)</f>
        <v>0.1</v>
      </c>
    </row>
    <row r="72" customFormat="false" ht="14.4" hidden="false" customHeight="false" outlineLevel="0" collapsed="false">
      <c r="A72" s="0" t="s">
        <v>107</v>
      </c>
    </row>
    <row r="73" customFormat="false" ht="14.4" hidden="false" customHeight="false" outlineLevel="0" collapsed="false">
      <c r="A73" s="0" t="s">
        <v>108</v>
      </c>
    </row>
    <row r="74" customFormat="false" ht="14.4" hidden="false" customHeight="false" outlineLevel="0" collapsed="false">
      <c r="A74" s="0" t="s">
        <v>109</v>
      </c>
    </row>
  </sheetData>
  <mergeCells count="8">
    <mergeCell ref="A1:E1"/>
    <mergeCell ref="A8:E8"/>
    <mergeCell ref="B10:E10"/>
    <mergeCell ref="G10:J10"/>
    <mergeCell ref="L10:O10"/>
    <mergeCell ref="Q10:T10"/>
    <mergeCell ref="V10:Y10"/>
    <mergeCell ref="A21:E2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A10" activeCellId="0" sqref="A10"/>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110</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0.213008130081301</v>
      </c>
      <c r="C3" s="3" t="n">
        <f aca="false">1/B3/Summary!$C$7</f>
        <v>0.00469465648854962</v>
      </c>
      <c r="D3" s="75" t="n">
        <f aca="false">+K10</f>
        <v>3.075</v>
      </c>
      <c r="E3" s="3" t="n">
        <v>0.655</v>
      </c>
      <c r="G3" s="76" t="n">
        <v>1</v>
      </c>
      <c r="H3" s="77" t="n">
        <v>0.5</v>
      </c>
      <c r="I3" s="78" t="n">
        <f aca="false">+SUM($H3:H3)</f>
        <v>0.5</v>
      </c>
      <c r="J3" s="79" t="n">
        <v>2</v>
      </c>
      <c r="K3" s="80" t="n">
        <f aca="false">+H3*J3</f>
        <v>1</v>
      </c>
      <c r="L3" s="81" t="n">
        <v>0</v>
      </c>
      <c r="N3" s="76" t="n">
        <v>1</v>
      </c>
      <c r="O3" s="77" t="n">
        <v>0.2</v>
      </c>
      <c r="P3" s="78" t="n">
        <f aca="false">+SUM($O3:O$3)</f>
        <v>0.2</v>
      </c>
      <c r="Q3" s="80" t="n">
        <f aca="false">+J3</f>
        <v>2</v>
      </c>
      <c r="R3" s="80" t="n">
        <f aca="false">+O3*Q3</f>
        <v>0.4</v>
      </c>
      <c r="S3" s="81" t="n">
        <v>0</v>
      </c>
      <c r="U3" s="76" t="n">
        <v>1</v>
      </c>
      <c r="V3" s="77" t="n">
        <v>0.15</v>
      </c>
      <c r="W3" s="78" t="n">
        <f aca="false">+SUM($V3:V$3)</f>
        <v>0.15</v>
      </c>
      <c r="X3" s="80" t="n">
        <f aca="false">+J3</f>
        <v>2</v>
      </c>
      <c r="Y3" s="80" t="n">
        <f aca="false">+V3*X3</f>
        <v>0.3</v>
      </c>
      <c r="Z3" s="81" t="n">
        <v>0</v>
      </c>
      <c r="AB3" s="76" t="n">
        <v>1</v>
      </c>
      <c r="AC3" s="77" t="n">
        <v>0</v>
      </c>
      <c r="AD3" s="78" t="n">
        <f aca="false">+SUM($AC$3:AC3)</f>
        <v>0</v>
      </c>
      <c r="AE3" s="80" t="n">
        <f aca="false">+J3</f>
        <v>2</v>
      </c>
      <c r="AF3" s="80" t="n">
        <f aca="false">+AC3*AE3</f>
        <v>0</v>
      </c>
      <c r="AG3" s="81" t="n">
        <v>0</v>
      </c>
      <c r="AI3" s="76" t="n">
        <v>1</v>
      </c>
      <c r="AJ3" s="77" t="n">
        <v>0</v>
      </c>
      <c r="AK3" s="78" t="n">
        <f aca="false">+SUM($AJ$3:AJ3)</f>
        <v>0</v>
      </c>
      <c r="AL3" s="80" t="n">
        <f aca="false">+J3</f>
        <v>2</v>
      </c>
      <c r="AM3" s="80" t="n">
        <f aca="false">+AJ3*AL3</f>
        <v>0</v>
      </c>
      <c r="AN3" s="81" t="n">
        <v>0</v>
      </c>
    </row>
    <row r="4" customFormat="false" ht="14.4" hidden="false" customHeight="false" outlineLevel="0" collapsed="false">
      <c r="A4" s="3" t="s">
        <v>122</v>
      </c>
      <c r="B4" s="74" t="n">
        <f aca="false">+E4/D4</f>
        <v>0.65359477124183</v>
      </c>
      <c r="C4" s="3" t="n">
        <v>0</v>
      </c>
      <c r="D4" s="82" t="n">
        <f aca="false">+R10</f>
        <v>7.65</v>
      </c>
      <c r="E4" s="3" t="n">
        <v>5</v>
      </c>
      <c r="G4" s="76" t="n">
        <v>2</v>
      </c>
      <c r="H4" s="77" t="n">
        <v>0.32</v>
      </c>
      <c r="I4" s="78" t="n">
        <f aca="false">+SUM($H$3:H4)</f>
        <v>0.82</v>
      </c>
      <c r="J4" s="79" t="n">
        <v>3</v>
      </c>
      <c r="K4" s="80" t="n">
        <f aca="false">+H4*J4</f>
        <v>0.96</v>
      </c>
      <c r="L4" s="81" t="n">
        <v>0</v>
      </c>
      <c r="N4" s="76" t="n">
        <v>2</v>
      </c>
      <c r="O4" s="77" t="n">
        <v>0.25</v>
      </c>
      <c r="P4" s="78" t="n">
        <f aca="false">+SUM($O$3:O4)</f>
        <v>0.45</v>
      </c>
      <c r="Q4" s="80" t="n">
        <f aca="false">+J4</f>
        <v>3</v>
      </c>
      <c r="R4" s="80" t="n">
        <f aca="false">+O4*Q4</f>
        <v>0.75</v>
      </c>
      <c r="S4" s="81" t="n">
        <v>0</v>
      </c>
      <c r="U4" s="76" t="n">
        <v>2</v>
      </c>
      <c r="V4" s="77" t="n">
        <v>0.28</v>
      </c>
      <c r="W4" s="78" t="n">
        <f aca="false">+SUM($V$3:V4)</f>
        <v>0.43</v>
      </c>
      <c r="X4" s="80" t="n">
        <f aca="false">+J4</f>
        <v>3</v>
      </c>
      <c r="Y4" s="80" t="n">
        <f aca="false">+V4*X4</f>
        <v>0.84</v>
      </c>
      <c r="Z4" s="81" t="n">
        <v>0</v>
      </c>
      <c r="AB4" s="76" t="n">
        <v>2</v>
      </c>
      <c r="AC4" s="77" t="n">
        <v>0</v>
      </c>
      <c r="AD4" s="78" t="n">
        <f aca="false">+SUM($AC$3:AC4)</f>
        <v>0</v>
      </c>
      <c r="AE4" s="80" t="n">
        <f aca="false">+J4</f>
        <v>3</v>
      </c>
      <c r="AF4" s="80" t="n">
        <f aca="false">+AC4*AE4</f>
        <v>0</v>
      </c>
      <c r="AG4" s="81" t="n">
        <v>0</v>
      </c>
      <c r="AI4" s="76" t="n">
        <v>2</v>
      </c>
      <c r="AJ4" s="77" t="n">
        <v>0</v>
      </c>
      <c r="AK4" s="78" t="n">
        <f aca="false">+SUM($AJ$3:AJ4)</f>
        <v>0</v>
      </c>
      <c r="AL4" s="80" t="n">
        <f aca="false">+J4</f>
        <v>3</v>
      </c>
      <c r="AM4" s="80" t="n">
        <f aca="false">+AJ4*AL4</f>
        <v>0</v>
      </c>
      <c r="AN4" s="81" t="n">
        <v>0</v>
      </c>
    </row>
    <row r="5" customFormat="false" ht="14.4" hidden="false" customHeight="false" outlineLevel="0" collapsed="false">
      <c r="A5" s="3" t="s">
        <v>123</v>
      </c>
      <c r="B5" s="74" t="n">
        <f aca="false">+E5/D5</f>
        <v>0.856531049250535</v>
      </c>
      <c r="C5" s="3" t="n">
        <v>0</v>
      </c>
      <c r="D5" s="82" t="n">
        <f aca="false">+Y10</f>
        <v>9.34</v>
      </c>
      <c r="E5" s="3" t="n">
        <v>8</v>
      </c>
      <c r="G5" s="76" t="n">
        <v>3</v>
      </c>
      <c r="H5" s="77" t="n">
        <v>0.105</v>
      </c>
      <c r="I5" s="78" t="n">
        <f aca="false">+SUM($H$3:H5)</f>
        <v>0.925</v>
      </c>
      <c r="J5" s="79" t="n">
        <v>5</v>
      </c>
      <c r="K5" s="80" t="n">
        <f aca="false">+H5*J5</f>
        <v>0.525</v>
      </c>
      <c r="L5" s="81" t="n">
        <v>0</v>
      </c>
      <c r="N5" s="76" t="n">
        <v>3</v>
      </c>
      <c r="O5" s="77" t="n">
        <v>0.18</v>
      </c>
      <c r="P5" s="78" t="n">
        <f aca="false">+SUM($O$3:O5)</f>
        <v>0.63</v>
      </c>
      <c r="Q5" s="80" t="n">
        <f aca="false">+J5</f>
        <v>5</v>
      </c>
      <c r="R5" s="80" t="n">
        <f aca="false">+O5*Q5</f>
        <v>0.9</v>
      </c>
      <c r="S5" s="81" t="n">
        <v>0</v>
      </c>
      <c r="U5" s="76" t="n">
        <v>3</v>
      </c>
      <c r="V5" s="77" t="n">
        <v>0.2</v>
      </c>
      <c r="W5" s="78" t="n">
        <f aca="false">+SUM($V$3:V5)</f>
        <v>0.63</v>
      </c>
      <c r="X5" s="80" t="n">
        <f aca="false">+J5</f>
        <v>5</v>
      </c>
      <c r="Y5" s="80" t="n">
        <f aca="false">+V5*X5</f>
        <v>1</v>
      </c>
      <c r="Z5" s="81" t="n">
        <v>0</v>
      </c>
      <c r="AB5" s="76" t="n">
        <v>3</v>
      </c>
      <c r="AC5" s="77" t="n">
        <v>0.03</v>
      </c>
      <c r="AD5" s="78" t="n">
        <f aca="false">+SUM($AC$3:AC5)</f>
        <v>0.03</v>
      </c>
      <c r="AE5" s="80" t="n">
        <f aca="false">+J5</f>
        <v>5</v>
      </c>
      <c r="AF5" s="80" t="n">
        <f aca="false">+AC5*AE5</f>
        <v>0.15</v>
      </c>
      <c r="AG5" s="81" t="n">
        <v>0</v>
      </c>
      <c r="AI5" s="76" t="n">
        <v>3</v>
      </c>
      <c r="AJ5" s="77" t="n">
        <v>0</v>
      </c>
      <c r="AK5" s="78" t="n">
        <f aca="false">+SUM($AJ$3:AJ5)</f>
        <v>0</v>
      </c>
      <c r="AL5" s="80" t="n">
        <f aca="false">+J5</f>
        <v>5</v>
      </c>
      <c r="AM5" s="80" t="n">
        <f aca="false">+AJ5*AL5</f>
        <v>0</v>
      </c>
      <c r="AN5" s="81" t="n">
        <v>0</v>
      </c>
    </row>
    <row r="6" customFormat="false" ht="14.4" hidden="false" customHeight="false" outlineLevel="0" collapsed="false">
      <c r="A6" s="3" t="s">
        <v>124</v>
      </c>
      <c r="B6" s="74" t="n">
        <f aca="false">+E6/D6</f>
        <v>0.955109837631328</v>
      </c>
      <c r="C6" s="3" t="n">
        <v>0</v>
      </c>
      <c r="D6" s="82" t="n">
        <f aca="false">+AF10</f>
        <v>10.47</v>
      </c>
      <c r="E6" s="3" t="n">
        <v>10</v>
      </c>
      <c r="G6" s="76" t="n">
        <v>4</v>
      </c>
      <c r="H6" s="77" t="n">
        <v>0.07</v>
      </c>
      <c r="I6" s="78" t="n">
        <f aca="false">+SUM($H$3:H6)</f>
        <v>0.995</v>
      </c>
      <c r="J6" s="79" t="n">
        <v>7</v>
      </c>
      <c r="K6" s="80" t="n">
        <f aca="false">+H6*J6</f>
        <v>0.49</v>
      </c>
      <c r="L6" s="81" t="n">
        <v>0</v>
      </c>
      <c r="N6" s="76" t="n">
        <v>4</v>
      </c>
      <c r="O6" s="77" t="n">
        <v>0.2</v>
      </c>
      <c r="P6" s="78" t="n">
        <f aca="false">+SUM($O$3:O6)</f>
        <v>0.83</v>
      </c>
      <c r="Q6" s="80" t="n">
        <f aca="false">+J6</f>
        <v>7</v>
      </c>
      <c r="R6" s="80" t="n">
        <f aca="false">+O6*Q6</f>
        <v>1.4</v>
      </c>
      <c r="S6" s="81" t="n">
        <v>0</v>
      </c>
      <c r="U6" s="76" t="n">
        <v>4</v>
      </c>
      <c r="V6" s="77" t="n">
        <v>0.1</v>
      </c>
      <c r="W6" s="78" t="n">
        <f aca="false">+SUM($V$3:V6)</f>
        <v>0.73</v>
      </c>
      <c r="X6" s="80" t="n">
        <f aca="false">+J6</f>
        <v>7</v>
      </c>
      <c r="Y6" s="80" t="n">
        <f aca="false">+V6*X6</f>
        <v>0.7</v>
      </c>
      <c r="Z6" s="81" t="n">
        <v>0</v>
      </c>
      <c r="AB6" s="76" t="n">
        <v>4</v>
      </c>
      <c r="AC6" s="77" t="n">
        <v>0.26</v>
      </c>
      <c r="AD6" s="78" t="n">
        <f aca="false">+SUM($AC$3:AC6)</f>
        <v>0.29</v>
      </c>
      <c r="AE6" s="80" t="n">
        <f aca="false">+J6</f>
        <v>7</v>
      </c>
      <c r="AF6" s="80" t="n">
        <f aca="false">+AC6*AE6</f>
        <v>1.82</v>
      </c>
      <c r="AG6" s="81" t="n">
        <v>0</v>
      </c>
      <c r="AI6" s="76" t="n">
        <v>4</v>
      </c>
      <c r="AJ6" s="77" t="n">
        <v>0</v>
      </c>
      <c r="AK6" s="78" t="n">
        <f aca="false">+SUM($AJ$3:AJ6)</f>
        <v>0</v>
      </c>
      <c r="AL6" s="80" t="n">
        <f aca="false">+J6</f>
        <v>7</v>
      </c>
      <c r="AM6" s="80" t="n">
        <f aca="false">+AJ6*AL6</f>
        <v>0</v>
      </c>
      <c r="AN6" s="81" t="n">
        <v>0</v>
      </c>
    </row>
    <row r="7" customFormat="false" ht="14.4" hidden="false" customHeight="false" outlineLevel="0" collapsed="false">
      <c r="A7" s="3" t="s">
        <v>125</v>
      </c>
      <c r="B7" s="74" t="n">
        <f aca="false">+E7/D7</f>
        <v>1</v>
      </c>
      <c r="C7" s="3" t="n">
        <v>0</v>
      </c>
      <c r="D7" s="82" t="n">
        <f aca="false">+AM10</f>
        <v>50</v>
      </c>
      <c r="E7" s="3" t="n">
        <v>50</v>
      </c>
      <c r="G7" s="76" t="n">
        <v>5</v>
      </c>
      <c r="H7" s="77" t="n">
        <v>0.003</v>
      </c>
      <c r="I7" s="78" t="n">
        <f aca="false">+SUM($H$3:H7)</f>
        <v>0.998</v>
      </c>
      <c r="J7" s="79" t="n">
        <v>10</v>
      </c>
      <c r="K7" s="80" t="n">
        <f aca="false">+H7*J7</f>
        <v>0.03</v>
      </c>
      <c r="L7" s="81" t="n">
        <v>0</v>
      </c>
      <c r="N7" s="76" t="n">
        <v>5</v>
      </c>
      <c r="O7" s="77" t="n">
        <v>0.1</v>
      </c>
      <c r="P7" s="78" t="n">
        <f aca="false">+SUM($O$3:O7)</f>
        <v>0.93</v>
      </c>
      <c r="Q7" s="80" t="n">
        <f aca="false">+J7</f>
        <v>10</v>
      </c>
      <c r="R7" s="80" t="n">
        <f aca="false">+O7*Q7</f>
        <v>1</v>
      </c>
      <c r="S7" s="81" t="n">
        <v>0</v>
      </c>
      <c r="U7" s="76" t="n">
        <v>5</v>
      </c>
      <c r="V7" s="77" t="n">
        <v>0.1</v>
      </c>
      <c r="W7" s="78" t="n">
        <f aca="false">+SUM($V$3:V7)</f>
        <v>0.83</v>
      </c>
      <c r="X7" s="80" t="n">
        <f aca="false">+J7</f>
        <v>10</v>
      </c>
      <c r="Y7" s="80" t="n">
        <f aca="false">+V7*X7</f>
        <v>1</v>
      </c>
      <c r="Z7" s="81" t="n">
        <v>0</v>
      </c>
      <c r="AB7" s="76" t="n">
        <v>5</v>
      </c>
      <c r="AC7" s="77" t="n">
        <v>0.6</v>
      </c>
      <c r="AD7" s="78" t="n">
        <f aca="false">+SUM($AC$3:AC7)</f>
        <v>0.89</v>
      </c>
      <c r="AE7" s="80" t="n">
        <f aca="false">+J7</f>
        <v>10</v>
      </c>
      <c r="AF7" s="80" t="n">
        <f aca="false">+AC7*AE7</f>
        <v>6</v>
      </c>
      <c r="AG7" s="81" t="n">
        <v>0</v>
      </c>
      <c r="AI7" s="76" t="n">
        <v>5</v>
      </c>
      <c r="AJ7" s="77" t="n">
        <v>0</v>
      </c>
      <c r="AK7" s="78" t="n">
        <f aca="false">+SUM($AJ$3:AJ7)</f>
        <v>0</v>
      </c>
      <c r="AL7" s="80" t="n">
        <f aca="false">+J7</f>
        <v>10</v>
      </c>
      <c r="AM7" s="80" t="n">
        <f aca="false">+AJ7*AL7</f>
        <v>0</v>
      </c>
      <c r="AN7" s="81" t="n">
        <v>0</v>
      </c>
    </row>
    <row r="8" customFormat="false" ht="14.4" hidden="false" customHeight="false" outlineLevel="0" collapsed="false">
      <c r="A8" s="3" t="s">
        <v>126</v>
      </c>
      <c r="B8" s="83" t="str">
        <f aca="false">+CONCATENATE("x",J3," - x",J9)</f>
        <v>x2 - x50</v>
      </c>
      <c r="G8" s="76" t="n">
        <v>6</v>
      </c>
      <c r="H8" s="77" t="n">
        <v>0.001</v>
      </c>
      <c r="I8" s="78" t="n">
        <f aca="false">+SUM($H$3:H8)</f>
        <v>0.999</v>
      </c>
      <c r="J8" s="79" t="n">
        <v>20</v>
      </c>
      <c r="K8" s="80" t="n">
        <f aca="false">+H8*J8</f>
        <v>0.02</v>
      </c>
      <c r="L8" s="81" t="n">
        <v>0</v>
      </c>
      <c r="N8" s="76" t="n">
        <v>6</v>
      </c>
      <c r="O8" s="77" t="n">
        <v>0.01</v>
      </c>
      <c r="P8" s="78" t="n">
        <f aca="false">+SUM($O$3:O8)</f>
        <v>0.94</v>
      </c>
      <c r="Q8" s="80" t="n">
        <f aca="false">+J8</f>
        <v>20</v>
      </c>
      <c r="R8" s="80" t="n">
        <f aca="false">+O8*Q8</f>
        <v>0.2</v>
      </c>
      <c r="S8" s="81" t="n">
        <v>0</v>
      </c>
      <c r="U8" s="76" t="n">
        <v>6</v>
      </c>
      <c r="V8" s="77" t="n">
        <v>0.1</v>
      </c>
      <c r="W8" s="78" t="n">
        <f aca="false">+SUM($V$3:V8)</f>
        <v>0.93</v>
      </c>
      <c r="X8" s="80" t="n">
        <f aca="false">+J8</f>
        <v>20</v>
      </c>
      <c r="Y8" s="80" t="n">
        <f aca="false">+V8*X8</f>
        <v>2</v>
      </c>
      <c r="Z8" s="81" t="n">
        <v>0</v>
      </c>
      <c r="AB8" s="76" t="n">
        <v>6</v>
      </c>
      <c r="AC8" s="77" t="n">
        <v>0.1</v>
      </c>
      <c r="AD8" s="78" t="n">
        <f aca="false">+SUM($AC$3:AC8)</f>
        <v>0.99</v>
      </c>
      <c r="AE8" s="80" t="n">
        <f aca="false">+J8</f>
        <v>20</v>
      </c>
      <c r="AF8" s="80" t="n">
        <f aca="false">+AC8*AE8</f>
        <v>2</v>
      </c>
      <c r="AG8" s="81" t="n">
        <v>0</v>
      </c>
      <c r="AI8" s="76" t="n">
        <v>6</v>
      </c>
      <c r="AJ8" s="77" t="n">
        <v>0</v>
      </c>
      <c r="AK8" s="78" t="n">
        <f aca="false">+SUM($AJ$3:AJ8)</f>
        <v>0</v>
      </c>
      <c r="AL8" s="80" t="n">
        <f aca="false">+J8</f>
        <v>20</v>
      </c>
      <c r="AM8" s="80" t="n">
        <f aca="false">+AJ8*AL8</f>
        <v>0</v>
      </c>
      <c r="AN8" s="81" t="n">
        <v>0</v>
      </c>
    </row>
    <row r="9" customFormat="false" ht="14.4" hidden="false" customHeight="false" outlineLevel="0" collapsed="false">
      <c r="G9" s="76" t="n">
        <v>7</v>
      </c>
      <c r="H9" s="84" t="n">
        <f aca="false">1-SUM(H3:H8)</f>
        <v>0.001</v>
      </c>
      <c r="I9" s="78" t="n">
        <f aca="false">+SUM($H$3:H9)</f>
        <v>1</v>
      </c>
      <c r="J9" s="79" t="n">
        <v>50</v>
      </c>
      <c r="K9" s="80" t="n">
        <f aca="false">+H9*J9</f>
        <v>0.05</v>
      </c>
      <c r="L9" s="81" t="n">
        <v>0</v>
      </c>
      <c r="N9" s="76" t="n">
        <v>7</v>
      </c>
      <c r="O9" s="84" t="n">
        <f aca="false">1-SUM(O3:O8)</f>
        <v>0.0600000000000001</v>
      </c>
      <c r="P9" s="78" t="n">
        <f aca="false">+SUM($O$3:O9)</f>
        <v>1</v>
      </c>
      <c r="Q9" s="80" t="n">
        <f aca="false">+J9</f>
        <v>50</v>
      </c>
      <c r="R9" s="80" t="n">
        <f aca="false">+O9*Q9</f>
        <v>3</v>
      </c>
      <c r="S9" s="81" t="n">
        <v>0</v>
      </c>
      <c r="U9" s="76" t="n">
        <v>7</v>
      </c>
      <c r="V9" s="84" t="n">
        <f aca="false">1-SUM(V3:V8)</f>
        <v>0.07</v>
      </c>
      <c r="W9" s="78" t="n">
        <f aca="false">+SUM($V$3:V9)</f>
        <v>1</v>
      </c>
      <c r="X9" s="80" t="n">
        <f aca="false">+J9</f>
        <v>50</v>
      </c>
      <c r="Y9" s="80" t="n">
        <f aca="false">+V9*X9</f>
        <v>3.5</v>
      </c>
      <c r="Z9" s="81" t="n">
        <v>0</v>
      </c>
      <c r="AB9" s="76" t="n">
        <v>7</v>
      </c>
      <c r="AC9" s="84" t="n">
        <f aca="false">1-SUM(AC3:AC8)</f>
        <v>0.0099999999999999</v>
      </c>
      <c r="AD9" s="78" t="n">
        <f aca="false">+SUM($AC$3:AC9)</f>
        <v>1</v>
      </c>
      <c r="AE9" s="80" t="n">
        <f aca="false">+J9</f>
        <v>50</v>
      </c>
      <c r="AF9" s="80" t="n">
        <f aca="false">+AC9*AE9</f>
        <v>0.499999999999995</v>
      </c>
      <c r="AG9" s="81" t="n">
        <v>0</v>
      </c>
      <c r="AI9" s="76" t="n">
        <v>7</v>
      </c>
      <c r="AJ9" s="84" t="n">
        <f aca="false">1-SUM(AJ3:AJ8)</f>
        <v>1</v>
      </c>
      <c r="AK9" s="78" t="n">
        <f aca="false">+SUM($AJ$3:AJ9)</f>
        <v>1</v>
      </c>
      <c r="AL9" s="80" t="n">
        <f aca="false">+J9</f>
        <v>50</v>
      </c>
      <c r="AM9" s="80" t="n">
        <f aca="false">+AJ9*AL9</f>
        <v>50</v>
      </c>
      <c r="AN9" s="81" t="n">
        <v>0</v>
      </c>
    </row>
    <row r="10" customFormat="false" ht="14.4" hidden="false" customHeight="false" outlineLevel="0" collapsed="false">
      <c r="A10" s="85" t="s">
        <v>74</v>
      </c>
      <c r="G10" s="60" t="s">
        <v>78</v>
      </c>
      <c r="H10" s="60" t="n">
        <f aca="false">+SUM(H3:H9)</f>
        <v>1</v>
      </c>
      <c r="I10" s="60"/>
      <c r="J10" s="60"/>
      <c r="K10" s="61" t="n">
        <f aca="false">+SUM(K3:K9)</f>
        <v>3.075</v>
      </c>
      <c r="L10" s="61"/>
      <c r="N10" s="60" t="s">
        <v>78</v>
      </c>
      <c r="O10" s="60" t="n">
        <f aca="false">+SUM(O3:O9)</f>
        <v>1</v>
      </c>
      <c r="P10" s="60"/>
      <c r="Q10" s="60"/>
      <c r="R10" s="61" t="n">
        <f aca="false">+SUM(R3:R9)</f>
        <v>7.65</v>
      </c>
      <c r="S10" s="61"/>
      <c r="U10" s="60" t="s">
        <v>78</v>
      </c>
      <c r="V10" s="60" t="n">
        <f aca="false">+SUM(V3:V9)</f>
        <v>1</v>
      </c>
      <c r="W10" s="60"/>
      <c r="X10" s="60"/>
      <c r="Y10" s="61" t="n">
        <f aca="false">+SUM(Y3:Y9)</f>
        <v>9.34</v>
      </c>
      <c r="Z10" s="61"/>
      <c r="AB10" s="60" t="s">
        <v>78</v>
      </c>
      <c r="AC10" s="60" t="n">
        <f aca="false">+SUM(AC3:AC9)</f>
        <v>1</v>
      </c>
      <c r="AD10" s="60"/>
      <c r="AE10" s="60"/>
      <c r="AF10" s="61" t="n">
        <f aca="false">+SUM(AF3:AF9)</f>
        <v>10.47</v>
      </c>
      <c r="AG10" s="61"/>
      <c r="AI10" s="60" t="s">
        <v>78</v>
      </c>
      <c r="AJ10" s="60" t="n">
        <f aca="false">+SUM(AJ3:AJ9)</f>
        <v>1</v>
      </c>
      <c r="AK10" s="60"/>
      <c r="AL10" s="60"/>
      <c r="AM10" s="61" t="n">
        <f aca="false">+SUM(AM3:AM9)</f>
        <v>50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0">
      <formula>0</formula>
    </cfRule>
    <cfRule type="cellIs" priority="3" operator="greaterThan" aboveAverage="0" equalAverage="0" bottom="0" percent="0" rank="0" text="" dxfId="1">
      <formula>1</formula>
    </cfRule>
  </conditionalFormatting>
  <conditionalFormatting sqref="H3:H9 O3:O9 AJ3:AJ9 V3:V9 AC3:AC9">
    <cfRule type="cellIs" priority="4" operator="equal" aboveAverage="0" equalAverage="0" bottom="0" percent="0" rank="0" text="" dxfId="2">
      <formula>0</formula>
    </cfRule>
  </conditionalFormatting>
  <conditionalFormatting sqref="B3:B7">
    <cfRule type="cellIs" priority="5" operator="greaterThan" aboveAverage="0" equalAverage="0" bottom="0" percent="0" rank="0" text="" dxfId="3">
      <formula>1</formula>
    </cfRule>
    <cfRule type="cellIs" priority="6" operator="lessThan" aboveAverage="0" equalAverage="0" bottom="0" percent="0" rank="0" text="" dxfId="4">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C2" activeCellId="0" sqref="C2"/>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135</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0.197586726998492</v>
      </c>
      <c r="C3" s="3" t="n">
        <f aca="false">1/B3/Summary!$C$7</f>
        <v>0.00506106870229007</v>
      </c>
      <c r="D3" s="75" t="n">
        <f aca="false">+K10</f>
        <v>3.31499999999999</v>
      </c>
      <c r="E3" s="3" t="n">
        <v>0.655</v>
      </c>
      <c r="G3" s="76" t="n">
        <v>1</v>
      </c>
      <c r="H3" s="77" t="n">
        <v>0.3</v>
      </c>
      <c r="I3" s="78" t="n">
        <f aca="false">+SUM($H3:H3)</f>
        <v>0.3</v>
      </c>
      <c r="J3" s="79" t="n">
        <v>2</v>
      </c>
      <c r="K3" s="80" t="n">
        <f aca="false">+H3*J3</f>
        <v>0.6</v>
      </c>
      <c r="L3" s="81" t="n">
        <v>0</v>
      </c>
      <c r="N3" s="76" t="n">
        <v>1</v>
      </c>
      <c r="O3" s="77" t="n">
        <v>0.1</v>
      </c>
      <c r="P3" s="78" t="n">
        <f aca="false">+SUM($O3:O$3)</f>
        <v>0.1</v>
      </c>
      <c r="Q3" s="80" t="n">
        <f aca="false">+J3</f>
        <v>2</v>
      </c>
      <c r="R3" s="80" t="n">
        <f aca="false">+O3*Q3</f>
        <v>0.2</v>
      </c>
      <c r="S3" s="81" t="n">
        <v>0</v>
      </c>
      <c r="U3" s="76" t="n">
        <v>1</v>
      </c>
      <c r="V3" s="77" t="n">
        <v>0.1</v>
      </c>
      <c r="W3" s="78" t="n">
        <f aca="false">+SUM($V3:V$3)</f>
        <v>0.1</v>
      </c>
      <c r="X3" s="80" t="n">
        <f aca="false">+J3</f>
        <v>2</v>
      </c>
      <c r="Y3" s="80" t="n">
        <f aca="false">+V3*X3</f>
        <v>0.2</v>
      </c>
      <c r="Z3" s="81" t="n">
        <v>0</v>
      </c>
      <c r="AB3" s="76" t="n">
        <v>1</v>
      </c>
      <c r="AC3" s="77" t="n">
        <v>0</v>
      </c>
      <c r="AD3" s="78" t="n">
        <f aca="false">+SUM($AC$3:AC3)</f>
        <v>0</v>
      </c>
      <c r="AE3" s="80" t="n">
        <f aca="false">+J3</f>
        <v>2</v>
      </c>
      <c r="AF3" s="80" t="n">
        <f aca="false">+AC3*AE3</f>
        <v>0</v>
      </c>
      <c r="AG3" s="81" t="n">
        <v>0</v>
      </c>
      <c r="AI3" s="76" t="n">
        <v>1</v>
      </c>
      <c r="AJ3" s="77" t="n">
        <v>0</v>
      </c>
      <c r="AK3" s="78" t="n">
        <f aca="false">+SUM($AJ$3:AJ3)</f>
        <v>0</v>
      </c>
      <c r="AL3" s="80" t="n">
        <f aca="false">+J3</f>
        <v>2</v>
      </c>
      <c r="AM3" s="80" t="n">
        <f aca="false">+AJ3*AL3</f>
        <v>0</v>
      </c>
      <c r="AN3" s="81" t="n">
        <v>0</v>
      </c>
    </row>
    <row r="4" customFormat="false" ht="14.4" hidden="false" customHeight="false" outlineLevel="0" collapsed="false">
      <c r="A4" s="3" t="s">
        <v>122</v>
      </c>
      <c r="B4" s="74" t="n">
        <f aca="false">+E4/D4</f>
        <v>0.606796116504854</v>
      </c>
      <c r="C4" s="3" t="n">
        <v>0</v>
      </c>
      <c r="D4" s="82" t="n">
        <f aca="false">+R10</f>
        <v>8.24</v>
      </c>
      <c r="E4" s="3" t="n">
        <v>5</v>
      </c>
      <c r="G4" s="76" t="n">
        <v>2</v>
      </c>
      <c r="H4" s="77" t="n">
        <v>0.5</v>
      </c>
      <c r="I4" s="78" t="n">
        <f aca="false">+SUM($H$3:H4)</f>
        <v>0.8</v>
      </c>
      <c r="J4" s="79" t="n">
        <v>3</v>
      </c>
      <c r="K4" s="80" t="n">
        <f aca="false">+H4*J4</f>
        <v>1.5</v>
      </c>
      <c r="L4" s="81" t="n">
        <v>0</v>
      </c>
      <c r="N4" s="76" t="n">
        <v>2</v>
      </c>
      <c r="O4" s="77" t="n">
        <v>0.23</v>
      </c>
      <c r="P4" s="78" t="n">
        <f aca="false">+SUM($O$3:O4)</f>
        <v>0.33</v>
      </c>
      <c r="Q4" s="80" t="n">
        <f aca="false">+J4</f>
        <v>3</v>
      </c>
      <c r="R4" s="80" t="n">
        <f aca="false">+O4*Q4</f>
        <v>0.69</v>
      </c>
      <c r="S4" s="81" t="n">
        <v>0</v>
      </c>
      <c r="U4" s="76" t="n">
        <v>2</v>
      </c>
      <c r="V4" s="77" t="n">
        <v>0.25</v>
      </c>
      <c r="W4" s="78" t="n">
        <f aca="false">+SUM($V$3:V4)</f>
        <v>0.35</v>
      </c>
      <c r="X4" s="80" t="n">
        <f aca="false">+J4</f>
        <v>3</v>
      </c>
      <c r="Y4" s="80" t="n">
        <f aca="false">+V4*X4</f>
        <v>0.75</v>
      </c>
      <c r="Z4" s="81" t="n">
        <v>0</v>
      </c>
      <c r="AB4" s="76" t="n">
        <v>2</v>
      </c>
      <c r="AC4" s="77" t="n">
        <v>0</v>
      </c>
      <c r="AD4" s="78" t="n">
        <f aca="false">+SUM($AC$3:AC4)</f>
        <v>0</v>
      </c>
      <c r="AE4" s="80" t="n">
        <f aca="false">+J4</f>
        <v>3</v>
      </c>
      <c r="AF4" s="80" t="n">
        <f aca="false">+AC4*AE4</f>
        <v>0</v>
      </c>
      <c r="AG4" s="81" t="n">
        <v>0</v>
      </c>
      <c r="AI4" s="76" t="n">
        <v>2</v>
      </c>
      <c r="AJ4" s="77" t="n">
        <v>0</v>
      </c>
      <c r="AK4" s="78" t="n">
        <f aca="false">+SUM($AJ$3:AJ4)</f>
        <v>0</v>
      </c>
      <c r="AL4" s="80" t="n">
        <f aca="false">+J4</f>
        <v>3</v>
      </c>
      <c r="AM4" s="80" t="n">
        <f aca="false">+AJ4*AL4</f>
        <v>0</v>
      </c>
      <c r="AN4" s="81" t="n">
        <v>0</v>
      </c>
    </row>
    <row r="5" customFormat="false" ht="14.4" hidden="false" customHeight="false" outlineLevel="0" collapsed="false">
      <c r="A5" s="3" t="s">
        <v>123</v>
      </c>
      <c r="B5" s="74" t="n">
        <f aca="false">+E5/D5</f>
        <v>0.796019900497512</v>
      </c>
      <c r="C5" s="3" t="n">
        <v>0</v>
      </c>
      <c r="D5" s="82" t="n">
        <f aca="false">+Y10</f>
        <v>10.05</v>
      </c>
      <c r="E5" s="3" t="n">
        <v>8</v>
      </c>
      <c r="G5" s="76" t="n">
        <v>3</v>
      </c>
      <c r="H5" s="77" t="n">
        <v>0.125</v>
      </c>
      <c r="I5" s="78" t="n">
        <f aca="false">+SUM($H$3:H5)</f>
        <v>0.925</v>
      </c>
      <c r="J5" s="79" t="n">
        <v>5</v>
      </c>
      <c r="K5" s="80" t="n">
        <f aca="false">+H5*J5</f>
        <v>0.625</v>
      </c>
      <c r="L5" s="81" t="n">
        <v>0</v>
      </c>
      <c r="N5" s="76" t="n">
        <v>3</v>
      </c>
      <c r="O5" s="77" t="n">
        <v>0.25</v>
      </c>
      <c r="P5" s="78" t="n">
        <f aca="false">+SUM($O$3:O5)</f>
        <v>0.58</v>
      </c>
      <c r="Q5" s="80" t="n">
        <f aca="false">+J5</f>
        <v>5</v>
      </c>
      <c r="R5" s="80" t="n">
        <f aca="false">+O5*Q5</f>
        <v>1.25</v>
      </c>
      <c r="S5" s="81" t="n">
        <v>0</v>
      </c>
      <c r="U5" s="76" t="n">
        <v>3</v>
      </c>
      <c r="V5" s="77" t="n">
        <v>0.18</v>
      </c>
      <c r="W5" s="78" t="n">
        <f aca="false">+SUM($V$3:V5)</f>
        <v>0.53</v>
      </c>
      <c r="X5" s="80" t="n">
        <f aca="false">+J5</f>
        <v>5</v>
      </c>
      <c r="Y5" s="80" t="n">
        <f aca="false">+V5*X5</f>
        <v>0.9</v>
      </c>
      <c r="Z5" s="81" t="n">
        <v>0</v>
      </c>
      <c r="AB5" s="76" t="n">
        <v>3</v>
      </c>
      <c r="AC5" s="77" t="n">
        <v>0.03</v>
      </c>
      <c r="AD5" s="78" t="n">
        <f aca="false">+SUM($AC$3:AC5)</f>
        <v>0.03</v>
      </c>
      <c r="AE5" s="80" t="n">
        <f aca="false">+J5</f>
        <v>5</v>
      </c>
      <c r="AF5" s="80" t="n">
        <f aca="false">+AC5*AE5</f>
        <v>0.15</v>
      </c>
      <c r="AG5" s="81" t="n">
        <v>0</v>
      </c>
      <c r="AI5" s="76" t="n">
        <v>3</v>
      </c>
      <c r="AJ5" s="77" t="n">
        <v>0</v>
      </c>
      <c r="AK5" s="78" t="n">
        <f aca="false">+SUM($AJ$3:AJ5)</f>
        <v>0</v>
      </c>
      <c r="AL5" s="80" t="n">
        <f aca="false">+J5</f>
        <v>5</v>
      </c>
      <c r="AM5" s="80" t="n">
        <f aca="false">+AJ5*AL5</f>
        <v>0</v>
      </c>
      <c r="AN5" s="81" t="n">
        <v>0</v>
      </c>
    </row>
    <row r="6" customFormat="false" ht="14.4" hidden="false" customHeight="false" outlineLevel="0" collapsed="false">
      <c r="A6" s="3" t="s">
        <v>124</v>
      </c>
      <c r="B6" s="74" t="n">
        <f aca="false">+E6/D6</f>
        <v>0.887311446317657</v>
      </c>
      <c r="C6" s="3" t="n">
        <v>0</v>
      </c>
      <c r="D6" s="82" t="n">
        <f aca="false">+AF10</f>
        <v>11.27</v>
      </c>
      <c r="E6" s="3" t="n">
        <v>10</v>
      </c>
      <c r="G6" s="76" t="n">
        <v>4</v>
      </c>
      <c r="H6" s="77" t="n">
        <v>0.07</v>
      </c>
      <c r="I6" s="78" t="n">
        <f aca="false">+SUM($H$3:H6)</f>
        <v>0.995</v>
      </c>
      <c r="J6" s="79" t="n">
        <v>7</v>
      </c>
      <c r="K6" s="80" t="n">
        <f aca="false">+H6*J6</f>
        <v>0.49</v>
      </c>
      <c r="L6" s="81" t="n">
        <v>0</v>
      </c>
      <c r="N6" s="76" t="n">
        <v>4</v>
      </c>
      <c r="O6" s="77" t="n">
        <v>0.2</v>
      </c>
      <c r="P6" s="78" t="n">
        <f aca="false">+SUM($O$3:O6)</f>
        <v>0.78</v>
      </c>
      <c r="Q6" s="80" t="n">
        <f aca="false">+J6</f>
        <v>7</v>
      </c>
      <c r="R6" s="80" t="n">
        <f aca="false">+O6*Q6</f>
        <v>1.4</v>
      </c>
      <c r="S6" s="81" t="n">
        <v>0</v>
      </c>
      <c r="U6" s="76" t="n">
        <v>4</v>
      </c>
      <c r="V6" s="77" t="n">
        <v>0.2</v>
      </c>
      <c r="W6" s="78" t="n">
        <f aca="false">+SUM($V$3:V6)</f>
        <v>0.73</v>
      </c>
      <c r="X6" s="80" t="n">
        <f aca="false">+J6</f>
        <v>7</v>
      </c>
      <c r="Y6" s="80" t="n">
        <f aca="false">+V6*X6</f>
        <v>1.4</v>
      </c>
      <c r="Z6" s="81" t="n">
        <v>0</v>
      </c>
      <c r="AB6" s="76" t="n">
        <v>4</v>
      </c>
      <c r="AC6" s="77" t="n">
        <v>0.26</v>
      </c>
      <c r="AD6" s="78" t="n">
        <f aca="false">+SUM($AC$3:AC6)</f>
        <v>0.29</v>
      </c>
      <c r="AE6" s="80" t="n">
        <f aca="false">+J6</f>
        <v>7</v>
      </c>
      <c r="AF6" s="80" t="n">
        <f aca="false">+AC6*AE6</f>
        <v>1.82</v>
      </c>
      <c r="AG6" s="81" t="n">
        <v>0</v>
      </c>
      <c r="AI6" s="76" t="n">
        <v>4</v>
      </c>
      <c r="AJ6" s="77" t="n">
        <v>0</v>
      </c>
      <c r="AK6" s="78" t="n">
        <f aca="false">+SUM($AJ$3:AJ6)</f>
        <v>0</v>
      </c>
      <c r="AL6" s="80" t="n">
        <f aca="false">+J6</f>
        <v>7</v>
      </c>
      <c r="AM6" s="80" t="n">
        <f aca="false">+AJ6*AL6</f>
        <v>0</v>
      </c>
      <c r="AN6" s="81" t="n">
        <v>0</v>
      </c>
    </row>
    <row r="7" customFormat="false" ht="14.4" hidden="false" customHeight="false" outlineLevel="0" collapsed="false">
      <c r="A7" s="3" t="s">
        <v>125</v>
      </c>
      <c r="B7" s="74" t="n">
        <f aca="false">+E7/D7</f>
        <v>1</v>
      </c>
      <c r="C7" s="3" t="n">
        <v>0</v>
      </c>
      <c r="D7" s="82" t="n">
        <f aca="false">+AM10</f>
        <v>50</v>
      </c>
      <c r="E7" s="3" t="n">
        <v>50</v>
      </c>
      <c r="G7" s="76" t="n">
        <v>5</v>
      </c>
      <c r="H7" s="77" t="n">
        <v>0.003</v>
      </c>
      <c r="I7" s="78" t="n">
        <f aca="false">+SUM($H$3:H7)</f>
        <v>0.998</v>
      </c>
      <c r="J7" s="79" t="n">
        <v>10</v>
      </c>
      <c r="K7" s="80" t="n">
        <f aca="false">+H7*J7</f>
        <v>0.03</v>
      </c>
      <c r="L7" s="81" t="n">
        <v>0</v>
      </c>
      <c r="N7" s="76" t="n">
        <v>5</v>
      </c>
      <c r="O7" s="77" t="n">
        <v>0.15</v>
      </c>
      <c r="P7" s="78" t="n">
        <f aca="false">+SUM($O$3:O7)</f>
        <v>0.93</v>
      </c>
      <c r="Q7" s="80" t="n">
        <f aca="false">+J7</f>
        <v>10</v>
      </c>
      <c r="R7" s="80" t="n">
        <f aca="false">+O7*Q7</f>
        <v>1.5</v>
      </c>
      <c r="S7" s="81" t="n">
        <v>0</v>
      </c>
      <c r="U7" s="76" t="n">
        <v>5</v>
      </c>
      <c r="V7" s="77" t="n">
        <v>0.1</v>
      </c>
      <c r="W7" s="78" t="n">
        <f aca="false">+SUM($V$3:V7)</f>
        <v>0.83</v>
      </c>
      <c r="X7" s="80" t="n">
        <f aca="false">+J7</f>
        <v>10</v>
      </c>
      <c r="Y7" s="80" t="n">
        <f aca="false">+V7*X7</f>
        <v>1</v>
      </c>
      <c r="Z7" s="81" t="n">
        <v>0</v>
      </c>
      <c r="AB7" s="76" t="n">
        <v>5</v>
      </c>
      <c r="AC7" s="77" t="n">
        <v>0.52</v>
      </c>
      <c r="AD7" s="78" t="n">
        <f aca="false">+SUM($AC$3:AC7)</f>
        <v>0.81</v>
      </c>
      <c r="AE7" s="80" t="n">
        <f aca="false">+J7</f>
        <v>10</v>
      </c>
      <c r="AF7" s="80" t="n">
        <f aca="false">+AC7*AE7</f>
        <v>5.2</v>
      </c>
      <c r="AG7" s="81" t="n">
        <v>0</v>
      </c>
      <c r="AI7" s="76" t="n">
        <v>5</v>
      </c>
      <c r="AJ7" s="77" t="n">
        <v>0</v>
      </c>
      <c r="AK7" s="78" t="n">
        <f aca="false">+SUM($AJ$3:AJ7)</f>
        <v>0</v>
      </c>
      <c r="AL7" s="80" t="n">
        <f aca="false">+J7</f>
        <v>10</v>
      </c>
      <c r="AM7" s="80" t="n">
        <f aca="false">+AJ7*AL7</f>
        <v>0</v>
      </c>
      <c r="AN7" s="81" t="n">
        <v>0</v>
      </c>
    </row>
    <row r="8" customFormat="false" ht="14.4" hidden="false" customHeight="false" outlineLevel="0" collapsed="false">
      <c r="A8" s="3" t="s">
        <v>126</v>
      </c>
      <c r="B8" s="83" t="str">
        <f aca="false">+CONCATENATE("x",J3," - x",J9)</f>
        <v>x2 - x50</v>
      </c>
      <c r="G8" s="76" t="n">
        <v>6</v>
      </c>
      <c r="H8" s="77" t="n">
        <v>0.001</v>
      </c>
      <c r="I8" s="78" t="n">
        <f aca="false">+SUM($H$3:H8)</f>
        <v>0.999</v>
      </c>
      <c r="J8" s="79" t="n">
        <v>20</v>
      </c>
      <c r="K8" s="80" t="n">
        <f aca="false">+H8*J8</f>
        <v>0.02</v>
      </c>
      <c r="L8" s="81" t="n">
        <v>0</v>
      </c>
      <c r="N8" s="76" t="n">
        <v>6</v>
      </c>
      <c r="O8" s="77" t="n">
        <v>0.01</v>
      </c>
      <c r="P8" s="78" t="n">
        <f aca="false">+SUM($O$3:O8)</f>
        <v>0.94</v>
      </c>
      <c r="Q8" s="80" t="n">
        <f aca="false">+J8</f>
        <v>20</v>
      </c>
      <c r="R8" s="80" t="n">
        <f aca="false">+O8*Q8</f>
        <v>0.2</v>
      </c>
      <c r="S8" s="81" t="n">
        <v>0</v>
      </c>
      <c r="U8" s="76" t="n">
        <v>6</v>
      </c>
      <c r="V8" s="77" t="n">
        <v>0.09</v>
      </c>
      <c r="W8" s="78" t="n">
        <f aca="false">+SUM($V$3:V8)</f>
        <v>0.92</v>
      </c>
      <c r="X8" s="80" t="n">
        <f aca="false">+J8</f>
        <v>20</v>
      </c>
      <c r="Y8" s="80" t="n">
        <f aca="false">+V8*X8</f>
        <v>1.8</v>
      </c>
      <c r="Z8" s="81" t="n">
        <v>0</v>
      </c>
      <c r="AB8" s="76" t="n">
        <v>6</v>
      </c>
      <c r="AC8" s="77" t="n">
        <v>0.18</v>
      </c>
      <c r="AD8" s="78" t="n">
        <f aca="false">+SUM($AC$3:AC8)</f>
        <v>0.99</v>
      </c>
      <c r="AE8" s="80" t="n">
        <f aca="false">+J8</f>
        <v>20</v>
      </c>
      <c r="AF8" s="80" t="n">
        <f aca="false">+AC8*AE8</f>
        <v>3.6</v>
      </c>
      <c r="AG8" s="81" t="n">
        <v>0</v>
      </c>
      <c r="AI8" s="76" t="n">
        <v>6</v>
      </c>
      <c r="AJ8" s="77" t="n">
        <v>0</v>
      </c>
      <c r="AK8" s="78" t="n">
        <f aca="false">+SUM($AJ$3:AJ8)</f>
        <v>0</v>
      </c>
      <c r="AL8" s="80" t="n">
        <f aca="false">+J8</f>
        <v>20</v>
      </c>
      <c r="AM8" s="80" t="n">
        <f aca="false">+AJ8*AL8</f>
        <v>0</v>
      </c>
      <c r="AN8" s="81" t="n">
        <v>0</v>
      </c>
    </row>
    <row r="9" customFormat="false" ht="14.4" hidden="false" customHeight="false" outlineLevel="0" collapsed="false">
      <c r="G9" s="76" t="n">
        <v>7</v>
      </c>
      <c r="H9" s="84" t="n">
        <f aca="false">1-SUM(H3:H8)</f>
        <v>0.00099999999999989</v>
      </c>
      <c r="I9" s="78" t="n">
        <f aca="false">+SUM($H$3:H9)</f>
        <v>1</v>
      </c>
      <c r="J9" s="79" t="n">
        <v>50</v>
      </c>
      <c r="K9" s="80" t="n">
        <f aca="false">+H9*J9</f>
        <v>0.0499999999999945</v>
      </c>
      <c r="L9" s="81" t="n">
        <v>0</v>
      </c>
      <c r="N9" s="76" t="n">
        <v>7</v>
      </c>
      <c r="O9" s="84" t="n">
        <f aca="false">1-SUM(O3:O8)</f>
        <v>0.0600000000000001</v>
      </c>
      <c r="P9" s="78" t="n">
        <f aca="false">+SUM($O$3:O9)</f>
        <v>1</v>
      </c>
      <c r="Q9" s="80" t="n">
        <f aca="false">+J9</f>
        <v>50</v>
      </c>
      <c r="R9" s="80" t="n">
        <f aca="false">+O9*Q9</f>
        <v>3</v>
      </c>
      <c r="S9" s="81" t="n">
        <v>0</v>
      </c>
      <c r="U9" s="76" t="n">
        <v>7</v>
      </c>
      <c r="V9" s="84" t="n">
        <f aca="false">1-SUM(V3:V8)</f>
        <v>0.0800000000000001</v>
      </c>
      <c r="W9" s="78" t="n">
        <f aca="false">+SUM($V$3:V9)</f>
        <v>1</v>
      </c>
      <c r="X9" s="80" t="n">
        <f aca="false">+J9</f>
        <v>50</v>
      </c>
      <c r="Y9" s="80" t="n">
        <f aca="false">+V9*X9</f>
        <v>4</v>
      </c>
      <c r="Z9" s="81" t="n">
        <v>0</v>
      </c>
      <c r="AB9" s="76" t="n">
        <v>7</v>
      </c>
      <c r="AC9" s="84" t="n">
        <f aca="false">1-SUM(AC3:AC8)</f>
        <v>0.01</v>
      </c>
      <c r="AD9" s="78" t="n">
        <f aca="false">+SUM($AC$3:AC9)</f>
        <v>1</v>
      </c>
      <c r="AE9" s="80" t="n">
        <f aca="false">+J9</f>
        <v>50</v>
      </c>
      <c r="AF9" s="80" t="n">
        <f aca="false">+AC9*AE9</f>
        <v>0.5</v>
      </c>
      <c r="AG9" s="81" t="n">
        <v>0</v>
      </c>
      <c r="AI9" s="76" t="n">
        <v>7</v>
      </c>
      <c r="AJ9" s="84" t="n">
        <f aca="false">1-SUM(AJ3:AJ8)</f>
        <v>1</v>
      </c>
      <c r="AK9" s="78" t="n">
        <f aca="false">+SUM($AJ$3:AJ9)</f>
        <v>1</v>
      </c>
      <c r="AL9" s="80" t="n">
        <f aca="false">+J9</f>
        <v>50</v>
      </c>
      <c r="AM9" s="80" t="n">
        <f aca="false">+AJ9*AL9</f>
        <v>50</v>
      </c>
      <c r="AN9" s="81" t="n">
        <v>0</v>
      </c>
    </row>
    <row r="10" customFormat="false" ht="14.4" hidden="false" customHeight="false" outlineLevel="0" collapsed="false">
      <c r="A10" s="85" t="s">
        <v>74</v>
      </c>
      <c r="G10" s="60" t="s">
        <v>78</v>
      </c>
      <c r="H10" s="60" t="n">
        <f aca="false">+SUM(H3:H9)</f>
        <v>1</v>
      </c>
      <c r="I10" s="60"/>
      <c r="J10" s="60"/>
      <c r="K10" s="61" t="n">
        <f aca="false">+SUM(K3:K9)</f>
        <v>3.31499999999999</v>
      </c>
      <c r="L10" s="61"/>
      <c r="N10" s="60" t="s">
        <v>78</v>
      </c>
      <c r="O10" s="60" t="n">
        <f aca="false">+SUM(O3:O9)</f>
        <v>1</v>
      </c>
      <c r="P10" s="60"/>
      <c r="Q10" s="60"/>
      <c r="R10" s="61" t="n">
        <f aca="false">+SUM(R3:R9)</f>
        <v>8.24</v>
      </c>
      <c r="S10" s="61"/>
      <c r="U10" s="60" t="s">
        <v>78</v>
      </c>
      <c r="V10" s="60" t="n">
        <f aca="false">+SUM(V3:V9)</f>
        <v>1</v>
      </c>
      <c r="W10" s="60"/>
      <c r="X10" s="60"/>
      <c r="Y10" s="61" t="n">
        <f aca="false">+SUM(Y3:Y9)</f>
        <v>10.05</v>
      </c>
      <c r="Z10" s="61"/>
      <c r="AB10" s="60" t="s">
        <v>78</v>
      </c>
      <c r="AC10" s="60" t="n">
        <f aca="false">+SUM(AC3:AC9)</f>
        <v>1</v>
      </c>
      <c r="AD10" s="60"/>
      <c r="AE10" s="60"/>
      <c r="AF10" s="61" t="n">
        <f aca="false">+SUM(AF3:AF9)</f>
        <v>11.27</v>
      </c>
      <c r="AG10" s="61"/>
      <c r="AI10" s="60" t="s">
        <v>78</v>
      </c>
      <c r="AJ10" s="60" t="n">
        <f aca="false">+SUM(AJ3:AJ9)</f>
        <v>1</v>
      </c>
      <c r="AK10" s="60"/>
      <c r="AL10" s="60"/>
      <c r="AM10" s="61" t="n">
        <f aca="false">+SUM(AM3:AM9)</f>
        <v>50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5">
      <formula>0</formula>
    </cfRule>
    <cfRule type="cellIs" priority="3" operator="greaterThan" aboveAverage="0" equalAverage="0" bottom="0" percent="0" rank="0" text="" dxfId="6">
      <formula>1</formula>
    </cfRule>
  </conditionalFormatting>
  <conditionalFormatting sqref="H3:H9 O3:O9 AJ3:AJ9 V3:V9 AC3:AC9">
    <cfRule type="cellIs" priority="4" operator="equal" aboveAverage="0" equalAverage="0" bottom="0" percent="0" rank="0" text="" dxfId="7">
      <formula>0</formula>
    </cfRule>
  </conditionalFormatting>
  <conditionalFormatting sqref="B3:B7">
    <cfRule type="cellIs" priority="5" operator="greaterThan" aboveAverage="0" equalAverage="0" bottom="0" percent="0" rank="0" text="" dxfId="8">
      <formula>1</formula>
    </cfRule>
    <cfRule type="cellIs" priority="6" operator="lessThan" aboveAverage="0" equalAverage="0" bottom="0" percent="0" rank="0" text="" dxfId="9">
      <formula>0</formula>
    </cfRule>
  </conditionalFormatting>
  <conditionalFormatting sqref="H3:H9">
    <cfRule type="cellIs" priority="7" operator="lessThan" aboveAverage="0" equalAverage="0" bottom="0" percent="0" rank="0" text="" dxfId="10">
      <formula>0</formula>
    </cfRule>
    <cfRule type="cellIs" priority="8" operator="greaterThan" aboveAverage="0" equalAverage="0" bottom="0" percent="0" rank="0" text="" dxfId="10">
      <formula>1</formula>
    </cfRule>
  </conditionalFormatting>
  <conditionalFormatting sqref="H3:H9">
    <cfRule type="cellIs" priority="9" operator="equal" aboveAverage="0" equalAverage="0" bottom="0" percent="0" rank="0" text="" dxfId="10">
      <formula>0</formula>
    </cfRule>
  </conditionalFormatting>
  <conditionalFormatting sqref="H3:H9">
    <cfRule type="cellIs" priority="10" operator="lessThan" aboveAverage="0" equalAverage="0" bottom="0" percent="0" rank="0" text="" dxfId="10">
      <formula>0</formula>
    </cfRule>
    <cfRule type="cellIs" priority="11" operator="greaterThan" aboveAverage="0" equalAverage="0" bottom="0" percent="0" rank="0" text="" dxfId="11">
      <formula>1</formula>
    </cfRule>
  </conditionalFormatting>
  <conditionalFormatting sqref="H3:H9">
    <cfRule type="cellIs" priority="12" operator="equal" aboveAverage="0" equalAverage="0" bottom="0" percent="0" rank="0" text="" dxfId="12">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C2" activeCellId="0" sqref="C2"/>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136</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0.166370332740666</v>
      </c>
      <c r="C3" s="3" t="n">
        <f aca="false">1/B3/Summary!$C$7</f>
        <v>0.00601068702290075</v>
      </c>
      <c r="D3" s="75" t="n">
        <f aca="false">+K10</f>
        <v>3.93699999999999</v>
      </c>
      <c r="E3" s="3" t="n">
        <v>0.655</v>
      </c>
      <c r="G3" s="76" t="n">
        <v>1</v>
      </c>
      <c r="H3" s="77" t="n">
        <v>0.556</v>
      </c>
      <c r="I3" s="78" t="n">
        <f aca="false">+SUM($H3:H3)</f>
        <v>0.556</v>
      </c>
      <c r="J3" s="79" t="n">
        <v>3</v>
      </c>
      <c r="K3" s="80" t="n">
        <f aca="false">+H3*J3</f>
        <v>1.668</v>
      </c>
      <c r="L3" s="81" t="n">
        <v>0</v>
      </c>
      <c r="N3" s="76" t="n">
        <v>1</v>
      </c>
      <c r="O3" s="77" t="n">
        <v>0.1</v>
      </c>
      <c r="P3" s="78" t="n">
        <f aca="false">+SUM($O3:O$3)</f>
        <v>0.1</v>
      </c>
      <c r="Q3" s="80" t="n">
        <f aca="false">+J3</f>
        <v>3</v>
      </c>
      <c r="R3" s="80" t="n">
        <f aca="false">+O3*Q3</f>
        <v>0.3</v>
      </c>
      <c r="S3" s="81" t="n">
        <v>0</v>
      </c>
      <c r="U3" s="76" t="n">
        <v>1</v>
      </c>
      <c r="V3" s="77" t="n">
        <v>0.1</v>
      </c>
      <c r="W3" s="78" t="n">
        <f aca="false">+SUM($V3:V$3)</f>
        <v>0.1</v>
      </c>
      <c r="X3" s="80" t="n">
        <f aca="false">+J3</f>
        <v>3</v>
      </c>
      <c r="Y3" s="80" t="n">
        <f aca="false">+V3*X3</f>
        <v>0.3</v>
      </c>
      <c r="Z3" s="81" t="n">
        <v>0</v>
      </c>
      <c r="AB3" s="76" t="n">
        <v>1</v>
      </c>
      <c r="AC3" s="77" t="n">
        <v>0</v>
      </c>
      <c r="AD3" s="78" t="n">
        <f aca="false">+SUM($AC$3:AC3)</f>
        <v>0</v>
      </c>
      <c r="AE3" s="80" t="n">
        <f aca="false">+J3</f>
        <v>3</v>
      </c>
      <c r="AF3" s="80" t="n">
        <f aca="false">+AC3*AE3</f>
        <v>0</v>
      </c>
      <c r="AG3" s="81" t="n">
        <v>0</v>
      </c>
      <c r="AI3" s="76" t="n">
        <v>1</v>
      </c>
      <c r="AJ3" s="77" t="n">
        <v>0</v>
      </c>
      <c r="AK3" s="78" t="n">
        <f aca="false">+SUM($AJ$3:AJ3)</f>
        <v>0</v>
      </c>
      <c r="AL3" s="80" t="n">
        <f aca="false">+J3</f>
        <v>3</v>
      </c>
      <c r="AM3" s="80" t="n">
        <f aca="false">+AJ3*AL3</f>
        <v>0</v>
      </c>
      <c r="AN3" s="81" t="n">
        <v>0</v>
      </c>
    </row>
    <row r="4" customFormat="false" ht="14.4" hidden="false" customHeight="false" outlineLevel="0" collapsed="false">
      <c r="A4" s="3" t="s">
        <v>122</v>
      </c>
      <c r="B4" s="74" t="n">
        <f aca="false">+E4/D4</f>
        <v>0.508646998982706</v>
      </c>
      <c r="C4" s="3" t="n">
        <v>0</v>
      </c>
      <c r="D4" s="82" t="n">
        <f aca="false">+R10</f>
        <v>9.83</v>
      </c>
      <c r="E4" s="3" t="n">
        <v>5</v>
      </c>
      <c r="G4" s="76" t="n">
        <v>2</v>
      </c>
      <c r="H4" s="77" t="n">
        <v>0.29</v>
      </c>
      <c r="I4" s="78" t="n">
        <f aca="false">+SUM($H$3:H4)</f>
        <v>0.846</v>
      </c>
      <c r="J4" s="79" t="n">
        <v>4</v>
      </c>
      <c r="K4" s="80" t="n">
        <f aca="false">+H4*J4</f>
        <v>1.16</v>
      </c>
      <c r="L4" s="81" t="n">
        <v>0</v>
      </c>
      <c r="N4" s="76" t="n">
        <v>2</v>
      </c>
      <c r="O4" s="77" t="n">
        <v>0.2</v>
      </c>
      <c r="P4" s="78" t="n">
        <f aca="false">+SUM($O$3:O4)</f>
        <v>0.3</v>
      </c>
      <c r="Q4" s="80" t="n">
        <f aca="false">+J4</f>
        <v>4</v>
      </c>
      <c r="R4" s="80" t="n">
        <f aca="false">+O4*Q4</f>
        <v>0.8</v>
      </c>
      <c r="S4" s="81" t="n">
        <v>0</v>
      </c>
      <c r="U4" s="76" t="n">
        <v>2</v>
      </c>
      <c r="V4" s="77" t="n">
        <v>0.25</v>
      </c>
      <c r="W4" s="78" t="n">
        <f aca="false">+SUM($V$3:V4)</f>
        <v>0.35</v>
      </c>
      <c r="X4" s="80" t="n">
        <f aca="false">+J4</f>
        <v>4</v>
      </c>
      <c r="Y4" s="80" t="n">
        <f aca="false">+V4*X4</f>
        <v>1</v>
      </c>
      <c r="Z4" s="81" t="n">
        <v>0</v>
      </c>
      <c r="AB4" s="76" t="n">
        <v>2</v>
      </c>
      <c r="AC4" s="77" t="n">
        <v>0</v>
      </c>
      <c r="AD4" s="78" t="n">
        <f aca="false">+SUM($AC$3:AC4)</f>
        <v>0</v>
      </c>
      <c r="AE4" s="80" t="n">
        <f aca="false">+J4</f>
        <v>4</v>
      </c>
      <c r="AF4" s="80" t="n">
        <f aca="false">+AC4*AE4</f>
        <v>0</v>
      </c>
      <c r="AG4" s="81" t="n">
        <v>0</v>
      </c>
      <c r="AI4" s="76" t="n">
        <v>2</v>
      </c>
      <c r="AJ4" s="77" t="n">
        <v>0</v>
      </c>
      <c r="AK4" s="78" t="n">
        <f aca="false">+SUM($AJ$3:AJ4)</f>
        <v>0</v>
      </c>
      <c r="AL4" s="80" t="n">
        <f aca="false">+J4</f>
        <v>4</v>
      </c>
      <c r="AM4" s="80" t="n">
        <f aca="false">+AJ4*AL4</f>
        <v>0</v>
      </c>
      <c r="AN4" s="81" t="n">
        <v>0</v>
      </c>
    </row>
    <row r="5" customFormat="false" ht="14.4" hidden="false" customHeight="false" outlineLevel="0" collapsed="false">
      <c r="A5" s="3" t="s">
        <v>123</v>
      </c>
      <c r="B5" s="74" t="n">
        <f aca="false">+E5/D5</f>
        <v>0.663900414937759</v>
      </c>
      <c r="C5" s="3" t="n">
        <v>0</v>
      </c>
      <c r="D5" s="82" t="n">
        <f aca="false">+Y10</f>
        <v>12.05</v>
      </c>
      <c r="E5" s="3" t="n">
        <v>8</v>
      </c>
      <c r="G5" s="76" t="n">
        <v>3</v>
      </c>
      <c r="H5" s="77" t="n">
        <v>0.1</v>
      </c>
      <c r="I5" s="78" t="n">
        <f aca="false">+SUM($H$3:H5)</f>
        <v>0.946</v>
      </c>
      <c r="J5" s="79" t="n">
        <v>6</v>
      </c>
      <c r="K5" s="80" t="n">
        <f aca="false">+H5*J5</f>
        <v>0.6</v>
      </c>
      <c r="L5" s="81" t="n">
        <v>0</v>
      </c>
      <c r="N5" s="76" t="n">
        <v>3</v>
      </c>
      <c r="O5" s="77" t="n">
        <v>0.28</v>
      </c>
      <c r="P5" s="78" t="n">
        <f aca="false">+SUM($O$3:O5)</f>
        <v>0.58</v>
      </c>
      <c r="Q5" s="80" t="n">
        <f aca="false">+J5</f>
        <v>6</v>
      </c>
      <c r="R5" s="80" t="n">
        <f aca="false">+O5*Q5</f>
        <v>1.68</v>
      </c>
      <c r="S5" s="81" t="n">
        <v>0</v>
      </c>
      <c r="U5" s="76" t="n">
        <v>3</v>
      </c>
      <c r="V5" s="77" t="n">
        <v>0.23</v>
      </c>
      <c r="W5" s="78" t="n">
        <f aca="false">+SUM($V$3:V5)</f>
        <v>0.58</v>
      </c>
      <c r="X5" s="80" t="n">
        <f aca="false">+J5</f>
        <v>6</v>
      </c>
      <c r="Y5" s="80" t="n">
        <f aca="false">+V5*X5</f>
        <v>1.38</v>
      </c>
      <c r="Z5" s="81" t="n">
        <v>0</v>
      </c>
      <c r="AB5" s="76" t="n">
        <v>3</v>
      </c>
      <c r="AC5" s="77" t="n">
        <v>0.03</v>
      </c>
      <c r="AD5" s="78" t="n">
        <f aca="false">+SUM($AC$3:AC5)</f>
        <v>0.03</v>
      </c>
      <c r="AE5" s="80" t="n">
        <f aca="false">+J5</f>
        <v>6</v>
      </c>
      <c r="AF5" s="80" t="n">
        <f aca="false">+AC5*AE5</f>
        <v>0.18</v>
      </c>
      <c r="AG5" s="81" t="n">
        <v>0</v>
      </c>
      <c r="AI5" s="76" t="n">
        <v>3</v>
      </c>
      <c r="AJ5" s="77" t="n">
        <v>0</v>
      </c>
      <c r="AK5" s="78" t="n">
        <f aca="false">+SUM($AJ$3:AJ5)</f>
        <v>0</v>
      </c>
      <c r="AL5" s="80" t="n">
        <f aca="false">+J5</f>
        <v>6</v>
      </c>
      <c r="AM5" s="80" t="n">
        <f aca="false">+AJ5*AL5</f>
        <v>0</v>
      </c>
      <c r="AN5" s="81" t="n">
        <v>0</v>
      </c>
    </row>
    <row r="6" customFormat="false" ht="14.4" hidden="false" customHeight="false" outlineLevel="0" collapsed="false">
      <c r="A6" s="3" t="s">
        <v>124</v>
      </c>
      <c r="B6" s="74" t="n">
        <f aca="false">+E6/D6</f>
        <v>0.757002271006813</v>
      </c>
      <c r="C6" s="3" t="n">
        <v>0</v>
      </c>
      <c r="D6" s="82" t="n">
        <f aca="false">+AF10</f>
        <v>13.21</v>
      </c>
      <c r="E6" s="3" t="n">
        <v>10</v>
      </c>
      <c r="G6" s="76" t="n">
        <v>4</v>
      </c>
      <c r="H6" s="77" t="n">
        <v>0.05</v>
      </c>
      <c r="I6" s="78" t="n">
        <f aca="false">+SUM($H$3:H6)</f>
        <v>0.996</v>
      </c>
      <c r="J6" s="79" t="n">
        <v>8</v>
      </c>
      <c r="K6" s="80" t="n">
        <f aca="false">+H6*J6</f>
        <v>0.4</v>
      </c>
      <c r="L6" s="81" t="n">
        <v>0</v>
      </c>
      <c r="N6" s="76" t="n">
        <v>4</v>
      </c>
      <c r="O6" s="77" t="n">
        <v>0.25</v>
      </c>
      <c r="P6" s="78" t="n">
        <f aca="false">+SUM($O$3:O6)</f>
        <v>0.83</v>
      </c>
      <c r="Q6" s="80" t="n">
        <f aca="false">+J6</f>
        <v>8</v>
      </c>
      <c r="R6" s="80" t="n">
        <f aca="false">+O6*Q6</f>
        <v>2</v>
      </c>
      <c r="S6" s="81" t="n">
        <v>0</v>
      </c>
      <c r="U6" s="76" t="n">
        <v>4</v>
      </c>
      <c r="V6" s="77" t="n">
        <v>0.17</v>
      </c>
      <c r="W6" s="78" t="n">
        <f aca="false">+SUM($V$3:V6)</f>
        <v>0.75</v>
      </c>
      <c r="X6" s="80" t="n">
        <f aca="false">+J6</f>
        <v>8</v>
      </c>
      <c r="Y6" s="80" t="n">
        <f aca="false">+V6*X6</f>
        <v>1.36</v>
      </c>
      <c r="Z6" s="81" t="n">
        <v>0</v>
      </c>
      <c r="AB6" s="76" t="n">
        <v>4</v>
      </c>
      <c r="AC6" s="77" t="n">
        <v>0.26</v>
      </c>
      <c r="AD6" s="78" t="n">
        <f aca="false">+SUM($AC$3:AC6)</f>
        <v>0.29</v>
      </c>
      <c r="AE6" s="80" t="n">
        <f aca="false">+J6</f>
        <v>8</v>
      </c>
      <c r="AF6" s="80" t="n">
        <f aca="false">+AC6*AE6</f>
        <v>2.08</v>
      </c>
      <c r="AG6" s="81" t="n">
        <v>0</v>
      </c>
      <c r="AI6" s="76" t="n">
        <v>4</v>
      </c>
      <c r="AJ6" s="77" t="n">
        <v>0</v>
      </c>
      <c r="AK6" s="78" t="n">
        <f aca="false">+SUM($AJ$3:AJ6)</f>
        <v>0</v>
      </c>
      <c r="AL6" s="80" t="n">
        <f aca="false">+J6</f>
        <v>8</v>
      </c>
      <c r="AM6" s="80" t="n">
        <f aca="false">+AJ6*AL6</f>
        <v>0</v>
      </c>
      <c r="AN6" s="81" t="n">
        <v>0</v>
      </c>
    </row>
    <row r="7" customFormat="false" ht="14.4" hidden="false" customHeight="false" outlineLevel="0" collapsed="false">
      <c r="A7" s="3" t="s">
        <v>125</v>
      </c>
      <c r="B7" s="74" t="n">
        <f aca="false">+E7/D7</f>
        <v>0.942507068803016</v>
      </c>
      <c r="C7" s="3" t="n">
        <v>0</v>
      </c>
      <c r="D7" s="82" t="n">
        <f aca="false">+AM10</f>
        <v>53.05</v>
      </c>
      <c r="E7" s="3" t="n">
        <v>50</v>
      </c>
      <c r="G7" s="76" t="n">
        <v>5</v>
      </c>
      <c r="H7" s="77" t="n">
        <v>0.002</v>
      </c>
      <c r="I7" s="78" t="n">
        <f aca="false">+SUM($H$3:H7)</f>
        <v>0.998</v>
      </c>
      <c r="J7" s="79" t="n">
        <v>12</v>
      </c>
      <c r="K7" s="80" t="n">
        <f aca="false">+H7*J7</f>
        <v>0.024</v>
      </c>
      <c r="L7" s="81" t="n">
        <v>0</v>
      </c>
      <c r="N7" s="76" t="n">
        <v>5</v>
      </c>
      <c r="O7" s="77" t="n">
        <v>0.1</v>
      </c>
      <c r="P7" s="78" t="n">
        <f aca="false">+SUM($O$3:O7)</f>
        <v>0.93</v>
      </c>
      <c r="Q7" s="80" t="n">
        <f aca="false">+J7</f>
        <v>12</v>
      </c>
      <c r="R7" s="80" t="n">
        <f aca="false">+O7*Q7</f>
        <v>1.2</v>
      </c>
      <c r="S7" s="81" t="n">
        <v>0</v>
      </c>
      <c r="U7" s="76" t="n">
        <v>5</v>
      </c>
      <c r="V7" s="77" t="n">
        <v>0.08</v>
      </c>
      <c r="W7" s="78" t="n">
        <f aca="false">+SUM($V$3:V7)</f>
        <v>0.83</v>
      </c>
      <c r="X7" s="80" t="n">
        <f aca="false">+J7</f>
        <v>12</v>
      </c>
      <c r="Y7" s="80" t="n">
        <f aca="false">+V7*X7</f>
        <v>0.96</v>
      </c>
      <c r="Z7" s="81" t="n">
        <v>0</v>
      </c>
      <c r="AB7" s="76" t="n">
        <v>5</v>
      </c>
      <c r="AC7" s="77" t="n">
        <v>0.55</v>
      </c>
      <c r="AD7" s="78" t="n">
        <f aca="false">+SUM($AC$3:AC7)</f>
        <v>0.84</v>
      </c>
      <c r="AE7" s="80" t="n">
        <f aca="false">+J7</f>
        <v>12</v>
      </c>
      <c r="AF7" s="80" t="n">
        <f aca="false">+AC7*AE7</f>
        <v>6.6</v>
      </c>
      <c r="AG7" s="81" t="n">
        <v>0</v>
      </c>
      <c r="AI7" s="76" t="n">
        <v>5</v>
      </c>
      <c r="AJ7" s="77" t="n">
        <v>0.05</v>
      </c>
      <c r="AK7" s="78" t="n">
        <f aca="false">+SUM($AJ$3:AJ7)</f>
        <v>0.05</v>
      </c>
      <c r="AL7" s="80" t="n">
        <f aca="false">+J7</f>
        <v>12</v>
      </c>
      <c r="AM7" s="80" t="n">
        <f aca="false">+AJ7*AL7</f>
        <v>0.6</v>
      </c>
      <c r="AN7" s="81" t="n">
        <v>0</v>
      </c>
    </row>
    <row r="8" customFormat="false" ht="14.4" hidden="false" customHeight="false" outlineLevel="0" collapsed="false">
      <c r="A8" s="3" t="s">
        <v>126</v>
      </c>
      <c r="B8" s="83" t="str">
        <f aca="false">+CONCATENATE("x",J3," - x",J9)</f>
        <v>x3 - x60</v>
      </c>
      <c r="G8" s="76" t="n">
        <v>6</v>
      </c>
      <c r="H8" s="77" t="n">
        <v>0.001</v>
      </c>
      <c r="I8" s="78" t="n">
        <f aca="false">+SUM($H$3:H8)</f>
        <v>0.999</v>
      </c>
      <c r="J8" s="79" t="n">
        <v>25</v>
      </c>
      <c r="K8" s="80" t="n">
        <f aca="false">+H8*J8</f>
        <v>0.025</v>
      </c>
      <c r="L8" s="81" t="n">
        <v>0</v>
      </c>
      <c r="N8" s="76" t="n">
        <v>6</v>
      </c>
      <c r="O8" s="77" t="n">
        <v>0.01</v>
      </c>
      <c r="P8" s="78" t="n">
        <f aca="false">+SUM($O$3:O8)</f>
        <v>0.94</v>
      </c>
      <c r="Q8" s="80" t="n">
        <f aca="false">+J8</f>
        <v>25</v>
      </c>
      <c r="R8" s="80" t="n">
        <f aca="false">+O8*Q8</f>
        <v>0.25</v>
      </c>
      <c r="S8" s="81" t="n">
        <v>0</v>
      </c>
      <c r="U8" s="76" t="n">
        <v>6</v>
      </c>
      <c r="V8" s="77" t="n">
        <v>0.09</v>
      </c>
      <c r="W8" s="78" t="n">
        <f aca="false">+SUM($V$3:V8)</f>
        <v>0.92</v>
      </c>
      <c r="X8" s="80" t="n">
        <f aca="false">+J8</f>
        <v>25</v>
      </c>
      <c r="Y8" s="80" t="n">
        <f aca="false">+V8*X8</f>
        <v>2.25</v>
      </c>
      <c r="Z8" s="81" t="n">
        <v>0</v>
      </c>
      <c r="AB8" s="76" t="n">
        <v>6</v>
      </c>
      <c r="AC8" s="77" t="n">
        <v>0.15</v>
      </c>
      <c r="AD8" s="78" t="n">
        <f aca="false">+SUM($AC$3:AC8)</f>
        <v>0.99</v>
      </c>
      <c r="AE8" s="80" t="n">
        <f aca="false">+J8</f>
        <v>25</v>
      </c>
      <c r="AF8" s="80" t="n">
        <f aca="false">+AC8*AE8</f>
        <v>3.75</v>
      </c>
      <c r="AG8" s="81" t="n">
        <v>0</v>
      </c>
      <c r="AI8" s="76" t="n">
        <v>6</v>
      </c>
      <c r="AJ8" s="77" t="n">
        <v>0.13</v>
      </c>
      <c r="AK8" s="78" t="n">
        <f aca="false">+SUM($AJ$3:AJ8)</f>
        <v>0.18</v>
      </c>
      <c r="AL8" s="80" t="n">
        <f aca="false">+J8</f>
        <v>25</v>
      </c>
      <c r="AM8" s="80" t="n">
        <f aca="false">+AJ8*AL8</f>
        <v>3.25</v>
      </c>
      <c r="AN8" s="81" t="n">
        <v>0</v>
      </c>
    </row>
    <row r="9" customFormat="false" ht="14.4" hidden="false" customHeight="false" outlineLevel="0" collapsed="false">
      <c r="G9" s="76" t="n">
        <v>7</v>
      </c>
      <c r="H9" s="84" t="n">
        <f aca="false">1-SUM(H3:H8)</f>
        <v>0.00099999999999989</v>
      </c>
      <c r="I9" s="78" t="n">
        <f aca="false">+SUM($H$3:H9)</f>
        <v>1</v>
      </c>
      <c r="J9" s="79" t="n">
        <v>60</v>
      </c>
      <c r="K9" s="80" t="n">
        <f aca="false">+H9*J9</f>
        <v>0.0599999999999934</v>
      </c>
      <c r="L9" s="81" t="n">
        <v>0</v>
      </c>
      <c r="N9" s="76" t="n">
        <v>7</v>
      </c>
      <c r="O9" s="84" t="n">
        <f aca="false">1-SUM(O3:O8)</f>
        <v>0.06</v>
      </c>
      <c r="P9" s="78" t="n">
        <f aca="false">+SUM($O$3:O9)</f>
        <v>1</v>
      </c>
      <c r="Q9" s="80" t="n">
        <f aca="false">+J9</f>
        <v>60</v>
      </c>
      <c r="R9" s="80" t="n">
        <f aca="false">+O9*Q9</f>
        <v>3.6</v>
      </c>
      <c r="S9" s="81" t="n">
        <v>0</v>
      </c>
      <c r="U9" s="76" t="n">
        <v>7</v>
      </c>
      <c r="V9" s="84" t="n">
        <f aca="false">1-SUM(V3:V8)</f>
        <v>0.0800000000000001</v>
      </c>
      <c r="W9" s="78" t="n">
        <f aca="false">+SUM($V$3:V9)</f>
        <v>1</v>
      </c>
      <c r="X9" s="80" t="n">
        <f aca="false">+J9</f>
        <v>60</v>
      </c>
      <c r="Y9" s="80" t="n">
        <f aca="false">+V9*X9</f>
        <v>4.8</v>
      </c>
      <c r="Z9" s="81" t="n">
        <v>0</v>
      </c>
      <c r="AB9" s="76" t="n">
        <v>7</v>
      </c>
      <c r="AC9" s="84" t="n">
        <f aca="false">1-SUM(AC3:AC8)</f>
        <v>0.0099999999999999</v>
      </c>
      <c r="AD9" s="78" t="n">
        <f aca="false">+SUM($AC$3:AC9)</f>
        <v>1</v>
      </c>
      <c r="AE9" s="80" t="n">
        <f aca="false">+J9</f>
        <v>60</v>
      </c>
      <c r="AF9" s="80" t="n">
        <f aca="false">+AC9*AE9</f>
        <v>0.599999999999994</v>
      </c>
      <c r="AG9" s="81" t="n">
        <v>0</v>
      </c>
      <c r="AI9" s="76" t="n">
        <v>7</v>
      </c>
      <c r="AJ9" s="84" t="n">
        <f aca="false">1-SUM(AJ3:AJ8)</f>
        <v>0.82</v>
      </c>
      <c r="AK9" s="78" t="n">
        <f aca="false">+SUM($AJ$3:AJ9)</f>
        <v>1</v>
      </c>
      <c r="AL9" s="80" t="n">
        <f aca="false">+J9</f>
        <v>60</v>
      </c>
      <c r="AM9" s="80" t="n">
        <f aca="false">+AJ9*AL9</f>
        <v>49.2</v>
      </c>
      <c r="AN9" s="81" t="n">
        <v>0</v>
      </c>
    </row>
    <row r="10" customFormat="false" ht="14.4" hidden="false" customHeight="false" outlineLevel="0" collapsed="false">
      <c r="A10" s="85" t="s">
        <v>74</v>
      </c>
      <c r="G10" s="60" t="s">
        <v>78</v>
      </c>
      <c r="H10" s="60" t="n">
        <f aca="false">+SUM(H3:H9)</f>
        <v>1</v>
      </c>
      <c r="I10" s="60"/>
      <c r="J10" s="60"/>
      <c r="K10" s="61" t="n">
        <f aca="false">+SUM(K3:K9)</f>
        <v>3.93699999999999</v>
      </c>
      <c r="L10" s="61"/>
      <c r="N10" s="60" t="s">
        <v>78</v>
      </c>
      <c r="O10" s="60" t="n">
        <f aca="false">+SUM(O3:O9)</f>
        <v>1</v>
      </c>
      <c r="P10" s="60"/>
      <c r="Q10" s="60"/>
      <c r="R10" s="61" t="n">
        <f aca="false">+SUM(R3:R9)</f>
        <v>9.83</v>
      </c>
      <c r="S10" s="61"/>
      <c r="U10" s="60" t="s">
        <v>78</v>
      </c>
      <c r="V10" s="60" t="n">
        <f aca="false">+SUM(V3:V9)</f>
        <v>1</v>
      </c>
      <c r="W10" s="60"/>
      <c r="X10" s="60"/>
      <c r="Y10" s="61" t="n">
        <f aca="false">+SUM(Y3:Y9)</f>
        <v>12.05</v>
      </c>
      <c r="Z10" s="61"/>
      <c r="AB10" s="60" t="s">
        <v>78</v>
      </c>
      <c r="AC10" s="60" t="n">
        <f aca="false">+SUM(AC3:AC9)</f>
        <v>1</v>
      </c>
      <c r="AD10" s="60"/>
      <c r="AE10" s="60"/>
      <c r="AF10" s="61" t="n">
        <f aca="false">+SUM(AF3:AF9)</f>
        <v>13.21</v>
      </c>
      <c r="AG10" s="61"/>
      <c r="AI10" s="60" t="s">
        <v>78</v>
      </c>
      <c r="AJ10" s="60" t="n">
        <f aca="false">+SUM(AJ3:AJ9)</f>
        <v>1</v>
      </c>
      <c r="AK10" s="60"/>
      <c r="AL10" s="60"/>
      <c r="AM10" s="61" t="n">
        <f aca="false">+SUM(AM3:AM9)</f>
        <v>53.05</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13">
      <formula>0</formula>
    </cfRule>
    <cfRule type="cellIs" priority="3" operator="greaterThan" aboveAverage="0" equalAverage="0" bottom="0" percent="0" rank="0" text="" dxfId="14">
      <formula>1</formula>
    </cfRule>
  </conditionalFormatting>
  <conditionalFormatting sqref="H3:H9 O3:O9 AJ3:AJ9 V3:V9 AC3:AC9">
    <cfRule type="cellIs" priority="4" operator="equal" aboveAverage="0" equalAverage="0" bottom="0" percent="0" rank="0" text="" dxfId="15">
      <formula>0</formula>
    </cfRule>
  </conditionalFormatting>
  <conditionalFormatting sqref="B3:B7">
    <cfRule type="cellIs" priority="5" operator="greaterThan" aboveAverage="0" equalAverage="0" bottom="0" percent="0" rank="0" text="" dxfId="16">
      <formula>1</formula>
    </cfRule>
    <cfRule type="cellIs" priority="6" operator="lessThan" aboveAverage="0" equalAverage="0" bottom="0" percent="0" rank="0" text="" dxfId="17">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E6" activeCellId="0" sqref="E6"/>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137</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0.0927105449398443</v>
      </c>
      <c r="C3" s="3" t="n">
        <f aca="false">1/B3/Summary!$C$7</f>
        <v>0.0107862595419847</v>
      </c>
      <c r="D3" s="75" t="n">
        <f aca="false">+K10</f>
        <v>7.065</v>
      </c>
      <c r="E3" s="3" t="n">
        <v>0.655</v>
      </c>
      <c r="G3" s="76" t="n">
        <v>1</v>
      </c>
      <c r="H3" s="77" t="n">
        <v>0.5</v>
      </c>
      <c r="I3" s="78" t="n">
        <f aca="false">+SUM($H3:H3)</f>
        <v>0.5</v>
      </c>
      <c r="J3" s="79" t="n">
        <v>5</v>
      </c>
      <c r="K3" s="80" t="n">
        <f aca="false">+H3*J3</f>
        <v>2.5</v>
      </c>
      <c r="L3" s="81" t="n">
        <v>0</v>
      </c>
      <c r="N3" s="76" t="n">
        <v>1</v>
      </c>
      <c r="O3" s="77" t="n">
        <v>0.1</v>
      </c>
      <c r="P3" s="78" t="n">
        <f aca="false">+SUM($O3:O$3)</f>
        <v>0.1</v>
      </c>
      <c r="Q3" s="80" t="n">
        <f aca="false">+J3</f>
        <v>5</v>
      </c>
      <c r="R3" s="80" t="n">
        <f aca="false">+O3*Q3</f>
        <v>0.5</v>
      </c>
      <c r="S3" s="81" t="n">
        <v>0</v>
      </c>
      <c r="U3" s="76" t="n">
        <v>1</v>
      </c>
      <c r="V3" s="77" t="n">
        <v>0.1</v>
      </c>
      <c r="W3" s="78" t="n">
        <f aca="false">+SUM($V3:V$3)</f>
        <v>0.1</v>
      </c>
      <c r="X3" s="80" t="n">
        <f aca="false">+J3</f>
        <v>5</v>
      </c>
      <c r="Y3" s="80" t="n">
        <f aca="false">+V3*X3</f>
        <v>0.5</v>
      </c>
      <c r="Z3" s="81" t="n">
        <v>0</v>
      </c>
      <c r="AB3" s="76" t="n">
        <v>1</v>
      </c>
      <c r="AC3" s="77" t="n">
        <v>0.05</v>
      </c>
      <c r="AD3" s="78" t="n">
        <f aca="false">+SUM($AC$3:AC3)</f>
        <v>0.05</v>
      </c>
      <c r="AE3" s="80" t="n">
        <f aca="false">+J3</f>
        <v>5</v>
      </c>
      <c r="AF3" s="80" t="n">
        <f aca="false">+AC3*AE3</f>
        <v>0.25</v>
      </c>
      <c r="AG3" s="81" t="n">
        <v>0</v>
      </c>
      <c r="AI3" s="76" t="n">
        <v>1</v>
      </c>
      <c r="AJ3" s="77" t="n">
        <v>0</v>
      </c>
      <c r="AK3" s="78" t="n">
        <f aca="false">+SUM($AJ$3:AJ3)</f>
        <v>0</v>
      </c>
      <c r="AL3" s="80" t="n">
        <f aca="false">+J3</f>
        <v>5</v>
      </c>
      <c r="AM3" s="80" t="n">
        <f aca="false">+AJ3*AL3</f>
        <v>0</v>
      </c>
      <c r="AN3" s="81" t="n">
        <v>0</v>
      </c>
    </row>
    <row r="4" customFormat="false" ht="14.4" hidden="false" customHeight="false" outlineLevel="0" collapsed="false">
      <c r="A4" s="3" t="s">
        <v>122</v>
      </c>
      <c r="B4" s="74" t="n">
        <f aca="false">+E4/D4</f>
        <v>0.277623542476402</v>
      </c>
      <c r="C4" s="3" t="n">
        <v>0</v>
      </c>
      <c r="D4" s="82" t="n">
        <f aca="false">+R10</f>
        <v>18.01</v>
      </c>
      <c r="E4" s="3" t="n">
        <v>5</v>
      </c>
      <c r="G4" s="76" t="n">
        <v>2</v>
      </c>
      <c r="H4" s="77" t="n">
        <v>0.32</v>
      </c>
      <c r="I4" s="78" t="n">
        <f aca="false">+SUM($H$3:H4)</f>
        <v>0.82</v>
      </c>
      <c r="J4" s="79" t="n">
        <v>7</v>
      </c>
      <c r="K4" s="80" t="n">
        <f aca="false">+H4*J4</f>
        <v>2.24</v>
      </c>
      <c r="L4" s="81" t="n">
        <v>0</v>
      </c>
      <c r="N4" s="76" t="n">
        <v>2</v>
      </c>
      <c r="O4" s="77" t="n">
        <v>0.18</v>
      </c>
      <c r="P4" s="78" t="n">
        <f aca="false">+SUM($O$3:O4)</f>
        <v>0.28</v>
      </c>
      <c r="Q4" s="80" t="n">
        <f aca="false">+J4</f>
        <v>7</v>
      </c>
      <c r="R4" s="80" t="n">
        <f aca="false">+O4*Q4</f>
        <v>1.26</v>
      </c>
      <c r="S4" s="81" t="n">
        <v>0</v>
      </c>
      <c r="U4" s="76" t="n">
        <v>2</v>
      </c>
      <c r="V4" s="77" t="n">
        <v>0.25</v>
      </c>
      <c r="W4" s="78" t="n">
        <f aca="false">+SUM($V$3:V4)</f>
        <v>0.35</v>
      </c>
      <c r="X4" s="80" t="n">
        <f aca="false">+J4</f>
        <v>7</v>
      </c>
      <c r="Y4" s="80" t="n">
        <f aca="false">+V4*X4</f>
        <v>1.75</v>
      </c>
      <c r="Z4" s="81" t="n">
        <v>0</v>
      </c>
      <c r="AB4" s="76" t="n">
        <v>2</v>
      </c>
      <c r="AC4" s="77" t="n">
        <v>0.05</v>
      </c>
      <c r="AD4" s="78" t="n">
        <f aca="false">+SUM($AC$3:AC4)</f>
        <v>0.1</v>
      </c>
      <c r="AE4" s="80" t="n">
        <f aca="false">+J4</f>
        <v>7</v>
      </c>
      <c r="AF4" s="80" t="n">
        <f aca="false">+AC4*AE4</f>
        <v>0.35</v>
      </c>
      <c r="AG4" s="81" t="n">
        <v>0</v>
      </c>
      <c r="AI4" s="76" t="n">
        <v>2</v>
      </c>
      <c r="AJ4" s="77" t="n">
        <v>0</v>
      </c>
      <c r="AK4" s="78" t="n">
        <f aca="false">+SUM($AJ$3:AJ4)</f>
        <v>0</v>
      </c>
      <c r="AL4" s="80" t="n">
        <f aca="false">+J4</f>
        <v>7</v>
      </c>
      <c r="AM4" s="80" t="n">
        <f aca="false">+AJ4*AL4</f>
        <v>0</v>
      </c>
      <c r="AN4" s="81" t="n">
        <v>0</v>
      </c>
    </row>
    <row r="5" customFormat="false" ht="14.4" hidden="false" customHeight="false" outlineLevel="0" collapsed="false">
      <c r="A5" s="3" t="s">
        <v>123</v>
      </c>
      <c r="B5" s="74" t="n">
        <f aca="false">+E5/D5</f>
        <v>0.36281179138322</v>
      </c>
      <c r="C5" s="3" t="n">
        <v>0</v>
      </c>
      <c r="D5" s="82" t="n">
        <f aca="false">+Y10</f>
        <v>22.05</v>
      </c>
      <c r="E5" s="3" t="n">
        <v>8</v>
      </c>
      <c r="G5" s="76" t="n">
        <v>3</v>
      </c>
      <c r="H5" s="77" t="n">
        <v>0.105</v>
      </c>
      <c r="I5" s="78" t="n">
        <f aca="false">+SUM($H$3:H5)</f>
        <v>0.925</v>
      </c>
      <c r="J5" s="79" t="n">
        <v>10</v>
      </c>
      <c r="K5" s="80" t="n">
        <f aca="false">+H5*J5</f>
        <v>1.05</v>
      </c>
      <c r="L5" s="81" t="n">
        <v>0</v>
      </c>
      <c r="N5" s="76" t="n">
        <v>3</v>
      </c>
      <c r="O5" s="77" t="n">
        <v>0.2</v>
      </c>
      <c r="P5" s="78" t="n">
        <f aca="false">+SUM($O$3:O5)</f>
        <v>0.48</v>
      </c>
      <c r="Q5" s="80" t="n">
        <f aca="false">+J5</f>
        <v>10</v>
      </c>
      <c r="R5" s="80" t="n">
        <f aca="false">+O5*Q5</f>
        <v>2</v>
      </c>
      <c r="S5" s="81" t="n">
        <v>0</v>
      </c>
      <c r="U5" s="76" t="n">
        <v>3</v>
      </c>
      <c r="V5" s="77" t="n">
        <v>0.18</v>
      </c>
      <c r="W5" s="78" t="n">
        <f aca="false">+SUM($V$3:V5)</f>
        <v>0.53</v>
      </c>
      <c r="X5" s="80" t="n">
        <f aca="false">+J5</f>
        <v>10</v>
      </c>
      <c r="Y5" s="80" t="n">
        <f aca="false">+V5*X5</f>
        <v>1.8</v>
      </c>
      <c r="Z5" s="81" t="n">
        <v>0</v>
      </c>
      <c r="AB5" s="76" t="n">
        <v>3</v>
      </c>
      <c r="AC5" s="77" t="n">
        <v>0.01</v>
      </c>
      <c r="AD5" s="78" t="n">
        <f aca="false">+SUM($AC$3:AC5)</f>
        <v>0.11</v>
      </c>
      <c r="AE5" s="80" t="n">
        <f aca="false">+J5</f>
        <v>10</v>
      </c>
      <c r="AF5" s="80" t="n">
        <f aca="false">+AC5*AE5</f>
        <v>0.1</v>
      </c>
      <c r="AG5" s="81" t="n">
        <v>0</v>
      </c>
      <c r="AI5" s="76" t="n">
        <v>3</v>
      </c>
      <c r="AJ5" s="77" t="n">
        <v>0</v>
      </c>
      <c r="AK5" s="78" t="n">
        <f aca="false">+SUM($AJ$3:AJ5)</f>
        <v>0</v>
      </c>
      <c r="AL5" s="80" t="n">
        <f aca="false">+J5</f>
        <v>10</v>
      </c>
      <c r="AM5" s="80" t="n">
        <f aca="false">+AJ5*AL5</f>
        <v>0</v>
      </c>
      <c r="AN5" s="81" t="n">
        <v>0</v>
      </c>
    </row>
    <row r="6" customFormat="false" ht="14.4" hidden="false" customHeight="false" outlineLevel="0" collapsed="false">
      <c r="A6" s="3" t="s">
        <v>124</v>
      </c>
      <c r="B6" s="74" t="n">
        <f aca="false">+E6/D6</f>
        <v>0.417536534446764</v>
      </c>
      <c r="C6" s="3" t="n">
        <v>0</v>
      </c>
      <c r="D6" s="82" t="n">
        <f aca="false">+AF10</f>
        <v>23.95</v>
      </c>
      <c r="E6" s="3" t="n">
        <v>10</v>
      </c>
      <c r="G6" s="76" t="n">
        <v>4</v>
      </c>
      <c r="H6" s="77" t="n">
        <v>0.07</v>
      </c>
      <c r="I6" s="78" t="n">
        <f aca="false">+SUM($H$3:H6)</f>
        <v>0.995</v>
      </c>
      <c r="J6" s="79" t="n">
        <v>15</v>
      </c>
      <c r="K6" s="80" t="n">
        <f aca="false">+H6*J6</f>
        <v>1.05</v>
      </c>
      <c r="L6" s="81" t="n">
        <v>0</v>
      </c>
      <c r="N6" s="76" t="n">
        <v>4</v>
      </c>
      <c r="O6" s="77" t="n">
        <v>0.35</v>
      </c>
      <c r="P6" s="78" t="n">
        <f aca="false">+SUM($O$3:O6)</f>
        <v>0.83</v>
      </c>
      <c r="Q6" s="80" t="n">
        <f aca="false">+J6</f>
        <v>15</v>
      </c>
      <c r="R6" s="80" t="n">
        <f aca="false">+O6*Q6</f>
        <v>5.25</v>
      </c>
      <c r="S6" s="81" t="n">
        <v>0</v>
      </c>
      <c r="U6" s="76" t="n">
        <v>4</v>
      </c>
      <c r="V6" s="77" t="n">
        <v>0.2</v>
      </c>
      <c r="W6" s="78" t="n">
        <f aca="false">+SUM($V$3:V6)</f>
        <v>0.73</v>
      </c>
      <c r="X6" s="80" t="n">
        <f aca="false">+J6</f>
        <v>15</v>
      </c>
      <c r="Y6" s="80" t="n">
        <f aca="false">+V6*X6</f>
        <v>3</v>
      </c>
      <c r="Z6" s="81" t="n">
        <v>0</v>
      </c>
      <c r="AB6" s="76" t="n">
        <v>4</v>
      </c>
      <c r="AC6" s="77" t="n">
        <v>0.3</v>
      </c>
      <c r="AD6" s="78" t="n">
        <f aca="false">+SUM($AC$3:AC6)</f>
        <v>0.41</v>
      </c>
      <c r="AE6" s="80" t="n">
        <f aca="false">+J6</f>
        <v>15</v>
      </c>
      <c r="AF6" s="80" t="n">
        <f aca="false">+AC6*AE6</f>
        <v>4.5</v>
      </c>
      <c r="AG6" s="81" t="n">
        <v>0</v>
      </c>
      <c r="AI6" s="76" t="n">
        <v>4</v>
      </c>
      <c r="AJ6" s="77" t="n">
        <v>0</v>
      </c>
      <c r="AK6" s="78" t="n">
        <f aca="false">+SUM($AJ$3:AJ6)</f>
        <v>0</v>
      </c>
      <c r="AL6" s="80" t="n">
        <f aca="false">+J6</f>
        <v>15</v>
      </c>
      <c r="AM6" s="80" t="n">
        <f aca="false">+AJ6*AL6</f>
        <v>0</v>
      </c>
      <c r="AN6" s="81" t="n">
        <v>0</v>
      </c>
    </row>
    <row r="7" customFormat="false" ht="14.4" hidden="false" customHeight="false" outlineLevel="0" collapsed="false">
      <c r="A7" s="3" t="s">
        <v>125</v>
      </c>
      <c r="B7" s="74" t="n">
        <f aca="false">+E7/D7</f>
        <v>0.784313725490196</v>
      </c>
      <c r="C7" s="3" t="n">
        <v>0</v>
      </c>
      <c r="D7" s="82" t="n">
        <f aca="false">+AM10</f>
        <v>63.75</v>
      </c>
      <c r="E7" s="3" t="n">
        <v>50</v>
      </c>
      <c r="G7" s="76" t="n">
        <v>5</v>
      </c>
      <c r="H7" s="77" t="n">
        <v>0.003</v>
      </c>
      <c r="I7" s="78" t="n">
        <f aca="false">+SUM($H$3:H7)</f>
        <v>0.998</v>
      </c>
      <c r="J7" s="79" t="n">
        <v>25</v>
      </c>
      <c r="K7" s="80" t="n">
        <f aca="false">+H7*J7</f>
        <v>0.075</v>
      </c>
      <c r="L7" s="81" t="n">
        <v>0</v>
      </c>
      <c r="N7" s="76" t="n">
        <v>5</v>
      </c>
      <c r="O7" s="77" t="n">
        <v>0.1</v>
      </c>
      <c r="P7" s="78" t="n">
        <f aca="false">+SUM($O$3:O7)</f>
        <v>0.93</v>
      </c>
      <c r="Q7" s="80" t="n">
        <f aca="false">+J7</f>
        <v>25</v>
      </c>
      <c r="R7" s="80" t="n">
        <f aca="false">+O7*Q7</f>
        <v>2.5</v>
      </c>
      <c r="S7" s="81" t="n">
        <v>0</v>
      </c>
      <c r="U7" s="76" t="n">
        <v>5</v>
      </c>
      <c r="V7" s="77" t="n">
        <v>0.1</v>
      </c>
      <c r="W7" s="78" t="n">
        <f aca="false">+SUM($V$3:V7)</f>
        <v>0.83</v>
      </c>
      <c r="X7" s="80" t="n">
        <f aca="false">+J7</f>
        <v>25</v>
      </c>
      <c r="Y7" s="80" t="n">
        <f aca="false">+V7*X7</f>
        <v>2.5</v>
      </c>
      <c r="Z7" s="81" t="n">
        <v>0</v>
      </c>
      <c r="AB7" s="76" t="n">
        <v>5</v>
      </c>
      <c r="AC7" s="77" t="n">
        <v>0.45</v>
      </c>
      <c r="AD7" s="78" t="n">
        <f aca="false">+SUM($AC$3:AC7)</f>
        <v>0.86</v>
      </c>
      <c r="AE7" s="80" t="n">
        <f aca="false">+J7</f>
        <v>25</v>
      </c>
      <c r="AF7" s="80" t="n">
        <f aca="false">+AC7*AE7</f>
        <v>11.25</v>
      </c>
      <c r="AG7" s="81" t="n">
        <v>0</v>
      </c>
      <c r="AI7" s="76" t="n">
        <v>5</v>
      </c>
      <c r="AJ7" s="77" t="n">
        <v>0.15</v>
      </c>
      <c r="AK7" s="78" t="n">
        <f aca="false">+SUM($AJ$3:AJ7)</f>
        <v>0.15</v>
      </c>
      <c r="AL7" s="80" t="n">
        <f aca="false">+J7</f>
        <v>25</v>
      </c>
      <c r="AM7" s="80" t="n">
        <f aca="false">+AJ7*AL7</f>
        <v>3.75</v>
      </c>
      <c r="AN7" s="81" t="n">
        <v>0</v>
      </c>
    </row>
    <row r="8" customFormat="false" ht="14.4" hidden="false" customHeight="false" outlineLevel="0" collapsed="false">
      <c r="A8" s="3" t="s">
        <v>126</v>
      </c>
      <c r="B8" s="83" t="str">
        <f aca="false">+CONCATENATE("x",J3," - x",J9)</f>
        <v>x5 - x100</v>
      </c>
      <c r="G8" s="76" t="n">
        <v>6</v>
      </c>
      <c r="H8" s="77" t="n">
        <v>0.001</v>
      </c>
      <c r="I8" s="78" t="n">
        <f aca="false">+SUM($H$3:H8)</f>
        <v>0.999</v>
      </c>
      <c r="J8" s="79" t="n">
        <v>50</v>
      </c>
      <c r="K8" s="80" t="n">
        <f aca="false">+H8*J8</f>
        <v>0.05</v>
      </c>
      <c r="L8" s="81" t="n">
        <v>0</v>
      </c>
      <c r="N8" s="76" t="n">
        <v>6</v>
      </c>
      <c r="O8" s="77" t="n">
        <v>0.01</v>
      </c>
      <c r="P8" s="78" t="n">
        <f aca="false">+SUM($O$3:O8)</f>
        <v>0.94</v>
      </c>
      <c r="Q8" s="80" t="n">
        <f aca="false">+J8</f>
        <v>50</v>
      </c>
      <c r="R8" s="80" t="n">
        <f aca="false">+O8*Q8</f>
        <v>0.5</v>
      </c>
      <c r="S8" s="81" t="n">
        <v>0</v>
      </c>
      <c r="U8" s="76" t="n">
        <v>6</v>
      </c>
      <c r="V8" s="77" t="n">
        <v>0.09</v>
      </c>
      <c r="W8" s="78" t="n">
        <f aca="false">+SUM($V$3:V8)</f>
        <v>0.92</v>
      </c>
      <c r="X8" s="80" t="n">
        <f aca="false">+J8</f>
        <v>50</v>
      </c>
      <c r="Y8" s="80" t="n">
        <f aca="false">+V8*X8</f>
        <v>4.5</v>
      </c>
      <c r="Z8" s="81" t="n">
        <v>0</v>
      </c>
      <c r="AB8" s="76" t="n">
        <v>6</v>
      </c>
      <c r="AC8" s="77" t="n">
        <v>0.13</v>
      </c>
      <c r="AD8" s="78" t="n">
        <f aca="false">+SUM($AC$3:AC8)</f>
        <v>0.99</v>
      </c>
      <c r="AE8" s="80" t="n">
        <f aca="false">+J8</f>
        <v>50</v>
      </c>
      <c r="AF8" s="80" t="n">
        <f aca="false">+AC8*AE8</f>
        <v>6.5</v>
      </c>
      <c r="AG8" s="81" t="n">
        <v>0</v>
      </c>
      <c r="AI8" s="76" t="n">
        <v>6</v>
      </c>
      <c r="AJ8" s="77" t="n">
        <v>0.5</v>
      </c>
      <c r="AK8" s="78" t="n">
        <f aca="false">+SUM($AJ$3:AJ8)</f>
        <v>0.65</v>
      </c>
      <c r="AL8" s="80" t="n">
        <f aca="false">+J8</f>
        <v>50</v>
      </c>
      <c r="AM8" s="80" t="n">
        <f aca="false">+AJ8*AL8</f>
        <v>25</v>
      </c>
      <c r="AN8" s="81" t="n">
        <v>0</v>
      </c>
    </row>
    <row r="9" customFormat="false" ht="14.4" hidden="false" customHeight="false" outlineLevel="0" collapsed="false">
      <c r="G9" s="76" t="n">
        <v>7</v>
      </c>
      <c r="H9" s="84" t="n">
        <f aca="false">1-SUM(H3:H8)</f>
        <v>0.001</v>
      </c>
      <c r="I9" s="78" t="n">
        <f aca="false">+SUM($H$3:H9)</f>
        <v>1</v>
      </c>
      <c r="J9" s="79" t="n">
        <v>100</v>
      </c>
      <c r="K9" s="80" t="n">
        <f aca="false">+H9*J9</f>
        <v>0.1</v>
      </c>
      <c r="L9" s="81" t="n">
        <v>0</v>
      </c>
      <c r="N9" s="76" t="n">
        <v>7</v>
      </c>
      <c r="O9" s="84" t="n">
        <f aca="false">1-SUM(O3:O8)</f>
        <v>0.0600000000000001</v>
      </c>
      <c r="P9" s="78" t="n">
        <f aca="false">+SUM($O$3:O9)</f>
        <v>1</v>
      </c>
      <c r="Q9" s="80" t="n">
        <f aca="false">+J9</f>
        <v>100</v>
      </c>
      <c r="R9" s="80" t="n">
        <f aca="false">+O9*Q9</f>
        <v>6.00000000000001</v>
      </c>
      <c r="S9" s="81" t="n">
        <v>0</v>
      </c>
      <c r="U9" s="76" t="n">
        <v>7</v>
      </c>
      <c r="V9" s="84" t="n">
        <f aca="false">1-SUM(V3:V8)</f>
        <v>0.0800000000000001</v>
      </c>
      <c r="W9" s="78" t="n">
        <f aca="false">+SUM($V$3:V9)</f>
        <v>1</v>
      </c>
      <c r="X9" s="80" t="n">
        <f aca="false">+J9</f>
        <v>100</v>
      </c>
      <c r="Y9" s="80" t="n">
        <f aca="false">+V9*X9</f>
        <v>8.00000000000001</v>
      </c>
      <c r="Z9" s="81" t="n">
        <v>0</v>
      </c>
      <c r="AB9" s="76" t="n">
        <v>7</v>
      </c>
      <c r="AC9" s="84" t="n">
        <f aca="false">1-SUM(AC3:AC8)</f>
        <v>0.0099999999999999</v>
      </c>
      <c r="AD9" s="78" t="n">
        <f aca="false">+SUM($AC$3:AC9)</f>
        <v>1</v>
      </c>
      <c r="AE9" s="80" t="n">
        <f aca="false">+J9</f>
        <v>100</v>
      </c>
      <c r="AF9" s="80" t="n">
        <f aca="false">+AC9*AE9</f>
        <v>0.99999999999999</v>
      </c>
      <c r="AG9" s="81" t="n">
        <v>0</v>
      </c>
      <c r="AI9" s="76" t="n">
        <v>7</v>
      </c>
      <c r="AJ9" s="84" t="n">
        <f aca="false">1-SUM(AJ3:AJ8)</f>
        <v>0.35</v>
      </c>
      <c r="AK9" s="78" t="n">
        <f aca="false">+SUM($AJ$3:AJ9)</f>
        <v>1</v>
      </c>
      <c r="AL9" s="80" t="n">
        <f aca="false">+J9</f>
        <v>100</v>
      </c>
      <c r="AM9" s="80" t="n">
        <f aca="false">+AJ9*AL9</f>
        <v>35</v>
      </c>
      <c r="AN9" s="81" t="n">
        <v>0</v>
      </c>
    </row>
    <row r="10" customFormat="false" ht="14.4" hidden="false" customHeight="false" outlineLevel="0" collapsed="false">
      <c r="A10" s="85" t="s">
        <v>43</v>
      </c>
      <c r="G10" s="60" t="s">
        <v>78</v>
      </c>
      <c r="H10" s="60" t="n">
        <f aca="false">+SUM(H3:H9)</f>
        <v>1</v>
      </c>
      <c r="I10" s="60"/>
      <c r="J10" s="60"/>
      <c r="K10" s="61" t="n">
        <f aca="false">+SUM(K3:K9)</f>
        <v>7.065</v>
      </c>
      <c r="L10" s="61"/>
      <c r="N10" s="60" t="s">
        <v>78</v>
      </c>
      <c r="O10" s="60" t="n">
        <f aca="false">+SUM(O3:O9)</f>
        <v>1</v>
      </c>
      <c r="P10" s="60"/>
      <c r="Q10" s="60"/>
      <c r="R10" s="61" t="n">
        <f aca="false">+SUM(R3:R9)</f>
        <v>18.01</v>
      </c>
      <c r="S10" s="61"/>
      <c r="U10" s="60" t="s">
        <v>78</v>
      </c>
      <c r="V10" s="60" t="n">
        <f aca="false">+SUM(V3:V9)</f>
        <v>1</v>
      </c>
      <c r="W10" s="60"/>
      <c r="X10" s="60"/>
      <c r="Y10" s="61" t="n">
        <f aca="false">+SUM(Y3:Y9)</f>
        <v>22.05</v>
      </c>
      <c r="Z10" s="61"/>
      <c r="AB10" s="60" t="s">
        <v>78</v>
      </c>
      <c r="AC10" s="60" t="n">
        <f aca="false">+SUM(AC3:AC9)</f>
        <v>1</v>
      </c>
      <c r="AD10" s="60"/>
      <c r="AE10" s="60"/>
      <c r="AF10" s="61" t="n">
        <f aca="false">+SUM(AF3:AF9)</f>
        <v>23.95</v>
      </c>
      <c r="AG10" s="61"/>
      <c r="AI10" s="60" t="s">
        <v>78</v>
      </c>
      <c r="AJ10" s="60" t="n">
        <f aca="false">+SUM(AJ3:AJ9)</f>
        <v>1</v>
      </c>
      <c r="AK10" s="60"/>
      <c r="AL10" s="60"/>
      <c r="AM10" s="61" t="n">
        <f aca="false">+SUM(AM3:AM9)</f>
        <v>63.75</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10000</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18">
      <formula>0</formula>
    </cfRule>
    <cfRule type="cellIs" priority="3" operator="greaterThan" aboveAverage="0" equalAverage="0" bottom="0" percent="0" rank="0" text="" dxfId="19">
      <formula>1</formula>
    </cfRule>
  </conditionalFormatting>
  <conditionalFormatting sqref="H3:H9 O3:O9 AJ3:AJ9 V3:V9 AC3:AC9">
    <cfRule type="cellIs" priority="4" operator="equal" aboveAverage="0" equalAverage="0" bottom="0" percent="0" rank="0" text="" dxfId="20">
      <formula>0</formula>
    </cfRule>
  </conditionalFormatting>
  <conditionalFormatting sqref="B3:B7">
    <cfRule type="cellIs" priority="5" operator="greaterThan" aboveAverage="0" equalAverage="0" bottom="0" percent="0" rank="0" text="" dxfId="21">
      <formula>1</formula>
    </cfRule>
    <cfRule type="cellIs" priority="6" operator="lessThan" aboveAverage="0" equalAverage="0" bottom="0" percent="0" rank="0" text="" dxfId="22">
      <formula>0</formula>
    </cfRule>
  </conditionalFormatting>
  <conditionalFormatting sqref="AJ7:AJ8">
    <cfRule type="cellIs" priority="7" operator="lessThan" aboveAverage="0" equalAverage="0" bottom="0" percent="0" rank="0" text="" dxfId="23">
      <formula>0</formula>
    </cfRule>
    <cfRule type="cellIs" priority="8" operator="greaterThan" aboveAverage="0" equalAverage="0" bottom="0" percent="0" rank="0" text="" dxfId="24">
      <formula>1</formula>
    </cfRule>
  </conditionalFormatting>
  <conditionalFormatting sqref="AJ7:AJ8">
    <cfRule type="cellIs" priority="9" operator="equal" aboveAverage="0" equalAverage="0" bottom="0" percent="0" rank="0" text="" dxfId="25">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E4" activeCellId="0" sqref="E4"/>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138</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0.0927105449398443</v>
      </c>
      <c r="C3" s="3" t="n">
        <f aca="false">1/B3/Summary!$C$7</f>
        <v>0.0107862595419847</v>
      </c>
      <c r="D3" s="75" t="n">
        <f aca="false">+K10</f>
        <v>7.065</v>
      </c>
      <c r="E3" s="3" t="n">
        <v>0.655</v>
      </c>
      <c r="G3" s="76" t="n">
        <v>1</v>
      </c>
      <c r="H3" s="77" t="n">
        <v>0.5</v>
      </c>
      <c r="I3" s="78" t="n">
        <f aca="false">+SUM($H3:H3)</f>
        <v>0.5</v>
      </c>
      <c r="J3" s="79" t="n">
        <v>5</v>
      </c>
      <c r="K3" s="80" t="n">
        <f aca="false">+H3*J3</f>
        <v>2.5</v>
      </c>
      <c r="L3" s="81" t="n">
        <v>0</v>
      </c>
      <c r="N3" s="76" t="n">
        <v>1</v>
      </c>
      <c r="O3" s="77" t="n">
        <v>0.1</v>
      </c>
      <c r="P3" s="78" t="n">
        <f aca="false">+SUM($O3:O$3)</f>
        <v>0.1</v>
      </c>
      <c r="Q3" s="80" t="n">
        <f aca="false">+J3</f>
        <v>5</v>
      </c>
      <c r="R3" s="80" t="n">
        <f aca="false">+O3*Q3</f>
        <v>0.5</v>
      </c>
      <c r="S3" s="81" t="n">
        <v>0</v>
      </c>
      <c r="U3" s="76" t="n">
        <v>1</v>
      </c>
      <c r="V3" s="77" t="n">
        <v>0.1</v>
      </c>
      <c r="W3" s="78" t="n">
        <f aca="false">+SUM($V3:V$3)</f>
        <v>0.1</v>
      </c>
      <c r="X3" s="80" t="n">
        <f aca="false">+J3</f>
        <v>5</v>
      </c>
      <c r="Y3" s="80" t="n">
        <f aca="false">+V3*X3</f>
        <v>0.5</v>
      </c>
      <c r="Z3" s="81" t="n">
        <v>0</v>
      </c>
      <c r="AB3" s="76" t="n">
        <v>1</v>
      </c>
      <c r="AC3" s="77" t="n">
        <v>0</v>
      </c>
      <c r="AD3" s="78" t="n">
        <f aca="false">+SUM($AC$3:AC3)</f>
        <v>0</v>
      </c>
      <c r="AE3" s="80" t="n">
        <f aca="false">+J3</f>
        <v>5</v>
      </c>
      <c r="AF3" s="80" t="n">
        <f aca="false">+AC3*AE3</f>
        <v>0</v>
      </c>
      <c r="AG3" s="81" t="n">
        <v>0</v>
      </c>
      <c r="AI3" s="76" t="n">
        <v>1</v>
      </c>
      <c r="AJ3" s="77" t="n">
        <v>0</v>
      </c>
      <c r="AK3" s="78" t="n">
        <f aca="false">+SUM($AJ$3:AJ3)</f>
        <v>0</v>
      </c>
      <c r="AL3" s="80" t="n">
        <f aca="false">+J3</f>
        <v>5</v>
      </c>
      <c r="AM3" s="80" t="n">
        <f aca="false">+AJ3*AL3</f>
        <v>0</v>
      </c>
      <c r="AN3" s="81" t="n">
        <v>0</v>
      </c>
    </row>
    <row r="4" customFormat="false" ht="14.4" hidden="false" customHeight="false" outlineLevel="0" collapsed="false">
      <c r="A4" s="3" t="s">
        <v>122</v>
      </c>
      <c r="B4" s="74" t="n">
        <f aca="false">+E4/D4</f>
        <v>0.286532951289398</v>
      </c>
      <c r="C4" s="3" t="n">
        <v>0</v>
      </c>
      <c r="D4" s="82" t="n">
        <f aca="false">+R10</f>
        <v>17.45</v>
      </c>
      <c r="E4" s="3" t="n">
        <v>5</v>
      </c>
      <c r="G4" s="76" t="n">
        <v>2</v>
      </c>
      <c r="H4" s="77" t="n">
        <v>0.32</v>
      </c>
      <c r="I4" s="78" t="n">
        <f aca="false">+SUM($H$3:H4)</f>
        <v>0.82</v>
      </c>
      <c r="J4" s="79" t="n">
        <v>7</v>
      </c>
      <c r="K4" s="80" t="n">
        <f aca="false">+H4*J4</f>
        <v>2.24</v>
      </c>
      <c r="L4" s="81" t="n">
        <v>0</v>
      </c>
      <c r="N4" s="76" t="n">
        <v>2</v>
      </c>
      <c r="O4" s="77" t="n">
        <v>0.2</v>
      </c>
      <c r="P4" s="78" t="n">
        <f aca="false">+SUM($O$3:O4)</f>
        <v>0.3</v>
      </c>
      <c r="Q4" s="80" t="n">
        <f aca="false">+J4</f>
        <v>7</v>
      </c>
      <c r="R4" s="80" t="n">
        <f aca="false">+O4*Q4</f>
        <v>1.4</v>
      </c>
      <c r="S4" s="81" t="n">
        <v>0</v>
      </c>
      <c r="U4" s="76" t="n">
        <v>2</v>
      </c>
      <c r="V4" s="77" t="n">
        <v>0.25</v>
      </c>
      <c r="W4" s="78" t="n">
        <f aca="false">+SUM($V$3:V4)</f>
        <v>0.35</v>
      </c>
      <c r="X4" s="80" t="n">
        <f aca="false">+J4</f>
        <v>7</v>
      </c>
      <c r="Y4" s="80" t="n">
        <f aca="false">+V4*X4</f>
        <v>1.75</v>
      </c>
      <c r="Z4" s="81" t="n">
        <v>0</v>
      </c>
      <c r="AB4" s="76" t="n">
        <v>2</v>
      </c>
      <c r="AC4" s="77" t="n">
        <v>0</v>
      </c>
      <c r="AD4" s="78" t="n">
        <f aca="false">+SUM($AC$3:AC4)</f>
        <v>0</v>
      </c>
      <c r="AE4" s="80" t="n">
        <f aca="false">+J4</f>
        <v>7</v>
      </c>
      <c r="AF4" s="80" t="n">
        <f aca="false">+AC4*AE4</f>
        <v>0</v>
      </c>
      <c r="AG4" s="81" t="n">
        <v>0</v>
      </c>
      <c r="AI4" s="76" t="n">
        <v>2</v>
      </c>
      <c r="AJ4" s="77" t="n">
        <v>0</v>
      </c>
      <c r="AK4" s="78" t="n">
        <f aca="false">+SUM($AJ$3:AJ4)</f>
        <v>0</v>
      </c>
      <c r="AL4" s="80" t="n">
        <f aca="false">+J4</f>
        <v>7</v>
      </c>
      <c r="AM4" s="80" t="n">
        <f aca="false">+AJ4*AL4</f>
        <v>0</v>
      </c>
      <c r="AN4" s="81" t="n">
        <v>0</v>
      </c>
    </row>
    <row r="5" customFormat="false" ht="14.4" hidden="false" customHeight="false" outlineLevel="0" collapsed="false">
      <c r="A5" s="3" t="s">
        <v>123</v>
      </c>
      <c r="B5" s="74" t="n">
        <f aca="false">+E5/D5</f>
        <v>0.377358490566038</v>
      </c>
      <c r="C5" s="3" t="n">
        <v>0</v>
      </c>
      <c r="D5" s="82" t="n">
        <f aca="false">+Y10</f>
        <v>21.2</v>
      </c>
      <c r="E5" s="3" t="n">
        <v>8</v>
      </c>
      <c r="G5" s="76" t="n">
        <v>3</v>
      </c>
      <c r="H5" s="77" t="n">
        <v>0.105</v>
      </c>
      <c r="I5" s="78" t="n">
        <f aca="false">+SUM($H$3:H5)</f>
        <v>0.925</v>
      </c>
      <c r="J5" s="79" t="n">
        <v>10</v>
      </c>
      <c r="K5" s="80" t="n">
        <f aca="false">+H5*J5</f>
        <v>1.05</v>
      </c>
      <c r="L5" s="81" t="n">
        <v>0</v>
      </c>
      <c r="N5" s="76" t="n">
        <v>3</v>
      </c>
      <c r="O5" s="77" t="n">
        <v>0.28</v>
      </c>
      <c r="P5" s="78" t="n">
        <f aca="false">+SUM($O$3:O5)</f>
        <v>0.58</v>
      </c>
      <c r="Q5" s="80" t="n">
        <f aca="false">+J5</f>
        <v>10</v>
      </c>
      <c r="R5" s="80" t="n">
        <f aca="false">+O5*Q5</f>
        <v>2.8</v>
      </c>
      <c r="S5" s="81" t="n">
        <v>0</v>
      </c>
      <c r="U5" s="76" t="n">
        <v>3</v>
      </c>
      <c r="V5" s="77" t="n">
        <v>0.2</v>
      </c>
      <c r="W5" s="78" t="n">
        <f aca="false">+SUM($V$3:V5)</f>
        <v>0.55</v>
      </c>
      <c r="X5" s="80" t="n">
        <f aca="false">+J5</f>
        <v>10</v>
      </c>
      <c r="Y5" s="80" t="n">
        <f aca="false">+V5*X5</f>
        <v>2</v>
      </c>
      <c r="Z5" s="81" t="n">
        <v>0</v>
      </c>
      <c r="AB5" s="76" t="n">
        <v>3</v>
      </c>
      <c r="AC5" s="77" t="n">
        <v>0.08</v>
      </c>
      <c r="AD5" s="78" t="n">
        <f aca="false">+SUM($AC$3:AC5)</f>
        <v>0.08</v>
      </c>
      <c r="AE5" s="80" t="n">
        <f aca="false">+J5</f>
        <v>10</v>
      </c>
      <c r="AF5" s="80" t="n">
        <f aca="false">+AC5*AE5</f>
        <v>0.8</v>
      </c>
      <c r="AG5" s="81" t="n">
        <v>0</v>
      </c>
      <c r="AI5" s="76" t="n">
        <v>3</v>
      </c>
      <c r="AJ5" s="77" t="n">
        <v>0</v>
      </c>
      <c r="AK5" s="78" t="n">
        <f aca="false">+SUM($AJ$3:AJ5)</f>
        <v>0</v>
      </c>
      <c r="AL5" s="80" t="n">
        <f aca="false">+J5</f>
        <v>10</v>
      </c>
      <c r="AM5" s="80" t="n">
        <f aca="false">+AJ5*AL5</f>
        <v>0</v>
      </c>
      <c r="AN5" s="81" t="n">
        <v>0</v>
      </c>
    </row>
    <row r="6" customFormat="false" ht="14.4" hidden="false" customHeight="false" outlineLevel="0" collapsed="false">
      <c r="A6" s="3" t="s">
        <v>124</v>
      </c>
      <c r="B6" s="74" t="n">
        <f aca="false">+E6/D6</f>
        <v>0.415800415800416</v>
      </c>
      <c r="C6" s="3" t="n">
        <v>0</v>
      </c>
      <c r="D6" s="82" t="n">
        <f aca="false">+AF10</f>
        <v>24.05</v>
      </c>
      <c r="E6" s="3" t="n">
        <v>10</v>
      </c>
      <c r="G6" s="76" t="n">
        <v>4</v>
      </c>
      <c r="H6" s="77" t="n">
        <v>0.07</v>
      </c>
      <c r="I6" s="78" t="n">
        <f aca="false">+SUM($H$3:H6)</f>
        <v>0.995</v>
      </c>
      <c r="J6" s="79" t="n">
        <v>15</v>
      </c>
      <c r="K6" s="80" t="n">
        <f aca="false">+H6*J6</f>
        <v>1.05</v>
      </c>
      <c r="L6" s="81" t="n">
        <v>0</v>
      </c>
      <c r="N6" s="76" t="n">
        <v>4</v>
      </c>
      <c r="O6" s="77" t="n">
        <v>0.25</v>
      </c>
      <c r="P6" s="78" t="n">
        <f aca="false">+SUM($O$3:O6)</f>
        <v>0.83</v>
      </c>
      <c r="Q6" s="80" t="n">
        <f aca="false">+J6</f>
        <v>15</v>
      </c>
      <c r="R6" s="80" t="n">
        <f aca="false">+O6*Q6</f>
        <v>3.75</v>
      </c>
      <c r="S6" s="81" t="n">
        <v>0</v>
      </c>
      <c r="U6" s="76" t="n">
        <v>4</v>
      </c>
      <c r="V6" s="77" t="n">
        <v>0.18</v>
      </c>
      <c r="W6" s="78" t="n">
        <f aca="false">+SUM($V$3:V6)</f>
        <v>0.73</v>
      </c>
      <c r="X6" s="80" t="n">
        <f aca="false">+J6</f>
        <v>15</v>
      </c>
      <c r="Y6" s="80" t="n">
        <f aca="false">+V6*X6</f>
        <v>2.7</v>
      </c>
      <c r="Z6" s="81" t="n">
        <v>0</v>
      </c>
      <c r="AB6" s="76" t="n">
        <v>4</v>
      </c>
      <c r="AC6" s="77" t="n">
        <v>0.55</v>
      </c>
      <c r="AD6" s="78" t="n">
        <f aca="false">+SUM($AC$3:AC6)</f>
        <v>0.63</v>
      </c>
      <c r="AE6" s="80" t="n">
        <f aca="false">+J6</f>
        <v>15</v>
      </c>
      <c r="AF6" s="80" t="n">
        <f aca="false">+AC6*AE6</f>
        <v>8.25</v>
      </c>
      <c r="AG6" s="81" t="n">
        <v>0</v>
      </c>
      <c r="AI6" s="76" t="n">
        <v>4</v>
      </c>
      <c r="AJ6" s="77" t="n">
        <v>0</v>
      </c>
      <c r="AK6" s="78" t="n">
        <f aca="false">+SUM($AJ$3:AJ6)</f>
        <v>0</v>
      </c>
      <c r="AL6" s="80" t="n">
        <f aca="false">+J6</f>
        <v>15</v>
      </c>
      <c r="AM6" s="80" t="n">
        <f aca="false">+AJ6*AL6</f>
        <v>0</v>
      </c>
      <c r="AN6" s="81" t="n">
        <v>0</v>
      </c>
    </row>
    <row r="7" customFormat="false" ht="14.4" hidden="false" customHeight="false" outlineLevel="0" collapsed="false">
      <c r="A7" s="3" t="s">
        <v>125</v>
      </c>
      <c r="B7" s="74" t="n">
        <f aca="false">+E7/D7</f>
        <v>0.784313725490196</v>
      </c>
      <c r="C7" s="3" t="n">
        <v>0</v>
      </c>
      <c r="D7" s="82" t="n">
        <f aca="false">+AM10</f>
        <v>63.75</v>
      </c>
      <c r="E7" s="3" t="n">
        <v>50</v>
      </c>
      <c r="G7" s="76" t="n">
        <v>5</v>
      </c>
      <c r="H7" s="77" t="n">
        <v>0.003</v>
      </c>
      <c r="I7" s="78" t="n">
        <f aca="false">+SUM($H$3:H7)</f>
        <v>0.998</v>
      </c>
      <c r="J7" s="79" t="n">
        <v>25</v>
      </c>
      <c r="K7" s="80" t="n">
        <f aca="false">+H7*J7</f>
        <v>0.075</v>
      </c>
      <c r="L7" s="81" t="n">
        <v>0</v>
      </c>
      <c r="N7" s="76" t="n">
        <v>5</v>
      </c>
      <c r="O7" s="77" t="n">
        <v>0.1</v>
      </c>
      <c r="P7" s="78" t="n">
        <f aca="false">+SUM($O$3:O7)</f>
        <v>0.93</v>
      </c>
      <c r="Q7" s="80" t="n">
        <f aca="false">+J7</f>
        <v>25</v>
      </c>
      <c r="R7" s="80" t="n">
        <f aca="false">+O7*Q7</f>
        <v>2.5</v>
      </c>
      <c r="S7" s="81" t="n">
        <v>0</v>
      </c>
      <c r="U7" s="76" t="n">
        <v>5</v>
      </c>
      <c r="V7" s="77" t="n">
        <v>0.11</v>
      </c>
      <c r="W7" s="78" t="n">
        <f aca="false">+SUM($V$3:V7)</f>
        <v>0.84</v>
      </c>
      <c r="X7" s="80" t="n">
        <f aca="false">+J7</f>
        <v>25</v>
      </c>
      <c r="Y7" s="80" t="n">
        <f aca="false">+V7*X7</f>
        <v>2.75</v>
      </c>
      <c r="Z7" s="81" t="n">
        <v>0</v>
      </c>
      <c r="AB7" s="76" t="n">
        <v>5</v>
      </c>
      <c r="AC7" s="77" t="n">
        <v>0.26</v>
      </c>
      <c r="AD7" s="78" t="n">
        <f aca="false">+SUM($AC$3:AC7)</f>
        <v>0.89</v>
      </c>
      <c r="AE7" s="80" t="n">
        <f aca="false">+J7</f>
        <v>25</v>
      </c>
      <c r="AF7" s="80" t="n">
        <f aca="false">+AC7*AE7</f>
        <v>6.5</v>
      </c>
      <c r="AG7" s="81" t="n">
        <v>0</v>
      </c>
      <c r="AI7" s="76" t="n">
        <v>5</v>
      </c>
      <c r="AJ7" s="77" t="n">
        <v>0.15</v>
      </c>
      <c r="AK7" s="78" t="n">
        <f aca="false">+SUM($AJ$3:AJ7)</f>
        <v>0.15</v>
      </c>
      <c r="AL7" s="80" t="n">
        <f aca="false">+J7</f>
        <v>25</v>
      </c>
      <c r="AM7" s="80" t="n">
        <f aca="false">+AJ7*AL7</f>
        <v>3.75</v>
      </c>
      <c r="AN7" s="81" t="n">
        <v>0</v>
      </c>
    </row>
    <row r="8" customFormat="false" ht="14.4" hidden="false" customHeight="false" outlineLevel="0" collapsed="false">
      <c r="A8" s="3" t="s">
        <v>126</v>
      </c>
      <c r="B8" s="83" t="str">
        <f aca="false">+CONCATENATE("x",J3," - x",J9)</f>
        <v>x5 - x100</v>
      </c>
      <c r="G8" s="76" t="n">
        <v>6</v>
      </c>
      <c r="H8" s="77" t="n">
        <v>0.001</v>
      </c>
      <c r="I8" s="78" t="n">
        <f aca="false">+SUM($H$3:H8)</f>
        <v>0.999</v>
      </c>
      <c r="J8" s="79" t="n">
        <v>50</v>
      </c>
      <c r="K8" s="80" t="n">
        <f aca="false">+H8*J8</f>
        <v>0.05</v>
      </c>
      <c r="L8" s="81" t="n">
        <v>0</v>
      </c>
      <c r="N8" s="76" t="n">
        <v>6</v>
      </c>
      <c r="O8" s="77" t="n">
        <v>0.01</v>
      </c>
      <c r="P8" s="78" t="n">
        <f aca="false">+SUM($O$3:O8)</f>
        <v>0.94</v>
      </c>
      <c r="Q8" s="80" t="n">
        <f aca="false">+J8</f>
        <v>50</v>
      </c>
      <c r="R8" s="80" t="n">
        <f aca="false">+O8*Q8</f>
        <v>0.5</v>
      </c>
      <c r="S8" s="81" t="n">
        <v>0</v>
      </c>
      <c r="U8" s="76" t="n">
        <v>6</v>
      </c>
      <c r="V8" s="77" t="n">
        <v>0.09</v>
      </c>
      <c r="W8" s="78" t="n">
        <f aca="false">+SUM($V$3:V8)</f>
        <v>0.93</v>
      </c>
      <c r="X8" s="80" t="n">
        <f aca="false">+J8</f>
        <v>50</v>
      </c>
      <c r="Y8" s="80" t="n">
        <f aca="false">+V8*X8</f>
        <v>4.5</v>
      </c>
      <c r="Z8" s="81" t="n">
        <v>0</v>
      </c>
      <c r="AB8" s="76" t="n">
        <v>6</v>
      </c>
      <c r="AC8" s="77" t="n">
        <v>0.05</v>
      </c>
      <c r="AD8" s="78" t="n">
        <f aca="false">+SUM($AC$3:AC8)</f>
        <v>0.94</v>
      </c>
      <c r="AE8" s="80" t="n">
        <f aca="false">+J8</f>
        <v>50</v>
      </c>
      <c r="AF8" s="80" t="n">
        <f aca="false">+AC8*AE8</f>
        <v>2.5</v>
      </c>
      <c r="AG8" s="81" t="n">
        <v>0</v>
      </c>
      <c r="AI8" s="76" t="n">
        <v>6</v>
      </c>
      <c r="AJ8" s="77" t="n">
        <v>0.5</v>
      </c>
      <c r="AK8" s="78" t="n">
        <f aca="false">+SUM($AJ$3:AJ8)</f>
        <v>0.65</v>
      </c>
      <c r="AL8" s="80" t="n">
        <f aca="false">+J8</f>
        <v>50</v>
      </c>
      <c r="AM8" s="80" t="n">
        <f aca="false">+AJ8*AL8</f>
        <v>25</v>
      </c>
      <c r="AN8" s="81" t="n">
        <v>0</v>
      </c>
    </row>
    <row r="9" customFormat="false" ht="14.4" hidden="false" customHeight="false" outlineLevel="0" collapsed="false">
      <c r="G9" s="76" t="n">
        <v>7</v>
      </c>
      <c r="H9" s="84" t="n">
        <f aca="false">1-SUM(H3:H8)</f>
        <v>0.001</v>
      </c>
      <c r="I9" s="78" t="n">
        <f aca="false">+SUM($H$3:H9)</f>
        <v>1</v>
      </c>
      <c r="J9" s="79" t="n">
        <v>100</v>
      </c>
      <c r="K9" s="80" t="n">
        <f aca="false">+H9*J9</f>
        <v>0.1</v>
      </c>
      <c r="L9" s="81" t="n">
        <v>0</v>
      </c>
      <c r="N9" s="76" t="n">
        <v>7</v>
      </c>
      <c r="O9" s="84" t="n">
        <f aca="false">1-SUM(O3:O8)</f>
        <v>0.06</v>
      </c>
      <c r="P9" s="78" t="n">
        <f aca="false">+SUM($O$3:O9)</f>
        <v>1</v>
      </c>
      <c r="Q9" s="80" t="n">
        <f aca="false">+J9</f>
        <v>100</v>
      </c>
      <c r="R9" s="80" t="n">
        <f aca="false">+O9*Q9</f>
        <v>6</v>
      </c>
      <c r="S9" s="81" t="n">
        <v>0</v>
      </c>
      <c r="U9" s="76" t="n">
        <v>7</v>
      </c>
      <c r="V9" s="84" t="n">
        <f aca="false">1-SUM(V3:V8)</f>
        <v>0.0700000000000001</v>
      </c>
      <c r="W9" s="78" t="n">
        <f aca="false">+SUM($V$3:V9)</f>
        <v>1</v>
      </c>
      <c r="X9" s="80" t="n">
        <f aca="false">+J9</f>
        <v>100</v>
      </c>
      <c r="Y9" s="80" t="n">
        <f aca="false">+V9*X9</f>
        <v>7.00000000000001</v>
      </c>
      <c r="Z9" s="81" t="n">
        <v>0</v>
      </c>
      <c r="AB9" s="76" t="n">
        <v>7</v>
      </c>
      <c r="AC9" s="84" t="n">
        <f aca="false">1-SUM(AC3:AC8)</f>
        <v>0.06</v>
      </c>
      <c r="AD9" s="78" t="n">
        <f aca="false">+SUM($AC$3:AC9)</f>
        <v>1</v>
      </c>
      <c r="AE9" s="80" t="n">
        <f aca="false">+J9</f>
        <v>100</v>
      </c>
      <c r="AF9" s="80" t="n">
        <f aca="false">+AC9*AE9</f>
        <v>6</v>
      </c>
      <c r="AG9" s="81" t="n">
        <v>0</v>
      </c>
      <c r="AI9" s="76" t="n">
        <v>7</v>
      </c>
      <c r="AJ9" s="84" t="n">
        <f aca="false">1-SUM(AJ3:AJ8)</f>
        <v>0.35</v>
      </c>
      <c r="AK9" s="78" t="n">
        <f aca="false">+SUM($AJ$3:AJ9)</f>
        <v>1</v>
      </c>
      <c r="AL9" s="80" t="n">
        <f aca="false">+J9</f>
        <v>100</v>
      </c>
      <c r="AM9" s="80" t="n">
        <f aca="false">+AJ9*AL9</f>
        <v>35</v>
      </c>
      <c r="AN9" s="81" t="n">
        <v>0</v>
      </c>
    </row>
    <row r="10" customFormat="false" ht="14.4" hidden="false" customHeight="false" outlineLevel="0" collapsed="false">
      <c r="A10" s="85" t="s">
        <v>74</v>
      </c>
      <c r="G10" s="60" t="s">
        <v>78</v>
      </c>
      <c r="H10" s="60" t="n">
        <f aca="false">+SUM(H3:H9)</f>
        <v>1</v>
      </c>
      <c r="I10" s="60"/>
      <c r="J10" s="60"/>
      <c r="K10" s="61" t="n">
        <f aca="false">+SUM(K3:K9)</f>
        <v>7.065</v>
      </c>
      <c r="L10" s="61"/>
      <c r="N10" s="60" t="s">
        <v>78</v>
      </c>
      <c r="O10" s="60" t="n">
        <f aca="false">+SUM(O3:O9)</f>
        <v>1</v>
      </c>
      <c r="P10" s="60"/>
      <c r="Q10" s="60"/>
      <c r="R10" s="61" t="n">
        <f aca="false">+SUM(R3:R9)</f>
        <v>17.45</v>
      </c>
      <c r="S10" s="61"/>
      <c r="U10" s="60" t="s">
        <v>78</v>
      </c>
      <c r="V10" s="60" t="n">
        <f aca="false">+SUM(V3:V9)</f>
        <v>1</v>
      </c>
      <c r="W10" s="60"/>
      <c r="X10" s="60"/>
      <c r="Y10" s="61" t="n">
        <f aca="false">+SUM(Y3:Y9)</f>
        <v>21.2</v>
      </c>
      <c r="Z10" s="61"/>
      <c r="AB10" s="60" t="s">
        <v>78</v>
      </c>
      <c r="AC10" s="60" t="n">
        <f aca="false">+SUM(AC3:AC9)</f>
        <v>1</v>
      </c>
      <c r="AD10" s="60"/>
      <c r="AE10" s="60"/>
      <c r="AF10" s="61" t="n">
        <f aca="false">+SUM(AF3:AF9)</f>
        <v>24.05</v>
      </c>
      <c r="AG10" s="61"/>
      <c r="AI10" s="60" t="s">
        <v>78</v>
      </c>
      <c r="AJ10" s="60" t="n">
        <f aca="false">+SUM(AJ3:AJ9)</f>
        <v>1</v>
      </c>
      <c r="AK10" s="60"/>
      <c r="AL10" s="60"/>
      <c r="AM10" s="61" t="n">
        <f aca="false">+SUM(AM3:AM9)</f>
        <v>63.75</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26">
      <formula>0</formula>
    </cfRule>
    <cfRule type="cellIs" priority="3" operator="greaterThan" aboveAverage="0" equalAverage="0" bottom="0" percent="0" rank="0" text="" dxfId="27">
      <formula>1</formula>
    </cfRule>
  </conditionalFormatting>
  <conditionalFormatting sqref="H3:H9 O3:O9 AJ3:AJ9 V3:V9 AC3:AC9">
    <cfRule type="cellIs" priority="4" operator="equal" aboveAverage="0" equalAverage="0" bottom="0" percent="0" rank="0" text="" dxfId="28">
      <formula>0</formula>
    </cfRule>
  </conditionalFormatting>
  <conditionalFormatting sqref="B3:B7">
    <cfRule type="cellIs" priority="5" operator="greaterThan" aboveAverage="0" equalAverage="0" bottom="0" percent="0" rank="0" text="" dxfId="29">
      <formula>1</formula>
    </cfRule>
    <cfRule type="cellIs" priority="6" operator="lessThan" aboveAverage="0" equalAverage="0" bottom="0" percent="0" rank="0" text="" dxfId="30">
      <formula>0</formula>
    </cfRule>
  </conditionalFormatting>
  <conditionalFormatting sqref="AJ7:AJ8">
    <cfRule type="cellIs" priority="7" operator="lessThan" aboveAverage="0" equalAverage="0" bottom="0" percent="0" rank="0" text="" dxfId="31">
      <formula>0</formula>
    </cfRule>
    <cfRule type="cellIs" priority="8" operator="greaterThan" aboveAverage="0" equalAverage="0" bottom="0" percent="0" rank="0" text="" dxfId="32">
      <formula>1</formula>
    </cfRule>
  </conditionalFormatting>
  <conditionalFormatting sqref="AJ7:AJ8">
    <cfRule type="cellIs" priority="9" operator="equal" aboveAverage="0" equalAverage="0" bottom="0" percent="0" rank="0" text="" dxfId="33">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AE2" activePane="bottomRight" state="frozen"/>
      <selection pane="topLeft" activeCell="A1" activeCellId="0" sqref="A1"/>
      <selection pane="topRight" activeCell="AE1" activeCellId="0" sqref="AE1"/>
      <selection pane="bottomLeft" activeCell="A2" activeCellId="0" sqref="A2"/>
      <selection pane="bottomRight" activeCell="C2" activeCellId="0" sqref="C2"/>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139</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0.0927105449398443</v>
      </c>
      <c r="C3" s="3" t="n">
        <f aca="false">1/B3/Summary!$C$7</f>
        <v>0.0107862595419847</v>
      </c>
      <c r="D3" s="75" t="n">
        <f aca="false">+K10</f>
        <v>7.065</v>
      </c>
      <c r="E3" s="3" t="n">
        <v>0.655</v>
      </c>
      <c r="G3" s="76" t="n">
        <v>1</v>
      </c>
      <c r="H3" s="77" t="n">
        <v>0.5</v>
      </c>
      <c r="I3" s="78" t="n">
        <f aca="false">+SUM($H3:H3)</f>
        <v>0.5</v>
      </c>
      <c r="J3" s="79" t="n">
        <v>5</v>
      </c>
      <c r="K3" s="80" t="n">
        <f aca="false">+H3*J3</f>
        <v>2.5</v>
      </c>
      <c r="L3" s="81" t="n">
        <v>0</v>
      </c>
      <c r="N3" s="76" t="n">
        <v>1</v>
      </c>
      <c r="O3" s="77" t="n">
        <v>0.1</v>
      </c>
      <c r="P3" s="78" t="n">
        <f aca="false">+SUM($O3:O$3)</f>
        <v>0.1</v>
      </c>
      <c r="Q3" s="80" t="n">
        <f aca="false">+J3</f>
        <v>5</v>
      </c>
      <c r="R3" s="80" t="n">
        <f aca="false">+O3*Q3</f>
        <v>0.5</v>
      </c>
      <c r="S3" s="81" t="n">
        <v>0</v>
      </c>
      <c r="U3" s="76" t="n">
        <v>1</v>
      </c>
      <c r="V3" s="77" t="n">
        <v>0.1</v>
      </c>
      <c r="W3" s="78" t="n">
        <f aca="false">+SUM($V3:V$3)</f>
        <v>0.1</v>
      </c>
      <c r="X3" s="80" t="n">
        <f aca="false">+J3</f>
        <v>5</v>
      </c>
      <c r="Y3" s="80" t="n">
        <f aca="false">+V3*X3</f>
        <v>0.5</v>
      </c>
      <c r="Z3" s="81" t="n">
        <v>0</v>
      </c>
      <c r="AB3" s="76" t="n">
        <v>1</v>
      </c>
      <c r="AC3" s="77" t="n">
        <v>0</v>
      </c>
      <c r="AD3" s="78" t="n">
        <f aca="false">+SUM($AC$3:AC3)</f>
        <v>0</v>
      </c>
      <c r="AE3" s="80" t="n">
        <f aca="false">+J3</f>
        <v>5</v>
      </c>
      <c r="AF3" s="80" t="n">
        <f aca="false">+AC3*AE3</f>
        <v>0</v>
      </c>
      <c r="AG3" s="81" t="n">
        <v>0</v>
      </c>
      <c r="AI3" s="76" t="n">
        <v>1</v>
      </c>
      <c r="AJ3" s="77" t="n">
        <v>0</v>
      </c>
      <c r="AK3" s="78" t="n">
        <f aca="false">+SUM($AJ$3:AJ3)</f>
        <v>0</v>
      </c>
      <c r="AL3" s="80" t="n">
        <f aca="false">+J3</f>
        <v>5</v>
      </c>
      <c r="AM3" s="80" t="n">
        <f aca="false">+AJ3*AL3</f>
        <v>0</v>
      </c>
      <c r="AN3" s="81" t="n">
        <v>0</v>
      </c>
    </row>
    <row r="4" customFormat="false" ht="14.4" hidden="false" customHeight="false" outlineLevel="0" collapsed="false">
      <c r="A4" s="3" t="s">
        <v>122</v>
      </c>
      <c r="B4" s="74" t="n">
        <f aca="false">+E4/D4</f>
        <v>0.286532951289398</v>
      </c>
      <c r="C4" s="3" t="n">
        <v>0</v>
      </c>
      <c r="D4" s="82" t="n">
        <f aca="false">+R10</f>
        <v>17.45</v>
      </c>
      <c r="E4" s="3" t="n">
        <v>5</v>
      </c>
      <c r="G4" s="76" t="n">
        <v>2</v>
      </c>
      <c r="H4" s="77" t="n">
        <v>0.32</v>
      </c>
      <c r="I4" s="78" t="n">
        <f aca="false">+SUM($H$3:H4)</f>
        <v>0.82</v>
      </c>
      <c r="J4" s="79" t="n">
        <v>7</v>
      </c>
      <c r="K4" s="80" t="n">
        <f aca="false">+H4*J4</f>
        <v>2.24</v>
      </c>
      <c r="L4" s="81" t="n">
        <v>0</v>
      </c>
      <c r="N4" s="76" t="n">
        <v>2</v>
      </c>
      <c r="O4" s="77" t="n">
        <v>0.2</v>
      </c>
      <c r="P4" s="78" t="n">
        <f aca="false">+SUM($O$3:O4)</f>
        <v>0.3</v>
      </c>
      <c r="Q4" s="80" t="n">
        <f aca="false">+J4</f>
        <v>7</v>
      </c>
      <c r="R4" s="80" t="n">
        <f aca="false">+O4*Q4</f>
        <v>1.4</v>
      </c>
      <c r="S4" s="81" t="n">
        <v>0</v>
      </c>
      <c r="U4" s="76" t="n">
        <v>2</v>
      </c>
      <c r="V4" s="77" t="n">
        <v>0.25</v>
      </c>
      <c r="W4" s="78" t="n">
        <f aca="false">+SUM($V$3:V4)</f>
        <v>0.35</v>
      </c>
      <c r="X4" s="80" t="n">
        <f aca="false">+J4</f>
        <v>7</v>
      </c>
      <c r="Y4" s="80" t="n">
        <f aca="false">+V4*X4</f>
        <v>1.75</v>
      </c>
      <c r="Z4" s="81" t="n">
        <v>0</v>
      </c>
      <c r="AB4" s="76" t="n">
        <v>2</v>
      </c>
      <c r="AC4" s="77" t="n">
        <v>0</v>
      </c>
      <c r="AD4" s="78" t="n">
        <f aca="false">+SUM($AC$3:AC4)</f>
        <v>0</v>
      </c>
      <c r="AE4" s="80" t="n">
        <f aca="false">+J4</f>
        <v>7</v>
      </c>
      <c r="AF4" s="80" t="n">
        <f aca="false">+AC4*AE4</f>
        <v>0</v>
      </c>
      <c r="AG4" s="81" t="n">
        <v>0</v>
      </c>
      <c r="AI4" s="76" t="n">
        <v>2</v>
      </c>
      <c r="AJ4" s="77" t="n">
        <v>0</v>
      </c>
      <c r="AK4" s="78" t="n">
        <f aca="false">+SUM($AJ$3:AJ4)</f>
        <v>0</v>
      </c>
      <c r="AL4" s="80" t="n">
        <f aca="false">+J4</f>
        <v>7</v>
      </c>
      <c r="AM4" s="80" t="n">
        <f aca="false">+AJ4*AL4</f>
        <v>0</v>
      </c>
      <c r="AN4" s="81" t="n">
        <v>0</v>
      </c>
    </row>
    <row r="5" customFormat="false" ht="14.4" hidden="false" customHeight="false" outlineLevel="0" collapsed="false">
      <c r="A5" s="3" t="s">
        <v>123</v>
      </c>
      <c r="B5" s="74" t="n">
        <f aca="false">+E5/D5</f>
        <v>0.377358490566038</v>
      </c>
      <c r="C5" s="3" t="n">
        <v>0</v>
      </c>
      <c r="D5" s="82" t="n">
        <f aca="false">+Y10</f>
        <v>21.2</v>
      </c>
      <c r="E5" s="3" t="n">
        <v>8</v>
      </c>
      <c r="G5" s="76" t="n">
        <v>3</v>
      </c>
      <c r="H5" s="77" t="n">
        <v>0.105</v>
      </c>
      <c r="I5" s="78" t="n">
        <f aca="false">+SUM($H$3:H5)</f>
        <v>0.925</v>
      </c>
      <c r="J5" s="79" t="n">
        <v>10</v>
      </c>
      <c r="K5" s="80" t="n">
        <f aca="false">+H5*J5</f>
        <v>1.05</v>
      </c>
      <c r="L5" s="81" t="n">
        <v>0</v>
      </c>
      <c r="N5" s="76" t="n">
        <v>3</v>
      </c>
      <c r="O5" s="77" t="n">
        <v>0.28</v>
      </c>
      <c r="P5" s="78" t="n">
        <f aca="false">+SUM($O$3:O5)</f>
        <v>0.58</v>
      </c>
      <c r="Q5" s="80" t="n">
        <f aca="false">+J5</f>
        <v>10</v>
      </c>
      <c r="R5" s="80" t="n">
        <f aca="false">+O5*Q5</f>
        <v>2.8</v>
      </c>
      <c r="S5" s="81" t="n">
        <v>0</v>
      </c>
      <c r="U5" s="76" t="n">
        <v>3</v>
      </c>
      <c r="V5" s="77" t="n">
        <v>0.2</v>
      </c>
      <c r="W5" s="78" t="n">
        <f aca="false">+SUM($V$3:V5)</f>
        <v>0.55</v>
      </c>
      <c r="X5" s="80" t="n">
        <f aca="false">+J5</f>
        <v>10</v>
      </c>
      <c r="Y5" s="80" t="n">
        <f aca="false">+V5*X5</f>
        <v>2</v>
      </c>
      <c r="Z5" s="81" t="n">
        <v>0</v>
      </c>
      <c r="AB5" s="76" t="n">
        <v>3</v>
      </c>
      <c r="AC5" s="77" t="n">
        <v>0.08</v>
      </c>
      <c r="AD5" s="78" t="n">
        <f aca="false">+SUM($AC$3:AC5)</f>
        <v>0.08</v>
      </c>
      <c r="AE5" s="80" t="n">
        <f aca="false">+J5</f>
        <v>10</v>
      </c>
      <c r="AF5" s="80" t="n">
        <f aca="false">+AC5*AE5</f>
        <v>0.8</v>
      </c>
      <c r="AG5" s="81" t="n">
        <v>0</v>
      </c>
      <c r="AI5" s="76" t="n">
        <v>3</v>
      </c>
      <c r="AJ5" s="77" t="n">
        <v>0</v>
      </c>
      <c r="AK5" s="78" t="n">
        <f aca="false">+SUM($AJ$3:AJ5)</f>
        <v>0</v>
      </c>
      <c r="AL5" s="80" t="n">
        <f aca="false">+J5</f>
        <v>10</v>
      </c>
      <c r="AM5" s="80" t="n">
        <f aca="false">+AJ5*AL5</f>
        <v>0</v>
      </c>
      <c r="AN5" s="81" t="n">
        <v>0</v>
      </c>
    </row>
    <row r="6" customFormat="false" ht="14.4" hidden="false" customHeight="false" outlineLevel="0" collapsed="false">
      <c r="A6" s="3" t="s">
        <v>124</v>
      </c>
      <c r="B6" s="74" t="n">
        <f aca="false">+E6/D6</f>
        <v>0.415800415800416</v>
      </c>
      <c r="C6" s="3" t="n">
        <v>0</v>
      </c>
      <c r="D6" s="82" t="n">
        <f aca="false">+AF10</f>
        <v>24.05</v>
      </c>
      <c r="E6" s="3" t="n">
        <v>10</v>
      </c>
      <c r="G6" s="76" t="n">
        <v>4</v>
      </c>
      <c r="H6" s="77" t="n">
        <v>0.07</v>
      </c>
      <c r="I6" s="78" t="n">
        <f aca="false">+SUM($H$3:H6)</f>
        <v>0.995</v>
      </c>
      <c r="J6" s="79" t="n">
        <v>15</v>
      </c>
      <c r="K6" s="80" t="n">
        <f aca="false">+H6*J6</f>
        <v>1.05</v>
      </c>
      <c r="L6" s="81" t="n">
        <v>0</v>
      </c>
      <c r="N6" s="76" t="n">
        <v>4</v>
      </c>
      <c r="O6" s="77" t="n">
        <v>0.25</v>
      </c>
      <c r="P6" s="78" t="n">
        <f aca="false">+SUM($O$3:O6)</f>
        <v>0.83</v>
      </c>
      <c r="Q6" s="80" t="n">
        <f aca="false">+J6</f>
        <v>15</v>
      </c>
      <c r="R6" s="80" t="n">
        <f aca="false">+O6*Q6</f>
        <v>3.75</v>
      </c>
      <c r="S6" s="81" t="n">
        <v>0</v>
      </c>
      <c r="U6" s="76" t="n">
        <v>4</v>
      </c>
      <c r="V6" s="77" t="n">
        <v>0.18</v>
      </c>
      <c r="W6" s="78" t="n">
        <f aca="false">+SUM($V$3:V6)</f>
        <v>0.73</v>
      </c>
      <c r="X6" s="80" t="n">
        <f aca="false">+J6</f>
        <v>15</v>
      </c>
      <c r="Y6" s="80" t="n">
        <f aca="false">+V6*X6</f>
        <v>2.7</v>
      </c>
      <c r="Z6" s="81" t="n">
        <v>0</v>
      </c>
      <c r="AB6" s="76" t="n">
        <v>4</v>
      </c>
      <c r="AC6" s="77" t="n">
        <v>0.55</v>
      </c>
      <c r="AD6" s="78" t="n">
        <f aca="false">+SUM($AC$3:AC6)</f>
        <v>0.63</v>
      </c>
      <c r="AE6" s="80" t="n">
        <f aca="false">+J6</f>
        <v>15</v>
      </c>
      <c r="AF6" s="80" t="n">
        <f aca="false">+AC6*AE6</f>
        <v>8.25</v>
      </c>
      <c r="AG6" s="81" t="n">
        <v>0</v>
      </c>
      <c r="AI6" s="76" t="n">
        <v>4</v>
      </c>
      <c r="AJ6" s="77" t="n">
        <v>0</v>
      </c>
      <c r="AK6" s="78" t="n">
        <f aca="false">+SUM($AJ$3:AJ6)</f>
        <v>0</v>
      </c>
      <c r="AL6" s="80" t="n">
        <f aca="false">+J6</f>
        <v>15</v>
      </c>
      <c r="AM6" s="80" t="n">
        <f aca="false">+AJ6*AL6</f>
        <v>0</v>
      </c>
      <c r="AN6" s="81" t="n">
        <v>0</v>
      </c>
    </row>
    <row r="7" customFormat="false" ht="14.4" hidden="false" customHeight="false" outlineLevel="0" collapsed="false">
      <c r="A7" s="3" t="s">
        <v>125</v>
      </c>
      <c r="B7" s="74" t="n">
        <f aca="false">+E7/D7</f>
        <v>0.784313725490196</v>
      </c>
      <c r="C7" s="3" t="n">
        <v>0</v>
      </c>
      <c r="D7" s="82" t="n">
        <f aca="false">+AM10</f>
        <v>63.75</v>
      </c>
      <c r="E7" s="3" t="n">
        <v>50</v>
      </c>
      <c r="G7" s="76" t="n">
        <v>5</v>
      </c>
      <c r="H7" s="77" t="n">
        <v>0.003</v>
      </c>
      <c r="I7" s="78" t="n">
        <f aca="false">+SUM($H$3:H7)</f>
        <v>0.998</v>
      </c>
      <c r="J7" s="79" t="n">
        <v>25</v>
      </c>
      <c r="K7" s="80" t="n">
        <f aca="false">+H7*J7</f>
        <v>0.075</v>
      </c>
      <c r="L7" s="81" t="n">
        <v>0</v>
      </c>
      <c r="N7" s="76" t="n">
        <v>5</v>
      </c>
      <c r="O7" s="77" t="n">
        <v>0.1</v>
      </c>
      <c r="P7" s="78" t="n">
        <f aca="false">+SUM($O$3:O7)</f>
        <v>0.93</v>
      </c>
      <c r="Q7" s="80" t="n">
        <f aca="false">+J7</f>
        <v>25</v>
      </c>
      <c r="R7" s="80" t="n">
        <f aca="false">+O7*Q7</f>
        <v>2.5</v>
      </c>
      <c r="S7" s="81" t="n">
        <v>0</v>
      </c>
      <c r="U7" s="76" t="n">
        <v>5</v>
      </c>
      <c r="V7" s="77" t="n">
        <v>0.11</v>
      </c>
      <c r="W7" s="78" t="n">
        <f aca="false">+SUM($V$3:V7)</f>
        <v>0.84</v>
      </c>
      <c r="X7" s="80" t="n">
        <f aca="false">+J7</f>
        <v>25</v>
      </c>
      <c r="Y7" s="80" t="n">
        <f aca="false">+V7*X7</f>
        <v>2.75</v>
      </c>
      <c r="Z7" s="81" t="n">
        <v>0</v>
      </c>
      <c r="AB7" s="76" t="n">
        <v>5</v>
      </c>
      <c r="AC7" s="77" t="n">
        <v>0.26</v>
      </c>
      <c r="AD7" s="78" t="n">
        <f aca="false">+SUM($AC$3:AC7)</f>
        <v>0.89</v>
      </c>
      <c r="AE7" s="80" t="n">
        <f aca="false">+J7</f>
        <v>25</v>
      </c>
      <c r="AF7" s="80" t="n">
        <f aca="false">+AC7*AE7</f>
        <v>6.5</v>
      </c>
      <c r="AG7" s="81" t="n">
        <v>0</v>
      </c>
      <c r="AI7" s="76" t="n">
        <v>5</v>
      </c>
      <c r="AJ7" s="77" t="n">
        <v>0.15</v>
      </c>
      <c r="AK7" s="78" t="n">
        <f aca="false">+SUM($AJ$3:AJ7)</f>
        <v>0.15</v>
      </c>
      <c r="AL7" s="80" t="n">
        <f aca="false">+J7</f>
        <v>25</v>
      </c>
      <c r="AM7" s="80" t="n">
        <f aca="false">+AJ7*AL7</f>
        <v>3.75</v>
      </c>
      <c r="AN7" s="81" t="n">
        <v>0</v>
      </c>
    </row>
    <row r="8" customFormat="false" ht="14.4" hidden="false" customHeight="false" outlineLevel="0" collapsed="false">
      <c r="A8" s="3" t="s">
        <v>126</v>
      </c>
      <c r="B8" s="83" t="str">
        <f aca="false">+CONCATENATE("x",J3," - x",J9)</f>
        <v>x5 - x100</v>
      </c>
      <c r="G8" s="76" t="n">
        <v>6</v>
      </c>
      <c r="H8" s="77" t="n">
        <v>0.001</v>
      </c>
      <c r="I8" s="78" t="n">
        <f aca="false">+SUM($H$3:H8)</f>
        <v>0.999</v>
      </c>
      <c r="J8" s="79" t="n">
        <v>50</v>
      </c>
      <c r="K8" s="80" t="n">
        <f aca="false">+H8*J8</f>
        <v>0.05</v>
      </c>
      <c r="L8" s="81" t="n">
        <v>0</v>
      </c>
      <c r="N8" s="76" t="n">
        <v>6</v>
      </c>
      <c r="O8" s="77" t="n">
        <v>0.01</v>
      </c>
      <c r="P8" s="78" t="n">
        <f aca="false">+SUM($O$3:O8)</f>
        <v>0.94</v>
      </c>
      <c r="Q8" s="80" t="n">
        <f aca="false">+J8</f>
        <v>50</v>
      </c>
      <c r="R8" s="80" t="n">
        <f aca="false">+O8*Q8</f>
        <v>0.5</v>
      </c>
      <c r="S8" s="81" t="n">
        <v>0</v>
      </c>
      <c r="U8" s="76" t="n">
        <v>6</v>
      </c>
      <c r="V8" s="77" t="n">
        <v>0.09</v>
      </c>
      <c r="W8" s="78" t="n">
        <f aca="false">+SUM($V$3:V8)</f>
        <v>0.93</v>
      </c>
      <c r="X8" s="80" t="n">
        <f aca="false">+J8</f>
        <v>50</v>
      </c>
      <c r="Y8" s="80" t="n">
        <f aca="false">+V8*X8</f>
        <v>4.5</v>
      </c>
      <c r="Z8" s="81" t="n">
        <v>0</v>
      </c>
      <c r="AB8" s="76" t="n">
        <v>6</v>
      </c>
      <c r="AC8" s="77" t="n">
        <v>0.05</v>
      </c>
      <c r="AD8" s="78" t="n">
        <f aca="false">+SUM($AC$3:AC8)</f>
        <v>0.94</v>
      </c>
      <c r="AE8" s="80" t="n">
        <f aca="false">+J8</f>
        <v>50</v>
      </c>
      <c r="AF8" s="80" t="n">
        <f aca="false">+AC8*AE8</f>
        <v>2.5</v>
      </c>
      <c r="AG8" s="81" t="n">
        <v>0</v>
      </c>
      <c r="AI8" s="76" t="n">
        <v>6</v>
      </c>
      <c r="AJ8" s="77" t="n">
        <v>0.5</v>
      </c>
      <c r="AK8" s="78" t="n">
        <f aca="false">+SUM($AJ$3:AJ8)</f>
        <v>0.65</v>
      </c>
      <c r="AL8" s="80" t="n">
        <f aca="false">+J8</f>
        <v>50</v>
      </c>
      <c r="AM8" s="80" t="n">
        <f aca="false">+AJ8*AL8</f>
        <v>25</v>
      </c>
      <c r="AN8" s="81" t="n">
        <v>0</v>
      </c>
    </row>
    <row r="9" customFormat="false" ht="14.4" hidden="false" customHeight="false" outlineLevel="0" collapsed="false">
      <c r="G9" s="76" t="n">
        <v>7</v>
      </c>
      <c r="H9" s="84" t="n">
        <f aca="false">1-SUM(H3:H8)</f>
        <v>0.001</v>
      </c>
      <c r="I9" s="78" t="n">
        <f aca="false">+SUM($H$3:H9)</f>
        <v>1</v>
      </c>
      <c r="J9" s="79" t="n">
        <v>100</v>
      </c>
      <c r="K9" s="80" t="n">
        <f aca="false">+H9*J9</f>
        <v>0.1</v>
      </c>
      <c r="L9" s="81" t="n">
        <v>0</v>
      </c>
      <c r="N9" s="76" t="n">
        <v>7</v>
      </c>
      <c r="O9" s="84" t="n">
        <f aca="false">1-SUM(O3:O8)</f>
        <v>0.06</v>
      </c>
      <c r="P9" s="78" t="n">
        <f aca="false">+SUM($O$3:O9)</f>
        <v>1</v>
      </c>
      <c r="Q9" s="80" t="n">
        <f aca="false">+J9</f>
        <v>100</v>
      </c>
      <c r="R9" s="80" t="n">
        <f aca="false">+O9*Q9</f>
        <v>6</v>
      </c>
      <c r="S9" s="81" t="n">
        <v>0</v>
      </c>
      <c r="U9" s="76" t="n">
        <v>7</v>
      </c>
      <c r="V9" s="84" t="n">
        <f aca="false">1-SUM(V3:V8)</f>
        <v>0.0700000000000001</v>
      </c>
      <c r="W9" s="78" t="n">
        <f aca="false">+SUM($V$3:V9)</f>
        <v>1</v>
      </c>
      <c r="X9" s="80" t="n">
        <f aca="false">+J9</f>
        <v>100</v>
      </c>
      <c r="Y9" s="80" t="n">
        <f aca="false">+V9*X9</f>
        <v>7.00000000000001</v>
      </c>
      <c r="Z9" s="81" t="n">
        <v>0</v>
      </c>
      <c r="AB9" s="76" t="n">
        <v>7</v>
      </c>
      <c r="AC9" s="84" t="n">
        <f aca="false">1-SUM(AC3:AC8)</f>
        <v>0.06</v>
      </c>
      <c r="AD9" s="78" t="n">
        <f aca="false">+SUM($AC$3:AC9)</f>
        <v>1</v>
      </c>
      <c r="AE9" s="80" t="n">
        <f aca="false">+J9</f>
        <v>100</v>
      </c>
      <c r="AF9" s="80" t="n">
        <f aca="false">+AC9*AE9</f>
        <v>6</v>
      </c>
      <c r="AG9" s="81" t="n">
        <v>0</v>
      </c>
      <c r="AI9" s="76" t="n">
        <v>7</v>
      </c>
      <c r="AJ9" s="84" t="n">
        <f aca="false">1-SUM(AJ3:AJ8)</f>
        <v>0.35</v>
      </c>
      <c r="AK9" s="78" t="n">
        <f aca="false">+SUM($AJ$3:AJ9)</f>
        <v>1</v>
      </c>
      <c r="AL9" s="80" t="n">
        <f aca="false">+J9</f>
        <v>100</v>
      </c>
      <c r="AM9" s="80" t="n">
        <f aca="false">+AJ9*AL9</f>
        <v>35</v>
      </c>
      <c r="AN9" s="81" t="n">
        <v>0</v>
      </c>
    </row>
    <row r="10" customFormat="false" ht="14.4" hidden="false" customHeight="false" outlineLevel="0" collapsed="false">
      <c r="A10" s="85" t="s">
        <v>74</v>
      </c>
      <c r="G10" s="60" t="s">
        <v>78</v>
      </c>
      <c r="H10" s="60" t="n">
        <f aca="false">+SUM(H3:H9)</f>
        <v>1</v>
      </c>
      <c r="I10" s="60"/>
      <c r="J10" s="60"/>
      <c r="K10" s="61" t="n">
        <f aca="false">+SUM(K3:K9)</f>
        <v>7.065</v>
      </c>
      <c r="L10" s="61"/>
      <c r="N10" s="60" t="s">
        <v>78</v>
      </c>
      <c r="O10" s="60" t="n">
        <f aca="false">+SUM(O3:O9)</f>
        <v>1</v>
      </c>
      <c r="P10" s="60"/>
      <c r="Q10" s="60"/>
      <c r="R10" s="61" t="n">
        <f aca="false">+SUM(R3:R9)</f>
        <v>17.45</v>
      </c>
      <c r="S10" s="61"/>
      <c r="U10" s="60" t="s">
        <v>78</v>
      </c>
      <c r="V10" s="60" t="n">
        <f aca="false">+SUM(V3:V9)</f>
        <v>1</v>
      </c>
      <c r="W10" s="60"/>
      <c r="X10" s="60"/>
      <c r="Y10" s="61" t="n">
        <f aca="false">+SUM(Y3:Y9)</f>
        <v>21.2</v>
      </c>
      <c r="Z10" s="61"/>
      <c r="AB10" s="60" t="s">
        <v>78</v>
      </c>
      <c r="AC10" s="60" t="n">
        <f aca="false">+SUM(AC3:AC9)</f>
        <v>1</v>
      </c>
      <c r="AD10" s="60"/>
      <c r="AE10" s="60"/>
      <c r="AF10" s="61" t="n">
        <f aca="false">+SUM(AF3:AF9)</f>
        <v>24.05</v>
      </c>
      <c r="AG10" s="61"/>
      <c r="AI10" s="60" t="s">
        <v>78</v>
      </c>
      <c r="AJ10" s="60" t="n">
        <f aca="false">+SUM(AJ3:AJ9)</f>
        <v>1</v>
      </c>
      <c r="AK10" s="60"/>
      <c r="AL10" s="60"/>
      <c r="AM10" s="61" t="n">
        <f aca="false">+SUM(AM3:AM9)</f>
        <v>63.75</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34">
      <formula>0</formula>
    </cfRule>
    <cfRule type="cellIs" priority="3" operator="greaterThan" aboveAverage="0" equalAverage="0" bottom="0" percent="0" rank="0" text="" dxfId="35">
      <formula>1</formula>
    </cfRule>
  </conditionalFormatting>
  <conditionalFormatting sqref="H3:H9 O3:O9 AJ3:AJ9 V3:V9 AC3:AC9">
    <cfRule type="cellIs" priority="4" operator="equal" aboveAverage="0" equalAverage="0" bottom="0" percent="0" rank="0" text="" dxfId="36">
      <formula>0</formula>
    </cfRule>
  </conditionalFormatting>
  <conditionalFormatting sqref="B3:B7">
    <cfRule type="cellIs" priority="5" operator="greaterThan" aboveAverage="0" equalAverage="0" bottom="0" percent="0" rank="0" text="" dxfId="37">
      <formula>1</formula>
    </cfRule>
    <cfRule type="cellIs" priority="6" operator="lessThan" aboveAverage="0" equalAverage="0" bottom="0" percent="0" rank="0" text="" dxfId="38">
      <formula>0</formula>
    </cfRule>
  </conditionalFormatting>
  <conditionalFormatting sqref="O3:O9">
    <cfRule type="cellIs" priority="7" operator="lessThan" aboveAverage="0" equalAverage="0" bottom="0" percent="0" rank="0" text="" dxfId="39">
      <formula>0</formula>
    </cfRule>
    <cfRule type="cellIs" priority="8" operator="greaterThan" aboveAverage="0" equalAverage="0" bottom="0" percent="0" rank="0" text="" dxfId="40">
      <formula>1</formula>
    </cfRule>
  </conditionalFormatting>
  <conditionalFormatting sqref="O3:O9">
    <cfRule type="cellIs" priority="9" operator="equal" aboveAverage="0" equalAverage="0" bottom="0" percent="0" rank="0" text="" dxfId="41">
      <formula>0</formula>
    </cfRule>
  </conditionalFormatting>
  <conditionalFormatting sqref="V3:V8">
    <cfRule type="cellIs" priority="10" operator="lessThan" aboveAverage="0" equalAverage="0" bottom="0" percent="0" rank="0" text="" dxfId="42">
      <formula>0</formula>
    </cfRule>
    <cfRule type="cellIs" priority="11" operator="greaterThan" aboveAverage="0" equalAverage="0" bottom="0" percent="0" rank="0" text="" dxfId="43">
      <formula>1</formula>
    </cfRule>
  </conditionalFormatting>
  <conditionalFormatting sqref="V3:V8">
    <cfRule type="cellIs" priority="12" operator="equal" aboveAverage="0" equalAverage="0" bottom="0" percent="0" rank="0" text="" dxfId="44">
      <formula>0</formula>
    </cfRule>
  </conditionalFormatting>
  <conditionalFormatting sqref="AC3:AC8">
    <cfRule type="cellIs" priority="13" operator="lessThan" aboveAverage="0" equalAverage="0" bottom="0" percent="0" rank="0" text="" dxfId="45">
      <formula>0</formula>
    </cfRule>
    <cfRule type="cellIs" priority="14" operator="greaterThan" aboveAverage="0" equalAverage="0" bottom="0" percent="0" rank="0" text="" dxfId="46">
      <formula>1</formula>
    </cfRule>
  </conditionalFormatting>
  <conditionalFormatting sqref="AC3:AC8">
    <cfRule type="cellIs" priority="15" operator="equal" aboveAverage="0" equalAverage="0" bottom="0" percent="0" rank="0" text="" dxfId="47">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C2" activeCellId="0" sqref="C2"/>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140</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0.0653692614770459</v>
      </c>
      <c r="C3" s="3" t="n">
        <f aca="false">1/B3/Summary!$C$7</f>
        <v>0.0152977099236641</v>
      </c>
      <c r="D3" s="75" t="n">
        <f aca="false">+K10</f>
        <v>10.02</v>
      </c>
      <c r="E3" s="3" t="n">
        <v>0.655</v>
      </c>
      <c r="G3" s="76" t="n">
        <v>1</v>
      </c>
      <c r="H3" s="77" t="n">
        <v>0.5</v>
      </c>
      <c r="I3" s="78" t="n">
        <f aca="false">+SUM($H3:H3)</f>
        <v>0.5</v>
      </c>
      <c r="J3" s="79" t="n">
        <v>7</v>
      </c>
      <c r="K3" s="80" t="n">
        <f aca="false">+H3*J3</f>
        <v>3.5</v>
      </c>
      <c r="L3" s="81" t="n">
        <v>0</v>
      </c>
      <c r="N3" s="76" t="n">
        <v>1</v>
      </c>
      <c r="O3" s="77" t="n">
        <v>0.18</v>
      </c>
      <c r="P3" s="78" t="n">
        <f aca="false">+SUM($O3:O$3)</f>
        <v>0.18</v>
      </c>
      <c r="Q3" s="80" t="n">
        <f aca="false">+J3</f>
        <v>7</v>
      </c>
      <c r="R3" s="80" t="n">
        <f aca="false">+O3*Q3</f>
        <v>1.26</v>
      </c>
      <c r="S3" s="81" t="n">
        <v>0</v>
      </c>
      <c r="U3" s="76" t="n">
        <v>1</v>
      </c>
      <c r="V3" s="77" t="n">
        <v>0.1</v>
      </c>
      <c r="W3" s="78" t="n">
        <f aca="false">+SUM($V3:V$3)</f>
        <v>0.1</v>
      </c>
      <c r="X3" s="80" t="n">
        <f aca="false">+J3</f>
        <v>7</v>
      </c>
      <c r="Y3" s="80" t="n">
        <f aca="false">+V3*X3</f>
        <v>0.7</v>
      </c>
      <c r="Z3" s="81" t="n">
        <v>0</v>
      </c>
      <c r="AB3" s="76" t="n">
        <v>1</v>
      </c>
      <c r="AC3" s="77" t="n">
        <v>0</v>
      </c>
      <c r="AD3" s="78" t="n">
        <f aca="false">+SUM($AC$3:AC3)</f>
        <v>0</v>
      </c>
      <c r="AE3" s="80" t="n">
        <f aca="false">+J3</f>
        <v>7</v>
      </c>
      <c r="AF3" s="80" t="n">
        <f aca="false">+AC3*AE3</f>
        <v>0</v>
      </c>
      <c r="AG3" s="81" t="n">
        <v>0</v>
      </c>
      <c r="AI3" s="76" t="n">
        <v>1</v>
      </c>
      <c r="AJ3" s="77" t="n">
        <v>0</v>
      </c>
      <c r="AK3" s="78" t="n">
        <f aca="false">+SUM($AJ$3:AJ3)</f>
        <v>0</v>
      </c>
      <c r="AL3" s="80" t="n">
        <f aca="false">+J3</f>
        <v>7</v>
      </c>
      <c r="AM3" s="80" t="n">
        <f aca="false">+AJ3*AL3</f>
        <v>0</v>
      </c>
      <c r="AN3" s="81" t="n">
        <v>0</v>
      </c>
    </row>
    <row r="4" customFormat="false" ht="14.4" hidden="false" customHeight="false" outlineLevel="0" collapsed="false">
      <c r="A4" s="3" t="s">
        <v>122</v>
      </c>
      <c r="B4" s="74" t="n">
        <f aca="false">+E4/D4</f>
        <v>0.199920031987205</v>
      </c>
      <c r="C4" s="3" t="n">
        <v>0</v>
      </c>
      <c r="D4" s="82" t="n">
        <f aca="false">+R10</f>
        <v>25.01</v>
      </c>
      <c r="E4" s="3" t="n">
        <v>5</v>
      </c>
      <c r="G4" s="76" t="n">
        <v>2</v>
      </c>
      <c r="H4" s="77" t="n">
        <v>0.32</v>
      </c>
      <c r="I4" s="78" t="n">
        <f aca="false">+SUM($H$3:H4)</f>
        <v>0.82</v>
      </c>
      <c r="J4" s="79" t="n">
        <v>10</v>
      </c>
      <c r="K4" s="80" t="n">
        <f aca="false">+H4*J4</f>
        <v>3.2</v>
      </c>
      <c r="L4" s="81" t="n">
        <v>0</v>
      </c>
      <c r="N4" s="76" t="n">
        <v>2</v>
      </c>
      <c r="O4" s="77" t="n">
        <v>0.2</v>
      </c>
      <c r="P4" s="78" t="n">
        <f aca="false">+SUM($O$3:O4)</f>
        <v>0.38</v>
      </c>
      <c r="Q4" s="80" t="n">
        <f aca="false">+J4</f>
        <v>10</v>
      </c>
      <c r="R4" s="80" t="n">
        <f aca="false">+O4*Q4</f>
        <v>2</v>
      </c>
      <c r="S4" s="81" t="n">
        <v>0</v>
      </c>
      <c r="U4" s="76" t="n">
        <v>2</v>
      </c>
      <c r="V4" s="77" t="n">
        <v>0.25</v>
      </c>
      <c r="W4" s="78" t="n">
        <f aca="false">+SUM($V$3:V4)</f>
        <v>0.35</v>
      </c>
      <c r="X4" s="80" t="n">
        <f aca="false">+J4</f>
        <v>10</v>
      </c>
      <c r="Y4" s="80" t="n">
        <f aca="false">+V4*X4</f>
        <v>2.5</v>
      </c>
      <c r="Z4" s="81" t="n">
        <v>0</v>
      </c>
      <c r="AB4" s="76" t="n">
        <v>2</v>
      </c>
      <c r="AC4" s="77" t="n">
        <v>0</v>
      </c>
      <c r="AD4" s="78" t="n">
        <f aca="false">+SUM($AC$3:AC4)</f>
        <v>0</v>
      </c>
      <c r="AE4" s="80" t="n">
        <f aca="false">+J4</f>
        <v>10</v>
      </c>
      <c r="AF4" s="80" t="n">
        <f aca="false">+AC4*AE4</f>
        <v>0</v>
      </c>
      <c r="AG4" s="81" t="n">
        <v>0</v>
      </c>
      <c r="AI4" s="76" t="n">
        <v>2</v>
      </c>
      <c r="AJ4" s="77" t="n">
        <v>0</v>
      </c>
      <c r="AK4" s="78" t="n">
        <f aca="false">+SUM($AJ$3:AJ4)</f>
        <v>0</v>
      </c>
      <c r="AL4" s="80" t="n">
        <f aca="false">+J4</f>
        <v>10</v>
      </c>
      <c r="AM4" s="80" t="n">
        <f aca="false">+AJ4*AL4</f>
        <v>0</v>
      </c>
      <c r="AN4" s="81" t="n">
        <v>0</v>
      </c>
    </row>
    <row r="5" customFormat="false" ht="14.4" hidden="false" customHeight="false" outlineLevel="0" collapsed="false">
      <c r="A5" s="3" t="s">
        <v>123</v>
      </c>
      <c r="B5" s="74" t="n">
        <f aca="false">+E5/D5</f>
        <v>0.262725779967159</v>
      </c>
      <c r="C5" s="3" t="n">
        <v>0</v>
      </c>
      <c r="D5" s="82" t="n">
        <f aca="false">+Y10</f>
        <v>30.45</v>
      </c>
      <c r="E5" s="3" t="n">
        <v>8</v>
      </c>
      <c r="G5" s="76" t="n">
        <v>3</v>
      </c>
      <c r="H5" s="77" t="n">
        <v>0.105</v>
      </c>
      <c r="I5" s="78" t="n">
        <f aca="false">+SUM($H$3:H5)</f>
        <v>0.925</v>
      </c>
      <c r="J5" s="79" t="n">
        <v>15</v>
      </c>
      <c r="K5" s="80" t="n">
        <f aca="false">+H5*J5</f>
        <v>1.575</v>
      </c>
      <c r="L5" s="81" t="n">
        <v>0</v>
      </c>
      <c r="N5" s="76" t="n">
        <v>3</v>
      </c>
      <c r="O5" s="77" t="n">
        <v>0.2</v>
      </c>
      <c r="P5" s="78" t="n">
        <f aca="false">+SUM($O$3:O5)</f>
        <v>0.58</v>
      </c>
      <c r="Q5" s="80" t="n">
        <f aca="false">+J5</f>
        <v>15</v>
      </c>
      <c r="R5" s="80" t="n">
        <f aca="false">+O5*Q5</f>
        <v>3</v>
      </c>
      <c r="S5" s="81" t="n">
        <v>0</v>
      </c>
      <c r="U5" s="76" t="n">
        <v>3</v>
      </c>
      <c r="V5" s="77" t="n">
        <v>0.22</v>
      </c>
      <c r="W5" s="78" t="n">
        <f aca="false">+SUM($V$3:V5)</f>
        <v>0.57</v>
      </c>
      <c r="X5" s="80" t="n">
        <f aca="false">+J5</f>
        <v>15</v>
      </c>
      <c r="Y5" s="80" t="n">
        <f aca="false">+V5*X5</f>
        <v>3.3</v>
      </c>
      <c r="Z5" s="81" t="n">
        <v>0</v>
      </c>
      <c r="AB5" s="76" t="n">
        <v>3</v>
      </c>
      <c r="AC5" s="77" t="n">
        <v>0.15</v>
      </c>
      <c r="AD5" s="78" t="n">
        <f aca="false">+SUM($AC$3:AC5)</f>
        <v>0.15</v>
      </c>
      <c r="AE5" s="80" t="n">
        <f aca="false">+J5</f>
        <v>15</v>
      </c>
      <c r="AF5" s="80" t="n">
        <f aca="false">+AC5*AE5</f>
        <v>2.25</v>
      </c>
      <c r="AG5" s="81" t="n">
        <v>0</v>
      </c>
      <c r="AI5" s="76" t="n">
        <v>3</v>
      </c>
      <c r="AJ5" s="77" t="n">
        <v>0</v>
      </c>
      <c r="AK5" s="78" t="n">
        <f aca="false">+SUM($AJ$3:AJ5)</f>
        <v>0</v>
      </c>
      <c r="AL5" s="80" t="n">
        <f aca="false">+J5</f>
        <v>15</v>
      </c>
      <c r="AM5" s="80" t="n">
        <f aca="false">+AJ5*AL5</f>
        <v>0</v>
      </c>
      <c r="AN5" s="81" t="n">
        <v>0</v>
      </c>
    </row>
    <row r="6" customFormat="false" ht="14.4" hidden="false" customHeight="false" outlineLevel="0" collapsed="false">
      <c r="A6" s="3" t="s">
        <v>124</v>
      </c>
      <c r="B6" s="74" t="n">
        <f aca="false">+E6/D6</f>
        <v>0.291970802919708</v>
      </c>
      <c r="C6" s="3" t="n">
        <v>0</v>
      </c>
      <c r="D6" s="82" t="n">
        <f aca="false">+AF10</f>
        <v>34.25</v>
      </c>
      <c r="E6" s="3" t="n">
        <v>10</v>
      </c>
      <c r="G6" s="76" t="n">
        <v>4</v>
      </c>
      <c r="H6" s="77" t="n">
        <v>0.07</v>
      </c>
      <c r="I6" s="78" t="n">
        <f aca="false">+SUM($H$3:H6)</f>
        <v>0.995</v>
      </c>
      <c r="J6" s="79" t="n">
        <v>20</v>
      </c>
      <c r="K6" s="80" t="n">
        <f aca="false">+H6*J6</f>
        <v>1.4</v>
      </c>
      <c r="L6" s="81" t="n">
        <v>0</v>
      </c>
      <c r="N6" s="76" t="n">
        <v>4</v>
      </c>
      <c r="O6" s="77" t="n">
        <v>0.25</v>
      </c>
      <c r="P6" s="78" t="n">
        <f aca="false">+SUM($O$3:O6)</f>
        <v>0.83</v>
      </c>
      <c r="Q6" s="80" t="n">
        <f aca="false">+J6</f>
        <v>20</v>
      </c>
      <c r="R6" s="80" t="n">
        <f aca="false">+O6*Q6</f>
        <v>5</v>
      </c>
      <c r="S6" s="81" t="n">
        <v>0</v>
      </c>
      <c r="U6" s="76" t="n">
        <v>4</v>
      </c>
      <c r="V6" s="77" t="n">
        <v>0.15</v>
      </c>
      <c r="W6" s="78" t="n">
        <f aca="false">+SUM($V$3:V6)</f>
        <v>0.72</v>
      </c>
      <c r="X6" s="80" t="n">
        <f aca="false">+J6</f>
        <v>20</v>
      </c>
      <c r="Y6" s="80" t="n">
        <f aca="false">+V6*X6</f>
        <v>3</v>
      </c>
      <c r="Z6" s="81" t="n">
        <v>0</v>
      </c>
      <c r="AB6" s="76" t="n">
        <v>4</v>
      </c>
      <c r="AC6" s="77" t="n">
        <v>0.35</v>
      </c>
      <c r="AD6" s="78" t="n">
        <f aca="false">+SUM($AC$3:AC6)</f>
        <v>0.5</v>
      </c>
      <c r="AE6" s="80" t="n">
        <f aca="false">+J6</f>
        <v>20</v>
      </c>
      <c r="AF6" s="80" t="n">
        <f aca="false">+AC6*AE6</f>
        <v>7</v>
      </c>
      <c r="AG6" s="81" t="n">
        <v>0</v>
      </c>
      <c r="AI6" s="76" t="n">
        <v>4</v>
      </c>
      <c r="AJ6" s="77" t="n">
        <v>0</v>
      </c>
      <c r="AK6" s="78" t="n">
        <f aca="false">+SUM($AJ$3:AJ6)</f>
        <v>0</v>
      </c>
      <c r="AL6" s="80" t="n">
        <f aca="false">+J6</f>
        <v>20</v>
      </c>
      <c r="AM6" s="80" t="n">
        <f aca="false">+AJ6*AL6</f>
        <v>0</v>
      </c>
      <c r="AN6" s="81" t="n">
        <v>0</v>
      </c>
    </row>
    <row r="7" customFormat="false" ht="14.4" hidden="false" customHeight="false" outlineLevel="0" collapsed="false">
      <c r="A7" s="3" t="s">
        <v>125</v>
      </c>
      <c r="B7" s="74" t="n">
        <f aca="false">+E7/D7</f>
        <v>0.711743772241993</v>
      </c>
      <c r="C7" s="3" t="n">
        <v>0</v>
      </c>
      <c r="D7" s="82" t="n">
        <f aca="false">+AM10</f>
        <v>70.25</v>
      </c>
      <c r="E7" s="3" t="n">
        <v>50</v>
      </c>
      <c r="G7" s="76" t="n">
        <v>5</v>
      </c>
      <c r="H7" s="77" t="n">
        <v>0.003</v>
      </c>
      <c r="I7" s="78" t="n">
        <f aca="false">+SUM($H$3:H7)</f>
        <v>0.998</v>
      </c>
      <c r="J7" s="79" t="n">
        <v>40</v>
      </c>
      <c r="K7" s="80" t="n">
        <f aca="false">+H7*J7</f>
        <v>0.12</v>
      </c>
      <c r="L7" s="81" t="n">
        <v>0</v>
      </c>
      <c r="N7" s="76" t="n">
        <v>5</v>
      </c>
      <c r="O7" s="77" t="n">
        <v>0.1</v>
      </c>
      <c r="P7" s="78" t="n">
        <f aca="false">+SUM($O$3:O7)</f>
        <v>0.93</v>
      </c>
      <c r="Q7" s="80" t="n">
        <f aca="false">+J7</f>
        <v>40</v>
      </c>
      <c r="R7" s="80" t="n">
        <f aca="false">+O7*Q7</f>
        <v>4</v>
      </c>
      <c r="S7" s="81" t="n">
        <v>0</v>
      </c>
      <c r="U7" s="76" t="n">
        <v>5</v>
      </c>
      <c r="V7" s="77" t="n">
        <v>0.13</v>
      </c>
      <c r="W7" s="78" t="n">
        <f aca="false">+SUM($V$3:V7)</f>
        <v>0.85</v>
      </c>
      <c r="X7" s="80" t="n">
        <f aca="false">+J7</f>
        <v>40</v>
      </c>
      <c r="Y7" s="80" t="n">
        <f aca="false">+V7*X7</f>
        <v>5.2</v>
      </c>
      <c r="Z7" s="81" t="n">
        <v>0</v>
      </c>
      <c r="AB7" s="76" t="n">
        <v>5</v>
      </c>
      <c r="AC7" s="77" t="n">
        <v>0.4</v>
      </c>
      <c r="AD7" s="78" t="n">
        <f aca="false">+SUM($AC$3:AC7)</f>
        <v>0.9</v>
      </c>
      <c r="AE7" s="80" t="n">
        <f aca="false">+J7</f>
        <v>40</v>
      </c>
      <c r="AF7" s="80" t="n">
        <f aca="false">+AC7*AE7</f>
        <v>16</v>
      </c>
      <c r="AG7" s="81" t="n">
        <v>0</v>
      </c>
      <c r="AI7" s="76" t="n">
        <v>5</v>
      </c>
      <c r="AJ7" s="77" t="n">
        <v>0.35</v>
      </c>
      <c r="AK7" s="78" t="n">
        <f aca="false">+SUM($AJ$3:AJ7)</f>
        <v>0.35</v>
      </c>
      <c r="AL7" s="80" t="n">
        <f aca="false">+J7</f>
        <v>40</v>
      </c>
      <c r="AM7" s="80" t="n">
        <f aca="false">+AJ7*AL7</f>
        <v>14</v>
      </c>
      <c r="AN7" s="81" t="n">
        <v>0</v>
      </c>
    </row>
    <row r="8" customFormat="false" ht="14.4" hidden="false" customHeight="false" outlineLevel="0" collapsed="false">
      <c r="A8" s="3" t="s">
        <v>126</v>
      </c>
      <c r="B8" s="83" t="str">
        <f aca="false">+CONCATENATE("x",J3," - x",J9)</f>
        <v>x7 - x150</v>
      </c>
      <c r="G8" s="76" t="n">
        <v>6</v>
      </c>
      <c r="H8" s="77" t="n">
        <v>0.001</v>
      </c>
      <c r="I8" s="78" t="n">
        <f aca="false">+SUM($H$3:H8)</f>
        <v>0.999</v>
      </c>
      <c r="J8" s="79" t="n">
        <v>75</v>
      </c>
      <c r="K8" s="80" t="n">
        <f aca="false">+H8*J8</f>
        <v>0.075</v>
      </c>
      <c r="L8" s="81" t="n">
        <v>0</v>
      </c>
      <c r="N8" s="76" t="n">
        <v>6</v>
      </c>
      <c r="O8" s="77" t="n">
        <v>0.01</v>
      </c>
      <c r="P8" s="78" t="n">
        <f aca="false">+SUM($O$3:O8)</f>
        <v>0.94</v>
      </c>
      <c r="Q8" s="80" t="n">
        <f aca="false">+J8</f>
        <v>75</v>
      </c>
      <c r="R8" s="80" t="n">
        <f aca="false">+O8*Q8</f>
        <v>0.75</v>
      </c>
      <c r="S8" s="81" t="n">
        <v>0</v>
      </c>
      <c r="U8" s="76" t="n">
        <v>6</v>
      </c>
      <c r="V8" s="77" t="n">
        <v>0.09</v>
      </c>
      <c r="W8" s="78" t="n">
        <f aca="false">+SUM($V$3:V8)</f>
        <v>0.94</v>
      </c>
      <c r="X8" s="80" t="n">
        <f aca="false">+J8</f>
        <v>75</v>
      </c>
      <c r="Y8" s="80" t="n">
        <f aca="false">+V8*X8</f>
        <v>6.75</v>
      </c>
      <c r="Z8" s="81" t="n">
        <v>0</v>
      </c>
      <c r="AB8" s="76" t="n">
        <v>6</v>
      </c>
      <c r="AC8" s="77" t="n">
        <v>0.08</v>
      </c>
      <c r="AD8" s="78" t="n">
        <f aca="false">+SUM($AC$3:AC8)</f>
        <v>0.98</v>
      </c>
      <c r="AE8" s="80" t="n">
        <f aca="false">+J8</f>
        <v>75</v>
      </c>
      <c r="AF8" s="80" t="n">
        <f aca="false">+AC8*AE8</f>
        <v>6</v>
      </c>
      <c r="AG8" s="81" t="n">
        <v>0</v>
      </c>
      <c r="AI8" s="76" t="n">
        <v>6</v>
      </c>
      <c r="AJ8" s="77" t="n">
        <v>0.55</v>
      </c>
      <c r="AK8" s="78" t="n">
        <f aca="false">+SUM($AJ$3:AJ8)</f>
        <v>0.9</v>
      </c>
      <c r="AL8" s="80" t="n">
        <f aca="false">+J8</f>
        <v>75</v>
      </c>
      <c r="AM8" s="80" t="n">
        <f aca="false">+AJ8*AL8</f>
        <v>41.25</v>
      </c>
      <c r="AN8" s="81" t="n">
        <v>0</v>
      </c>
    </row>
    <row r="9" customFormat="false" ht="14.4" hidden="false" customHeight="false" outlineLevel="0" collapsed="false">
      <c r="G9" s="76" t="n">
        <v>7</v>
      </c>
      <c r="H9" s="84" t="n">
        <f aca="false">1-SUM(H3:H8)</f>
        <v>0.001</v>
      </c>
      <c r="I9" s="78" t="n">
        <f aca="false">+SUM($H$3:H9)</f>
        <v>1</v>
      </c>
      <c r="J9" s="79" t="n">
        <v>150</v>
      </c>
      <c r="K9" s="80" t="n">
        <f aca="false">+H9*J9</f>
        <v>0.15</v>
      </c>
      <c r="L9" s="81" t="n">
        <v>0</v>
      </c>
      <c r="N9" s="76" t="n">
        <v>7</v>
      </c>
      <c r="O9" s="84" t="n">
        <f aca="false">1-SUM(O3:O8)</f>
        <v>0.0600000000000001</v>
      </c>
      <c r="P9" s="78" t="n">
        <f aca="false">+SUM($O$3:O9)</f>
        <v>1</v>
      </c>
      <c r="Q9" s="80" t="n">
        <f aca="false">+J9</f>
        <v>150</v>
      </c>
      <c r="R9" s="80" t="n">
        <f aca="false">+O9*Q9</f>
        <v>9.00000000000001</v>
      </c>
      <c r="S9" s="81" t="n">
        <v>0</v>
      </c>
      <c r="U9" s="76" t="n">
        <v>7</v>
      </c>
      <c r="V9" s="84" t="n">
        <f aca="false">1-SUM(V3:V8)</f>
        <v>0.0600000000000001</v>
      </c>
      <c r="W9" s="78" t="n">
        <f aca="false">+SUM($V$3:V9)</f>
        <v>1</v>
      </c>
      <c r="X9" s="80" t="n">
        <f aca="false">+J9</f>
        <v>150</v>
      </c>
      <c r="Y9" s="80" t="n">
        <f aca="false">+V9*X9</f>
        <v>9.00000000000001</v>
      </c>
      <c r="Z9" s="81" t="n">
        <v>0</v>
      </c>
      <c r="AB9" s="76" t="n">
        <v>7</v>
      </c>
      <c r="AC9" s="84" t="n">
        <f aca="false">1-SUM(AC3:AC8)</f>
        <v>0.02</v>
      </c>
      <c r="AD9" s="78" t="n">
        <f aca="false">+SUM($AC$3:AC9)</f>
        <v>1</v>
      </c>
      <c r="AE9" s="80" t="n">
        <f aca="false">+J9</f>
        <v>150</v>
      </c>
      <c r="AF9" s="80" t="n">
        <f aca="false">+AC9*AE9</f>
        <v>3</v>
      </c>
      <c r="AG9" s="81" t="n">
        <v>0</v>
      </c>
      <c r="AI9" s="76" t="n">
        <v>7</v>
      </c>
      <c r="AJ9" s="84" t="n">
        <f aca="false">1-SUM(AJ3:AJ8)</f>
        <v>0.0999999999999999</v>
      </c>
      <c r="AK9" s="78" t="n">
        <f aca="false">+SUM($AJ$3:AJ9)</f>
        <v>1</v>
      </c>
      <c r="AL9" s="80" t="n">
        <f aca="false">+J9</f>
        <v>150</v>
      </c>
      <c r="AM9" s="80" t="n">
        <f aca="false">+AJ9*AL9</f>
        <v>15</v>
      </c>
      <c r="AN9" s="81" t="n">
        <v>0</v>
      </c>
    </row>
    <row r="10" customFormat="false" ht="14.4" hidden="false" customHeight="false" outlineLevel="0" collapsed="false">
      <c r="A10" s="85" t="s">
        <v>43</v>
      </c>
      <c r="G10" s="60" t="s">
        <v>78</v>
      </c>
      <c r="H10" s="60" t="n">
        <f aca="false">+SUM(H3:H9)</f>
        <v>1</v>
      </c>
      <c r="I10" s="60"/>
      <c r="J10" s="60"/>
      <c r="K10" s="61" t="n">
        <f aca="false">+SUM(K3:K9)</f>
        <v>10.02</v>
      </c>
      <c r="L10" s="61"/>
      <c r="N10" s="60" t="s">
        <v>78</v>
      </c>
      <c r="O10" s="60" t="n">
        <f aca="false">+SUM(O3:O9)</f>
        <v>1</v>
      </c>
      <c r="P10" s="60"/>
      <c r="Q10" s="60"/>
      <c r="R10" s="61" t="n">
        <f aca="false">+SUM(R3:R9)</f>
        <v>25.01</v>
      </c>
      <c r="S10" s="61"/>
      <c r="U10" s="60" t="s">
        <v>78</v>
      </c>
      <c r="V10" s="60" t="n">
        <f aca="false">+SUM(V3:V9)</f>
        <v>1</v>
      </c>
      <c r="W10" s="60"/>
      <c r="X10" s="60"/>
      <c r="Y10" s="61" t="n">
        <f aca="false">+SUM(Y3:Y9)</f>
        <v>30.45</v>
      </c>
      <c r="Z10" s="61"/>
      <c r="AB10" s="60" t="s">
        <v>78</v>
      </c>
      <c r="AC10" s="60" t="n">
        <f aca="false">+SUM(AC3:AC9)</f>
        <v>1</v>
      </c>
      <c r="AD10" s="60"/>
      <c r="AE10" s="60"/>
      <c r="AF10" s="61" t="n">
        <f aca="false">+SUM(AF3:AF9)</f>
        <v>34.25</v>
      </c>
      <c r="AG10" s="61"/>
      <c r="AI10" s="60" t="s">
        <v>78</v>
      </c>
      <c r="AJ10" s="60" t="n">
        <f aca="false">+SUM(AJ3:AJ9)</f>
        <v>1</v>
      </c>
      <c r="AK10" s="60"/>
      <c r="AL10" s="60"/>
      <c r="AM10" s="61" t="n">
        <f aca="false">+SUM(AM3:AM9)</f>
        <v>70.25</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10000</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48">
      <formula>0</formula>
    </cfRule>
    <cfRule type="cellIs" priority="3" operator="greaterThan" aboveAverage="0" equalAverage="0" bottom="0" percent="0" rank="0" text="" dxfId="49">
      <formula>1</formula>
    </cfRule>
  </conditionalFormatting>
  <conditionalFormatting sqref="H3:H9 O3:O9 AJ3:AJ9 V3:V9 AC3:AC9">
    <cfRule type="cellIs" priority="4" operator="equal" aboveAverage="0" equalAverage="0" bottom="0" percent="0" rank="0" text="" dxfId="50">
      <formula>0</formula>
    </cfRule>
  </conditionalFormatting>
  <conditionalFormatting sqref="B3:B7">
    <cfRule type="cellIs" priority="5" operator="greaterThan" aboveAverage="0" equalAverage="0" bottom="0" percent="0" rank="0" text="" dxfId="51">
      <formula>1</formula>
    </cfRule>
    <cfRule type="cellIs" priority="6" operator="lessThan" aboveAverage="0" equalAverage="0" bottom="0" percent="0" rank="0" text="" dxfId="52">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C2" activeCellId="0" sqref="C2"/>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141</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0.0430213464696223</v>
      </c>
      <c r="C3" s="3" t="n">
        <f aca="false">1/B3/Summary!$C$7</f>
        <v>0.0232442748091603</v>
      </c>
      <c r="D3" s="75" t="n">
        <f aca="false">+K10</f>
        <v>15.225</v>
      </c>
      <c r="E3" s="3" t="n">
        <v>0.655</v>
      </c>
      <c r="G3" s="76" t="n">
        <v>1</v>
      </c>
      <c r="H3" s="77" t="n">
        <v>0.5</v>
      </c>
      <c r="I3" s="78" t="n">
        <f aca="false">+SUM($H3:H3)</f>
        <v>0.5</v>
      </c>
      <c r="J3" s="79" t="n">
        <v>10</v>
      </c>
      <c r="K3" s="80" t="n">
        <f aca="false">+H3*J3</f>
        <v>5</v>
      </c>
      <c r="L3" s="81" t="n">
        <v>0</v>
      </c>
      <c r="N3" s="76" t="n">
        <v>1</v>
      </c>
      <c r="O3" s="77" t="n">
        <v>0.2</v>
      </c>
      <c r="P3" s="78" t="n">
        <f aca="false">+SUM($O3:O$3)</f>
        <v>0.2</v>
      </c>
      <c r="Q3" s="80" t="n">
        <f aca="false">+J3</f>
        <v>10</v>
      </c>
      <c r="R3" s="80" t="n">
        <f aca="false">+O3*Q3</f>
        <v>2</v>
      </c>
      <c r="S3" s="81" t="n">
        <v>0</v>
      </c>
      <c r="U3" s="76" t="n">
        <v>1</v>
      </c>
      <c r="V3" s="77" t="n">
        <v>0.1</v>
      </c>
      <c r="W3" s="78" t="n">
        <f aca="false">+SUM($V3:V$3)</f>
        <v>0.1</v>
      </c>
      <c r="X3" s="80" t="n">
        <f aca="false">+J3</f>
        <v>10</v>
      </c>
      <c r="Y3" s="80" t="n">
        <f aca="false">+V3*X3</f>
        <v>1</v>
      </c>
      <c r="Z3" s="81" t="n">
        <v>0</v>
      </c>
      <c r="AB3" s="76" t="n">
        <v>1</v>
      </c>
      <c r="AC3" s="77" t="n">
        <v>0.01</v>
      </c>
      <c r="AD3" s="78" t="n">
        <f aca="false">+SUM($AC$3:AC3)</f>
        <v>0.01</v>
      </c>
      <c r="AE3" s="80" t="n">
        <f aca="false">+J3</f>
        <v>10</v>
      </c>
      <c r="AF3" s="80" t="n">
        <f aca="false">+AC3*AE3</f>
        <v>0.1</v>
      </c>
      <c r="AG3" s="81" t="n">
        <v>0</v>
      </c>
      <c r="AI3" s="76" t="n">
        <v>1</v>
      </c>
      <c r="AJ3" s="77" t="n">
        <v>0</v>
      </c>
      <c r="AK3" s="78" t="n">
        <f aca="false">+SUM($AJ$3:AJ3)</f>
        <v>0</v>
      </c>
      <c r="AL3" s="80" t="n">
        <f aca="false">+J3</f>
        <v>10</v>
      </c>
      <c r="AM3" s="80" t="n">
        <f aca="false">+AJ3*AL3</f>
        <v>0</v>
      </c>
      <c r="AN3" s="81" t="n">
        <v>0</v>
      </c>
    </row>
    <row r="4" customFormat="false" ht="14.4" hidden="false" customHeight="false" outlineLevel="0" collapsed="false">
      <c r="A4" s="3" t="s">
        <v>122</v>
      </c>
      <c r="B4" s="74" t="n">
        <f aca="false">+E4/D4</f>
        <v>0.132100396301189</v>
      </c>
      <c r="C4" s="3" t="n">
        <v>0</v>
      </c>
      <c r="D4" s="82" t="n">
        <f aca="false">+R10</f>
        <v>37.85</v>
      </c>
      <c r="E4" s="3" t="n">
        <v>5</v>
      </c>
      <c r="G4" s="76" t="n">
        <v>2</v>
      </c>
      <c r="H4" s="77" t="n">
        <v>0.32</v>
      </c>
      <c r="I4" s="78" t="n">
        <f aca="false">+SUM($H$3:H4)</f>
        <v>0.82</v>
      </c>
      <c r="J4" s="79" t="n">
        <v>15</v>
      </c>
      <c r="K4" s="80" t="n">
        <f aca="false">+H4*J4</f>
        <v>4.8</v>
      </c>
      <c r="L4" s="81" t="n">
        <v>0</v>
      </c>
      <c r="N4" s="76" t="n">
        <v>2</v>
      </c>
      <c r="O4" s="77" t="n">
        <v>0.25</v>
      </c>
      <c r="P4" s="78" t="n">
        <f aca="false">+SUM($O$3:O4)</f>
        <v>0.45</v>
      </c>
      <c r="Q4" s="80" t="n">
        <f aca="false">+J4</f>
        <v>15</v>
      </c>
      <c r="R4" s="80" t="n">
        <f aca="false">+O4*Q4</f>
        <v>3.75</v>
      </c>
      <c r="S4" s="81" t="n">
        <v>0</v>
      </c>
      <c r="U4" s="76" t="n">
        <v>2</v>
      </c>
      <c r="V4" s="77" t="n">
        <v>0.25</v>
      </c>
      <c r="W4" s="78" t="n">
        <f aca="false">+SUM($V$3:V4)</f>
        <v>0.35</v>
      </c>
      <c r="X4" s="80" t="n">
        <f aca="false">+J4</f>
        <v>15</v>
      </c>
      <c r="Y4" s="80" t="n">
        <f aca="false">+V4*X4</f>
        <v>3.75</v>
      </c>
      <c r="Z4" s="81" t="n">
        <v>0</v>
      </c>
      <c r="AB4" s="76" t="n">
        <v>2</v>
      </c>
      <c r="AC4" s="77" t="n">
        <v>0.05</v>
      </c>
      <c r="AD4" s="78" t="n">
        <f aca="false">+SUM($AC$3:AC4)</f>
        <v>0.06</v>
      </c>
      <c r="AE4" s="80" t="n">
        <f aca="false">+J4</f>
        <v>15</v>
      </c>
      <c r="AF4" s="80" t="n">
        <f aca="false">+AC4*AE4</f>
        <v>0.75</v>
      </c>
      <c r="AG4" s="81" t="n">
        <v>0</v>
      </c>
      <c r="AI4" s="76" t="n">
        <v>2</v>
      </c>
      <c r="AJ4" s="77" t="n">
        <v>0</v>
      </c>
      <c r="AK4" s="78" t="n">
        <f aca="false">+SUM($AJ$3:AJ4)</f>
        <v>0</v>
      </c>
      <c r="AL4" s="80" t="n">
        <f aca="false">+J4</f>
        <v>15</v>
      </c>
      <c r="AM4" s="80" t="n">
        <f aca="false">+AJ4*AL4</f>
        <v>0</v>
      </c>
      <c r="AN4" s="81" t="n">
        <v>0</v>
      </c>
    </row>
    <row r="5" customFormat="false" ht="14.4" hidden="false" customHeight="false" outlineLevel="0" collapsed="false">
      <c r="A5" s="3" t="s">
        <v>123</v>
      </c>
      <c r="B5" s="74" t="n">
        <f aca="false">+E5/D5</f>
        <v>0.172972972972973</v>
      </c>
      <c r="C5" s="3" t="n">
        <v>0</v>
      </c>
      <c r="D5" s="82" t="n">
        <f aca="false">+Y10</f>
        <v>46.25</v>
      </c>
      <c r="E5" s="3" t="n">
        <v>8</v>
      </c>
      <c r="G5" s="76" t="n">
        <v>3</v>
      </c>
      <c r="H5" s="77" t="n">
        <v>0.105</v>
      </c>
      <c r="I5" s="78" t="n">
        <f aca="false">+SUM($H$3:H5)</f>
        <v>0.925</v>
      </c>
      <c r="J5" s="79" t="n">
        <v>20</v>
      </c>
      <c r="K5" s="80" t="n">
        <f aca="false">+H5*J5</f>
        <v>2.1</v>
      </c>
      <c r="L5" s="81" t="n">
        <v>0</v>
      </c>
      <c r="N5" s="76" t="n">
        <v>3</v>
      </c>
      <c r="O5" s="77" t="n">
        <v>0.18</v>
      </c>
      <c r="P5" s="78" t="n">
        <f aca="false">+SUM($O$3:O5)</f>
        <v>0.63</v>
      </c>
      <c r="Q5" s="80" t="n">
        <f aca="false">+J5</f>
        <v>20</v>
      </c>
      <c r="R5" s="80" t="n">
        <f aca="false">+O5*Q5</f>
        <v>3.6</v>
      </c>
      <c r="S5" s="81" t="n">
        <v>0</v>
      </c>
      <c r="U5" s="76" t="n">
        <v>3</v>
      </c>
      <c r="V5" s="77" t="n">
        <v>0.2</v>
      </c>
      <c r="W5" s="78" t="n">
        <f aca="false">+SUM($V$3:V5)</f>
        <v>0.55</v>
      </c>
      <c r="X5" s="80" t="n">
        <f aca="false">+J5</f>
        <v>20</v>
      </c>
      <c r="Y5" s="80" t="n">
        <f aca="false">+V5*X5</f>
        <v>4</v>
      </c>
      <c r="Z5" s="81" t="n">
        <v>0</v>
      </c>
      <c r="AB5" s="76" t="n">
        <v>3</v>
      </c>
      <c r="AC5" s="77" t="n">
        <v>0.16</v>
      </c>
      <c r="AD5" s="78" t="n">
        <f aca="false">+SUM($AC$3:AC5)</f>
        <v>0.22</v>
      </c>
      <c r="AE5" s="80" t="n">
        <f aca="false">+J5</f>
        <v>20</v>
      </c>
      <c r="AF5" s="80" t="n">
        <f aca="false">+AC5*AE5</f>
        <v>3.2</v>
      </c>
      <c r="AG5" s="81" t="n">
        <v>0</v>
      </c>
      <c r="AI5" s="76" t="n">
        <v>3</v>
      </c>
      <c r="AJ5" s="77" t="n">
        <v>0</v>
      </c>
      <c r="AK5" s="78" t="n">
        <f aca="false">+SUM($AJ$3:AJ5)</f>
        <v>0</v>
      </c>
      <c r="AL5" s="80" t="n">
        <f aca="false">+J5</f>
        <v>20</v>
      </c>
      <c r="AM5" s="80" t="n">
        <f aca="false">+AJ5*AL5</f>
        <v>0</v>
      </c>
      <c r="AN5" s="81" t="n">
        <v>0</v>
      </c>
    </row>
    <row r="6" customFormat="false" ht="14.4" hidden="false" customHeight="false" outlineLevel="0" collapsed="false">
      <c r="A6" s="3" t="s">
        <v>124</v>
      </c>
      <c r="B6" s="74" t="n">
        <f aca="false">+E6/D6</f>
        <v>0.193423597678917</v>
      </c>
      <c r="C6" s="3" t="n">
        <v>0</v>
      </c>
      <c r="D6" s="82" t="n">
        <f aca="false">+AF10</f>
        <v>51.7</v>
      </c>
      <c r="E6" s="3" t="n">
        <v>10</v>
      </c>
      <c r="G6" s="76" t="n">
        <v>4</v>
      </c>
      <c r="H6" s="77" t="n">
        <v>0.07</v>
      </c>
      <c r="I6" s="78" t="n">
        <f aca="false">+SUM($H$3:H6)</f>
        <v>0.995</v>
      </c>
      <c r="J6" s="79" t="n">
        <v>40</v>
      </c>
      <c r="K6" s="80" t="n">
        <f aca="false">+H6*J6</f>
        <v>2.8</v>
      </c>
      <c r="L6" s="81" t="n">
        <v>0</v>
      </c>
      <c r="N6" s="76" t="n">
        <v>4</v>
      </c>
      <c r="O6" s="77" t="n">
        <v>0.2</v>
      </c>
      <c r="P6" s="78" t="n">
        <f aca="false">+SUM($O$3:O6)</f>
        <v>0.83</v>
      </c>
      <c r="Q6" s="80" t="n">
        <f aca="false">+J6</f>
        <v>40</v>
      </c>
      <c r="R6" s="80" t="n">
        <f aca="false">+O6*Q6</f>
        <v>8</v>
      </c>
      <c r="S6" s="81" t="n">
        <v>0</v>
      </c>
      <c r="U6" s="76" t="n">
        <v>4</v>
      </c>
      <c r="V6" s="77" t="n">
        <v>0.2</v>
      </c>
      <c r="W6" s="78" t="n">
        <f aca="false">+SUM($V$3:V6)</f>
        <v>0.75</v>
      </c>
      <c r="X6" s="80" t="n">
        <f aca="false">+J6</f>
        <v>40</v>
      </c>
      <c r="Y6" s="80" t="n">
        <f aca="false">+V6*X6</f>
        <v>8</v>
      </c>
      <c r="Z6" s="81" t="n">
        <v>0</v>
      </c>
      <c r="AB6" s="76" t="n">
        <v>4</v>
      </c>
      <c r="AC6" s="77" t="n">
        <v>0.36</v>
      </c>
      <c r="AD6" s="78" t="n">
        <f aca="false">+SUM($AC$3:AC6)</f>
        <v>0.58</v>
      </c>
      <c r="AE6" s="80" t="n">
        <f aca="false">+J6</f>
        <v>40</v>
      </c>
      <c r="AF6" s="80" t="n">
        <f aca="false">+AC6*AE6</f>
        <v>14.4</v>
      </c>
      <c r="AG6" s="81" t="n">
        <v>0</v>
      </c>
      <c r="AI6" s="76" t="n">
        <v>4</v>
      </c>
      <c r="AJ6" s="77" t="n">
        <v>0</v>
      </c>
      <c r="AK6" s="78" t="n">
        <f aca="false">+SUM($AJ$3:AJ6)</f>
        <v>0</v>
      </c>
      <c r="AL6" s="80" t="n">
        <f aca="false">+J6</f>
        <v>40</v>
      </c>
      <c r="AM6" s="80" t="n">
        <f aca="false">+AJ6*AL6</f>
        <v>0</v>
      </c>
      <c r="AN6" s="81" t="n">
        <v>0</v>
      </c>
    </row>
    <row r="7" customFormat="false" ht="14.4" hidden="false" customHeight="false" outlineLevel="0" collapsed="false">
      <c r="A7" s="3" t="s">
        <v>125</v>
      </c>
      <c r="B7" s="74" t="n">
        <f aca="false">+E7/D7</f>
        <v>0.5</v>
      </c>
      <c r="C7" s="3" t="n">
        <v>0</v>
      </c>
      <c r="D7" s="82" t="n">
        <f aca="false">+AM10</f>
        <v>100</v>
      </c>
      <c r="E7" s="3" t="n">
        <v>50</v>
      </c>
      <c r="G7" s="76" t="n">
        <v>5</v>
      </c>
      <c r="H7" s="77" t="n">
        <v>0.003</v>
      </c>
      <c r="I7" s="78" t="n">
        <f aca="false">+SUM($H$3:H7)</f>
        <v>0.998</v>
      </c>
      <c r="J7" s="79" t="n">
        <v>75</v>
      </c>
      <c r="K7" s="80" t="n">
        <f aca="false">+H7*J7</f>
        <v>0.225</v>
      </c>
      <c r="L7" s="81" t="n">
        <v>0</v>
      </c>
      <c r="N7" s="76" t="n">
        <v>5</v>
      </c>
      <c r="O7" s="77" t="n">
        <v>0.1</v>
      </c>
      <c r="P7" s="78" t="n">
        <f aca="false">+SUM($O$3:O7)</f>
        <v>0.93</v>
      </c>
      <c r="Q7" s="80" t="n">
        <f aca="false">+J7</f>
        <v>75</v>
      </c>
      <c r="R7" s="80" t="n">
        <f aca="false">+O7*Q7</f>
        <v>7.5</v>
      </c>
      <c r="S7" s="81" t="n">
        <v>0</v>
      </c>
      <c r="U7" s="76" t="n">
        <v>5</v>
      </c>
      <c r="V7" s="77" t="n">
        <v>0.1</v>
      </c>
      <c r="W7" s="78" t="n">
        <f aca="false">+SUM($V$3:V7)</f>
        <v>0.85</v>
      </c>
      <c r="X7" s="80" t="n">
        <f aca="false">+J7</f>
        <v>75</v>
      </c>
      <c r="Y7" s="80" t="n">
        <f aca="false">+V7*X7</f>
        <v>7.5</v>
      </c>
      <c r="Z7" s="81" t="n">
        <v>0</v>
      </c>
      <c r="AB7" s="76" t="n">
        <v>5</v>
      </c>
      <c r="AC7" s="77" t="n">
        <v>0.39</v>
      </c>
      <c r="AD7" s="78" t="n">
        <f aca="false">+SUM($AC$3:AC7)</f>
        <v>0.97</v>
      </c>
      <c r="AE7" s="80" t="n">
        <f aca="false">+J7</f>
        <v>75</v>
      </c>
      <c r="AF7" s="80" t="n">
        <f aca="false">+AC7*AE7</f>
        <v>29.25</v>
      </c>
      <c r="AG7" s="81" t="n">
        <v>0</v>
      </c>
      <c r="AI7" s="76" t="n">
        <v>5</v>
      </c>
      <c r="AJ7" s="77" t="n">
        <v>0.52</v>
      </c>
      <c r="AK7" s="78" t="n">
        <f aca="false">+SUM($AJ$3:AJ7)</f>
        <v>0.52</v>
      </c>
      <c r="AL7" s="80" t="n">
        <f aca="false">+J7</f>
        <v>75</v>
      </c>
      <c r="AM7" s="80" t="n">
        <f aca="false">+AJ7*AL7</f>
        <v>39</v>
      </c>
      <c r="AN7" s="81" t="n">
        <v>0</v>
      </c>
    </row>
    <row r="8" customFormat="false" ht="14.4" hidden="false" customHeight="false" outlineLevel="0" collapsed="false">
      <c r="A8" s="3" t="s">
        <v>126</v>
      </c>
      <c r="B8" s="83" t="str">
        <f aca="false">+CONCATENATE("x",J3," - x",J9)</f>
        <v>x10 - x200</v>
      </c>
      <c r="G8" s="76" t="n">
        <v>6</v>
      </c>
      <c r="H8" s="77" t="n">
        <v>0.001</v>
      </c>
      <c r="I8" s="78" t="n">
        <f aca="false">+SUM($H$3:H8)</f>
        <v>0.999</v>
      </c>
      <c r="J8" s="79" t="n">
        <v>100</v>
      </c>
      <c r="K8" s="80" t="n">
        <f aca="false">+H8*J8</f>
        <v>0.1</v>
      </c>
      <c r="L8" s="81" t="n">
        <v>0</v>
      </c>
      <c r="N8" s="76" t="n">
        <v>6</v>
      </c>
      <c r="O8" s="77" t="n">
        <v>0.01</v>
      </c>
      <c r="P8" s="78" t="n">
        <f aca="false">+SUM($O$3:O8)</f>
        <v>0.94</v>
      </c>
      <c r="Q8" s="80" t="n">
        <f aca="false">+J8</f>
        <v>100</v>
      </c>
      <c r="R8" s="80" t="n">
        <f aca="false">+O8*Q8</f>
        <v>1</v>
      </c>
      <c r="S8" s="81" t="n">
        <v>0</v>
      </c>
      <c r="U8" s="76" t="n">
        <v>6</v>
      </c>
      <c r="V8" s="77" t="n">
        <v>0.08</v>
      </c>
      <c r="W8" s="78" t="n">
        <f aca="false">+SUM($V$3:V8)</f>
        <v>0.93</v>
      </c>
      <c r="X8" s="80" t="n">
        <f aca="false">+J8</f>
        <v>100</v>
      </c>
      <c r="Y8" s="80" t="n">
        <f aca="false">+V8*X8</f>
        <v>8</v>
      </c>
      <c r="Z8" s="81" t="n">
        <v>0</v>
      </c>
      <c r="AB8" s="76" t="n">
        <v>6</v>
      </c>
      <c r="AC8" s="77" t="n">
        <v>0.02</v>
      </c>
      <c r="AD8" s="78" t="n">
        <f aca="false">+SUM($AC$3:AC8)</f>
        <v>0.99</v>
      </c>
      <c r="AE8" s="80" t="n">
        <f aca="false">+J8</f>
        <v>100</v>
      </c>
      <c r="AF8" s="80" t="n">
        <f aca="false">+AC8*AE8</f>
        <v>2</v>
      </c>
      <c r="AG8" s="81" t="n">
        <v>0</v>
      </c>
      <c r="AI8" s="76" t="n">
        <v>6</v>
      </c>
      <c r="AJ8" s="77" t="n">
        <v>0.35</v>
      </c>
      <c r="AK8" s="78" t="n">
        <f aca="false">+SUM($AJ$3:AJ8)</f>
        <v>0.87</v>
      </c>
      <c r="AL8" s="80" t="n">
        <f aca="false">+J8</f>
        <v>100</v>
      </c>
      <c r="AM8" s="80" t="n">
        <f aca="false">+AJ8*AL8</f>
        <v>35</v>
      </c>
      <c r="AN8" s="81" t="n">
        <v>0</v>
      </c>
    </row>
    <row r="9" customFormat="false" ht="14.4" hidden="false" customHeight="false" outlineLevel="0" collapsed="false">
      <c r="G9" s="76" t="n">
        <v>7</v>
      </c>
      <c r="H9" s="84" t="n">
        <f aca="false">1-SUM(H3:H8)</f>
        <v>0.001</v>
      </c>
      <c r="I9" s="78" t="n">
        <f aca="false">+SUM($H$3:H9)</f>
        <v>1</v>
      </c>
      <c r="J9" s="79" t="n">
        <v>200</v>
      </c>
      <c r="K9" s="80" t="n">
        <f aca="false">+H9*J9</f>
        <v>0.2</v>
      </c>
      <c r="L9" s="81" t="n">
        <v>0</v>
      </c>
      <c r="N9" s="76" t="n">
        <v>7</v>
      </c>
      <c r="O9" s="84" t="n">
        <f aca="false">1-SUM(O3:O8)</f>
        <v>0.0600000000000001</v>
      </c>
      <c r="P9" s="78" t="n">
        <f aca="false">+SUM($O$3:O9)</f>
        <v>1</v>
      </c>
      <c r="Q9" s="80" t="n">
        <f aca="false">+J9</f>
        <v>200</v>
      </c>
      <c r="R9" s="80" t="n">
        <f aca="false">+O9*Q9</f>
        <v>12</v>
      </c>
      <c r="S9" s="81" t="n">
        <v>0</v>
      </c>
      <c r="U9" s="76" t="n">
        <v>7</v>
      </c>
      <c r="V9" s="84" t="n">
        <f aca="false">1-SUM(V3:V8)</f>
        <v>0.0700000000000001</v>
      </c>
      <c r="W9" s="78" t="n">
        <f aca="false">+SUM($V$3:V9)</f>
        <v>1</v>
      </c>
      <c r="X9" s="80" t="n">
        <f aca="false">+J9</f>
        <v>200</v>
      </c>
      <c r="Y9" s="80" t="n">
        <f aca="false">+V9*X9</f>
        <v>14</v>
      </c>
      <c r="Z9" s="81" t="n">
        <v>0</v>
      </c>
      <c r="AB9" s="76" t="n">
        <v>7</v>
      </c>
      <c r="AC9" s="84" t="n">
        <f aca="false">1-SUM(AC3:AC8)</f>
        <v>0.0099999999999999</v>
      </c>
      <c r="AD9" s="78" t="n">
        <f aca="false">+SUM($AC$3:AC9)</f>
        <v>1</v>
      </c>
      <c r="AE9" s="80" t="n">
        <f aca="false">+J9</f>
        <v>200</v>
      </c>
      <c r="AF9" s="80" t="n">
        <f aca="false">+AC9*AE9</f>
        <v>1.99999999999998</v>
      </c>
      <c r="AG9" s="81" t="n">
        <v>0</v>
      </c>
      <c r="AI9" s="76" t="n">
        <v>7</v>
      </c>
      <c r="AJ9" s="84" t="n">
        <f aca="false">1-SUM(AJ3:AJ8)</f>
        <v>0.13</v>
      </c>
      <c r="AK9" s="78" t="n">
        <f aca="false">+SUM($AJ$3:AJ9)</f>
        <v>1</v>
      </c>
      <c r="AL9" s="80" t="n">
        <f aca="false">+J9</f>
        <v>200</v>
      </c>
      <c r="AM9" s="80" t="n">
        <f aca="false">+AJ9*AL9</f>
        <v>26</v>
      </c>
      <c r="AN9" s="81" t="n">
        <v>0</v>
      </c>
    </row>
    <row r="10" customFormat="false" ht="14.4" hidden="false" customHeight="false" outlineLevel="0" collapsed="false">
      <c r="A10" s="85" t="s">
        <v>74</v>
      </c>
      <c r="G10" s="60" t="s">
        <v>78</v>
      </c>
      <c r="H10" s="60" t="n">
        <f aca="false">+SUM(H3:H9)</f>
        <v>1</v>
      </c>
      <c r="I10" s="60"/>
      <c r="J10" s="60"/>
      <c r="K10" s="61" t="n">
        <f aca="false">+SUM(K3:K9)</f>
        <v>15.225</v>
      </c>
      <c r="L10" s="61"/>
      <c r="N10" s="60" t="s">
        <v>78</v>
      </c>
      <c r="O10" s="60" t="n">
        <f aca="false">+SUM(O3:O9)</f>
        <v>1</v>
      </c>
      <c r="P10" s="60"/>
      <c r="Q10" s="60"/>
      <c r="R10" s="61" t="n">
        <f aca="false">+SUM(R3:R9)</f>
        <v>37.85</v>
      </c>
      <c r="S10" s="61"/>
      <c r="U10" s="60" t="s">
        <v>78</v>
      </c>
      <c r="V10" s="60" t="n">
        <f aca="false">+SUM(V3:V9)</f>
        <v>1</v>
      </c>
      <c r="W10" s="60"/>
      <c r="X10" s="60"/>
      <c r="Y10" s="61" t="n">
        <f aca="false">+SUM(Y3:Y9)</f>
        <v>46.25</v>
      </c>
      <c r="Z10" s="61"/>
      <c r="AB10" s="60" t="s">
        <v>78</v>
      </c>
      <c r="AC10" s="60" t="n">
        <f aca="false">+SUM(AC3:AC9)</f>
        <v>1</v>
      </c>
      <c r="AD10" s="60"/>
      <c r="AE10" s="60"/>
      <c r="AF10" s="61" t="n">
        <f aca="false">+SUM(AF3:AF9)</f>
        <v>51.7</v>
      </c>
      <c r="AG10" s="61"/>
      <c r="AI10" s="60" t="s">
        <v>78</v>
      </c>
      <c r="AJ10" s="60" t="n">
        <f aca="false">+SUM(AJ3:AJ9)</f>
        <v>1</v>
      </c>
      <c r="AK10" s="60"/>
      <c r="AL10" s="60"/>
      <c r="AM10" s="61" t="n">
        <f aca="false">+SUM(AM3:AM9)</f>
        <v>100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53">
      <formula>0</formula>
    </cfRule>
    <cfRule type="cellIs" priority="3" operator="greaterThan" aboveAverage="0" equalAverage="0" bottom="0" percent="0" rank="0" text="" dxfId="54">
      <formula>1</formula>
    </cfRule>
  </conditionalFormatting>
  <conditionalFormatting sqref="H3:H9 O3:O9 AJ3:AJ9 V3:V9 AC3:AC9">
    <cfRule type="cellIs" priority="4" operator="equal" aboveAverage="0" equalAverage="0" bottom="0" percent="0" rank="0" text="" dxfId="55">
      <formula>0</formula>
    </cfRule>
  </conditionalFormatting>
  <conditionalFormatting sqref="B3:B7">
    <cfRule type="cellIs" priority="5" operator="greaterThan" aboveAverage="0" equalAverage="0" bottom="0" percent="0" rank="0" text="" dxfId="56">
      <formula>1</formula>
    </cfRule>
    <cfRule type="cellIs" priority="6" operator="lessThan" aboveAverage="0" equalAverage="0" bottom="0" percent="0" rank="0" text="" dxfId="57">
      <formula>0</formula>
    </cfRule>
  </conditionalFormatting>
  <conditionalFormatting sqref="AJ3:AJ8">
    <cfRule type="cellIs" priority="7" operator="lessThan" aboveAverage="0" equalAverage="0" bottom="0" percent="0" rank="0" text="" dxfId="58">
      <formula>0</formula>
    </cfRule>
    <cfRule type="cellIs" priority="8" operator="greaterThan" aboveAverage="0" equalAverage="0" bottom="0" percent="0" rank="0" text="" dxfId="59">
      <formula>1</formula>
    </cfRule>
  </conditionalFormatting>
  <conditionalFormatting sqref="AJ3:AJ8">
    <cfRule type="cellIs" priority="9" operator="equal" aboveAverage="0" equalAverage="0" bottom="0" percent="0" rank="0" text="" dxfId="60">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4.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D18" activeCellId="0" sqref="D18"/>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7.22"/>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142</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0.0430213464696223</v>
      </c>
      <c r="C3" s="3" t="n">
        <f aca="false">1/B3/Summary!$C$7</f>
        <v>0.0232442748091603</v>
      </c>
      <c r="D3" s="75" t="n">
        <f aca="false">+K10</f>
        <v>15.225</v>
      </c>
      <c r="E3" s="3" t="n">
        <v>0.655</v>
      </c>
      <c r="G3" s="76" t="n">
        <v>1</v>
      </c>
      <c r="H3" s="77" t="n">
        <v>0.5</v>
      </c>
      <c r="I3" s="78" t="n">
        <f aca="false">+SUM($H3:H3)</f>
        <v>0.5</v>
      </c>
      <c r="J3" s="79" t="n">
        <v>10</v>
      </c>
      <c r="K3" s="80" t="n">
        <f aca="false">+H3*J3</f>
        <v>5</v>
      </c>
      <c r="L3" s="81" t="n">
        <v>0</v>
      </c>
      <c r="N3" s="76" t="n">
        <v>1</v>
      </c>
      <c r="O3" s="77" t="n">
        <v>0.2</v>
      </c>
      <c r="P3" s="78" t="n">
        <f aca="false">+SUM($O3:O$3)</f>
        <v>0.2</v>
      </c>
      <c r="Q3" s="80" t="n">
        <f aca="false">+J3</f>
        <v>10</v>
      </c>
      <c r="R3" s="80" t="n">
        <f aca="false">+O3*Q3</f>
        <v>2</v>
      </c>
      <c r="S3" s="81" t="n">
        <v>0</v>
      </c>
      <c r="U3" s="76" t="n">
        <v>1</v>
      </c>
      <c r="V3" s="77" t="n">
        <v>0.05</v>
      </c>
      <c r="W3" s="78" t="n">
        <f aca="false">+SUM($V3:V$3)</f>
        <v>0.05</v>
      </c>
      <c r="X3" s="80" t="n">
        <f aca="false">+J3</f>
        <v>10</v>
      </c>
      <c r="Y3" s="80" t="n">
        <f aca="false">+V3*X3</f>
        <v>0.5</v>
      </c>
      <c r="Z3" s="81" t="n">
        <v>0</v>
      </c>
      <c r="AB3" s="76" t="n">
        <v>1</v>
      </c>
      <c r="AC3" s="77" t="n">
        <v>0.03</v>
      </c>
      <c r="AD3" s="78" t="n">
        <f aca="false">+SUM($AC$3:AC3)</f>
        <v>0.03</v>
      </c>
      <c r="AE3" s="80" t="n">
        <f aca="false">+J3</f>
        <v>10</v>
      </c>
      <c r="AF3" s="80" t="n">
        <f aca="false">+AC3*AE3</f>
        <v>0.3</v>
      </c>
      <c r="AG3" s="81" t="n">
        <v>0</v>
      </c>
      <c r="AI3" s="76" t="n">
        <v>1</v>
      </c>
      <c r="AJ3" s="77" t="n">
        <v>0</v>
      </c>
      <c r="AK3" s="78" t="n">
        <f aca="false">+SUM($AJ$3:AJ3)</f>
        <v>0</v>
      </c>
      <c r="AL3" s="80" t="n">
        <f aca="false">+J3</f>
        <v>10</v>
      </c>
      <c r="AM3" s="80" t="n">
        <f aca="false">+AJ3*AL3</f>
        <v>0</v>
      </c>
      <c r="AN3" s="81" t="n">
        <v>0</v>
      </c>
    </row>
    <row r="4" customFormat="false" ht="14.4" hidden="false" customHeight="false" outlineLevel="0" collapsed="false">
      <c r="A4" s="3" t="s">
        <v>122</v>
      </c>
      <c r="B4" s="74" t="n">
        <f aca="false">+E4/D4</f>
        <v>0.132100396301189</v>
      </c>
      <c r="C4" s="3" t="n">
        <v>0</v>
      </c>
      <c r="D4" s="82" t="n">
        <f aca="false">+R10</f>
        <v>37.85</v>
      </c>
      <c r="E4" s="3" t="n">
        <v>5</v>
      </c>
      <c r="G4" s="76" t="n">
        <v>2</v>
      </c>
      <c r="H4" s="77" t="n">
        <v>0.32</v>
      </c>
      <c r="I4" s="78" t="n">
        <f aca="false">+SUM($H$3:H4)</f>
        <v>0.82</v>
      </c>
      <c r="J4" s="79" t="n">
        <v>15</v>
      </c>
      <c r="K4" s="80" t="n">
        <f aca="false">+H4*J4</f>
        <v>4.8</v>
      </c>
      <c r="L4" s="81" t="n">
        <v>0</v>
      </c>
      <c r="N4" s="76" t="n">
        <v>2</v>
      </c>
      <c r="O4" s="77" t="n">
        <v>0.25</v>
      </c>
      <c r="P4" s="78" t="n">
        <f aca="false">+SUM($O$3:O4)</f>
        <v>0.45</v>
      </c>
      <c r="Q4" s="80" t="n">
        <f aca="false">+J4</f>
        <v>15</v>
      </c>
      <c r="R4" s="80" t="n">
        <f aca="false">+O4*Q4</f>
        <v>3.75</v>
      </c>
      <c r="S4" s="81" t="n">
        <v>0</v>
      </c>
      <c r="U4" s="76" t="n">
        <v>2</v>
      </c>
      <c r="V4" s="77" t="n">
        <v>0.3</v>
      </c>
      <c r="W4" s="78" t="n">
        <f aca="false">+SUM($V$3:V4)</f>
        <v>0.35</v>
      </c>
      <c r="X4" s="80" t="n">
        <f aca="false">+J4</f>
        <v>15</v>
      </c>
      <c r="Y4" s="80" t="n">
        <f aca="false">+V4*X4</f>
        <v>4.5</v>
      </c>
      <c r="Z4" s="81" t="n">
        <v>0</v>
      </c>
      <c r="AB4" s="76" t="n">
        <v>2</v>
      </c>
      <c r="AC4" s="77" t="n">
        <v>0.05</v>
      </c>
      <c r="AD4" s="78" t="n">
        <f aca="false">+SUM($AC$3:AC4)</f>
        <v>0.08</v>
      </c>
      <c r="AE4" s="80" t="n">
        <f aca="false">+J4</f>
        <v>15</v>
      </c>
      <c r="AF4" s="80" t="n">
        <f aca="false">+AC4*AE4</f>
        <v>0.75</v>
      </c>
      <c r="AG4" s="81" t="n">
        <v>0</v>
      </c>
      <c r="AI4" s="76" t="n">
        <v>2</v>
      </c>
      <c r="AJ4" s="77" t="n">
        <v>0</v>
      </c>
      <c r="AK4" s="78" t="n">
        <f aca="false">+SUM($AJ$3:AJ4)</f>
        <v>0</v>
      </c>
      <c r="AL4" s="80" t="n">
        <f aca="false">+J4</f>
        <v>15</v>
      </c>
      <c r="AM4" s="80" t="n">
        <f aca="false">+AJ4*AL4</f>
        <v>0</v>
      </c>
      <c r="AN4" s="81" t="n">
        <v>0</v>
      </c>
    </row>
    <row r="5" customFormat="false" ht="14.4" hidden="false" customHeight="false" outlineLevel="0" collapsed="false">
      <c r="A5" s="3" t="s">
        <v>123</v>
      </c>
      <c r="B5" s="74" t="n">
        <f aca="false">+E5/D5</f>
        <v>0.171673819742489</v>
      </c>
      <c r="C5" s="3" t="n">
        <v>0</v>
      </c>
      <c r="D5" s="82" t="n">
        <f aca="false">+Y10</f>
        <v>46.6</v>
      </c>
      <c r="E5" s="3" t="n">
        <v>8</v>
      </c>
      <c r="G5" s="76" t="n">
        <v>3</v>
      </c>
      <c r="H5" s="77" t="n">
        <v>0.105</v>
      </c>
      <c r="I5" s="78" t="n">
        <f aca="false">+SUM($H$3:H5)</f>
        <v>0.925</v>
      </c>
      <c r="J5" s="79" t="n">
        <v>20</v>
      </c>
      <c r="K5" s="80" t="n">
        <f aca="false">+H5*J5</f>
        <v>2.1</v>
      </c>
      <c r="L5" s="81" t="n">
        <v>0</v>
      </c>
      <c r="N5" s="76" t="n">
        <v>3</v>
      </c>
      <c r="O5" s="77" t="n">
        <v>0.18</v>
      </c>
      <c r="P5" s="78" t="n">
        <f aca="false">+SUM($O$3:O5)</f>
        <v>0.63</v>
      </c>
      <c r="Q5" s="80" t="n">
        <f aca="false">+J5</f>
        <v>20</v>
      </c>
      <c r="R5" s="80" t="n">
        <f aca="false">+O5*Q5</f>
        <v>3.6</v>
      </c>
      <c r="S5" s="81" t="n">
        <v>0</v>
      </c>
      <c r="U5" s="76" t="n">
        <v>3</v>
      </c>
      <c r="V5" s="77" t="n">
        <v>0.18</v>
      </c>
      <c r="W5" s="78" t="n">
        <f aca="false">+SUM($V$3:V5)</f>
        <v>0.53</v>
      </c>
      <c r="X5" s="80" t="n">
        <f aca="false">+J5</f>
        <v>20</v>
      </c>
      <c r="Y5" s="80" t="n">
        <f aca="false">+V5*X5</f>
        <v>3.6</v>
      </c>
      <c r="Z5" s="81" t="n">
        <v>0</v>
      </c>
      <c r="AB5" s="76" t="n">
        <v>3</v>
      </c>
      <c r="AC5" s="77" t="n">
        <v>0.23</v>
      </c>
      <c r="AD5" s="78" t="n">
        <f aca="false">+SUM($AC$3:AC5)</f>
        <v>0.31</v>
      </c>
      <c r="AE5" s="80" t="n">
        <f aca="false">+J5</f>
        <v>20</v>
      </c>
      <c r="AF5" s="80" t="n">
        <f aca="false">+AC5*AE5</f>
        <v>4.6</v>
      </c>
      <c r="AG5" s="81" t="n">
        <v>0</v>
      </c>
      <c r="AI5" s="76" t="n">
        <v>3</v>
      </c>
      <c r="AJ5" s="77" t="n">
        <v>0</v>
      </c>
      <c r="AK5" s="78" t="n">
        <f aca="false">+SUM($AJ$3:AJ5)</f>
        <v>0</v>
      </c>
      <c r="AL5" s="80" t="n">
        <f aca="false">+J5</f>
        <v>20</v>
      </c>
      <c r="AM5" s="80" t="n">
        <f aca="false">+AJ5*AL5</f>
        <v>0</v>
      </c>
      <c r="AN5" s="81" t="n">
        <v>0</v>
      </c>
    </row>
    <row r="6" customFormat="false" ht="14.4" hidden="false" customHeight="false" outlineLevel="0" collapsed="false">
      <c r="A6" s="3" t="s">
        <v>124</v>
      </c>
      <c r="B6" s="74" t="n">
        <f aca="false">+E6/D6</f>
        <v>0.192864030858245</v>
      </c>
      <c r="C6" s="3" t="n">
        <v>0</v>
      </c>
      <c r="D6" s="82" t="n">
        <f aca="false">+AF10</f>
        <v>51.85</v>
      </c>
      <c r="E6" s="3" t="n">
        <v>10</v>
      </c>
      <c r="G6" s="76" t="n">
        <v>4</v>
      </c>
      <c r="H6" s="77" t="n">
        <v>0.07</v>
      </c>
      <c r="I6" s="78" t="n">
        <f aca="false">+SUM($H$3:H6)</f>
        <v>0.995</v>
      </c>
      <c r="J6" s="79" t="n">
        <v>40</v>
      </c>
      <c r="K6" s="80" t="n">
        <f aca="false">+H6*J6</f>
        <v>2.8</v>
      </c>
      <c r="L6" s="81" t="n">
        <v>0</v>
      </c>
      <c r="N6" s="76" t="n">
        <v>4</v>
      </c>
      <c r="O6" s="77" t="n">
        <v>0.2</v>
      </c>
      <c r="P6" s="78" t="n">
        <f aca="false">+SUM($O$3:O6)</f>
        <v>0.83</v>
      </c>
      <c r="Q6" s="80" t="n">
        <f aca="false">+J6</f>
        <v>40</v>
      </c>
      <c r="R6" s="80" t="n">
        <f aca="false">+O6*Q6</f>
        <v>8</v>
      </c>
      <c r="S6" s="81" t="n">
        <v>0</v>
      </c>
      <c r="U6" s="76" t="n">
        <v>4</v>
      </c>
      <c r="V6" s="77" t="n">
        <v>0.2</v>
      </c>
      <c r="W6" s="78" t="n">
        <f aca="false">+SUM($V$3:V6)</f>
        <v>0.73</v>
      </c>
      <c r="X6" s="80" t="n">
        <f aca="false">+J6</f>
        <v>40</v>
      </c>
      <c r="Y6" s="80" t="n">
        <f aca="false">+V6*X6</f>
        <v>8</v>
      </c>
      <c r="Z6" s="81" t="n">
        <v>0</v>
      </c>
      <c r="AB6" s="76" t="n">
        <v>4</v>
      </c>
      <c r="AC6" s="77" t="n">
        <v>0.23</v>
      </c>
      <c r="AD6" s="78" t="n">
        <f aca="false">+SUM($AC$3:AC6)</f>
        <v>0.54</v>
      </c>
      <c r="AE6" s="80" t="n">
        <f aca="false">+J6</f>
        <v>40</v>
      </c>
      <c r="AF6" s="80" t="n">
        <f aca="false">+AC6*AE6</f>
        <v>9.2</v>
      </c>
      <c r="AG6" s="81" t="n">
        <v>0</v>
      </c>
      <c r="AI6" s="76" t="n">
        <v>4</v>
      </c>
      <c r="AJ6" s="77" t="n">
        <v>0</v>
      </c>
      <c r="AK6" s="78" t="n">
        <f aca="false">+SUM($AJ$3:AJ6)</f>
        <v>0</v>
      </c>
      <c r="AL6" s="80" t="n">
        <f aca="false">+J6</f>
        <v>40</v>
      </c>
      <c r="AM6" s="80" t="n">
        <f aca="false">+AJ6*AL6</f>
        <v>0</v>
      </c>
      <c r="AN6" s="81" t="n">
        <v>0</v>
      </c>
    </row>
    <row r="7" customFormat="false" ht="14.4" hidden="false" customHeight="false" outlineLevel="0" collapsed="false">
      <c r="A7" s="3" t="s">
        <v>125</v>
      </c>
      <c r="B7" s="74" t="n">
        <f aca="false">+E7/D7</f>
        <v>0.5</v>
      </c>
      <c r="C7" s="3" t="n">
        <v>0</v>
      </c>
      <c r="D7" s="82" t="n">
        <f aca="false">+AM10</f>
        <v>100</v>
      </c>
      <c r="E7" s="3" t="n">
        <v>50</v>
      </c>
      <c r="G7" s="76" t="n">
        <v>5</v>
      </c>
      <c r="H7" s="77" t="n">
        <v>0.003</v>
      </c>
      <c r="I7" s="78" t="n">
        <f aca="false">+SUM($H$3:H7)</f>
        <v>0.998</v>
      </c>
      <c r="J7" s="79" t="n">
        <v>75</v>
      </c>
      <c r="K7" s="80" t="n">
        <f aca="false">+H7*J7</f>
        <v>0.225</v>
      </c>
      <c r="L7" s="81" t="n">
        <v>0</v>
      </c>
      <c r="N7" s="76" t="n">
        <v>5</v>
      </c>
      <c r="O7" s="77" t="n">
        <v>0.1</v>
      </c>
      <c r="P7" s="78" t="n">
        <f aca="false">+SUM($O$3:O7)</f>
        <v>0.93</v>
      </c>
      <c r="Q7" s="80" t="n">
        <f aca="false">+J7</f>
        <v>75</v>
      </c>
      <c r="R7" s="80" t="n">
        <f aca="false">+O7*Q7</f>
        <v>7.5</v>
      </c>
      <c r="S7" s="81" t="n">
        <v>0</v>
      </c>
      <c r="U7" s="76" t="n">
        <v>5</v>
      </c>
      <c r="V7" s="77" t="n">
        <v>0.12</v>
      </c>
      <c r="W7" s="78" t="n">
        <f aca="false">+SUM($V$3:V7)</f>
        <v>0.85</v>
      </c>
      <c r="X7" s="80" t="n">
        <f aca="false">+J7</f>
        <v>75</v>
      </c>
      <c r="Y7" s="80" t="n">
        <f aca="false">+V7*X7</f>
        <v>9</v>
      </c>
      <c r="Z7" s="81" t="n">
        <v>0</v>
      </c>
      <c r="AB7" s="76" t="n">
        <v>5</v>
      </c>
      <c r="AC7" s="77" t="n">
        <v>0.4</v>
      </c>
      <c r="AD7" s="78" t="n">
        <f aca="false">+SUM($AC$3:AC7)</f>
        <v>0.94</v>
      </c>
      <c r="AE7" s="80" t="n">
        <f aca="false">+J7</f>
        <v>75</v>
      </c>
      <c r="AF7" s="80" t="n">
        <f aca="false">+AC7*AE7</f>
        <v>30</v>
      </c>
      <c r="AG7" s="81" t="n">
        <v>0</v>
      </c>
      <c r="AI7" s="76" t="n">
        <v>5</v>
      </c>
      <c r="AJ7" s="77" t="n">
        <v>0.52</v>
      </c>
      <c r="AK7" s="78" t="n">
        <f aca="false">+SUM($AJ$3:AJ7)</f>
        <v>0.52</v>
      </c>
      <c r="AL7" s="80" t="n">
        <f aca="false">+J7</f>
        <v>75</v>
      </c>
      <c r="AM7" s="80" t="n">
        <f aca="false">+AJ7*AL7</f>
        <v>39</v>
      </c>
      <c r="AN7" s="81" t="n">
        <v>0</v>
      </c>
    </row>
    <row r="8" customFormat="false" ht="14.4" hidden="false" customHeight="false" outlineLevel="0" collapsed="false">
      <c r="A8" s="3" t="s">
        <v>126</v>
      </c>
      <c r="B8" s="83" t="str">
        <f aca="false">+CONCATENATE("x",J3," - x",J9)</f>
        <v>x10 - x200</v>
      </c>
      <c r="G8" s="76" t="n">
        <v>6</v>
      </c>
      <c r="H8" s="77" t="n">
        <v>0.001</v>
      </c>
      <c r="I8" s="78" t="n">
        <f aca="false">+SUM($H$3:H8)</f>
        <v>0.999</v>
      </c>
      <c r="J8" s="79" t="n">
        <v>100</v>
      </c>
      <c r="K8" s="80" t="n">
        <f aca="false">+H8*J8</f>
        <v>0.1</v>
      </c>
      <c r="L8" s="81" t="n">
        <v>0</v>
      </c>
      <c r="N8" s="76" t="n">
        <v>6</v>
      </c>
      <c r="O8" s="77" t="n">
        <v>0.01</v>
      </c>
      <c r="P8" s="78" t="n">
        <f aca="false">+SUM($O$3:O8)</f>
        <v>0.94</v>
      </c>
      <c r="Q8" s="80" t="n">
        <f aca="false">+J8</f>
        <v>100</v>
      </c>
      <c r="R8" s="80" t="n">
        <f aca="false">+O8*Q8</f>
        <v>1</v>
      </c>
      <c r="S8" s="81" t="n">
        <v>0</v>
      </c>
      <c r="U8" s="76" t="n">
        <v>6</v>
      </c>
      <c r="V8" s="77" t="n">
        <v>0.09</v>
      </c>
      <c r="W8" s="78" t="n">
        <f aca="false">+SUM($V$3:V8)</f>
        <v>0.94</v>
      </c>
      <c r="X8" s="80" t="n">
        <f aca="false">+J8</f>
        <v>100</v>
      </c>
      <c r="Y8" s="80" t="n">
        <f aca="false">+V8*X8</f>
        <v>9</v>
      </c>
      <c r="Z8" s="81" t="n">
        <v>0</v>
      </c>
      <c r="AB8" s="76" t="n">
        <v>6</v>
      </c>
      <c r="AC8" s="77" t="n">
        <v>0.05</v>
      </c>
      <c r="AD8" s="78" t="n">
        <f aca="false">+SUM($AC$3:AC8)</f>
        <v>0.99</v>
      </c>
      <c r="AE8" s="80" t="n">
        <f aca="false">+J8</f>
        <v>100</v>
      </c>
      <c r="AF8" s="80" t="n">
        <f aca="false">+AC8*AE8</f>
        <v>5</v>
      </c>
      <c r="AG8" s="81" t="n">
        <v>0</v>
      </c>
      <c r="AI8" s="76" t="n">
        <v>6</v>
      </c>
      <c r="AJ8" s="77" t="n">
        <v>0.35</v>
      </c>
      <c r="AK8" s="78" t="n">
        <f aca="false">+SUM($AJ$3:AJ8)</f>
        <v>0.87</v>
      </c>
      <c r="AL8" s="80" t="n">
        <f aca="false">+J8</f>
        <v>100</v>
      </c>
      <c r="AM8" s="80" t="n">
        <f aca="false">+AJ8*AL8</f>
        <v>35</v>
      </c>
      <c r="AN8" s="81" t="n">
        <v>0</v>
      </c>
    </row>
    <row r="9" customFormat="false" ht="14.4" hidden="false" customHeight="false" outlineLevel="0" collapsed="false">
      <c r="G9" s="76" t="n">
        <v>7</v>
      </c>
      <c r="H9" s="84" t="n">
        <f aca="false">1-SUM(H3:H8)</f>
        <v>0.001</v>
      </c>
      <c r="I9" s="78" t="n">
        <f aca="false">+SUM($H$3:H9)</f>
        <v>1</v>
      </c>
      <c r="J9" s="79" t="n">
        <v>200</v>
      </c>
      <c r="K9" s="80" t="n">
        <f aca="false">+H9*J9</f>
        <v>0.2</v>
      </c>
      <c r="L9" s="81" t="n">
        <v>0</v>
      </c>
      <c r="N9" s="76" t="n">
        <v>7</v>
      </c>
      <c r="O9" s="84" t="n">
        <f aca="false">1-SUM(O3:O8)</f>
        <v>0.0600000000000001</v>
      </c>
      <c r="P9" s="78" t="n">
        <f aca="false">+SUM($O$3:O9)</f>
        <v>1</v>
      </c>
      <c r="Q9" s="80" t="n">
        <f aca="false">+J9</f>
        <v>200</v>
      </c>
      <c r="R9" s="80" t="n">
        <f aca="false">+O9*Q9</f>
        <v>12</v>
      </c>
      <c r="S9" s="81" t="n">
        <v>0</v>
      </c>
      <c r="U9" s="76" t="n">
        <v>7</v>
      </c>
      <c r="V9" s="84" t="n">
        <f aca="false">1-SUM(V3:V8)</f>
        <v>0.06</v>
      </c>
      <c r="W9" s="78" t="n">
        <f aca="false">+SUM($V$3:V9)</f>
        <v>1</v>
      </c>
      <c r="X9" s="80" t="n">
        <f aca="false">+J9</f>
        <v>200</v>
      </c>
      <c r="Y9" s="80" t="n">
        <f aca="false">+V9*X9</f>
        <v>12</v>
      </c>
      <c r="Z9" s="81" t="n">
        <v>0</v>
      </c>
      <c r="AB9" s="76" t="n">
        <v>7</v>
      </c>
      <c r="AC9" s="84" t="n">
        <f aca="false">1-SUM(AC3:AC8)</f>
        <v>0.0099999999999999</v>
      </c>
      <c r="AD9" s="78" t="n">
        <f aca="false">+SUM($AC$3:AC9)</f>
        <v>1</v>
      </c>
      <c r="AE9" s="80" t="n">
        <f aca="false">+J9</f>
        <v>200</v>
      </c>
      <c r="AF9" s="80" t="n">
        <f aca="false">+AC9*AE9</f>
        <v>1.99999999999998</v>
      </c>
      <c r="AG9" s="81" t="n">
        <v>0</v>
      </c>
      <c r="AI9" s="76" t="n">
        <v>7</v>
      </c>
      <c r="AJ9" s="84" t="n">
        <f aca="false">1-SUM(AJ3:AJ8)</f>
        <v>0.13</v>
      </c>
      <c r="AK9" s="78" t="n">
        <f aca="false">+SUM($AJ$3:AJ9)</f>
        <v>1</v>
      </c>
      <c r="AL9" s="80" t="n">
        <f aca="false">+J9</f>
        <v>200</v>
      </c>
      <c r="AM9" s="80" t="n">
        <f aca="false">+AJ9*AL9</f>
        <v>26</v>
      </c>
      <c r="AN9" s="81" t="n">
        <v>0</v>
      </c>
    </row>
    <row r="10" customFormat="false" ht="14.4" hidden="false" customHeight="false" outlineLevel="0" collapsed="false">
      <c r="A10" s="85" t="s">
        <v>43</v>
      </c>
      <c r="G10" s="60" t="s">
        <v>78</v>
      </c>
      <c r="H10" s="60" t="n">
        <f aca="false">+SUM(H3:H9)</f>
        <v>1</v>
      </c>
      <c r="I10" s="60"/>
      <c r="J10" s="60"/>
      <c r="K10" s="61" t="n">
        <f aca="false">+SUM(K3:K9)</f>
        <v>15.225</v>
      </c>
      <c r="L10" s="61"/>
      <c r="N10" s="60" t="s">
        <v>78</v>
      </c>
      <c r="O10" s="60" t="n">
        <f aca="false">+SUM(O3:O9)</f>
        <v>1</v>
      </c>
      <c r="P10" s="60"/>
      <c r="Q10" s="60"/>
      <c r="R10" s="61" t="n">
        <f aca="false">+SUM(R3:R9)</f>
        <v>37.85</v>
      </c>
      <c r="S10" s="61"/>
      <c r="U10" s="60" t="s">
        <v>78</v>
      </c>
      <c r="V10" s="60" t="n">
        <f aca="false">+SUM(V3:V9)</f>
        <v>1</v>
      </c>
      <c r="W10" s="60"/>
      <c r="X10" s="60"/>
      <c r="Y10" s="61" t="n">
        <f aca="false">+SUM(Y3:Y9)</f>
        <v>46.6</v>
      </c>
      <c r="Z10" s="61"/>
      <c r="AB10" s="60" t="s">
        <v>78</v>
      </c>
      <c r="AC10" s="60" t="n">
        <f aca="false">+SUM(AC3:AC9)</f>
        <v>1</v>
      </c>
      <c r="AD10" s="60"/>
      <c r="AE10" s="60"/>
      <c r="AF10" s="61" t="n">
        <f aca="false">+SUM(AF3:AF9)</f>
        <v>51.85</v>
      </c>
      <c r="AG10" s="61"/>
      <c r="AI10" s="60" t="s">
        <v>78</v>
      </c>
      <c r="AJ10" s="60" t="n">
        <f aca="false">+SUM(AJ3:AJ9)</f>
        <v>1</v>
      </c>
      <c r="AK10" s="60"/>
      <c r="AL10" s="60"/>
      <c r="AM10" s="61" t="n">
        <f aca="false">+SUM(AM3:AM9)</f>
        <v>100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10000</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aboveAverage="0" equalAverage="0" bottom="0" percent="0" rank="0" text="" dxfId="61">
      <formula>0</formula>
    </cfRule>
    <cfRule type="cellIs" priority="3" operator="greaterThan" aboveAverage="0" equalAverage="0" bottom="0" percent="0" rank="0" text="" dxfId="62">
      <formula>1</formula>
    </cfRule>
  </conditionalFormatting>
  <conditionalFormatting sqref="H3:H9 O3:O9 AJ3:AJ9 V3:V9 AC3:AC9">
    <cfRule type="cellIs" priority="4" operator="equal" aboveAverage="0" equalAverage="0" bottom="0" percent="0" rank="0" text="" dxfId="63">
      <formula>0</formula>
    </cfRule>
  </conditionalFormatting>
  <conditionalFormatting sqref="B3:B7">
    <cfRule type="cellIs" priority="5" operator="greaterThan" aboveAverage="0" equalAverage="0" bottom="0" percent="0" rank="0" text="" dxfId="64">
      <formula>1</formula>
    </cfRule>
    <cfRule type="cellIs" priority="6" operator="lessThan" aboveAverage="0" equalAverage="0" bottom="0" percent="0" rank="0" text="" dxfId="65">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I2" activePane="bottomRight" state="frozen"/>
      <selection pane="topLeft" activeCell="A1" activeCellId="0" sqref="A1"/>
      <selection pane="topRight" activeCell="I1" activeCellId="0" sqref="I1"/>
      <selection pane="bottomLeft" activeCell="A2" activeCellId="0" sqref="A2"/>
      <selection pane="bottomRight" activeCell="R3" activeCellId="0" sqref="R3"/>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5.89"/>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143</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0.00578787878787879</v>
      </c>
      <c r="C3" s="3" t="n">
        <v>0</v>
      </c>
      <c r="D3" s="75" t="n">
        <f aca="false">+K10</f>
        <v>165</v>
      </c>
      <c r="E3" s="3" t="n">
        <v>0.955</v>
      </c>
      <c r="G3" s="76" t="n">
        <v>1</v>
      </c>
      <c r="H3" s="77" t="n">
        <v>0.3</v>
      </c>
      <c r="I3" s="78" t="n">
        <f aca="false">+SUM($H3:H3)</f>
        <v>0.3</v>
      </c>
      <c r="J3" s="79" t="n">
        <v>50</v>
      </c>
      <c r="K3" s="80" t="n">
        <f aca="false">+H3*J3</f>
        <v>15</v>
      </c>
      <c r="L3" s="81" t="n">
        <v>0</v>
      </c>
      <c r="N3" s="76" t="n">
        <v>1</v>
      </c>
      <c r="O3" s="77" t="n">
        <v>0.04</v>
      </c>
      <c r="P3" s="78" t="n">
        <f aca="false">+SUM($O3:O$3)</f>
        <v>0.04</v>
      </c>
      <c r="Q3" s="80" t="n">
        <f aca="false">+J3</f>
        <v>50</v>
      </c>
      <c r="R3" s="80" t="n">
        <f aca="false">+O3*Q3</f>
        <v>2</v>
      </c>
      <c r="S3" s="81" t="n">
        <v>0</v>
      </c>
      <c r="U3" s="76" t="n">
        <v>1</v>
      </c>
      <c r="V3" s="77" t="n">
        <v>0.04</v>
      </c>
      <c r="W3" s="78" t="n">
        <f aca="false">+SUM($V3:V$3)</f>
        <v>0.04</v>
      </c>
      <c r="X3" s="80" t="n">
        <f aca="false">+J3</f>
        <v>50</v>
      </c>
      <c r="Y3" s="80" t="n">
        <f aca="false">+V3*X3</f>
        <v>2</v>
      </c>
      <c r="Z3" s="81" t="n">
        <v>0</v>
      </c>
      <c r="AB3" s="76" t="n">
        <v>1</v>
      </c>
      <c r="AC3" s="77" t="n">
        <v>0</v>
      </c>
      <c r="AD3" s="78" t="n">
        <f aca="false">+SUM($AC$3:AC3)</f>
        <v>0</v>
      </c>
      <c r="AE3" s="80" t="n">
        <f aca="false">+J3</f>
        <v>50</v>
      </c>
      <c r="AF3" s="80" t="n">
        <f aca="false">+AC3*AE3</f>
        <v>0</v>
      </c>
      <c r="AG3" s="81" t="n">
        <v>0</v>
      </c>
      <c r="AI3" s="76" t="n">
        <v>1</v>
      </c>
      <c r="AJ3" s="77" t="n">
        <v>0</v>
      </c>
      <c r="AK3" s="78" t="n">
        <f aca="false">+SUM($AJ$3:AJ3)</f>
        <v>0</v>
      </c>
      <c r="AL3" s="80" t="n">
        <f aca="false">+J3</f>
        <v>50</v>
      </c>
      <c r="AM3" s="80" t="n">
        <f aca="false">+AJ3*AL3</f>
        <v>0</v>
      </c>
      <c r="AN3" s="81" t="n">
        <v>0</v>
      </c>
    </row>
    <row r="4" customFormat="false" ht="14.4" hidden="false" customHeight="false" outlineLevel="0" collapsed="false">
      <c r="A4" s="3" t="s">
        <v>122</v>
      </c>
      <c r="B4" s="74" t="n">
        <f aca="false">+E4/D4</f>
        <v>0.0175746924428822</v>
      </c>
      <c r="C4" s="3" t="n">
        <v>0</v>
      </c>
      <c r="D4" s="82" t="n">
        <f aca="false">+R10</f>
        <v>284.5</v>
      </c>
      <c r="E4" s="3" t="n">
        <v>5</v>
      </c>
      <c r="G4" s="76" t="n">
        <v>2</v>
      </c>
      <c r="H4" s="77" t="n">
        <v>0.45</v>
      </c>
      <c r="I4" s="78" t="n">
        <f aca="false">+SUM($H$3:H4)</f>
        <v>0.75</v>
      </c>
      <c r="J4" s="79" t="n">
        <v>100</v>
      </c>
      <c r="K4" s="80" t="n">
        <f aca="false">+H4*J4</f>
        <v>45</v>
      </c>
      <c r="L4" s="81" t="n">
        <v>0</v>
      </c>
      <c r="N4" s="76" t="n">
        <v>2</v>
      </c>
      <c r="O4" s="77" t="n">
        <v>0.3</v>
      </c>
      <c r="P4" s="78" t="n">
        <f aca="false">+SUM($O$3:O4)</f>
        <v>0.34</v>
      </c>
      <c r="Q4" s="80" t="n">
        <f aca="false">+J4</f>
        <v>100</v>
      </c>
      <c r="R4" s="80" t="n">
        <f aca="false">+O4*Q4</f>
        <v>30</v>
      </c>
      <c r="S4" s="81" t="n">
        <v>0</v>
      </c>
      <c r="U4" s="76" t="n">
        <v>2</v>
      </c>
      <c r="V4" s="77" t="n">
        <v>0.2</v>
      </c>
      <c r="W4" s="78" t="n">
        <f aca="false">+SUM($V$3:V4)</f>
        <v>0.24</v>
      </c>
      <c r="X4" s="80" t="n">
        <f aca="false">+J4</f>
        <v>100</v>
      </c>
      <c r="Y4" s="80" t="n">
        <f aca="false">+V4*X4</f>
        <v>20</v>
      </c>
      <c r="Z4" s="81" t="n">
        <v>0</v>
      </c>
      <c r="AB4" s="76" t="n">
        <v>2</v>
      </c>
      <c r="AC4" s="77" t="n">
        <v>0.15</v>
      </c>
      <c r="AD4" s="78" t="n">
        <f aca="false">+SUM($AC$3:AC4)</f>
        <v>0.15</v>
      </c>
      <c r="AE4" s="80" t="n">
        <f aca="false">+J4</f>
        <v>100</v>
      </c>
      <c r="AF4" s="80" t="n">
        <f aca="false">+AC4*AE4</f>
        <v>15</v>
      </c>
      <c r="AG4" s="81" t="n">
        <v>0</v>
      </c>
      <c r="AI4" s="76" t="n">
        <v>2</v>
      </c>
      <c r="AJ4" s="77" t="n">
        <v>0.1</v>
      </c>
      <c r="AK4" s="78" t="n">
        <f aca="false">+SUM($AJ$3:AJ4)</f>
        <v>0.1</v>
      </c>
      <c r="AL4" s="80" t="n">
        <f aca="false">+J4</f>
        <v>100</v>
      </c>
      <c r="AM4" s="80" t="n">
        <f aca="false">+AJ4*AL4</f>
        <v>10</v>
      </c>
      <c r="AN4" s="81" t="n">
        <v>0</v>
      </c>
    </row>
    <row r="5" customFormat="false" ht="14.4" hidden="false" customHeight="false" outlineLevel="0" collapsed="false">
      <c r="A5" s="3" t="s">
        <v>123</v>
      </c>
      <c r="B5" s="74" t="n">
        <f aca="false">+E5/D5</f>
        <v>0.0235640648011782</v>
      </c>
      <c r="C5" s="3" t="n">
        <v>0</v>
      </c>
      <c r="D5" s="82" t="n">
        <f aca="false">+Y10</f>
        <v>339.5</v>
      </c>
      <c r="E5" s="3" t="n">
        <v>8</v>
      </c>
      <c r="G5" s="76" t="n">
        <v>3</v>
      </c>
      <c r="H5" s="77" t="n">
        <v>0.15</v>
      </c>
      <c r="I5" s="78" t="n">
        <f aca="false">+SUM($H$3:H5)</f>
        <v>0.9</v>
      </c>
      <c r="J5" s="79" t="n">
        <v>200</v>
      </c>
      <c r="K5" s="80" t="n">
        <f aca="false">+H5*J5</f>
        <v>30</v>
      </c>
      <c r="L5" s="81" t="n">
        <v>0</v>
      </c>
      <c r="N5" s="76" t="n">
        <v>3</v>
      </c>
      <c r="O5" s="77" t="n">
        <v>0.45</v>
      </c>
      <c r="P5" s="78" t="n">
        <f aca="false">+SUM($O$3:O5)</f>
        <v>0.79</v>
      </c>
      <c r="Q5" s="80" t="n">
        <f aca="false">+J5</f>
        <v>200</v>
      </c>
      <c r="R5" s="80" t="n">
        <f aca="false">+O5*Q5</f>
        <v>90</v>
      </c>
      <c r="S5" s="81" t="n">
        <v>0</v>
      </c>
      <c r="U5" s="76" t="n">
        <v>3</v>
      </c>
      <c r="V5" s="77" t="n">
        <v>0.4</v>
      </c>
      <c r="W5" s="78" t="n">
        <f aca="false">+SUM($V$3:V5)</f>
        <v>0.64</v>
      </c>
      <c r="X5" s="80" t="n">
        <f aca="false">+J5</f>
        <v>200</v>
      </c>
      <c r="Y5" s="80" t="n">
        <f aca="false">+V5*X5</f>
        <v>80</v>
      </c>
      <c r="Z5" s="81" t="n">
        <v>0</v>
      </c>
      <c r="AB5" s="76" t="n">
        <v>3</v>
      </c>
      <c r="AC5" s="77" t="n">
        <v>0.4</v>
      </c>
      <c r="AD5" s="78" t="n">
        <f aca="false">+SUM($AC$3:AC5)</f>
        <v>0.55</v>
      </c>
      <c r="AE5" s="80" t="n">
        <f aca="false">+J5</f>
        <v>200</v>
      </c>
      <c r="AF5" s="80" t="n">
        <f aca="false">+AC5*AE5</f>
        <v>80</v>
      </c>
      <c r="AG5" s="81" t="n">
        <v>0</v>
      </c>
      <c r="AI5" s="76" t="n">
        <v>3</v>
      </c>
      <c r="AJ5" s="77" t="n">
        <v>0.4</v>
      </c>
      <c r="AK5" s="78" t="n">
        <f aca="false">+SUM($AJ$3:AJ5)</f>
        <v>0.5</v>
      </c>
      <c r="AL5" s="80" t="n">
        <f aca="false">+J5</f>
        <v>200</v>
      </c>
      <c r="AM5" s="80" t="n">
        <f aca="false">+AJ5*AL5</f>
        <v>80</v>
      </c>
      <c r="AN5" s="81" t="n">
        <v>0</v>
      </c>
    </row>
    <row r="6" customFormat="false" ht="14.4" hidden="false" customHeight="false" outlineLevel="0" collapsed="false">
      <c r="A6" s="3" t="s">
        <v>124</v>
      </c>
      <c r="B6" s="74" t="n">
        <f aca="false">+E6/D6</f>
        <v>0.0256410256410257</v>
      </c>
      <c r="C6" s="3" t="n">
        <v>0</v>
      </c>
      <c r="D6" s="82" t="n">
        <f aca="false">+AF10</f>
        <v>390</v>
      </c>
      <c r="E6" s="3" t="n">
        <v>10</v>
      </c>
      <c r="G6" s="76" t="n">
        <v>4</v>
      </c>
      <c r="H6" s="77" t="n">
        <v>0.06</v>
      </c>
      <c r="I6" s="78" t="n">
        <f aca="false">+SUM($H$3:H6)</f>
        <v>0.96</v>
      </c>
      <c r="J6" s="79" t="n">
        <v>500</v>
      </c>
      <c r="K6" s="80" t="n">
        <f aca="false">+H6*J6</f>
        <v>30</v>
      </c>
      <c r="L6" s="81" t="n">
        <v>0</v>
      </c>
      <c r="N6" s="76" t="n">
        <v>4</v>
      </c>
      <c r="O6" s="77" t="n">
        <v>0.1</v>
      </c>
      <c r="P6" s="78" t="n">
        <f aca="false">+SUM($O$3:O6)</f>
        <v>0.89</v>
      </c>
      <c r="Q6" s="80" t="n">
        <f aca="false">+J6</f>
        <v>500</v>
      </c>
      <c r="R6" s="80" t="n">
        <f aca="false">+O6*Q6</f>
        <v>50</v>
      </c>
      <c r="S6" s="81" t="n">
        <v>0</v>
      </c>
      <c r="U6" s="76" t="n">
        <v>4</v>
      </c>
      <c r="V6" s="77" t="n">
        <v>0.25</v>
      </c>
      <c r="W6" s="78" t="n">
        <f aca="false">+SUM($V$3:V6)</f>
        <v>0.89</v>
      </c>
      <c r="X6" s="80" t="n">
        <f aca="false">+J6</f>
        <v>500</v>
      </c>
      <c r="Y6" s="80" t="n">
        <f aca="false">+V6*X6</f>
        <v>125</v>
      </c>
      <c r="Z6" s="81" t="n">
        <v>0</v>
      </c>
      <c r="AB6" s="76" t="n">
        <v>4</v>
      </c>
      <c r="AC6" s="77" t="n">
        <v>0.3</v>
      </c>
      <c r="AD6" s="78" t="n">
        <f aca="false">+SUM($AC$3:AC6)</f>
        <v>0.85</v>
      </c>
      <c r="AE6" s="80" t="n">
        <f aca="false">+J6</f>
        <v>500</v>
      </c>
      <c r="AF6" s="80" t="n">
        <f aca="false">+AC6*AE6</f>
        <v>150</v>
      </c>
      <c r="AG6" s="81" t="n">
        <v>0</v>
      </c>
      <c r="AI6" s="76" t="n">
        <v>4</v>
      </c>
      <c r="AJ6" s="77" t="n">
        <v>0.35</v>
      </c>
      <c r="AK6" s="78" t="n">
        <f aca="false">+SUM($AJ$3:AJ6)</f>
        <v>0.85</v>
      </c>
      <c r="AL6" s="80" t="n">
        <f aca="false">+J6</f>
        <v>500</v>
      </c>
      <c r="AM6" s="80" t="n">
        <f aca="false">+AJ6*AL6</f>
        <v>175</v>
      </c>
      <c r="AN6" s="81" t="n">
        <v>0</v>
      </c>
    </row>
    <row r="7" customFormat="false" ht="14.4" hidden="false" customHeight="false" outlineLevel="0" collapsed="false">
      <c r="A7" s="3" t="s">
        <v>125</v>
      </c>
      <c r="B7" s="74" t="n">
        <f aca="false">+E7/D7</f>
        <v>0.121951219512195</v>
      </c>
      <c r="C7" s="3" t="n">
        <v>0</v>
      </c>
      <c r="D7" s="82" t="n">
        <f aca="false">+AM10</f>
        <v>410</v>
      </c>
      <c r="E7" s="3" t="n">
        <v>50</v>
      </c>
      <c r="G7" s="76" t="n">
        <v>5</v>
      </c>
      <c r="H7" s="77" t="n">
        <v>0.02</v>
      </c>
      <c r="I7" s="78" t="n">
        <f aca="false">+SUM($H$3:H7)</f>
        <v>0.98</v>
      </c>
      <c r="J7" s="79" t="n">
        <v>750</v>
      </c>
      <c r="K7" s="80" t="n">
        <f aca="false">+H7*J7</f>
        <v>15</v>
      </c>
      <c r="L7" s="81" t="n">
        <v>0</v>
      </c>
      <c r="N7" s="76" t="n">
        <v>5</v>
      </c>
      <c r="O7" s="77" t="n">
        <v>0.07</v>
      </c>
      <c r="P7" s="78" t="n">
        <f aca="false">+SUM($O$3:O7)</f>
        <v>0.96</v>
      </c>
      <c r="Q7" s="80" t="n">
        <f aca="false">+J7</f>
        <v>750</v>
      </c>
      <c r="R7" s="80" t="n">
        <f aca="false">+O7*Q7</f>
        <v>52.5</v>
      </c>
      <c r="S7" s="81" t="n">
        <v>0</v>
      </c>
      <c r="U7" s="76" t="n">
        <v>5</v>
      </c>
      <c r="V7" s="77" t="n">
        <v>0.07</v>
      </c>
      <c r="W7" s="78" t="n">
        <f aca="false">+SUM($V$3:V7)</f>
        <v>0.96</v>
      </c>
      <c r="X7" s="80" t="n">
        <f aca="false">+J7</f>
        <v>750</v>
      </c>
      <c r="Y7" s="80" t="n">
        <f aca="false">+V7*X7</f>
        <v>52.5</v>
      </c>
      <c r="Z7" s="81" t="n">
        <v>0</v>
      </c>
      <c r="AB7" s="76" t="n">
        <v>5</v>
      </c>
      <c r="AC7" s="77" t="n">
        <v>0.1</v>
      </c>
      <c r="AD7" s="78" t="n">
        <f aca="false">+SUM($AC$3:AC7)</f>
        <v>0.95</v>
      </c>
      <c r="AE7" s="80" t="n">
        <f aca="false">+J7</f>
        <v>750</v>
      </c>
      <c r="AF7" s="80" t="n">
        <f aca="false">+AC7*AE7</f>
        <v>75</v>
      </c>
      <c r="AG7" s="81" t="n">
        <v>0</v>
      </c>
      <c r="AI7" s="76" t="n">
        <v>5</v>
      </c>
      <c r="AJ7" s="77" t="n">
        <v>0.1</v>
      </c>
      <c r="AK7" s="78" t="n">
        <f aca="false">+SUM($AJ$3:AJ7)</f>
        <v>0.95</v>
      </c>
      <c r="AL7" s="80" t="n">
        <f aca="false">+J7</f>
        <v>750</v>
      </c>
      <c r="AM7" s="80" t="n">
        <f aca="false">+AJ7*AL7</f>
        <v>75</v>
      </c>
      <c r="AN7" s="81" t="n">
        <v>0</v>
      </c>
    </row>
    <row r="8" customFormat="false" ht="14.4" hidden="false" customHeight="false" outlineLevel="0" collapsed="false">
      <c r="A8" s="3" t="s">
        <v>126</v>
      </c>
      <c r="B8" s="83" t="str">
        <f aca="false">+CONCATENATE("x",J3," - x",J9)</f>
        <v>x50 - x2000</v>
      </c>
      <c r="G8" s="76" t="n">
        <v>6</v>
      </c>
      <c r="H8" s="77" t="n">
        <v>0.01</v>
      </c>
      <c r="I8" s="78" t="n">
        <f aca="false">+SUM($H$3:H8)</f>
        <v>0.99</v>
      </c>
      <c r="J8" s="79" t="n">
        <v>1000</v>
      </c>
      <c r="K8" s="80" t="n">
        <f aca="false">+H8*J8</f>
        <v>10</v>
      </c>
      <c r="L8" s="81" t="n">
        <v>0</v>
      </c>
      <c r="N8" s="76" t="n">
        <v>6</v>
      </c>
      <c r="O8" s="77" t="n">
        <v>0.02</v>
      </c>
      <c r="P8" s="78" t="n">
        <f aca="false">+SUM($O$3:O8)</f>
        <v>0.98</v>
      </c>
      <c r="Q8" s="80" t="n">
        <f aca="false">+J8</f>
        <v>1000</v>
      </c>
      <c r="R8" s="80" t="n">
        <f aca="false">+O8*Q8</f>
        <v>20</v>
      </c>
      <c r="S8" s="81" t="n">
        <v>0</v>
      </c>
      <c r="U8" s="76" t="n">
        <v>6</v>
      </c>
      <c r="V8" s="77" t="n">
        <v>0.02</v>
      </c>
      <c r="W8" s="78" t="n">
        <f aca="false">+SUM($V$3:V8)</f>
        <v>0.98</v>
      </c>
      <c r="X8" s="80" t="n">
        <f aca="false">+J8</f>
        <v>1000</v>
      </c>
      <c r="Y8" s="80" t="n">
        <f aca="false">+V8*X8</f>
        <v>20</v>
      </c>
      <c r="Z8" s="81" t="n">
        <v>0</v>
      </c>
      <c r="AB8" s="76" t="n">
        <v>6</v>
      </c>
      <c r="AC8" s="77" t="n">
        <v>0.03</v>
      </c>
      <c r="AD8" s="78" t="n">
        <f aca="false">+SUM($AC$3:AC8)</f>
        <v>0.98</v>
      </c>
      <c r="AE8" s="80" t="n">
        <f aca="false">+J8</f>
        <v>1000</v>
      </c>
      <c r="AF8" s="80" t="n">
        <f aca="false">+AC8*AE8</f>
        <v>30</v>
      </c>
      <c r="AG8" s="81" t="n">
        <v>0</v>
      </c>
      <c r="AI8" s="76" t="n">
        <v>6</v>
      </c>
      <c r="AJ8" s="77" t="n">
        <v>0.03</v>
      </c>
      <c r="AK8" s="78" t="n">
        <f aca="false">+SUM($AJ$3:AJ8)</f>
        <v>0.98</v>
      </c>
      <c r="AL8" s="80" t="n">
        <f aca="false">+J8</f>
        <v>1000</v>
      </c>
      <c r="AM8" s="80" t="n">
        <f aca="false">+AJ8*AL8</f>
        <v>30</v>
      </c>
      <c r="AN8" s="81" t="n">
        <v>0</v>
      </c>
    </row>
    <row r="9" customFormat="false" ht="14.4" hidden="false" customHeight="false" outlineLevel="0" collapsed="false">
      <c r="G9" s="76" t="n">
        <v>7</v>
      </c>
      <c r="H9" s="84" t="n">
        <f aca="false">1-SUM(H3:H8)</f>
        <v>0.01</v>
      </c>
      <c r="I9" s="78" t="n">
        <f aca="false">+SUM($H$3:H9)</f>
        <v>1</v>
      </c>
      <c r="J9" s="79" t="n">
        <v>2000</v>
      </c>
      <c r="K9" s="80" t="n">
        <f aca="false">+H9*J9</f>
        <v>20</v>
      </c>
      <c r="L9" s="81" t="n">
        <v>0</v>
      </c>
      <c r="N9" s="76" t="n">
        <v>7</v>
      </c>
      <c r="O9" s="84" t="n">
        <f aca="false">1-SUM(O3:O8)</f>
        <v>0.02</v>
      </c>
      <c r="P9" s="78" t="n">
        <f aca="false">+SUM($O$3:O9)</f>
        <v>1</v>
      </c>
      <c r="Q9" s="80" t="n">
        <f aca="false">+J9</f>
        <v>2000</v>
      </c>
      <c r="R9" s="80" t="n">
        <f aca="false">+O9*Q9</f>
        <v>40</v>
      </c>
      <c r="S9" s="81" t="n">
        <v>0</v>
      </c>
      <c r="U9" s="76" t="n">
        <v>7</v>
      </c>
      <c r="V9" s="84" t="n">
        <f aca="false">1-SUM(V3:V8)</f>
        <v>0.0199999999999998</v>
      </c>
      <c r="W9" s="78" t="n">
        <f aca="false">+SUM($V$3:V9)</f>
        <v>1</v>
      </c>
      <c r="X9" s="80" t="n">
        <f aca="false">+J9</f>
        <v>2000</v>
      </c>
      <c r="Y9" s="80" t="n">
        <f aca="false">+V9*X9</f>
        <v>39.9999999999996</v>
      </c>
      <c r="Z9" s="81" t="n">
        <v>0</v>
      </c>
      <c r="AB9" s="76" t="n">
        <v>7</v>
      </c>
      <c r="AC9" s="84" t="n">
        <f aca="false">1-SUM(AC3:AC8)</f>
        <v>0.0199999999999999</v>
      </c>
      <c r="AD9" s="78" t="n">
        <f aca="false">+SUM($AC$3:AC9)</f>
        <v>1</v>
      </c>
      <c r="AE9" s="80" t="n">
        <f aca="false">+J9</f>
        <v>2000</v>
      </c>
      <c r="AF9" s="80" t="n">
        <f aca="false">+AC9*AE9</f>
        <v>39.9999999999998</v>
      </c>
      <c r="AG9" s="81" t="n">
        <v>0</v>
      </c>
      <c r="AI9" s="76" t="n">
        <v>7</v>
      </c>
      <c r="AJ9" s="84" t="n">
        <f aca="false">1-SUM(AJ3:AJ8)</f>
        <v>0.02</v>
      </c>
      <c r="AK9" s="78" t="n">
        <f aca="false">+SUM($AJ$3:AJ9)</f>
        <v>1</v>
      </c>
      <c r="AL9" s="80" t="n">
        <f aca="false">+J9</f>
        <v>2000</v>
      </c>
      <c r="AM9" s="80" t="n">
        <f aca="false">+AJ9*AL9</f>
        <v>40</v>
      </c>
      <c r="AN9" s="81" t="n">
        <v>0</v>
      </c>
    </row>
    <row r="10" customFormat="false" ht="14.4" hidden="false" customHeight="false" outlineLevel="0" collapsed="false">
      <c r="A10" s="85" t="s">
        <v>43</v>
      </c>
      <c r="G10" s="60" t="s">
        <v>78</v>
      </c>
      <c r="H10" s="60" t="n">
        <f aca="false">+SUM(H3:H9)</f>
        <v>1</v>
      </c>
      <c r="I10" s="60"/>
      <c r="J10" s="60"/>
      <c r="K10" s="61" t="n">
        <f aca="false">+SUM(K3:K9)</f>
        <v>165</v>
      </c>
      <c r="L10" s="61"/>
      <c r="N10" s="60" t="s">
        <v>78</v>
      </c>
      <c r="O10" s="60" t="n">
        <f aca="false">+SUM(O3:O9)</f>
        <v>1</v>
      </c>
      <c r="P10" s="60"/>
      <c r="Q10" s="60"/>
      <c r="R10" s="61" t="n">
        <f aca="false">+SUM(R3:R9)</f>
        <v>284.5</v>
      </c>
      <c r="S10" s="61"/>
      <c r="U10" s="60" t="s">
        <v>78</v>
      </c>
      <c r="V10" s="60" t="n">
        <f aca="false">+SUM(V3:V9)</f>
        <v>1</v>
      </c>
      <c r="W10" s="60"/>
      <c r="X10" s="60"/>
      <c r="Y10" s="61" t="n">
        <f aca="false">+SUM(Y3:Y9)</f>
        <v>339.5</v>
      </c>
      <c r="Z10" s="61"/>
      <c r="AB10" s="60" t="s">
        <v>78</v>
      </c>
      <c r="AC10" s="60" t="n">
        <f aca="false">+SUM(AC3:AC9)</f>
        <v>1</v>
      </c>
      <c r="AD10" s="60"/>
      <c r="AE10" s="60"/>
      <c r="AF10" s="61" t="n">
        <f aca="false">+SUM(AF3:AF9)</f>
        <v>390</v>
      </c>
      <c r="AG10" s="61"/>
      <c r="AI10" s="60" t="s">
        <v>78</v>
      </c>
      <c r="AJ10" s="60" t="n">
        <f aca="false">+SUM(AJ3:AJ9)</f>
        <v>1</v>
      </c>
      <c r="AK10" s="60"/>
      <c r="AL10" s="60"/>
      <c r="AM10" s="61" t="n">
        <f aca="false">+SUM(AM3:AM9)</f>
        <v>410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priority="2" operator="lessThan" aboveAverage="0" equalAverage="0" bottom="0" percent="0" rank="0" text="" dxfId="66">
      <formula>0</formula>
    </cfRule>
    <cfRule type="cellIs" priority="3" operator="greaterThan" aboveAverage="0" equalAverage="0" bottom="0" percent="0" rank="0" text="" dxfId="67">
      <formula>1</formula>
    </cfRule>
  </conditionalFormatting>
  <conditionalFormatting sqref="H3:H9 O3:O9 V3:V9 AC3:AC9 AJ3:AJ9">
    <cfRule type="cellIs" priority="4" operator="equal" aboveAverage="0" equalAverage="0" bottom="0" percent="0" rank="0" text="" dxfId="68">
      <formula>0</formula>
    </cfRule>
  </conditionalFormatting>
  <conditionalFormatting sqref="B3:B7">
    <cfRule type="cellIs" priority="5" operator="greaterThan" aboveAverage="0" equalAverage="0" bottom="0" percent="0" rank="0" text="" dxfId="69">
      <formula>1</formula>
    </cfRule>
    <cfRule type="cellIs" priority="6" operator="lessThan" aboveAverage="0" equalAverage="0" bottom="0" percent="0" rank="0" text="" dxfId="70">
      <formula>0</formula>
    </cfRule>
  </conditionalFormatting>
  <dataValidations count="1">
    <dataValidation allowBlank="true" operator="between" showDropDown="false" showErrorMessage="true" showInputMessage="true" sqref="A10" type="list">
      <formula1>"Regular weapon,Special weapon 1,Special weapon 2,Special weapon 3,Plasma Gun"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A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N2" activePane="bottomRight" state="frozen"/>
      <selection pane="topLeft" activeCell="A1" activeCellId="0" sqref="A1"/>
      <selection pane="topRight" activeCell="N1" activeCellId="0" sqref="N1"/>
      <selection pane="bottomLeft" activeCell="A2" activeCellId="0" sqref="A2"/>
      <selection pane="bottomRight" activeCell="D4" activeCellId="0" sqref="D4"/>
    </sheetView>
  </sheetViews>
  <sheetFormatPr defaultRowHeight="14.4" zeroHeight="false" outlineLevelRow="0" outlineLevelCol="0"/>
  <cols>
    <col collapsed="false" customWidth="true" hidden="false" outlineLevel="0" max="1" min="1" style="0" width="31.66"/>
    <col collapsed="false" customWidth="true" hidden="false" outlineLevel="0" max="2" min="2" style="0" width="11.55"/>
    <col collapsed="false" customWidth="true" hidden="false" outlineLevel="0" max="3" min="3" style="0" width="15.89"/>
    <col collapsed="false" customWidth="true" hidden="false" outlineLevel="0" max="4" min="4" style="0" width="9.22"/>
    <col collapsed="false" customWidth="true" hidden="false" outlineLevel="0" max="5" min="5" style="0" width="7.22"/>
    <col collapsed="false" customWidth="true" hidden="false" outlineLevel="0" max="6" min="6" style="0" width="14.33"/>
    <col collapsed="false" customWidth="true" hidden="false" outlineLevel="0" max="8" min="7" style="0" width="11.55"/>
    <col collapsed="false" customWidth="true" hidden="false" outlineLevel="0" max="9" min="9" style="0" width="16.22"/>
    <col collapsed="false" customWidth="true" hidden="false" outlineLevel="0" max="1025" min="10" style="0" width="11.55"/>
  </cols>
  <sheetData>
    <row r="1" customFormat="false" ht="14.4" hidden="false" customHeight="false" outlineLevel="0" collapsed="false">
      <c r="A1" s="2" t="s">
        <v>145</v>
      </c>
      <c r="G1" s="73" t="s">
        <v>111</v>
      </c>
      <c r="H1" s="73"/>
      <c r="I1" s="73"/>
      <c r="J1" s="73"/>
      <c r="K1" s="73"/>
      <c r="L1" s="73"/>
      <c r="N1" s="73" t="s">
        <v>112</v>
      </c>
      <c r="O1" s="73"/>
      <c r="P1" s="73"/>
      <c r="Q1" s="73"/>
      <c r="R1" s="73"/>
      <c r="S1" s="73"/>
      <c r="U1" s="73" t="s">
        <v>113</v>
      </c>
      <c r="V1" s="73"/>
      <c r="W1" s="73"/>
      <c r="X1" s="73"/>
      <c r="Y1" s="73"/>
      <c r="Z1" s="73"/>
      <c r="AB1" s="73" t="s">
        <v>114</v>
      </c>
      <c r="AC1" s="73"/>
      <c r="AD1" s="73"/>
      <c r="AE1" s="73"/>
      <c r="AF1" s="73"/>
      <c r="AG1" s="73"/>
      <c r="AI1" s="73" t="s">
        <v>115</v>
      </c>
      <c r="AJ1" s="73"/>
      <c r="AK1" s="73"/>
      <c r="AL1" s="73"/>
      <c r="AM1" s="73"/>
      <c r="AN1" s="73"/>
    </row>
    <row r="2" customFormat="false" ht="14.4" hidden="false" customHeight="false" outlineLevel="0" collapsed="false">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customFormat="false" ht="14.4" hidden="false" customHeight="false" outlineLevel="0" collapsed="false">
      <c r="A3" s="3" t="s">
        <v>121</v>
      </c>
      <c r="B3" s="74" t="n">
        <f aca="false">+E3/D3</f>
        <v>0.00377470355731225</v>
      </c>
      <c r="C3" s="3" t="n">
        <v>0</v>
      </c>
      <c r="D3" s="75" t="n">
        <f aca="false">+K10</f>
        <v>253</v>
      </c>
      <c r="E3" s="3" t="n">
        <v>0.955</v>
      </c>
      <c r="G3" s="76" t="n">
        <v>1</v>
      </c>
      <c r="H3" s="77" t="n">
        <v>0.2</v>
      </c>
      <c r="I3" s="78" t="n">
        <f aca="false">+SUM($H3:H3)</f>
        <v>0.2</v>
      </c>
      <c r="J3" s="79" t="n">
        <v>75</v>
      </c>
      <c r="K3" s="80" t="n">
        <f aca="false">+H3*J3</f>
        <v>15</v>
      </c>
      <c r="L3" s="81" t="n">
        <v>0</v>
      </c>
      <c r="N3" s="76" t="n">
        <v>1</v>
      </c>
      <c r="O3" s="77" t="n">
        <v>0.1</v>
      </c>
      <c r="P3" s="78" t="n">
        <f aca="false">+SUM($O3:O$3)</f>
        <v>0.1</v>
      </c>
      <c r="Q3" s="80" t="n">
        <f aca="false">+J3</f>
        <v>75</v>
      </c>
      <c r="R3" s="80" t="n">
        <f aca="false">+O3*Q3</f>
        <v>7.5</v>
      </c>
      <c r="S3" s="81" t="n">
        <v>0</v>
      </c>
      <c r="U3" s="76" t="n">
        <v>1</v>
      </c>
      <c r="V3" s="77" t="n">
        <v>0.19</v>
      </c>
      <c r="W3" s="78" t="n">
        <f aca="false">+SUM($V3:V$3)</f>
        <v>0.19</v>
      </c>
      <c r="X3" s="80" t="n">
        <f aca="false">+J3</f>
        <v>75</v>
      </c>
      <c r="Y3" s="80" t="n">
        <f aca="false">+V3*X3</f>
        <v>14.25</v>
      </c>
      <c r="Z3" s="81" t="n">
        <v>0</v>
      </c>
      <c r="AB3" s="76" t="n">
        <v>1</v>
      </c>
      <c r="AC3" s="77" t="n">
        <v>0.05</v>
      </c>
      <c r="AD3" s="78" t="n">
        <f aca="false">+SUM($AC$3:AC3)</f>
        <v>0.05</v>
      </c>
      <c r="AE3" s="80" t="n">
        <f aca="false">+J3</f>
        <v>75</v>
      </c>
      <c r="AF3" s="80" t="n">
        <f aca="false">+AC3*AE3</f>
        <v>3.75</v>
      </c>
      <c r="AG3" s="81" t="n">
        <v>0</v>
      </c>
      <c r="AI3" s="76" t="n">
        <v>1</v>
      </c>
      <c r="AJ3" s="77" t="n">
        <v>0</v>
      </c>
      <c r="AK3" s="78" t="n">
        <f aca="false">+SUM($AJ$3:AJ3)</f>
        <v>0</v>
      </c>
      <c r="AL3" s="80" t="n">
        <f aca="false">+J3</f>
        <v>75</v>
      </c>
      <c r="AM3" s="80" t="n">
        <f aca="false">+AJ3*AL3</f>
        <v>0</v>
      </c>
      <c r="AN3" s="81" t="n">
        <v>0</v>
      </c>
    </row>
    <row r="4" customFormat="false" ht="14.4" hidden="false" customHeight="false" outlineLevel="0" collapsed="false">
      <c r="A4" s="3" t="s">
        <v>122</v>
      </c>
      <c r="B4" s="74" t="n">
        <f aca="false">+E4/D4</f>
        <v>0.0116279069767442</v>
      </c>
      <c r="C4" s="3" t="n">
        <v>0</v>
      </c>
      <c r="D4" s="82" t="n">
        <f aca="false">+R10</f>
        <v>429.999999999999</v>
      </c>
      <c r="E4" s="3" t="n">
        <v>5</v>
      </c>
      <c r="G4" s="76" t="n">
        <v>2</v>
      </c>
      <c r="H4" s="77" t="n">
        <v>0.32</v>
      </c>
      <c r="I4" s="78" t="n">
        <f aca="false">+SUM($H$3:H4)</f>
        <v>0.52</v>
      </c>
      <c r="J4" s="79" t="n">
        <v>150</v>
      </c>
      <c r="K4" s="80" t="n">
        <f aca="false">+H4*J4</f>
        <v>48</v>
      </c>
      <c r="L4" s="81" t="n">
        <v>0</v>
      </c>
      <c r="N4" s="76" t="n">
        <v>2</v>
      </c>
      <c r="O4" s="77" t="n">
        <v>0.25</v>
      </c>
      <c r="P4" s="78" t="n">
        <f aca="false">+SUM($O$3:O4)</f>
        <v>0.35</v>
      </c>
      <c r="Q4" s="80" t="n">
        <f aca="false">+J4</f>
        <v>150</v>
      </c>
      <c r="R4" s="80" t="n">
        <f aca="false">+O4*Q4</f>
        <v>37.5</v>
      </c>
      <c r="S4" s="81" t="n">
        <v>0</v>
      </c>
      <c r="U4" s="76" t="n">
        <v>2</v>
      </c>
      <c r="V4" s="77" t="n">
        <v>0.24</v>
      </c>
      <c r="W4" s="78" t="n">
        <f aca="false">+SUM($V$3:V4)</f>
        <v>0.43</v>
      </c>
      <c r="X4" s="80" t="n">
        <f aca="false">+J4</f>
        <v>150</v>
      </c>
      <c r="Y4" s="80" t="n">
        <f aca="false">+V4*X4</f>
        <v>36</v>
      </c>
      <c r="Z4" s="81" t="n">
        <v>0</v>
      </c>
      <c r="AB4" s="76" t="n">
        <v>2</v>
      </c>
      <c r="AC4" s="77" t="n">
        <v>0.25</v>
      </c>
      <c r="AD4" s="78" t="n">
        <f aca="false">+SUM($AC$3:AC4)</f>
        <v>0.3</v>
      </c>
      <c r="AE4" s="80" t="n">
        <f aca="false">+J4</f>
        <v>150</v>
      </c>
      <c r="AF4" s="80" t="n">
        <f aca="false">+AC4*AE4</f>
        <v>37.5</v>
      </c>
      <c r="AG4" s="81" t="n">
        <v>0</v>
      </c>
      <c r="AI4" s="76" t="n">
        <v>2</v>
      </c>
      <c r="AJ4" s="77" t="n">
        <v>0.1</v>
      </c>
      <c r="AK4" s="78" t="n">
        <f aca="false">+SUM($AJ$3:AJ4)</f>
        <v>0.1</v>
      </c>
      <c r="AL4" s="80" t="n">
        <f aca="false">+J4</f>
        <v>150</v>
      </c>
      <c r="AM4" s="80" t="n">
        <f aca="false">+AJ4*AL4</f>
        <v>15</v>
      </c>
      <c r="AN4" s="81" t="n">
        <v>0</v>
      </c>
    </row>
    <row r="5" customFormat="false" ht="14.4" hidden="false" customHeight="false" outlineLevel="0" collapsed="false">
      <c r="A5" s="3" t="s">
        <v>123</v>
      </c>
      <c r="B5" s="74" t="n">
        <f aca="false">+E5/D5</f>
        <v>0.0153772224891879</v>
      </c>
      <c r="C5" s="3" t="n">
        <v>0</v>
      </c>
      <c r="D5" s="82" t="n">
        <f aca="false">+Y10</f>
        <v>520.25</v>
      </c>
      <c r="E5" s="3" t="n">
        <v>8</v>
      </c>
      <c r="G5" s="76" t="n">
        <v>3</v>
      </c>
      <c r="H5" s="77" t="n">
        <v>0.4</v>
      </c>
      <c r="I5" s="78" t="n">
        <f aca="false">+SUM($H$3:H5)</f>
        <v>0.92</v>
      </c>
      <c r="J5" s="79" t="n">
        <v>300</v>
      </c>
      <c r="K5" s="80" t="n">
        <f aca="false">+H5*J5</f>
        <v>120</v>
      </c>
      <c r="L5" s="81" t="n">
        <v>0</v>
      </c>
      <c r="N5" s="76" t="n">
        <v>3</v>
      </c>
      <c r="O5" s="77" t="n">
        <v>0.4</v>
      </c>
      <c r="P5" s="78" t="n">
        <f aca="false">+SUM($O$3:O5)</f>
        <v>0.75</v>
      </c>
      <c r="Q5" s="80" t="n">
        <f aca="false">+J5</f>
        <v>300</v>
      </c>
      <c r="R5" s="80" t="n">
        <f aca="false">+O5*Q5</f>
        <v>120</v>
      </c>
      <c r="S5" s="81" t="n">
        <v>0</v>
      </c>
      <c r="U5" s="76" t="n">
        <v>3</v>
      </c>
      <c r="V5" s="77" t="n">
        <v>0.2</v>
      </c>
      <c r="W5" s="78" t="n">
        <f aca="false">+SUM($V$3:V5)</f>
        <v>0.63</v>
      </c>
      <c r="X5" s="80" t="n">
        <f aca="false">+J5</f>
        <v>300</v>
      </c>
      <c r="Y5" s="80" t="n">
        <f aca="false">+V5*X5</f>
        <v>60</v>
      </c>
      <c r="Z5" s="81" t="n">
        <v>0</v>
      </c>
      <c r="AB5" s="76" t="n">
        <v>3</v>
      </c>
      <c r="AC5" s="77" t="n">
        <v>0.3</v>
      </c>
      <c r="AD5" s="78" t="n">
        <f aca="false">+SUM($AC$3:AC5)</f>
        <v>0.6</v>
      </c>
      <c r="AE5" s="80" t="n">
        <f aca="false">+J5</f>
        <v>300</v>
      </c>
      <c r="AF5" s="80" t="n">
        <f aca="false">+AC5*AE5</f>
        <v>90</v>
      </c>
      <c r="AG5" s="81" t="n">
        <v>0</v>
      </c>
      <c r="AI5" s="76" t="n">
        <v>3</v>
      </c>
      <c r="AJ5" s="77" t="n">
        <v>0.4</v>
      </c>
      <c r="AK5" s="78" t="n">
        <f aca="false">+SUM($AJ$3:AJ5)</f>
        <v>0.5</v>
      </c>
      <c r="AL5" s="80" t="n">
        <f aca="false">+J5</f>
        <v>300</v>
      </c>
      <c r="AM5" s="80" t="n">
        <f aca="false">+AJ5*AL5</f>
        <v>120</v>
      </c>
      <c r="AN5" s="81" t="n">
        <v>0</v>
      </c>
    </row>
    <row r="6" customFormat="false" ht="14.4" hidden="false" customHeight="false" outlineLevel="0" collapsed="false">
      <c r="A6" s="3" t="s">
        <v>124</v>
      </c>
      <c r="B6" s="74" t="n">
        <f aca="false">+E6/D6</f>
        <v>0.0183066361556064</v>
      </c>
      <c r="C6" s="3" t="n">
        <v>0</v>
      </c>
      <c r="D6" s="82" t="n">
        <f aca="false">+AF10</f>
        <v>546.25</v>
      </c>
      <c r="E6" s="3" t="n">
        <v>10</v>
      </c>
      <c r="G6" s="76" t="n">
        <v>4</v>
      </c>
      <c r="H6" s="77" t="n">
        <v>0.07</v>
      </c>
      <c r="I6" s="78" t="n">
        <f aca="false">+SUM($H$3:H6)</f>
        <v>0.99</v>
      </c>
      <c r="J6" s="79" t="n">
        <v>500</v>
      </c>
      <c r="K6" s="80" t="n">
        <f aca="false">+H6*J6</f>
        <v>35</v>
      </c>
      <c r="L6" s="81" t="n">
        <v>0</v>
      </c>
      <c r="N6" s="76" t="n">
        <v>4</v>
      </c>
      <c r="O6" s="77" t="n">
        <v>0.13</v>
      </c>
      <c r="P6" s="78" t="n">
        <f aca="false">+SUM($O$3:O6)</f>
        <v>0.88</v>
      </c>
      <c r="Q6" s="80" t="n">
        <f aca="false">+J6</f>
        <v>500</v>
      </c>
      <c r="R6" s="80" t="n">
        <f aca="false">+O6*Q6</f>
        <v>65</v>
      </c>
      <c r="S6" s="81" t="n">
        <v>0</v>
      </c>
      <c r="U6" s="76" t="n">
        <v>4</v>
      </c>
      <c r="V6" s="77" t="n">
        <v>0.2</v>
      </c>
      <c r="W6" s="78" t="n">
        <f aca="false">+SUM($V$3:V6)</f>
        <v>0.83</v>
      </c>
      <c r="X6" s="80" t="n">
        <f aca="false">+J6</f>
        <v>500</v>
      </c>
      <c r="Y6" s="80" t="n">
        <f aca="false">+V6*X6</f>
        <v>100</v>
      </c>
      <c r="Z6" s="81" t="n">
        <v>0</v>
      </c>
      <c r="AB6" s="76" t="n">
        <v>4</v>
      </c>
      <c r="AC6" s="77" t="n">
        <v>0.23</v>
      </c>
      <c r="AD6" s="78" t="n">
        <f aca="false">+SUM($AC$3:AC6)</f>
        <v>0.83</v>
      </c>
      <c r="AE6" s="80" t="n">
        <f aca="false">+J6</f>
        <v>500</v>
      </c>
      <c r="AF6" s="80" t="n">
        <f aca="false">+AC6*AE6</f>
        <v>115</v>
      </c>
      <c r="AG6" s="81" t="n">
        <v>0</v>
      </c>
      <c r="AI6" s="76" t="n">
        <v>4</v>
      </c>
      <c r="AJ6" s="77" t="n">
        <v>0.35</v>
      </c>
      <c r="AK6" s="78" t="n">
        <f aca="false">+SUM($AJ$3:AJ6)</f>
        <v>0.85</v>
      </c>
      <c r="AL6" s="80" t="n">
        <f aca="false">+J6</f>
        <v>500</v>
      </c>
      <c r="AM6" s="80" t="n">
        <f aca="false">+AJ6*AL6</f>
        <v>175</v>
      </c>
      <c r="AN6" s="81" t="n">
        <v>0</v>
      </c>
    </row>
    <row r="7" customFormat="false" ht="14.4" hidden="false" customHeight="false" outlineLevel="0" collapsed="false">
      <c r="A7" s="3" t="s">
        <v>125</v>
      </c>
      <c r="B7" s="74" t="n">
        <f aca="false">+E7/D7</f>
        <v>0.087719298245614</v>
      </c>
      <c r="C7" s="3" t="n">
        <v>0</v>
      </c>
      <c r="D7" s="82" t="n">
        <f aca="false">+AM10</f>
        <v>570</v>
      </c>
      <c r="E7" s="3" t="n">
        <v>50</v>
      </c>
      <c r="G7" s="76" t="n">
        <v>5</v>
      </c>
      <c r="H7" s="77" t="n">
        <v>0.003</v>
      </c>
      <c r="I7" s="78" t="n">
        <f aca="false">+SUM($H$3:H7)</f>
        <v>0.993</v>
      </c>
      <c r="J7" s="79" t="n">
        <v>1000</v>
      </c>
      <c r="K7" s="80" t="n">
        <f aca="false">+H7*J7</f>
        <v>3</v>
      </c>
      <c r="L7" s="81" t="n">
        <v>0</v>
      </c>
      <c r="N7" s="76" t="n">
        <v>5</v>
      </c>
      <c r="O7" s="77" t="n">
        <v>0.07</v>
      </c>
      <c r="P7" s="78" t="n">
        <f aca="false">+SUM($O$3:O7)</f>
        <v>0.95</v>
      </c>
      <c r="Q7" s="80" t="n">
        <f aca="false">+J7</f>
        <v>1000</v>
      </c>
      <c r="R7" s="80" t="n">
        <f aca="false">+O7*Q7</f>
        <v>70</v>
      </c>
      <c r="S7" s="81" t="n">
        <v>0</v>
      </c>
      <c r="U7" s="76" t="n">
        <v>5</v>
      </c>
      <c r="V7" s="77" t="n">
        <v>0.09</v>
      </c>
      <c r="W7" s="78" t="n">
        <f aca="false">+SUM($V$3:V7)</f>
        <v>0.92</v>
      </c>
      <c r="X7" s="80" t="n">
        <f aca="false">+J7</f>
        <v>1000</v>
      </c>
      <c r="Y7" s="80" t="n">
        <f aca="false">+V7*X7</f>
        <v>90</v>
      </c>
      <c r="Z7" s="81" t="n">
        <v>0</v>
      </c>
      <c r="AB7" s="76" t="n">
        <v>5</v>
      </c>
      <c r="AC7" s="77" t="n">
        <v>0.1</v>
      </c>
      <c r="AD7" s="78" t="n">
        <f aca="false">+SUM($AC$3:AC7)</f>
        <v>0.93</v>
      </c>
      <c r="AE7" s="80" t="n">
        <f aca="false">+J7</f>
        <v>1000</v>
      </c>
      <c r="AF7" s="80" t="n">
        <f aca="false">+AC7*AE7</f>
        <v>100</v>
      </c>
      <c r="AG7" s="81" t="n">
        <v>0</v>
      </c>
      <c r="AI7" s="76" t="n">
        <v>5</v>
      </c>
      <c r="AJ7" s="77" t="n">
        <v>0.1</v>
      </c>
      <c r="AK7" s="78" t="n">
        <f aca="false">+SUM($AJ$3:AJ7)</f>
        <v>0.95</v>
      </c>
      <c r="AL7" s="80" t="n">
        <f aca="false">+J7</f>
        <v>1000</v>
      </c>
      <c r="AM7" s="80" t="n">
        <f aca="false">+AJ7*AL7</f>
        <v>100</v>
      </c>
      <c r="AN7" s="81" t="n">
        <v>0</v>
      </c>
    </row>
    <row r="8" customFormat="false" ht="14.4" hidden="false" customHeight="false" outlineLevel="0" collapsed="false">
      <c r="A8" s="3" t="s">
        <v>126</v>
      </c>
      <c r="B8" s="83" t="str">
        <f aca="false">+CONCATENATE("x",J3," - x",J9)</f>
        <v>x75 - x5000</v>
      </c>
      <c r="G8" s="76" t="n">
        <v>6</v>
      </c>
      <c r="H8" s="77" t="n">
        <v>0.001</v>
      </c>
      <c r="I8" s="78" t="n">
        <f aca="false">+SUM($H$3:H8)</f>
        <v>0.994</v>
      </c>
      <c r="J8" s="79" t="n">
        <v>2000</v>
      </c>
      <c r="K8" s="80" t="n">
        <f aca="false">+H8*J8</f>
        <v>2</v>
      </c>
      <c r="L8" s="81" t="n">
        <v>0</v>
      </c>
      <c r="N8" s="76" t="n">
        <v>6</v>
      </c>
      <c r="O8" s="77" t="n">
        <v>0.04</v>
      </c>
      <c r="P8" s="78" t="n">
        <f aca="false">+SUM($O$3:O8)</f>
        <v>0.99</v>
      </c>
      <c r="Q8" s="80" t="n">
        <f aca="false">+J8</f>
        <v>2000</v>
      </c>
      <c r="R8" s="80" t="n">
        <f aca="false">+O8*Q8</f>
        <v>80</v>
      </c>
      <c r="S8" s="81" t="n">
        <v>0</v>
      </c>
      <c r="U8" s="76" t="n">
        <v>6</v>
      </c>
      <c r="V8" s="77" t="n">
        <v>0.06</v>
      </c>
      <c r="W8" s="78" t="n">
        <f aca="false">+SUM($V$3:V8)</f>
        <v>0.98</v>
      </c>
      <c r="X8" s="80" t="n">
        <f aca="false">+J8</f>
        <v>2000</v>
      </c>
      <c r="Y8" s="80" t="n">
        <f aca="false">+V8*X8</f>
        <v>120</v>
      </c>
      <c r="Z8" s="81" t="n">
        <v>0</v>
      </c>
      <c r="AB8" s="76" t="n">
        <v>6</v>
      </c>
      <c r="AC8" s="77" t="n">
        <v>0.05</v>
      </c>
      <c r="AD8" s="78" t="n">
        <f aca="false">+SUM($AC$3:AC8)</f>
        <v>0.98</v>
      </c>
      <c r="AE8" s="80" t="n">
        <f aca="false">+J8</f>
        <v>2000</v>
      </c>
      <c r="AF8" s="80" t="n">
        <f aca="false">+AC8*AE8</f>
        <v>100</v>
      </c>
      <c r="AG8" s="81" t="n">
        <v>0</v>
      </c>
      <c r="AI8" s="76" t="n">
        <v>6</v>
      </c>
      <c r="AJ8" s="77" t="n">
        <v>0.03</v>
      </c>
      <c r="AK8" s="78" t="n">
        <f aca="false">+SUM($AJ$3:AJ8)</f>
        <v>0.98</v>
      </c>
      <c r="AL8" s="80" t="n">
        <f aca="false">+J8</f>
        <v>2000</v>
      </c>
      <c r="AM8" s="80" t="n">
        <f aca="false">+AJ8*AL8</f>
        <v>60</v>
      </c>
      <c r="AN8" s="81" t="n">
        <v>0</v>
      </c>
    </row>
    <row r="9" customFormat="false" ht="14.4" hidden="false" customHeight="false" outlineLevel="0" collapsed="false">
      <c r="G9" s="76" t="n">
        <v>7</v>
      </c>
      <c r="H9" s="84" t="n">
        <f aca="false">1-SUM(H3:H8)</f>
        <v>0.00600000000000001</v>
      </c>
      <c r="I9" s="78" t="n">
        <f aca="false">+SUM($H$3:H9)</f>
        <v>1</v>
      </c>
      <c r="J9" s="79" t="n">
        <v>5000</v>
      </c>
      <c r="K9" s="80" t="n">
        <f aca="false">+H9*J9</f>
        <v>30</v>
      </c>
      <c r="L9" s="81" t="n">
        <v>0</v>
      </c>
      <c r="N9" s="76" t="n">
        <v>7</v>
      </c>
      <c r="O9" s="84" t="n">
        <f aca="false">1-SUM(O3:O8)</f>
        <v>0.0099999999999999</v>
      </c>
      <c r="P9" s="78" t="n">
        <f aca="false">+SUM($O$3:O9)</f>
        <v>1</v>
      </c>
      <c r="Q9" s="80" t="n">
        <f aca="false">+J9</f>
        <v>5000</v>
      </c>
      <c r="R9" s="80" t="n">
        <f aca="false">+O9*Q9</f>
        <v>49.9999999999995</v>
      </c>
      <c r="S9" s="81" t="n">
        <v>0</v>
      </c>
      <c r="U9" s="76" t="n">
        <v>7</v>
      </c>
      <c r="V9" s="84" t="n">
        <f aca="false">1-SUM(V3:V8)</f>
        <v>0.02</v>
      </c>
      <c r="W9" s="78" t="n">
        <f aca="false">+SUM($V$3:V9)</f>
        <v>1</v>
      </c>
      <c r="X9" s="80" t="n">
        <f aca="false">+J9</f>
        <v>5000</v>
      </c>
      <c r="Y9" s="80" t="n">
        <f aca="false">+V9*X9</f>
        <v>100</v>
      </c>
      <c r="Z9" s="81" t="n">
        <v>0</v>
      </c>
      <c r="AB9" s="76" t="n">
        <v>7</v>
      </c>
      <c r="AC9" s="84" t="n">
        <f aca="false">1-SUM(AC3:AC8)</f>
        <v>0.0199999999999999</v>
      </c>
      <c r="AD9" s="78" t="n">
        <f aca="false">+SUM($AC$3:AC9)</f>
        <v>1</v>
      </c>
      <c r="AE9" s="80" t="n">
        <f aca="false">+J9</f>
        <v>5000</v>
      </c>
      <c r="AF9" s="80" t="n">
        <f aca="false">+AC9*AE9</f>
        <v>99.9999999999995</v>
      </c>
      <c r="AG9" s="81" t="n">
        <v>0</v>
      </c>
      <c r="AI9" s="76" t="n">
        <v>7</v>
      </c>
      <c r="AJ9" s="84" t="n">
        <f aca="false">1-SUM(AJ3:AJ8)</f>
        <v>0.02</v>
      </c>
      <c r="AK9" s="78" t="n">
        <f aca="false">+SUM($AJ$3:AJ9)</f>
        <v>1</v>
      </c>
      <c r="AL9" s="80" t="n">
        <f aca="false">+J9</f>
        <v>5000</v>
      </c>
      <c r="AM9" s="80" t="n">
        <f aca="false">+AJ9*AL9</f>
        <v>100</v>
      </c>
      <c r="AN9" s="81" t="n">
        <v>0</v>
      </c>
    </row>
    <row r="10" customFormat="false" ht="14.4" hidden="false" customHeight="false" outlineLevel="0" collapsed="false">
      <c r="A10" s="85" t="s">
        <v>74</v>
      </c>
      <c r="G10" s="60" t="s">
        <v>78</v>
      </c>
      <c r="H10" s="60" t="n">
        <f aca="false">+SUM(H3:H9)</f>
        <v>1</v>
      </c>
      <c r="I10" s="60"/>
      <c r="J10" s="60"/>
      <c r="K10" s="61" t="n">
        <f aca="false">+SUM(K3:K9)</f>
        <v>253</v>
      </c>
      <c r="L10" s="61"/>
      <c r="N10" s="60" t="s">
        <v>78</v>
      </c>
      <c r="O10" s="60" t="n">
        <f aca="false">+SUM(O3:O9)</f>
        <v>1</v>
      </c>
      <c r="P10" s="60"/>
      <c r="Q10" s="60"/>
      <c r="R10" s="61" t="n">
        <f aca="false">+SUM(R3:R9)</f>
        <v>429.999999999999</v>
      </c>
      <c r="S10" s="61"/>
      <c r="U10" s="60" t="s">
        <v>78</v>
      </c>
      <c r="V10" s="60" t="n">
        <f aca="false">+SUM(V3:V9)</f>
        <v>1</v>
      </c>
      <c r="W10" s="60"/>
      <c r="X10" s="60"/>
      <c r="Y10" s="61" t="n">
        <f aca="false">+SUM(Y3:Y9)</f>
        <v>520.25</v>
      </c>
      <c r="Z10" s="61"/>
      <c r="AB10" s="60" t="s">
        <v>78</v>
      </c>
      <c r="AC10" s="60" t="n">
        <f aca="false">+SUM(AC3:AC9)</f>
        <v>1</v>
      </c>
      <c r="AD10" s="60"/>
      <c r="AE10" s="60"/>
      <c r="AF10" s="61" t="n">
        <f aca="false">+SUM(AF3:AF9)</f>
        <v>546.25</v>
      </c>
      <c r="AG10" s="61"/>
      <c r="AI10" s="60" t="s">
        <v>78</v>
      </c>
      <c r="AJ10" s="60" t="n">
        <f aca="false">+SUM(AJ3:AJ9)</f>
        <v>1</v>
      </c>
      <c r="AK10" s="60"/>
      <c r="AL10" s="60"/>
      <c r="AM10" s="61" t="n">
        <f aca="false">+SUM(AM3:AM9)</f>
        <v>570</v>
      </c>
      <c r="AN10" s="61"/>
    </row>
    <row r="12" customFormat="false" ht="14.4" hidden="false" customHeight="false" outlineLevel="0" collapsed="false">
      <c r="C12" s="2" t="s">
        <v>127</v>
      </c>
      <c r="D12" s="86" t="n">
        <v>0</v>
      </c>
    </row>
    <row r="13" customFormat="false" ht="14.4" hidden="false" customHeight="false" outlineLevel="0" collapsed="false">
      <c r="C13" s="2" t="s">
        <v>128</v>
      </c>
      <c r="D13" s="86" t="n">
        <v>0</v>
      </c>
    </row>
    <row r="14" customFormat="false" ht="14.4" hidden="false" customHeight="false" outlineLevel="0" collapsed="false">
      <c r="C14" s="2" t="s">
        <v>129</v>
      </c>
      <c r="D14" s="86" t="n">
        <v>0</v>
      </c>
    </row>
    <row r="17" customFormat="false" ht="15" hidden="false" customHeight="false" outlineLevel="0" collapsed="false"/>
    <row r="18" customFormat="false" ht="14.4" hidden="false" customHeight="false" outlineLevel="0" collapsed="false">
      <c r="A18" s="2" t="s">
        <v>130</v>
      </c>
      <c r="B18" s="2" t="s">
        <v>36</v>
      </c>
      <c r="D18" s="87" t="s">
        <v>131</v>
      </c>
    </row>
    <row r="19" customFormat="false" ht="15" hidden="false" customHeight="false" outlineLevel="0" collapsed="false">
      <c r="A19" s="3" t="s">
        <v>40</v>
      </c>
      <c r="B19" s="86" t="n">
        <v>0</v>
      </c>
      <c r="D19" s="88" t="n">
        <v>1</v>
      </c>
    </row>
    <row r="20" customFormat="false" ht="14.4" hidden="false" customHeight="false" outlineLevel="0" collapsed="false">
      <c r="A20" s="3" t="s">
        <v>41</v>
      </c>
      <c r="B20" s="86" t="n">
        <v>0</v>
      </c>
    </row>
    <row r="21" customFormat="false" ht="14.4" hidden="false" customHeight="false" outlineLevel="0" collapsed="false">
      <c r="A21" s="3" t="s">
        <v>42</v>
      </c>
      <c r="B21" s="86" t="n">
        <v>0</v>
      </c>
    </row>
    <row r="22" customFormat="false" ht="14.4" hidden="false" customHeight="false" outlineLevel="0" collapsed="false">
      <c r="A22" s="3" t="s">
        <v>43</v>
      </c>
      <c r="B22" s="86" t="n">
        <v>0</v>
      </c>
    </row>
    <row r="24" customFormat="false" ht="14.4" hidden="false" customHeight="false" outlineLevel="0" collapsed="false">
      <c r="A24" s="2" t="s">
        <v>132</v>
      </c>
      <c r="B24" s="89" t="n">
        <f aca="false">IF(D13=0,0,+D14/D13)</f>
        <v>0</v>
      </c>
    </row>
    <row r="25" customFormat="false" ht="14.4" hidden="false" customHeight="false" outlineLevel="0" collapsed="false">
      <c r="A25" s="2" t="s">
        <v>133</v>
      </c>
      <c r="B25" s="89" t="n">
        <f aca="false">IF(D12=0,0,+(SUMPRODUCT(L3:L9,J3:J9))/D12)</f>
        <v>0</v>
      </c>
    </row>
    <row r="26" customFormat="false" ht="14.4" hidden="false" customHeight="false" outlineLevel="0" collapsed="false">
      <c r="A26" s="2" t="s">
        <v>134</v>
      </c>
      <c r="B26" s="89" t="n">
        <f aca="false">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priority="2" operator="lessThan" aboveAverage="0" equalAverage="0" bottom="0" percent="0" rank="0" text="" dxfId="71">
      <formula>0</formula>
    </cfRule>
    <cfRule type="cellIs" priority="3" operator="greaterThan" aboveAverage="0" equalAverage="0" bottom="0" percent="0" rank="0" text="" dxfId="72">
      <formula>1</formula>
    </cfRule>
  </conditionalFormatting>
  <conditionalFormatting sqref="H3:H9 AJ3:AJ9 V3:V9 O3:O9 AC3:AC9">
    <cfRule type="cellIs" priority="4" operator="equal" aboveAverage="0" equalAverage="0" bottom="0" percent="0" rank="0" text="" dxfId="73">
      <formula>0</formula>
    </cfRule>
  </conditionalFormatting>
  <conditionalFormatting sqref="B3:B7">
    <cfRule type="cellIs" priority="5" operator="greaterThan" aboveAverage="0" equalAverage="0" bottom="0" percent="0" rank="0" text="" dxfId="74">
      <formula>1</formula>
    </cfRule>
    <cfRule type="cellIs" priority="6" operator="lessThan" aboveAverage="0" equalAverage="0" bottom="0" percent="0" rank="0" text="" dxfId="75">
      <formula>0</formula>
    </cfRule>
  </conditionalFormatting>
  <conditionalFormatting sqref="AJ3:AJ8">
    <cfRule type="cellIs" priority="7" operator="lessThan" aboveAverage="0" equalAverage="0" bottom="0" percent="0" rank="0" text="" dxfId="76">
      <formula>0</formula>
    </cfRule>
    <cfRule type="cellIs" priority="8" operator="greaterThan" aboveAverage="0" equalAverage="0" bottom="0" percent="0" rank="0" text="" dxfId="77">
      <formula>1</formula>
    </cfRule>
  </conditionalFormatting>
  <conditionalFormatting sqref="AJ3:AJ8">
    <cfRule type="cellIs" priority="9" operator="equal" aboveAverage="0" equalAverage="0" bottom="0" percent="0" rank="0" text="" dxfId="78">
      <formula>0</formula>
    </cfRule>
  </conditionalFormatting>
  <dataValidations count="1">
    <dataValidation allowBlank="true" operator="between" showDropDown="false" showErrorMessage="true" showInputMessage="true" sqref="A10" type="list">
      <formula1>"Regular weapon"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pageSetUpPr fitToPage="false"/>
  </sheetPr>
  <dimension ref="A1:L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2" min="1" style="0" width="18"/>
    <col collapsed="false" customWidth="true" hidden="false" outlineLevel="0" max="3" min="3" style="0" width="14.66"/>
    <col collapsed="false" customWidth="true" hidden="false" outlineLevel="0" max="4" min="4" style="0" width="10.66"/>
    <col collapsed="false" customWidth="true" hidden="false" outlineLevel="0" max="5" min="5" style="0" width="15"/>
    <col collapsed="false" customWidth="true" hidden="false" outlineLevel="0" max="6" min="6" style="0" width="11.55"/>
    <col collapsed="false" customWidth="true" hidden="false" outlineLevel="0" max="8" min="7" style="0" width="13.33"/>
    <col collapsed="false" customWidth="true" hidden="false" outlineLevel="0" max="11" min="9" style="0" width="11.55"/>
    <col collapsed="false" customWidth="true" hidden="false" outlineLevel="0" max="12" min="12" style="0" width="13.33"/>
    <col collapsed="false" customWidth="true" hidden="false" outlineLevel="0" max="1025" min="13" style="0" width="11.55"/>
  </cols>
  <sheetData>
    <row r="1" customFormat="false" ht="15" hidden="false" customHeight="false" outlineLevel="0" collapsed="false">
      <c r="B1" s="90" t="s">
        <v>146</v>
      </c>
      <c r="C1" s="90"/>
      <c r="D1" s="90"/>
      <c r="E1" s="90"/>
      <c r="F1" s="90"/>
      <c r="G1" s="90" t="s">
        <v>147</v>
      </c>
      <c r="H1" s="90"/>
      <c r="I1" s="90"/>
      <c r="J1" s="90"/>
      <c r="K1" s="90"/>
    </row>
    <row r="2" customFormat="false" ht="14.4" hidden="false" customHeight="false" outlineLevel="0" collapsed="false">
      <c r="A2" s="91"/>
      <c r="B2" s="40" t="s">
        <v>148</v>
      </c>
      <c r="C2" s="41" t="s">
        <v>149</v>
      </c>
      <c r="D2" s="41" t="s">
        <v>150</v>
      </c>
      <c r="E2" s="41" t="s">
        <v>151</v>
      </c>
      <c r="F2" s="66" t="s">
        <v>152</v>
      </c>
      <c r="G2" s="40" t="s">
        <v>148</v>
      </c>
      <c r="H2" s="41" t="s">
        <v>149</v>
      </c>
      <c r="I2" s="41" t="s">
        <v>150</v>
      </c>
      <c r="J2" s="41" t="s">
        <v>151</v>
      </c>
      <c r="K2" s="66" t="s">
        <v>152</v>
      </c>
      <c r="L2" s="91" t="s">
        <v>126</v>
      </c>
    </row>
    <row r="3" customFormat="false" ht="14.4" hidden="false" customHeight="false" outlineLevel="0" collapsed="false">
      <c r="A3" s="23" t="s">
        <v>153</v>
      </c>
      <c r="B3" s="92" t="n">
        <f aca="false">+'Scarab Black'!$B$3</f>
        <v>0.213008130081301</v>
      </c>
      <c r="C3" s="93" t="n">
        <f aca="false">+'Scarab Black'!$B$4</f>
        <v>0.65359477124183</v>
      </c>
      <c r="D3" s="93" t="n">
        <f aca="false">+'Scarab Black'!$B$5</f>
        <v>0.856531049250535</v>
      </c>
      <c r="E3" s="93" t="n">
        <f aca="false">+'Scarab Black'!$B$6</f>
        <v>0.955109837631328</v>
      </c>
      <c r="F3" s="94" t="n">
        <f aca="false">+'Scarab Black'!$B$7</f>
        <v>1</v>
      </c>
      <c r="G3" s="95" t="n">
        <f aca="false">1/B3</f>
        <v>4.69465648854962</v>
      </c>
      <c r="H3" s="96" t="n">
        <f aca="false">1/C3</f>
        <v>1.53</v>
      </c>
      <c r="I3" s="96" t="n">
        <f aca="false">1/D3</f>
        <v>1.1675</v>
      </c>
      <c r="J3" s="96" t="n">
        <f aca="false">1/E3</f>
        <v>1.047</v>
      </c>
      <c r="K3" s="97" t="n">
        <f aca="false">1/F3</f>
        <v>1</v>
      </c>
      <c r="L3" s="98" t="str">
        <f aca="false">+'Scarab Black'!$B$8</f>
        <v>x2 - x50</v>
      </c>
    </row>
    <row r="4" customFormat="false" ht="14.4" hidden="false" customHeight="false" outlineLevel="0" collapsed="false">
      <c r="A4" s="23" t="s">
        <v>154</v>
      </c>
      <c r="B4" s="92" t="n">
        <f aca="false">+'Scarab Gold'!$B$3</f>
        <v>0.197586726998492</v>
      </c>
      <c r="C4" s="93" t="n">
        <f aca="false">+'Scarab Gold'!$B$4</f>
        <v>0.606796116504854</v>
      </c>
      <c r="D4" s="93" t="n">
        <f aca="false">+'Scarab Gold'!$B$5</f>
        <v>0.796019900497512</v>
      </c>
      <c r="E4" s="93" t="n">
        <f aca="false">+'Scarab Gold'!$B$6</f>
        <v>0.887311446317657</v>
      </c>
      <c r="F4" s="94" t="n">
        <f aca="false">+'Scarab Gold'!$B$7</f>
        <v>1</v>
      </c>
      <c r="G4" s="95" t="n">
        <f aca="false">1/B4</f>
        <v>5.06106870229007</v>
      </c>
      <c r="H4" s="96" t="n">
        <f aca="false">1/C4</f>
        <v>1.648</v>
      </c>
      <c r="I4" s="96" t="n">
        <f aca="false">1/D4</f>
        <v>1.25625</v>
      </c>
      <c r="J4" s="96" t="n">
        <f aca="false">1/E4</f>
        <v>1.127</v>
      </c>
      <c r="K4" s="97" t="n">
        <f aca="false">1/F4</f>
        <v>1</v>
      </c>
      <c r="L4" s="98" t="str">
        <f aca="false">+'Scarab Gold'!$B$8</f>
        <v>x2 - x50</v>
      </c>
    </row>
    <row r="5" customFormat="false" ht="14.4" hidden="false" customHeight="false" outlineLevel="0" collapsed="false">
      <c r="A5" s="23" t="s">
        <v>155</v>
      </c>
      <c r="B5" s="92" t="n">
        <f aca="false">+'Scarab Gem Covered'!$B$3</f>
        <v>0.166370332740666</v>
      </c>
      <c r="C5" s="93" t="n">
        <f aca="false">+'Scarab Gem Covered'!$B$4</f>
        <v>0.508646998982706</v>
      </c>
      <c r="D5" s="93" t="n">
        <f aca="false">+'Scarab Gem Covered'!$B$5</f>
        <v>0.663900414937759</v>
      </c>
      <c r="E5" s="93" t="n">
        <f aca="false">+'Scarab Gem Covered'!$B$6</f>
        <v>0.757002271006813</v>
      </c>
      <c r="F5" s="94" t="n">
        <f aca="false">+'Scarab Gem Covered'!$B$7</f>
        <v>0.942507068803016</v>
      </c>
      <c r="G5" s="95" t="n">
        <f aca="false">1/B5</f>
        <v>6.01068702290075</v>
      </c>
      <c r="H5" s="96" t="n">
        <f aca="false">1/C5</f>
        <v>1.966</v>
      </c>
      <c r="I5" s="96" t="n">
        <f aca="false">1/D5</f>
        <v>1.50625</v>
      </c>
      <c r="J5" s="96" t="n">
        <f aca="false">1/E5</f>
        <v>1.321</v>
      </c>
      <c r="K5" s="97" t="n">
        <f aca="false">1/F5</f>
        <v>1.061</v>
      </c>
      <c r="L5" s="98" t="str">
        <f aca="false">+'Scarab Gem Covered'!$B$8</f>
        <v>x3 - x60</v>
      </c>
    </row>
    <row r="6" customFormat="false" ht="14.4" hidden="false" customHeight="false" outlineLevel="0" collapsed="false">
      <c r="A6" s="23" t="s">
        <v>23</v>
      </c>
      <c r="B6" s="92" t="n">
        <f aca="false">+'Standard Mummy'!$B$3</f>
        <v>0.0927105449398443</v>
      </c>
      <c r="C6" s="93" t="n">
        <f aca="false">+'Standard Mummy'!$B$4</f>
        <v>0.277623542476402</v>
      </c>
      <c r="D6" s="93" t="n">
        <f aca="false">+'Standard Mummy'!$B$5</f>
        <v>0.36281179138322</v>
      </c>
      <c r="E6" s="93" t="n">
        <f aca="false">+'Standard Mummy'!$B$6</f>
        <v>0.417536534446764</v>
      </c>
      <c r="F6" s="94" t="n">
        <f aca="false">+'Standard Mummy'!$B$7</f>
        <v>0.784313725490196</v>
      </c>
      <c r="G6" s="95" t="n">
        <f aca="false">1/B6</f>
        <v>10.7862595419847</v>
      </c>
      <c r="H6" s="96" t="n">
        <f aca="false">1/C6</f>
        <v>3.602</v>
      </c>
      <c r="I6" s="96" t="n">
        <f aca="false">1/D6</f>
        <v>2.75625</v>
      </c>
      <c r="J6" s="96" t="n">
        <f aca="false">1/E6</f>
        <v>2.395</v>
      </c>
      <c r="K6" s="97" t="n">
        <f aca="false">1/F6</f>
        <v>1.275</v>
      </c>
      <c r="L6" s="98" t="str">
        <f aca="false">+'Standard Mummy'!$B$8</f>
        <v>x5 - x100</v>
      </c>
    </row>
    <row r="7" customFormat="false" ht="14.4" hidden="false" customHeight="false" outlineLevel="0" collapsed="false">
      <c r="A7" s="23" t="s">
        <v>156</v>
      </c>
      <c r="B7" s="92" t="n">
        <f aca="false">+'Mummy A'!$B$3</f>
        <v>0.0927105449398443</v>
      </c>
      <c r="C7" s="93" t="n">
        <f aca="false">+'Mummy A'!$B$4</f>
        <v>0.286532951289398</v>
      </c>
      <c r="D7" s="93" t="n">
        <f aca="false">+'Mummy A'!$B$5</f>
        <v>0.377358490566038</v>
      </c>
      <c r="E7" s="93" t="n">
        <f aca="false">+'Mummy A'!$B$6</f>
        <v>0.415800415800416</v>
      </c>
      <c r="F7" s="94" t="n">
        <f aca="false">+'Mummy A'!$B$7</f>
        <v>0.784313725490196</v>
      </c>
      <c r="G7" s="95" t="n">
        <f aca="false">1/B7</f>
        <v>10.7862595419847</v>
      </c>
      <c r="H7" s="96" t="n">
        <f aca="false">1/C7</f>
        <v>3.49</v>
      </c>
      <c r="I7" s="96" t="n">
        <f aca="false">1/D7</f>
        <v>2.65</v>
      </c>
      <c r="J7" s="96" t="n">
        <f aca="false">1/E7</f>
        <v>2.405</v>
      </c>
      <c r="K7" s="97" t="n">
        <f aca="false">1/F7</f>
        <v>1.275</v>
      </c>
      <c r="L7" s="98" t="str">
        <f aca="false">+'Mummy A'!$B$8</f>
        <v>x5 - x100</v>
      </c>
    </row>
    <row r="8" customFormat="false" ht="14.4" hidden="false" customHeight="false" outlineLevel="0" collapsed="false">
      <c r="A8" s="23" t="s">
        <v>157</v>
      </c>
      <c r="B8" s="92" t="n">
        <f aca="false">+'Mummy B'!$B$3</f>
        <v>0.0927105449398443</v>
      </c>
      <c r="C8" s="93" t="n">
        <f aca="false">+'Mummy B'!$B$4</f>
        <v>0.286532951289398</v>
      </c>
      <c r="D8" s="93" t="n">
        <f aca="false">+'Mummy B'!$B$5</f>
        <v>0.377358490566038</v>
      </c>
      <c r="E8" s="93" t="n">
        <f aca="false">+'Mummy B'!$B$6</f>
        <v>0.415800415800416</v>
      </c>
      <c r="F8" s="94" t="n">
        <f aca="false">+'Mummy B'!$B$7</f>
        <v>0.784313725490196</v>
      </c>
      <c r="G8" s="95" t="n">
        <f aca="false">1/B8</f>
        <v>10.7862595419847</v>
      </c>
      <c r="H8" s="96" t="n">
        <f aca="false">1/C8</f>
        <v>3.49</v>
      </c>
      <c r="I8" s="96" t="n">
        <f aca="false">1/D8</f>
        <v>2.65</v>
      </c>
      <c r="J8" s="96" t="n">
        <f aca="false">1/E8</f>
        <v>2.405</v>
      </c>
      <c r="K8" s="97" t="n">
        <f aca="false">1/F8</f>
        <v>1.275</v>
      </c>
      <c r="L8" s="98" t="str">
        <f aca="false">+'Mummy B'!$B$8</f>
        <v>x5 - x100</v>
      </c>
    </row>
    <row r="9" customFormat="false" ht="14.4" hidden="false" customHeight="false" outlineLevel="0" collapsed="false">
      <c r="A9" s="23" t="s">
        <v>158</v>
      </c>
      <c r="B9" s="92" t="n">
        <f aca="false">+'Mummy C'!$B$3</f>
        <v>0.0653692614770459</v>
      </c>
      <c r="C9" s="93" t="n">
        <f aca="false">+'Mummy C'!$B$4</f>
        <v>0.199920031987205</v>
      </c>
      <c r="D9" s="93" t="n">
        <f aca="false">+'Mummy C'!$B$5</f>
        <v>0.262725779967159</v>
      </c>
      <c r="E9" s="93" t="n">
        <f aca="false">+'Mummy C'!$B$6</f>
        <v>0.291970802919708</v>
      </c>
      <c r="F9" s="94" t="n">
        <f aca="false">+'Mummy C'!$B$7</f>
        <v>0.711743772241993</v>
      </c>
      <c r="G9" s="95" t="n">
        <f aca="false">1/B9</f>
        <v>15.2977099236641</v>
      </c>
      <c r="H9" s="96" t="n">
        <f aca="false">1/C9</f>
        <v>5.002</v>
      </c>
      <c r="I9" s="96" t="n">
        <f aca="false">1/D9</f>
        <v>3.80625</v>
      </c>
      <c r="J9" s="96" t="n">
        <f aca="false">1/E9</f>
        <v>3.425</v>
      </c>
      <c r="K9" s="97" t="n">
        <f aca="false">1/F9</f>
        <v>1.405</v>
      </c>
      <c r="L9" s="98" t="str">
        <f aca="false">+'Mummy C'!$B$8</f>
        <v>x7 - x150</v>
      </c>
    </row>
    <row r="10" customFormat="false" ht="14.4" hidden="false" customHeight="false" outlineLevel="0" collapsed="false">
      <c r="A10" s="23" t="s">
        <v>159</v>
      </c>
      <c r="B10" s="92" t="n">
        <f aca="false">+'Pharaoh A'!$B$3</f>
        <v>0.0430213464696223</v>
      </c>
      <c r="C10" s="93" t="n">
        <f aca="false">+'Pharaoh A'!$B$4</f>
        <v>0.132100396301189</v>
      </c>
      <c r="D10" s="93" t="n">
        <f aca="false">+'Pharaoh A'!$B$5</f>
        <v>0.172972972972973</v>
      </c>
      <c r="E10" s="93" t="n">
        <f aca="false">+'Pharaoh A'!$B$6</f>
        <v>0.193423597678917</v>
      </c>
      <c r="F10" s="94" t="n">
        <f aca="false">+'Pharaoh A'!$B$7</f>
        <v>0.5</v>
      </c>
      <c r="G10" s="95" t="n">
        <f aca="false">1/B10</f>
        <v>23.2442748091603</v>
      </c>
      <c r="H10" s="96" t="n">
        <f aca="false">1/C10</f>
        <v>7.57</v>
      </c>
      <c r="I10" s="96" t="n">
        <f aca="false">1/D10</f>
        <v>5.78125</v>
      </c>
      <c r="J10" s="96" t="n">
        <f aca="false">1/E10</f>
        <v>5.17</v>
      </c>
      <c r="K10" s="97" t="n">
        <f aca="false">1/F10</f>
        <v>2</v>
      </c>
      <c r="L10" s="98" t="str">
        <f aca="false">+'Pharaoh A'!$B$8</f>
        <v>x10 - x200</v>
      </c>
    </row>
    <row r="11" customFormat="false" ht="14.4" hidden="false" customHeight="false" outlineLevel="0" collapsed="false">
      <c r="A11" s="23" t="s">
        <v>160</v>
      </c>
      <c r="B11" s="92" t="n">
        <f aca="false">+'Pharaoh B'!$B$3</f>
        <v>0.0430213464696223</v>
      </c>
      <c r="C11" s="93" t="n">
        <f aca="false">+'Pharaoh B'!$B$4</f>
        <v>0.132100396301189</v>
      </c>
      <c r="D11" s="93" t="n">
        <f aca="false">+'Pharaoh B'!$B$5</f>
        <v>0.171673819742489</v>
      </c>
      <c r="E11" s="93" t="n">
        <f aca="false">+'Pharaoh B'!$B$6</f>
        <v>0.192864030858245</v>
      </c>
      <c r="F11" s="94" t="n">
        <f aca="false">+'Pharaoh B'!$B$7</f>
        <v>0.5</v>
      </c>
      <c r="G11" s="95" t="n">
        <f aca="false">1/B11</f>
        <v>23.2442748091603</v>
      </c>
      <c r="H11" s="96" t="n">
        <f aca="false">1/C11</f>
        <v>7.57</v>
      </c>
      <c r="I11" s="96" t="n">
        <f aca="false">1/D11</f>
        <v>5.825</v>
      </c>
      <c r="J11" s="96" t="n">
        <f aca="false">1/E11</f>
        <v>5.185</v>
      </c>
      <c r="K11" s="97" t="n">
        <f aca="false">1/F11</f>
        <v>2</v>
      </c>
      <c r="L11" s="98" t="str">
        <f aca="false">+'Pharaoh B'!$B$8</f>
        <v>x10 - x200</v>
      </c>
    </row>
    <row r="12" customFormat="false" ht="14.4" hidden="false" customHeight="false" outlineLevel="0" collapsed="false">
      <c r="A12" s="99" t="s">
        <v>161</v>
      </c>
      <c r="B12" s="100" t="n">
        <f aca="false">+'HV Scarab'!$B$3</f>
        <v>0.00578787878787879</v>
      </c>
      <c r="C12" s="54" t="n">
        <f aca="false">+'HV Scarab'!$B$4</f>
        <v>0.0175746924428822</v>
      </c>
      <c r="D12" s="54" t="n">
        <f aca="false">+'HV Scarab'!$B$5</f>
        <v>0.0235640648011782</v>
      </c>
      <c r="E12" s="54" t="n">
        <f aca="false">+'HV Scarab'!$B$6</f>
        <v>0.0256410256410257</v>
      </c>
      <c r="F12" s="101" t="n">
        <f aca="false">+'HV Scarab'!$B$7</f>
        <v>0.121951219512195</v>
      </c>
      <c r="G12" s="102" t="n">
        <f aca="false">1/B12</f>
        <v>172.774869109948</v>
      </c>
      <c r="H12" s="103" t="n">
        <f aca="false">1/C12</f>
        <v>56.9</v>
      </c>
      <c r="I12" s="103" t="n">
        <f aca="false">1/D12</f>
        <v>42.4375</v>
      </c>
      <c r="J12" s="103" t="n">
        <f aca="false">1/E12</f>
        <v>39</v>
      </c>
      <c r="K12" s="104" t="n">
        <f aca="false">1/F12</f>
        <v>8.2</v>
      </c>
      <c r="L12" s="105" t="str">
        <f aca="false">+'HV Scarab'!$B$8</f>
        <v>x50 - x2000</v>
      </c>
    </row>
    <row r="13" customFormat="false" ht="14.4" hidden="false" customHeight="false" outlineLevel="0" collapsed="false">
      <c r="A13" s="99" t="s">
        <v>162</v>
      </c>
      <c r="B13" s="100" t="n">
        <f aca="false">+'HV enemy'!$B$3</f>
        <v>0.00377470355731225</v>
      </c>
      <c r="C13" s="54" t="n">
        <f aca="false">+'HV enemy'!$B$4</f>
        <v>0.0116279069767442</v>
      </c>
      <c r="D13" s="54" t="n">
        <f aca="false">+'HV enemy'!$B$5</f>
        <v>0.0153772224891879</v>
      </c>
      <c r="E13" s="54" t="n">
        <f aca="false">+'HV enemy'!$B$6</f>
        <v>0.0183066361556064</v>
      </c>
      <c r="F13" s="101" t="n">
        <f aca="false">+'HV enemy'!$B$7</f>
        <v>0.087719298245614</v>
      </c>
      <c r="G13" s="102" t="n">
        <f aca="false">1/B13</f>
        <v>264.921465968586</v>
      </c>
      <c r="H13" s="103" t="n">
        <f aca="false">1/C13</f>
        <v>85.9999999999999</v>
      </c>
      <c r="I13" s="103" t="n">
        <f aca="false">1/D13</f>
        <v>65.03125</v>
      </c>
      <c r="J13" s="103" t="n">
        <f aca="false">1/E13</f>
        <v>54.625</v>
      </c>
      <c r="K13" s="104" t="n">
        <f aca="false">1/F13</f>
        <v>11.4</v>
      </c>
      <c r="L13" s="105" t="str">
        <f aca="false">+'HV enemy'!$B$8</f>
        <v>x75 - x5000</v>
      </c>
    </row>
    <row r="14" customFormat="false" ht="14.4" hidden="false" customHeight="false" outlineLevel="0" collapsed="false">
      <c r="A14" s="99" t="s">
        <v>163</v>
      </c>
      <c r="B14" s="100"/>
      <c r="C14" s="54"/>
      <c r="D14" s="54"/>
      <c r="E14" s="54"/>
      <c r="F14" s="101"/>
      <c r="G14" s="102" t="n">
        <f aca="false">+'Boss round (1,2,or 3 players)'!G33</f>
        <v>689.655172413793</v>
      </c>
      <c r="H14" s="103" t="n">
        <f aca="false">+'Boss round (1,2,or 3 players)'!G33</f>
        <v>689.655172413793</v>
      </c>
      <c r="I14" s="103" t="n">
        <f aca="false">+'Boss round (1,2,or 3 players)'!G33</f>
        <v>689.655172413793</v>
      </c>
      <c r="J14" s="103" t="n">
        <f aca="false">+'Boss round (1,2,or 3 players)'!G33</f>
        <v>689.655172413793</v>
      </c>
      <c r="K14" s="104" t="n">
        <f aca="false">+'Boss round (1,2,or 3 players)'!G33</f>
        <v>689.655172413793</v>
      </c>
      <c r="L14" s="105"/>
    </row>
    <row r="15" customFormat="false" ht="15" hidden="false" customHeight="false" outlineLevel="0" collapsed="false">
      <c r="A15" s="106" t="s">
        <v>164</v>
      </c>
      <c r="B15" s="107"/>
      <c r="C15" s="108"/>
      <c r="D15" s="108"/>
      <c r="E15" s="108"/>
      <c r="F15" s="109"/>
      <c r="G15" s="110" t="n">
        <f aca="false">+'Boss round (4 or more players)'!G33</f>
        <v>1000</v>
      </c>
      <c r="H15" s="111" t="n">
        <f aca="false">+'Boss round (4 or more players)'!G33</f>
        <v>1000</v>
      </c>
      <c r="I15" s="111" t="n">
        <f aca="false">+'Boss round (4 or more players)'!G33</f>
        <v>1000</v>
      </c>
      <c r="J15" s="111" t="n">
        <f aca="false">+'Boss round (4 or more players)'!G33</f>
        <v>1000</v>
      </c>
      <c r="K15" s="112" t="n">
        <f aca="false">+'Boss round (4 or more players)'!G33</f>
        <v>1000</v>
      </c>
      <c r="L15" s="106"/>
    </row>
    <row r="17" customFormat="false" ht="15" hidden="false" customHeight="false" outlineLevel="0" collapsed="false">
      <c r="B17" s="90" t="s">
        <v>165</v>
      </c>
      <c r="C17" s="90"/>
      <c r="D17" s="90"/>
      <c r="E17" s="90"/>
      <c r="F17" s="90"/>
    </row>
    <row r="18" customFormat="false" ht="14.4" hidden="false" customHeight="false" outlineLevel="0" collapsed="false">
      <c r="A18" s="91"/>
      <c r="B18" s="40" t="s">
        <v>148</v>
      </c>
      <c r="C18" s="41" t="s">
        <v>149</v>
      </c>
      <c r="D18" s="41" t="s">
        <v>150</v>
      </c>
      <c r="E18" s="41" t="s">
        <v>151</v>
      </c>
      <c r="F18" s="66" t="s">
        <v>152</v>
      </c>
    </row>
    <row r="19" customFormat="false" ht="14.4" hidden="false" customHeight="false" outlineLevel="0" collapsed="false">
      <c r="A19" s="23" t="s">
        <v>153</v>
      </c>
      <c r="B19" s="95" t="n">
        <v>1</v>
      </c>
      <c r="C19" s="96" t="n">
        <f aca="false">+C3/$B3</f>
        <v>3.06840293369256</v>
      </c>
      <c r="D19" s="96" t="n">
        <f aca="false">+D3/$B3</f>
        <v>4.02111904800824</v>
      </c>
      <c r="E19" s="96" t="n">
        <f aca="false">+E3/$B3</f>
        <v>4.48391259651349</v>
      </c>
      <c r="F19" s="97" t="n">
        <f aca="false">+F3/$B3</f>
        <v>4.69465648854962</v>
      </c>
    </row>
    <row r="20" customFormat="false" ht="14.4" hidden="false" customHeight="false" outlineLevel="0" collapsed="false">
      <c r="A20" s="23" t="s">
        <v>154</v>
      </c>
      <c r="B20" s="95" t="n">
        <v>1</v>
      </c>
      <c r="C20" s="96" t="n">
        <f aca="false">+C4/$B4</f>
        <v>3.07103683391388</v>
      </c>
      <c r="D20" s="96" t="n">
        <f aca="false">+D4/$B4</f>
        <v>4.02871140480801</v>
      </c>
      <c r="E20" s="96" t="n">
        <f aca="false">+E4/$B4</f>
        <v>4.49074419014203</v>
      </c>
      <c r="F20" s="97" t="n">
        <f aca="false">+F4/$B4</f>
        <v>5.06106870229007</v>
      </c>
    </row>
    <row r="21" customFormat="false" ht="14.4" hidden="false" customHeight="false" outlineLevel="0" collapsed="false">
      <c r="A21" s="23" t="s">
        <v>155</v>
      </c>
      <c r="B21" s="95" t="n">
        <v>1</v>
      </c>
      <c r="C21" s="96" t="n">
        <f aca="false">+C5/$B5</f>
        <v>3.05731791602276</v>
      </c>
      <c r="D21" s="96" t="n">
        <f aca="false">+D5/$B5</f>
        <v>3.99049760856481</v>
      </c>
      <c r="E21" s="96" t="n">
        <f aca="false">+E5/$B5</f>
        <v>4.55010372664705</v>
      </c>
      <c r="F21" s="97" t="n">
        <f aca="false">+F5/$B5</f>
        <v>5.66511500744652</v>
      </c>
    </row>
    <row r="22" customFormat="false" ht="14.4" hidden="false" customHeight="false" outlineLevel="0" collapsed="false">
      <c r="A22" s="23" t="s">
        <v>23</v>
      </c>
      <c r="B22" s="95" t="n">
        <v>1</v>
      </c>
      <c r="C22" s="96" t="n">
        <f aca="false">+C6/$B6</f>
        <v>2.99451958411569</v>
      </c>
      <c r="D22" s="96" t="n">
        <f aca="false">+D6/$B6</f>
        <v>3.91338214675183</v>
      </c>
      <c r="E22" s="96" t="n">
        <f aca="false">+E6/$B6</f>
        <v>4.50365742880365</v>
      </c>
      <c r="F22" s="97" t="n">
        <f aca="false">+F6/$B6</f>
        <v>8.45981140547822</v>
      </c>
    </row>
    <row r="23" customFormat="false" ht="14.4" hidden="false" customHeight="false" outlineLevel="0" collapsed="false">
      <c r="A23" s="23" t="s">
        <v>156</v>
      </c>
      <c r="B23" s="95" t="n">
        <v>1</v>
      </c>
      <c r="C23" s="96" t="n">
        <f aca="false">+C7/$B7</f>
        <v>3.09061877993832</v>
      </c>
      <c r="D23" s="96" t="n">
        <f aca="false">+D7/$B7</f>
        <v>4.07028661961688</v>
      </c>
      <c r="E23" s="96" t="n">
        <f aca="false">+E7/$B7</f>
        <v>4.48493120248846</v>
      </c>
      <c r="F23" s="97" t="n">
        <f aca="false">+F7/$B7</f>
        <v>8.45981140547822</v>
      </c>
    </row>
    <row r="24" customFormat="false" ht="14.4" hidden="false" customHeight="false" outlineLevel="0" collapsed="false">
      <c r="A24" s="23" t="s">
        <v>157</v>
      </c>
      <c r="B24" s="95" t="n">
        <v>1</v>
      </c>
      <c r="C24" s="96" t="n">
        <f aca="false">+C8/$B8</f>
        <v>3.09061877993832</v>
      </c>
      <c r="D24" s="96" t="n">
        <f aca="false">+D8/$B8</f>
        <v>4.07028661961688</v>
      </c>
      <c r="E24" s="96" t="n">
        <f aca="false">+E8/$B8</f>
        <v>4.48493120248846</v>
      </c>
      <c r="F24" s="97" t="n">
        <f aca="false">+F8/$B8</f>
        <v>8.45981140547822</v>
      </c>
    </row>
    <row r="25" customFormat="false" ht="14.4" hidden="false" customHeight="false" outlineLevel="0" collapsed="false">
      <c r="A25" s="23" t="s">
        <v>158</v>
      </c>
      <c r="B25" s="95" t="n">
        <v>1</v>
      </c>
      <c r="C25" s="96" t="n">
        <f aca="false">+C9/$B9</f>
        <v>3.05831865726992</v>
      </c>
      <c r="D25" s="96" t="n">
        <f aca="false">+D9/$B9</f>
        <v>4.01910277140601</v>
      </c>
      <c r="E25" s="96" t="n">
        <f aca="false">+E9/$B9</f>
        <v>4.466484649245</v>
      </c>
      <c r="F25" s="97" t="n">
        <f aca="false">+F9/$B9</f>
        <v>10.8880497677325</v>
      </c>
    </row>
    <row r="26" customFormat="false" ht="14.4" hidden="false" customHeight="false" outlineLevel="0" collapsed="false">
      <c r="A26" s="23" t="s">
        <v>159</v>
      </c>
      <c r="B26" s="95" t="n">
        <v>1</v>
      </c>
      <c r="C26" s="96" t="n">
        <f aca="false">+C10/$B10</f>
        <v>3.07057791402382</v>
      </c>
      <c r="D26" s="96" t="n">
        <f aca="false">+D10/$B10</f>
        <v>4.02063131834124</v>
      </c>
      <c r="E26" s="96" t="n">
        <f aca="false">+E10/$B10</f>
        <v>4.49599125902521</v>
      </c>
      <c r="F26" s="97" t="n">
        <f aca="false">+F10/$B10</f>
        <v>11.6221374045802</v>
      </c>
    </row>
    <row r="27" customFormat="false" ht="14.4" hidden="false" customHeight="false" outlineLevel="0" collapsed="false">
      <c r="A27" s="23" t="s">
        <v>160</v>
      </c>
      <c r="B27" s="95" t="n">
        <v>1</v>
      </c>
      <c r="C27" s="96" t="n">
        <f aca="false">+C11/$B11</f>
        <v>3.07057791402382</v>
      </c>
      <c r="D27" s="96" t="n">
        <f aca="false">+D11/$B11</f>
        <v>3.99043344363267</v>
      </c>
      <c r="E27" s="96" t="n">
        <f aca="false">+E11/$B11</f>
        <v>4.48298453407142</v>
      </c>
      <c r="F27" s="97" t="n">
        <f aca="false">+F11/$B11</f>
        <v>11.6221374045802</v>
      </c>
    </row>
    <row r="28" customFormat="false" ht="14.4" hidden="false" customHeight="false" outlineLevel="0" collapsed="false">
      <c r="A28" s="99" t="s">
        <v>161</v>
      </c>
      <c r="B28" s="95" t="n">
        <v>1</v>
      </c>
      <c r="C28" s="96" t="n">
        <f aca="false">+C12/$B12</f>
        <v>3.03646518646657</v>
      </c>
      <c r="D28" s="96" t="n">
        <f aca="false">+D12/$B12</f>
        <v>4.07127821172189</v>
      </c>
      <c r="E28" s="96" t="n">
        <f aca="false">+E12/$B12</f>
        <v>4.43012484897302</v>
      </c>
      <c r="F28" s="97" t="n">
        <f aca="false">+F12/$B12</f>
        <v>21.070105989018</v>
      </c>
    </row>
    <row r="29" customFormat="false" ht="15" hidden="false" customHeight="false" outlineLevel="0" collapsed="false">
      <c r="A29" s="106" t="s">
        <v>162</v>
      </c>
      <c r="B29" s="113" t="n">
        <v>1</v>
      </c>
      <c r="C29" s="114" t="n">
        <f aca="false">+C13/$B13</f>
        <v>3.08048216242543</v>
      </c>
      <c r="D29" s="114" t="n">
        <f aca="false">+D13/$B13</f>
        <v>4.07375632436077</v>
      </c>
      <c r="E29" s="114" t="n">
        <f aca="false">+E13/$B13</f>
        <v>4.84982088729678</v>
      </c>
      <c r="F29" s="115" t="n">
        <f aca="false">+F13/$B13</f>
        <v>23.2387250849637</v>
      </c>
    </row>
  </sheetData>
  <mergeCells count="3">
    <mergeCell ref="B1:F1"/>
    <mergeCell ref="G1:K1"/>
    <mergeCell ref="B17:F1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2018-09-08T09:54:06Z</dcterms:created>
  <dc:creator>Pablo</dc:creator>
  <dc:description/>
  <dc:language>ru-RU</dc:language>
  <cp:lastModifiedBy/>
  <dcterms:modified xsi:type="dcterms:W3CDTF">2018-11-16T11:42:27Z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