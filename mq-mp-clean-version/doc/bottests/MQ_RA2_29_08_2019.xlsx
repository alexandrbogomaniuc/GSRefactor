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odel Info and Rules" sheetId="1" state="visible" r:id="rId2"/>
    <sheet name="Model Stat" sheetId="2" state="visible" r:id="rId3"/>
    <sheet name="BSG Game Info" sheetId="3" state="visible" r:id="rId4"/>
    <sheet name="Game Stat ( Internal Testing )" sheetId="4" state="visible" r:id="rId5"/>
    <sheet name="Game Stat ( Bot Testing )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<sst xmlns="http://schemas.openxmlformats.org/spreadsheetml/2006/main" count="82" uniqueCount="71">
  <si>
    <t xml:space="preserve">Информация о игре от математика.  Правила игры, описание бонусов.</t>
  </si>
  <si>
    <t xml:space="preserve">See http://gl.betsoft.com/max-quest/max-quest-math/blob/configs/spec/fixtures/</t>
  </si>
  <si>
    <t xml:space="preserve">Статистика по игре от математика.   Возвратность игры и бонусов, частота выпадения бонусов.</t>
  </si>
  <si>
    <t xml:space="preserve">RTP by model</t>
  </si>
  <si>
    <t xml:space="preserve">97.5</t>
  </si>
  <si>
    <t xml:space="preserve">Важная информация для функционирования игры.  Должна хранится в темплейте игры (BaseGameInfoTemplate Params) и быть корректно отсетаплена</t>
  </si>
  <si>
    <t xml:space="preserve">RTP=95.21 — значение взято с нашего локального теста, более точного чем в модели</t>
  </si>
  <si>
    <t xml:space="preserve">BaseGameInfoTemplate Params</t>
  </si>
  <si>
    <t xml:space="preserve">Value</t>
  </si>
  <si>
    <t xml:space="preserve">Comments</t>
  </si>
  <si>
    <t xml:space="preserve">Versions</t>
  </si>
  <si>
    <t xml:space="preserve">Game Title</t>
  </si>
  <si>
    <t xml:space="preserve">GameName</t>
  </si>
  <si>
    <t xml:space="preserve">GameId</t>
  </si>
  <si>
    <t xml:space="preserve">Common parameters</t>
  </si>
  <si>
    <t xml:space="preserve">Base 
(SB/GP3)</t>
  </si>
  <si>
    <t xml:space="preserve">Max Quest: Wrath of Ra</t>
  </si>
  <si>
    <t xml:space="preserve">UNDISCOVERED_EGYPT</t>
  </si>
  <si>
    <t xml:space="preserve">RTP</t>
  </si>
  <si>
    <t xml:space="preserve">RTP по модели игры, формат 97.0</t>
  </si>
  <si>
    <t xml:space="preserve">Clone</t>
  </si>
  <si>
    <t xml:space="preserve">MAX_WIN</t>
  </si>
  <si>
    <t xml:space="preserve">Максимально возможный выигрыш в игре, с учетом почти 
невозможных ситуаций  (N фриспинов с максимальной выплатой в одном)</t>
  </si>
  <si>
    <t xml:space="preserve">CDN_SUPPORT</t>
  </si>
  <si>
    <t xml:space="preserve">TRUE</t>
  </si>
  <si>
    <t xml:space="preserve">Для новых игр для всех TRUE</t>
  </si>
  <si>
    <t xml:space="preserve">LGA_APPROVED</t>
  </si>
  <si>
    <t xml:space="preserve">ISENABLED</t>
  </si>
  <si>
    <t xml:space="preserve">(для фейковых gameId всегда должен быть FALSE)</t>
  </si>
  <si>
    <t xml:space="preserve">HTML5PC_VERSION_MODE</t>
  </si>
  <si>
    <t xml:space="preserve">ONLY</t>
  </si>
  <si>
    <t xml:space="preserve">Клиент используемый для PC версии</t>
  </si>
  <si>
    <t xml:space="preserve">swfLocation</t>
  </si>
  <si>
    <t xml:space="preserve">/html5pc/actiongames/wrathofra/</t>
  </si>
  <si>
    <r>
      <rPr>
        <sz val="10"/>
        <rFont val="Arial"/>
        <family val="2"/>
        <charset val="1"/>
      </rPr>
      <t xml:space="preserve">Информация о тестировании игры локальными тестами. Тестам должны подвергаться различные возможные комбинации… 
Если в игре у игрока есть  возможность выбора в каком-нибудь бонусе, такие бонусы должны тестироваться дополнительно с разными стратегиями выбора игрока.</t>
    </r>
    <r>
      <rPr>
        <sz val="10"/>
        <color rgb="FFCC3300"/>
        <rFont val="Arial"/>
        <family val="2"/>
        <charset val="1"/>
      </rPr>
      <t xml:space="preserve">Дополнительно, в сервлете обязательно делать проверки на различные хаки выбора игрока и неправильные параметры в запросе</t>
    </r>
    <r>
      <rPr>
        <sz val="10"/>
        <rFont val="Arial"/>
        <family val="2"/>
        <charset val="1"/>
      </rPr>
      <t xml:space="preserve">Конфигурации для тестирования с/без ACS должны быть одинаковые что бы можно было сравнить.
Количество ACS тестов должно быть как минимум в 4 раза больше. C ACS percent 100, =RTP, -10%, -20%.</t>
    </r>
  </si>
  <si>
    <t xml:space="preserve">Вычисляемые поля</t>
  </si>
  <si>
    <t xml:space="preserve">Константы и описание</t>
  </si>
  <si>
    <t xml:space="preserve">Заголовки</t>
  </si>
  <si>
    <t xml:space="preserve">Необходимо заполнить из тестов</t>
  </si>
  <si>
    <t xml:space="preserve">Configuration</t>
  </si>
  <si>
    <t xml:space="preserve">mode: allowBuyInSpecialWeapons: true
mode: probBuySpecialWeapon: 0.3
mode: boxId: 2
mode: allowSpecialWeaponsShoots: true
mode: shootFromSpecialWeaponsOnly: false
mode: needSaveToFile: true
mode: optimal needUseOptimalStrategy: false
mode: shot to all enemies
-------------  cntTest: 25000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</si>
  <si>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true
mode: shot to all enemies
-------------  cntTest: 100000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</si>
  <si>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shot to all enemies
-------------  cntTest: 100000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</si>
  <si>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true
mode: shot to all enemies
-------------  cntTest: 100000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</si>
  <si>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shot to all enemies
-------------  cntTest: 100000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</si>
  <si>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Emerald Bataanta
-------------  cntTest: 20000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</si>
  <si>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Emerald Bataanta
-------------  cntTest: 20000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</si>
  <si>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Crimson Bataanta
-------------  cntTest: 20000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</si>
  <si>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Crimson Bataanta
-------------  cntTest: 20000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</si>
  <si>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Tahawy Warrior
-------------  cntTest: 20000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</si>
  <si>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Tahawy Warrior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</si>
  <si>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Wrapped Spirit Guard
-------------  cntTest: 20000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</si>
  <si>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Wrapped Spirit Guard
-------------  cntTest: 20000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</si>
  <si>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Wrapped Shadowguard
-------------  cntTest: 20000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</si>
  <si>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Wrapped Shadowguard
-------------  cntTest: 20000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</si>
  <si>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Wrapped Minion
-------------  cntTest: 20000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</si>
  <si>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Wrapped Minion
-------------  cntTest: 20000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</si>
  <si>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Green Scarab
-------------  cntTest: 20000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</si>
  <si>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Green Scarab
-------------  cntTest: 20000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</si>
  <si>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Shadow Scarab
-------------  cntTest: 20000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</si>
  <si>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Shadow Scarab
-------------  cntTest: 20000
</t>
  </si>
  <si>
    <t xml:space="preserve">mode: allowBuyInSpecialWeapons: false
mode: probBuySpecialWeapon: 0.3
mode: boxId: 2
mode: allowSpecialWeaponsShoots: false
mode: shootFromSpecialWeaponsOnly: false
mode: needSaveToFile: true
mode: optimal needUseOptimalStrategy: false
mode: idEnemiesForShooting:
Originating Mummy (with FX)
Gem Scarab (with Flame FX)
Boss
Gold Scarab10
-------------  cntTest: 20000
</t>
  </si>
  <si>
    <t xml:space="preserve">mode: allowBuyInSpecialWeapons: false
mode: probBuySpecialWeapon: 0.3
mode: boxId: 2
mode: allowSpecialWeaponsShoots: true
mode: shootFromSpecialWeaponsOnly: false
mode: needSaveToFile: true
mode: optimal needUseOptimalStrategy: false
mode: idEnemiesForShooting:
Originating Mummy (with FX)
Gem Scarab (with Flame FX)
Boss
Gold Scarab10
-------------  cntTest: 20000
</t>
  </si>
  <si>
    <t xml:space="preserve">Информация о тестировании игры бот тестами. Тестам должны подвергаться различные возможные комбинации. Минимальные ставки, максимальные, с даблапом и без.  
Каждая конфигурация должна быть описана в поле «Configuration of bets» как можно подробнее. 
Если в игре у игрока есть  возможность выбора в каком-нибудь бонусе, такие бонусы должны тестироваться дополнительно с разными стратегиями выбора игрока.</t>
  </si>
  <si>
    <t xml:space="preserve">Configuration of bets</t>
  </si>
  <si>
    <t xml:space="preserve">Bets</t>
  </si>
  <si>
    <t xml:space="preserve">Wins</t>
  </si>
  <si>
    <t xml:space="preserve">Shots</t>
  </si>
  <si>
    <t xml:space="preserve">Rounds Count (number rooms)</t>
  </si>
  <si>
    <t xml:space="preserve">50 bots, 3 bot per room, no buy special weapons</t>
  </si>
  <si>
    <t xml:space="preserve">50 bots, 3 bot per room, buy special weapons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</si>
</sst>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"/>
    <numFmt numFmtId="167" formatCode="0.00E+0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1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Times New Roman"/>
      <family val="1"/>
      <charset val="1"/>
    </font>
    <font>
      <sz val="12"/>
      <name val="Liberation Serif;Times New Roman"/>
      <family val="1"/>
      <charset val="1"/>
    </font>
    <font>
      <sz val="10"/>
      <color rgb="FFCC33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6E6FF"/>
        <bgColor rgb="FFFFFFFF"/>
      </patternFill>
    </fill>
    <fill>
      <patternFill patternType="solid">
        <fgColor rgb="FFCCCCCC"/>
        <bgColor rgb="FFCCCCFF"/>
      </patternFill>
    </fill>
    <fill>
      <patternFill patternType="solid">
        <fgColor rgb="FFFFDBB6"/>
        <bgColor rgb="FFFFFFCC"/>
      </patternFill>
    </fill>
    <fill>
      <patternFill patternType="solid">
        <fgColor rgb="FF66CC99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cel Built-in Excel Built-in Excel Built-in Excel Built-in Excel Built-in Excel Built-in Excel Built-in Excel Built-in Excel Built-in Excel Built-in Excel Built-in Excel Built-in Excel Built-in Excel Built-in Normal" xfId="20"/>
    <cellStyle name="Excel Built-in Excel Built-in Excel Built-in Excel Built-in Excel Built-in Excel Built-in Excel Built-in Excel Built-in Excel Built-in Excel Built-in Excel Built-in Excel Built-in Excel Built-in Excel Built-in Normal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66CC9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C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2" colorId="64" zoomScale="85" zoomScaleNormal="85" zoomScalePageLayoutView="100" workbookViewId="0">
      <selection pane="topLeft" activeCell="F24" activeCellId="0" sqref="F24"/>
    </sheetView>
  </sheetViews>
  <sheetFormatPr defaultRowHeight="12.8" zeroHeight="false" outlineLevelRow="0" outlineLevelCol="0"/>
  <cols>
    <col collapsed="false" customWidth="true" hidden="false" outlineLevel="0" max="1" min="1" style="1" width="12.1"/>
    <col collapsed="false" customWidth="true" hidden="false" outlineLevel="0" max="2" min="2" style="1" width="12.04"/>
    <col collapsed="false" customWidth="true" hidden="false" outlineLevel="0" max="3" min="3" style="1" width="12.57"/>
    <col collapsed="false" customWidth="true" hidden="false" outlineLevel="0" max="4" min="4" style="1" width="12.26"/>
    <col collapsed="false" customWidth="true" hidden="false" outlineLevel="0" max="5" min="5" style="1" width="15.93"/>
    <col collapsed="false" customWidth="true" hidden="false" outlineLevel="0" max="6" min="6" style="1" width="11.4"/>
    <col collapsed="false" customWidth="true" hidden="false" outlineLevel="0" max="7" min="7" style="1" width="8.67"/>
    <col collapsed="false" customWidth="true" hidden="false" outlineLevel="0" max="8" min="8" style="1" width="23.69"/>
    <col collapsed="false" customWidth="true" hidden="false" outlineLevel="0" max="1025" min="9" style="1" width="8.67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12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0"/>
      <c r="I9" s="0"/>
      <c r="J9" s="0"/>
      <c r="K9" s="0"/>
      <c r="L9" s="0"/>
      <c r="M9" s="0"/>
      <c r="N9" s="0"/>
      <c r="O9" s="0"/>
      <c r="P9" s="0"/>
    </row>
    <row r="10" customFormat="false" ht="12.8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0"/>
      <c r="J11" s="0"/>
      <c r="K11" s="0"/>
      <c r="L11" s="0"/>
      <c r="M11" s="0"/>
      <c r="N11" s="0"/>
      <c r="O11" s="0"/>
      <c r="P11" s="0"/>
    </row>
    <row r="12" customFormat="false" ht="13.8" hidden="false" customHeight="false" outlineLevel="0" collapsed="false">
      <c r="A12" s="5" t="s">
        <v>1</v>
      </c>
      <c r="B12" s="5"/>
      <c r="C12" s="5"/>
      <c r="D12" s="5"/>
      <c r="E12" s="5"/>
      <c r="F12" s="5"/>
      <c r="G12" s="5"/>
      <c r="H12" s="6"/>
      <c r="I12" s="0"/>
      <c r="J12" s="0"/>
      <c r="K12" s="0"/>
      <c r="L12" s="0"/>
      <c r="M12" s="0"/>
      <c r="N12" s="0"/>
      <c r="O12" s="0"/>
      <c r="P12" s="0"/>
    </row>
    <row r="13" customFormat="false" ht="12.8" hidden="false" customHeight="false" outlineLevel="0" collapsed="false">
      <c r="A13" s="5"/>
      <c r="B13" s="5"/>
      <c r="C13" s="5"/>
      <c r="D13" s="5"/>
      <c r="E13" s="5"/>
      <c r="F13" s="5"/>
      <c r="G13" s="5"/>
      <c r="H13" s="0"/>
      <c r="J13" s="0"/>
      <c r="K13" s="0"/>
      <c r="L13" s="0"/>
      <c r="M13" s="0"/>
      <c r="N13" s="0"/>
      <c r="O13" s="0"/>
      <c r="P13" s="0"/>
    </row>
    <row r="14" customFormat="false" ht="13.8" hidden="false" customHeight="false" outlineLevel="0" collapsed="false">
      <c r="A14" s="7"/>
      <c r="B14" s="6"/>
      <c r="C14" s="4"/>
      <c r="D14" s="7"/>
      <c r="E14" s="7"/>
      <c r="F14" s="7"/>
      <c r="G14" s="8"/>
      <c r="H14" s="0"/>
      <c r="I14" s="0"/>
      <c r="J14" s="0"/>
      <c r="K14" s="0"/>
      <c r="L14" s="0"/>
      <c r="M14" s="0"/>
      <c r="N14" s="0"/>
      <c r="O14" s="0"/>
      <c r="P14" s="0"/>
    </row>
    <row r="15" customFormat="false" ht="13.8" hidden="false" customHeight="false" outlineLevel="0" collapsed="false">
      <c r="A15" s="7"/>
      <c r="B15" s="6"/>
      <c r="C15" s="4"/>
      <c r="D15" s="7"/>
      <c r="E15" s="7"/>
      <c r="F15" s="7"/>
      <c r="G15" s="8"/>
      <c r="H15" s="0"/>
      <c r="I15" s="0"/>
      <c r="J15" s="0"/>
      <c r="K15" s="0"/>
      <c r="L15" s="0"/>
      <c r="M15" s="0"/>
      <c r="N15" s="0"/>
      <c r="O15" s="0"/>
      <c r="P15" s="0"/>
    </row>
    <row r="16" customFormat="false" ht="13.8" hidden="false" customHeight="false" outlineLevel="0" collapsed="false">
      <c r="A16" s="7"/>
      <c r="B16" s="6"/>
      <c r="C16" s="4"/>
      <c r="D16" s="7"/>
      <c r="E16" s="7"/>
      <c r="F16" s="7"/>
      <c r="G16" s="8"/>
      <c r="H16" s="0"/>
      <c r="I16" s="0"/>
      <c r="J16" s="0"/>
      <c r="K16" s="0"/>
      <c r="L16" s="0"/>
      <c r="M16" s="0"/>
      <c r="N16" s="0"/>
      <c r="O16" s="0"/>
      <c r="P16" s="0"/>
    </row>
    <row r="17" customFormat="false" ht="13.8" hidden="false" customHeight="false" outlineLevel="0" collapsed="false">
      <c r="A17" s="7"/>
      <c r="B17" s="6"/>
      <c r="C17" s="4"/>
      <c r="D17" s="9"/>
      <c r="E17" s="7"/>
      <c r="F17" s="7"/>
      <c r="G17" s="8"/>
      <c r="H17" s="0"/>
      <c r="I17" s="0"/>
      <c r="J17" s="10"/>
      <c r="K17" s="0"/>
      <c r="L17" s="0"/>
      <c r="M17" s="0"/>
      <c r="N17" s="0"/>
      <c r="O17" s="0"/>
      <c r="P17" s="0"/>
    </row>
    <row r="18" customFormat="false" ht="13.8" hidden="false" customHeight="false" outlineLevel="0" collapsed="false">
      <c r="A18" s="7"/>
      <c r="B18" s="7"/>
      <c r="C18" s="4"/>
      <c r="D18" s="9"/>
      <c r="E18" s="7"/>
      <c r="F18" s="7"/>
      <c r="G18" s="8"/>
      <c r="H18" s="0"/>
      <c r="I18" s="0"/>
      <c r="J18" s="11"/>
      <c r="K18" s="0"/>
      <c r="L18" s="0"/>
      <c r="M18" s="0"/>
      <c r="N18" s="0"/>
      <c r="O18" s="0"/>
      <c r="P18" s="0"/>
    </row>
    <row r="19" customFormat="false" ht="13.8" hidden="false" customHeight="false" outlineLevel="0" collapsed="false">
      <c r="A19" s="7"/>
      <c r="B19" s="4"/>
      <c r="C19" s="4"/>
      <c r="D19" s="9"/>
      <c r="E19" s="7"/>
      <c r="F19" s="7"/>
      <c r="G19" s="8"/>
      <c r="H19" s="0"/>
      <c r="I19" s="0"/>
      <c r="J19" s="11"/>
      <c r="K19" s="0"/>
      <c r="L19" s="0"/>
      <c r="M19" s="0"/>
      <c r="N19" s="0"/>
      <c r="O19" s="0"/>
      <c r="P19" s="0"/>
    </row>
    <row r="20" customFormat="false" ht="13.8" hidden="false" customHeight="false" outlineLevel="0" collapsed="false">
      <c r="A20" s="7"/>
      <c r="B20" s="4"/>
      <c r="C20" s="4"/>
      <c r="D20" s="9"/>
      <c r="E20" s="7"/>
      <c r="F20" s="7"/>
      <c r="G20" s="8"/>
      <c r="H20" s="0"/>
      <c r="I20" s="0"/>
      <c r="J20" s="11"/>
      <c r="K20" s="0"/>
      <c r="L20" s="0"/>
      <c r="M20" s="0"/>
      <c r="N20" s="0"/>
      <c r="O20" s="0"/>
      <c r="P20" s="0"/>
    </row>
    <row r="21" customFormat="false" ht="13.8" hidden="false" customHeight="false" outlineLevel="0" collapsed="false">
      <c r="A21" s="7"/>
      <c r="B21" s="4"/>
      <c r="C21" s="4"/>
      <c r="D21" s="9"/>
      <c r="E21" s="7"/>
      <c r="F21" s="7"/>
      <c r="G21" s="8"/>
      <c r="H21" s="0"/>
      <c r="I21" s="0"/>
      <c r="J21" s="0"/>
      <c r="K21" s="0"/>
      <c r="L21" s="11"/>
      <c r="M21" s="11"/>
      <c r="N21" s="11"/>
      <c r="O21" s="11"/>
      <c r="P21" s="11"/>
    </row>
    <row r="22" customFormat="false" ht="13.8" hidden="false" customHeight="false" outlineLevel="0" collapsed="false">
      <c r="A22" s="7"/>
      <c r="B22" s="4"/>
      <c r="C22" s="4"/>
      <c r="D22" s="9"/>
      <c r="E22" s="7"/>
      <c r="F22" s="7"/>
      <c r="G22" s="8"/>
      <c r="H22" s="0"/>
      <c r="I22" s="0"/>
      <c r="J22" s="0"/>
      <c r="K22" s="0"/>
      <c r="L22" s="11"/>
      <c r="M22" s="11"/>
      <c r="N22" s="11"/>
      <c r="O22" s="11"/>
      <c r="P22" s="11"/>
    </row>
    <row r="23" customFormat="false" ht="13.8" hidden="false" customHeight="false" outlineLevel="0" collapsed="false">
      <c r="A23" s="7"/>
      <c r="B23" s="4"/>
      <c r="C23" s="4"/>
      <c r="D23" s="9"/>
      <c r="E23" s="7"/>
      <c r="F23" s="7"/>
      <c r="G23" s="8"/>
      <c r="H23" s="0"/>
      <c r="I23" s="0"/>
      <c r="J23" s="0"/>
      <c r="K23" s="0"/>
      <c r="L23" s="11"/>
      <c r="M23" s="11"/>
      <c r="N23" s="11"/>
      <c r="O23" s="11"/>
      <c r="P23" s="11"/>
    </row>
    <row r="24" customFormat="false" ht="13.8" hidden="false" customHeight="false" outlineLevel="0" collapsed="false">
      <c r="A24" s="7"/>
      <c r="B24" s="4"/>
      <c r="C24" s="7"/>
      <c r="D24" s="7"/>
      <c r="E24" s="7"/>
      <c r="F24" s="7"/>
      <c r="G24" s="0"/>
      <c r="H24" s="0"/>
      <c r="J24" s="11"/>
      <c r="K24" s="0"/>
    </row>
    <row r="25" customFormat="false" ht="13.8" hidden="false" customHeight="false" outlineLevel="0" collapsed="false">
      <c r="A25" s="7"/>
      <c r="B25" s="7"/>
      <c r="C25" s="7"/>
      <c r="D25" s="7"/>
      <c r="E25" s="7"/>
      <c r="F25" s="7"/>
      <c r="G25" s="12"/>
      <c r="H25" s="0"/>
      <c r="I25" s="0"/>
      <c r="J25" s="0"/>
      <c r="K25" s="11"/>
    </row>
    <row r="26" customFormat="false" ht="13.8" hidden="false" customHeight="false" outlineLevel="0" collapsed="false">
      <c r="A26" s="7"/>
      <c r="B26" s="4"/>
      <c r="C26" s="4"/>
      <c r="D26" s="4"/>
      <c r="E26" s="7"/>
      <c r="F26" s="7"/>
      <c r="G26" s="12"/>
      <c r="H26" s="0"/>
      <c r="I26" s="0"/>
      <c r="J26" s="0"/>
      <c r="K26" s="11"/>
    </row>
    <row r="27" customFormat="false" ht="13.8" hidden="false" customHeight="false" outlineLevel="0" collapsed="false">
      <c r="A27" s="7"/>
      <c r="B27" s="4"/>
      <c r="C27" s="4"/>
      <c r="D27" s="4"/>
      <c r="E27" s="7"/>
      <c r="F27" s="7"/>
      <c r="G27" s="12"/>
      <c r="H27" s="8"/>
      <c r="J27" s="0"/>
      <c r="K27" s="11"/>
    </row>
    <row r="28" customFormat="false" ht="13.8" hidden="false" customHeight="false" outlineLevel="0" collapsed="false">
      <c r="A28" s="7"/>
      <c r="B28" s="4"/>
      <c r="C28" s="4"/>
      <c r="D28" s="4"/>
      <c r="E28" s="13"/>
      <c r="F28" s="13"/>
      <c r="G28" s="0"/>
      <c r="H28" s="8"/>
      <c r="I28" s="0"/>
      <c r="J28" s="11"/>
      <c r="K28" s="0"/>
    </row>
    <row r="29" customFormat="false" ht="13.8" hidden="false" customHeight="false" outlineLevel="0" collapsed="false">
      <c r="A29" s="13"/>
      <c r="B29" s="13"/>
      <c r="C29" s="13"/>
      <c r="D29" s="13"/>
      <c r="E29" s="13"/>
      <c r="F29" s="13"/>
      <c r="G29" s="0"/>
      <c r="H29" s="8"/>
      <c r="J29" s="11"/>
      <c r="K29" s="0"/>
    </row>
    <row r="30" customFormat="false" ht="13.8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J30" s="0"/>
      <c r="K30" s="11"/>
    </row>
    <row r="31" customFormat="false" ht="13.8" hidden="false" customHeight="false" outlineLevel="0" collapsed="false">
      <c r="A31" s="5"/>
      <c r="B31" s="5"/>
      <c r="C31" s="4"/>
      <c r="D31" s="4"/>
      <c r="E31" s="4"/>
      <c r="F31" s="4"/>
      <c r="J31" s="0"/>
      <c r="K31" s="11"/>
    </row>
    <row r="32" customFormat="false" ht="13.8" hidden="false" customHeight="false" outlineLevel="0" collapsed="false">
      <c r="A32" s="14"/>
      <c r="B32" s="14"/>
      <c r="C32" s="15"/>
      <c r="D32" s="15"/>
      <c r="E32" s="15"/>
      <c r="F32" s="15"/>
      <c r="J32" s="0"/>
      <c r="K32" s="11"/>
    </row>
    <row r="33" customFormat="false" ht="13.8" hidden="false" customHeight="false" outlineLevel="0" collapsed="false">
      <c r="A33" s="13"/>
      <c r="B33" s="6"/>
      <c r="C33" s="15"/>
      <c r="D33" s="15"/>
      <c r="E33" s="15"/>
      <c r="F33" s="15"/>
      <c r="J33" s="11"/>
      <c r="K33" s="0"/>
    </row>
    <row r="34" customFormat="false" ht="13.8" hidden="false" customHeight="false" outlineLevel="0" collapsed="false">
      <c r="A34" s="13"/>
      <c r="B34" s="6"/>
      <c r="C34" s="15"/>
      <c r="D34" s="15"/>
      <c r="E34" s="15"/>
      <c r="F34" s="15"/>
      <c r="J34" s="11"/>
      <c r="K34" s="0"/>
    </row>
    <row r="35" customFormat="false" ht="13.8" hidden="false" customHeight="false" outlineLevel="0" collapsed="false">
      <c r="A35" s="13"/>
      <c r="B35" s="6"/>
      <c r="C35" s="15"/>
      <c r="D35" s="15"/>
      <c r="E35" s="15"/>
      <c r="F35" s="15"/>
      <c r="J35" s="0"/>
      <c r="K35" s="11"/>
    </row>
    <row r="36" customFormat="false" ht="13.8" hidden="false" customHeight="false" outlineLevel="0" collapsed="false">
      <c r="A36" s="13"/>
      <c r="B36" s="6"/>
      <c r="C36" s="15"/>
      <c r="D36" s="15"/>
      <c r="E36" s="15"/>
      <c r="F36" s="15"/>
      <c r="J36" s="0"/>
      <c r="K36" s="11"/>
    </row>
    <row r="37" customFormat="false" ht="13.8" hidden="false" customHeight="false" outlineLevel="0" collapsed="false">
      <c r="A37" s="13"/>
      <c r="B37" s="6"/>
      <c r="C37" s="15"/>
      <c r="D37" s="15"/>
      <c r="E37" s="15"/>
      <c r="F37" s="15"/>
      <c r="J37" s="0"/>
      <c r="K37" s="11"/>
    </row>
    <row r="38" customFormat="false" ht="13.8" hidden="false" customHeight="false" outlineLevel="0" collapsed="false">
      <c r="A38" s="13"/>
      <c r="B38" s="6"/>
      <c r="C38" s="15"/>
      <c r="D38" s="15"/>
      <c r="E38" s="15"/>
      <c r="F38" s="15"/>
      <c r="J38" s="11"/>
    </row>
    <row r="39" customFormat="false" ht="13.8" hidden="false" customHeight="false" outlineLevel="0" collapsed="false">
      <c r="A39" s="13"/>
      <c r="B39" s="6"/>
      <c r="C39" s="15"/>
      <c r="D39" s="15"/>
      <c r="E39" s="15"/>
      <c r="F39" s="15"/>
      <c r="J39" s="11"/>
    </row>
    <row r="40" customFormat="false" ht="13.8" hidden="false" customHeight="false" outlineLevel="0" collapsed="false">
      <c r="A40" s="13"/>
      <c r="B40" s="6"/>
      <c r="C40" s="15"/>
      <c r="D40" s="15"/>
      <c r="E40" s="15"/>
      <c r="F40" s="15"/>
      <c r="J40" s="11"/>
    </row>
    <row r="41" customFormat="false" ht="13.8" hidden="false" customHeight="false" outlineLevel="0" collapsed="false">
      <c r="A41" s="13"/>
      <c r="B41" s="6"/>
      <c r="C41" s="15"/>
      <c r="D41" s="15"/>
      <c r="E41" s="15"/>
      <c r="F41" s="15"/>
      <c r="J41" s="11"/>
    </row>
    <row r="42" customFormat="false" ht="13.8" hidden="false" customHeight="false" outlineLevel="0" collapsed="false">
      <c r="A42" s="13"/>
      <c r="B42" s="6"/>
      <c r="C42" s="15"/>
      <c r="D42" s="15"/>
      <c r="E42" s="15"/>
      <c r="F42" s="15"/>
      <c r="J42" s="0"/>
    </row>
    <row r="43" customFormat="false" ht="13.8" hidden="false" customHeight="false" outlineLevel="0" collapsed="false">
      <c r="A43" s="13"/>
      <c r="B43" s="6"/>
      <c r="C43" s="15"/>
      <c r="D43" s="15"/>
      <c r="E43" s="15"/>
      <c r="F43" s="15"/>
      <c r="J43" s="0"/>
    </row>
    <row r="44" customFormat="false" ht="13.8" hidden="false" customHeight="false" outlineLevel="0" collapsed="false">
      <c r="A44" s="16"/>
      <c r="B44" s="16"/>
      <c r="C44" s="17"/>
      <c r="D44" s="17"/>
      <c r="E44" s="17"/>
      <c r="F44" s="17"/>
      <c r="J44" s="0"/>
    </row>
    <row r="45" customFormat="false" ht="12.8" hidden="false" customHeight="false" outlineLevel="0" collapsed="false">
      <c r="A45" s="13"/>
      <c r="B45" s="13"/>
      <c r="J45" s="0"/>
    </row>
    <row r="46" customFormat="false" ht="12.8" hidden="false" customHeight="false" outlineLevel="0" collapsed="false">
      <c r="A46" s="13"/>
      <c r="B46" s="13"/>
      <c r="J46" s="0"/>
    </row>
    <row r="47" customFormat="false" ht="12.8" hidden="false" customHeight="false" outlineLevel="0" collapsed="false">
      <c r="A47" s="13"/>
      <c r="B47" s="13"/>
      <c r="J47" s="0"/>
    </row>
    <row r="48" customFormat="false" ht="12.8" hidden="false" customHeight="false" outlineLevel="0" collapsed="false">
      <c r="A48" s="13"/>
      <c r="B48" s="13"/>
      <c r="J48" s="0"/>
    </row>
    <row r="49" customFormat="false" ht="12.8" hidden="false" customHeight="false" outlineLevel="0" collapsed="false">
      <c r="A49" s="13"/>
      <c r="B49" s="13"/>
      <c r="J49" s="0"/>
    </row>
    <row r="50" customFormat="false" ht="12.8" hidden="false" customHeight="false" outlineLevel="0" collapsed="false">
      <c r="A50" s="13"/>
      <c r="B50" s="13"/>
      <c r="J50" s="0"/>
    </row>
    <row r="51" customFormat="false" ht="12.8" hidden="false" customHeight="false" outlineLevel="0" collapsed="false">
      <c r="A51" s="13"/>
      <c r="B51" s="13"/>
      <c r="J51" s="0"/>
    </row>
    <row r="52" customFormat="false" ht="12.8" hidden="false" customHeight="false" outlineLevel="0" collapsed="false">
      <c r="A52" s="13"/>
      <c r="B52" s="13"/>
      <c r="J52" s="0"/>
    </row>
  </sheetData>
  <mergeCells count="3">
    <mergeCell ref="A1:S8"/>
    <mergeCell ref="A12:G13"/>
    <mergeCell ref="A31:B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AA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37" activeCellId="0" sqref="F37"/>
    </sheetView>
  </sheetViews>
  <sheetFormatPr defaultRowHeight="12.8" zeroHeight="false" outlineLevelRow="0" outlineLevelCol="0"/>
  <cols>
    <col collapsed="false" customWidth="true" hidden="false" outlineLevel="0" max="1" min="1" style="13" width="32.05"/>
    <col collapsed="false" customWidth="true" hidden="false" outlineLevel="0" max="2" min="2" style="13" width="16.87"/>
    <col collapsed="false" customWidth="true" hidden="false" outlineLevel="0" max="3" min="3" style="13" width="15.56"/>
    <col collapsed="false" customWidth="true" hidden="false" outlineLevel="0" max="5" min="4" style="13" width="11.07"/>
    <col collapsed="false" customWidth="true" hidden="false" outlineLevel="0" max="6" min="6" style="13" width="11.44"/>
    <col collapsed="false" customWidth="true" hidden="false" outlineLevel="0" max="1025" min="7" style="13" width="11.07"/>
  </cols>
  <sheetData>
    <row r="1" customFormat="false" ht="12.8" hidden="false" customHeight="false" outlineLevel="0" collapsed="false">
      <c r="A1" s="18" t="s">
        <v>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"/>
      <c r="V1" s="1"/>
      <c r="W1" s="1"/>
      <c r="X1" s="1"/>
      <c r="Y1" s="1"/>
      <c r="Z1" s="1"/>
      <c r="AA1" s="1"/>
    </row>
    <row r="2" customFormat="false" ht="12.8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"/>
      <c r="V2" s="1"/>
      <c r="W2" s="1"/>
      <c r="X2" s="1"/>
      <c r="Y2" s="1"/>
      <c r="Z2" s="1"/>
      <c r="AA2" s="1"/>
    </row>
    <row r="3" customFormat="false" ht="12.8" hidden="false" customHeight="fals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"/>
      <c r="V3" s="1"/>
      <c r="W3" s="1"/>
      <c r="X3" s="1"/>
      <c r="Y3" s="1"/>
      <c r="Z3" s="1"/>
      <c r="AA3" s="1"/>
    </row>
    <row r="4" customFormat="false" ht="12.8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"/>
      <c r="V4" s="1"/>
      <c r="W4" s="1"/>
      <c r="X4" s="1"/>
      <c r="Y4" s="1"/>
      <c r="Z4" s="1"/>
      <c r="AA4" s="1"/>
    </row>
    <row r="5" customFormat="false" ht="12.8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"/>
      <c r="V5" s="1"/>
      <c r="W5" s="1"/>
      <c r="X5" s="1"/>
      <c r="Y5" s="1"/>
      <c r="Z5" s="1"/>
      <c r="AA5" s="1"/>
    </row>
    <row r="6" customFormat="false" ht="12.8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"/>
      <c r="V6" s="1"/>
      <c r="W6" s="1"/>
      <c r="X6" s="1"/>
      <c r="Y6" s="1"/>
      <c r="Z6" s="1"/>
      <c r="AA6" s="1"/>
    </row>
    <row r="7" customFormat="false" ht="12.8" hidden="true" customHeight="fals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"/>
      <c r="V7" s="1"/>
      <c r="W7" s="1"/>
      <c r="X7" s="1"/>
      <c r="Y7" s="1"/>
      <c r="Z7" s="1"/>
      <c r="AA7" s="1"/>
    </row>
    <row r="8" customFormat="false" ht="12.8" hidden="tru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"/>
      <c r="V8" s="1"/>
      <c r="W8" s="1"/>
      <c r="X8" s="1"/>
      <c r="Y8" s="1"/>
      <c r="Z8" s="1"/>
      <c r="AA8" s="1"/>
    </row>
    <row r="9" customFormat="false" ht="12.8" hidden="true" customHeight="fals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"/>
      <c r="V9" s="1"/>
      <c r="W9" s="1"/>
      <c r="X9" s="1"/>
      <c r="Y9" s="1"/>
      <c r="Z9" s="1"/>
      <c r="AA9" s="1"/>
    </row>
    <row r="10" customFormat="false" ht="12.8" hidden="false" customHeight="false" outlineLevel="0" collapsed="false">
      <c r="A10" s="19"/>
      <c r="B10" s="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U10" s="1"/>
      <c r="V10" s="1"/>
      <c r="W10" s="1"/>
      <c r="X10" s="1"/>
      <c r="Y10" s="1"/>
      <c r="Z10" s="1"/>
      <c r="AA10" s="1"/>
    </row>
    <row r="11" customFormat="false" ht="12.8" hidden="false" customHeight="false" outlineLevel="0" collapsed="false">
      <c r="A11" s="1"/>
      <c r="B11" s="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U11" s="1"/>
      <c r="V11" s="1"/>
      <c r="W11" s="1"/>
      <c r="X11" s="1"/>
      <c r="Y11" s="1"/>
      <c r="Z11" s="1"/>
      <c r="AA11" s="1"/>
    </row>
    <row r="12" customFormat="false" ht="15" hidden="false" customHeight="false" outlineLevel="0" collapsed="false">
      <c r="A12" s="1"/>
      <c r="B12" s="20" t="s">
        <v>3</v>
      </c>
      <c r="C12" s="21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U12" s="1"/>
      <c r="V12" s="1"/>
      <c r="W12" s="1"/>
      <c r="X12" s="1"/>
      <c r="Y12" s="1"/>
      <c r="Z12" s="1"/>
      <c r="AA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U13" s="1"/>
      <c r="V13" s="1"/>
      <c r="W13" s="1"/>
      <c r="X13" s="1"/>
      <c r="Y13" s="1"/>
      <c r="Z13" s="1"/>
      <c r="AA13" s="1"/>
    </row>
    <row r="14" customFormat="false" ht="12.8" hidden="false" customHeight="false" outlineLevel="0" collapsed="false">
      <c r="A14" s="3"/>
      <c r="B14" s="3"/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U14" s="1"/>
      <c r="V14" s="1"/>
      <c r="W14" s="1"/>
      <c r="X14" s="1"/>
      <c r="Y14" s="1"/>
      <c r="Z14" s="1"/>
      <c r="AA14" s="1"/>
    </row>
    <row r="17" customFormat="false" ht="13.15" hidden="false" customHeight="true" outlineLevel="0" collapsed="false"/>
  </sheetData>
  <mergeCells count="2">
    <mergeCell ref="A1:T9"/>
    <mergeCell ref="A14:D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43" activeCellId="0" sqref="G43"/>
    </sheetView>
  </sheetViews>
  <sheetFormatPr defaultRowHeight="12.8" zeroHeight="false" outlineLevelRow="0" outlineLevelCol="0"/>
  <cols>
    <col collapsed="false" customWidth="true" hidden="false" outlineLevel="0" max="1" min="1" style="13" width="3.33"/>
    <col collapsed="false" customWidth="true" hidden="false" outlineLevel="0" max="2" min="2" style="13" width="13.36"/>
    <col collapsed="false" customWidth="true" hidden="false" outlineLevel="0" max="3" min="3" style="13" width="32.09"/>
    <col collapsed="false" customWidth="true" hidden="false" outlineLevel="0" max="4" min="4" style="13" width="31.54"/>
    <col collapsed="false" customWidth="true" hidden="false" outlineLevel="0" max="5" min="5" style="13" width="8.89"/>
    <col collapsed="false" customWidth="true" hidden="false" outlineLevel="0" max="6" min="6" style="13" width="6.39"/>
    <col collapsed="false" customWidth="true" hidden="false" outlineLevel="0" max="7" min="7" style="13" width="29.39"/>
    <col collapsed="false" customWidth="true" hidden="false" outlineLevel="0" max="8" min="8" style="13" width="20.3"/>
    <col collapsed="false" customWidth="true" hidden="false" outlineLevel="0" max="9" min="9" style="13" width="25.84"/>
    <col collapsed="false" customWidth="true" hidden="false" outlineLevel="0" max="10" min="10" style="13" width="80.86"/>
    <col collapsed="false" customWidth="true" hidden="false" outlineLevel="0" max="1025" min="11" style="13" width="11.07"/>
  </cols>
  <sheetData>
    <row r="1" customFormat="false" ht="12.8" hidden="false" customHeight="false" outlineLevel="0" collapsed="false">
      <c r="A1" s="18" t="s">
        <v>5</v>
      </c>
      <c r="B1" s="18"/>
      <c r="C1" s="18"/>
      <c r="D1" s="18"/>
      <c r="E1" s="18"/>
      <c r="F1" s="18"/>
      <c r="G1" s="18"/>
      <c r="H1" s="18"/>
      <c r="I1" s="18"/>
      <c r="J1" s="22"/>
    </row>
    <row r="2" customFormat="false" ht="12.8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22"/>
    </row>
    <row r="3" customFormat="false" ht="12.8" hidden="false" customHeight="fals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22"/>
    </row>
    <row r="4" customFormat="false" ht="12.8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22"/>
    </row>
    <row r="5" customFormat="false" ht="12.8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22"/>
    </row>
    <row r="6" customFormat="false" ht="12.8" hidden="false" customHeight="false" outlineLevel="0" collapsed="false">
      <c r="A6" s="18"/>
      <c r="B6" s="18"/>
      <c r="C6" s="18"/>
      <c r="D6" s="18"/>
      <c r="E6" s="18"/>
      <c r="F6" s="18"/>
      <c r="G6" s="18"/>
      <c r="H6" s="18"/>
      <c r="I6" s="18"/>
      <c r="J6" s="22"/>
    </row>
    <row r="7" customFormat="false" ht="12.8" hidden="false" customHeight="false" outlineLevel="0" collapsed="false">
      <c r="A7" s="23"/>
      <c r="B7" s="22"/>
      <c r="C7" s="23"/>
      <c r="D7" s="23"/>
      <c r="E7" s="23"/>
      <c r="G7" s="23"/>
      <c r="H7" s="23"/>
      <c r="I7" s="22"/>
      <c r="J7" s="22"/>
    </row>
    <row r="8" customFormat="false" ht="12.8" hidden="false" customHeight="false" outlineLevel="0" collapsed="false">
      <c r="A8" s="23"/>
      <c r="B8" s="22"/>
      <c r="C8" s="23"/>
      <c r="D8" s="23"/>
      <c r="E8" s="23"/>
      <c r="G8" s="23"/>
      <c r="H8" s="23"/>
      <c r="I8" s="22"/>
      <c r="J8" s="22" t="s">
        <v>6</v>
      </c>
    </row>
    <row r="9" customFormat="false" ht="12.8" hidden="false" customHeight="false" outlineLevel="0" collapsed="false">
      <c r="A9" s="23"/>
      <c r="B9" s="22"/>
      <c r="C9" s="23"/>
      <c r="D9" s="23"/>
      <c r="E9" s="23"/>
      <c r="G9" s="24" t="s">
        <v>7</v>
      </c>
      <c r="H9" s="24" t="s">
        <v>8</v>
      </c>
      <c r="I9" s="24"/>
      <c r="J9" s="24" t="s">
        <v>9</v>
      </c>
    </row>
    <row r="10" customFormat="false" ht="12.8" hidden="false" customHeight="false" outlineLevel="0" collapsed="false">
      <c r="A10" s="23"/>
      <c r="B10" s="24" t="s">
        <v>10</v>
      </c>
      <c r="C10" s="24" t="s">
        <v>11</v>
      </c>
      <c r="D10" s="24" t="s">
        <v>12</v>
      </c>
      <c r="E10" s="24" t="s">
        <v>13</v>
      </c>
      <c r="G10" s="24" t="s">
        <v>14</v>
      </c>
      <c r="H10" s="24"/>
      <c r="I10" s="24"/>
      <c r="J10" s="24"/>
    </row>
    <row r="11" customFormat="false" ht="36.15" hidden="false" customHeight="true" outlineLevel="0" collapsed="false">
      <c r="A11" s="23"/>
      <c r="B11" s="25" t="s">
        <v>15</v>
      </c>
      <c r="C11" s="26" t="s">
        <v>16</v>
      </c>
      <c r="D11" s="26" t="s">
        <v>17</v>
      </c>
      <c r="E11" s="18" t="n">
        <v>779</v>
      </c>
      <c r="G11" s="27" t="s">
        <v>18</v>
      </c>
      <c r="H11" s="18" t="s">
        <v>4</v>
      </c>
      <c r="I11" s="18"/>
      <c r="J11" s="18" t="s">
        <v>19</v>
      </c>
    </row>
    <row r="12" customFormat="false" ht="24.7" hidden="false" customHeight="false" outlineLevel="0" collapsed="false">
      <c r="A12" s="23"/>
      <c r="B12" s="18" t="s">
        <v>20</v>
      </c>
      <c r="C12" s="28"/>
      <c r="D12" s="28"/>
      <c r="E12" s="28"/>
      <c r="G12" s="29" t="s">
        <v>21</v>
      </c>
      <c r="H12" s="30" t="n">
        <v>10000</v>
      </c>
      <c r="I12" s="30"/>
      <c r="J12" s="31" t="s">
        <v>22</v>
      </c>
    </row>
    <row r="13" customFormat="false" ht="20.95" hidden="false" customHeight="true" outlineLevel="0" collapsed="false">
      <c r="A13" s="23"/>
      <c r="B13" s="18"/>
      <c r="C13" s="18"/>
      <c r="D13" s="18"/>
      <c r="E13" s="18"/>
      <c r="G13" s="18" t="s">
        <v>23</v>
      </c>
      <c r="H13" s="18" t="s">
        <v>24</v>
      </c>
      <c r="I13" s="18"/>
      <c r="J13" s="18" t="s">
        <v>25</v>
      </c>
    </row>
    <row r="14" customFormat="false" ht="22.45" hidden="false" customHeight="true" outlineLevel="0" collapsed="false">
      <c r="A14" s="23"/>
      <c r="B14" s="18"/>
      <c r="C14" s="18"/>
      <c r="D14" s="18"/>
      <c r="E14" s="18"/>
      <c r="G14" s="18" t="s">
        <v>26</v>
      </c>
      <c r="H14" s="18" t="s">
        <v>24</v>
      </c>
      <c r="I14" s="18"/>
      <c r="J14" s="18" t="s">
        <v>25</v>
      </c>
    </row>
    <row r="15" customFormat="false" ht="23.55" hidden="false" customHeight="true" outlineLevel="0" collapsed="false">
      <c r="A15" s="23"/>
      <c r="B15" s="23"/>
      <c r="C15" s="23"/>
      <c r="D15" s="23"/>
      <c r="E15" s="23"/>
      <c r="G15" s="18" t="s">
        <v>27</v>
      </c>
      <c r="H15" s="18" t="s">
        <v>24</v>
      </c>
      <c r="I15" s="18"/>
      <c r="J15" s="18" t="s">
        <v>28</v>
      </c>
    </row>
    <row r="16" customFormat="false" ht="17.95" hidden="false" customHeight="true" outlineLevel="0" collapsed="false">
      <c r="A16" s="23"/>
      <c r="B16" s="23"/>
      <c r="C16" s="23"/>
      <c r="D16" s="22"/>
      <c r="E16" s="22"/>
      <c r="G16" s="32" t="s">
        <v>29</v>
      </c>
      <c r="H16" s="18" t="s">
        <v>30</v>
      </c>
      <c r="I16" s="18"/>
      <c r="J16" s="32" t="s">
        <v>31</v>
      </c>
    </row>
    <row r="17" customFormat="false" ht="13.4" hidden="false" customHeight="true" outlineLevel="0" collapsed="false">
      <c r="G17" s="33" t="s">
        <v>32</v>
      </c>
      <c r="H17" s="34" t="s">
        <v>33</v>
      </c>
      <c r="I17" s="34"/>
      <c r="J17" s="33"/>
    </row>
  </sheetData>
  <mergeCells count="11">
    <mergeCell ref="A1:I6"/>
    <mergeCell ref="H9:I9"/>
    <mergeCell ref="G10:J10"/>
    <mergeCell ref="H11:I11"/>
    <mergeCell ref="B12:B14"/>
    <mergeCell ref="H12:I12"/>
    <mergeCell ref="H13:I13"/>
    <mergeCell ref="H14:I14"/>
    <mergeCell ref="H15:I15"/>
    <mergeCell ref="H16:I16"/>
    <mergeCell ref="H17:I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AMJ3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3" activeCellId="0" sqref="F13"/>
    </sheetView>
  </sheetViews>
  <sheetFormatPr defaultRowHeight="12.8" zeroHeight="false" outlineLevelRow="0" outlineLevelCol="0"/>
  <cols>
    <col collapsed="false" customWidth="true" hidden="false" outlineLevel="0" max="1" min="1" style="23" width="24.68"/>
    <col collapsed="false" customWidth="true" hidden="false" outlineLevel="0" max="2" min="2" style="23" width="109.68"/>
    <col collapsed="false" customWidth="true" hidden="false" outlineLevel="0" max="3" min="3" style="23" width="13.4"/>
    <col collapsed="false" customWidth="true" hidden="false" outlineLevel="0" max="4" min="4" style="23" width="15.14"/>
    <col collapsed="false" customWidth="true" hidden="false" outlineLevel="0" max="5" min="5" style="23" width="11.64"/>
    <col collapsed="false" customWidth="true" hidden="false" outlineLevel="0" max="6" min="6" style="23" width="8.75"/>
    <col collapsed="false" customWidth="true" hidden="false" outlineLevel="0" max="7" min="7" style="23" width="9.17"/>
    <col collapsed="false" customWidth="true" hidden="false" outlineLevel="0" max="8" min="8" style="23" width="10.28"/>
    <col collapsed="false" customWidth="true" hidden="false" outlineLevel="0" max="9" min="9" style="23" width="10.41"/>
    <col collapsed="false" customWidth="true" hidden="false" outlineLevel="0" max="10" min="10" style="23" width="11.07"/>
    <col collapsed="false" customWidth="true" hidden="false" outlineLevel="0" max="11" min="11" style="23" width="10.46"/>
    <col collapsed="false" customWidth="true" hidden="false" outlineLevel="0" max="12" min="12" style="23" width="9.32"/>
    <col collapsed="false" customWidth="true" hidden="false" outlineLevel="0" max="14" min="13" style="23" width="9.64"/>
    <col collapsed="false" customWidth="true" hidden="false" outlineLevel="0" max="15" min="15" style="23" width="9.97"/>
    <col collapsed="false" customWidth="true" hidden="false" outlineLevel="0" max="1010" min="16" style="23" width="11.07"/>
    <col collapsed="false" customWidth="false" hidden="false" outlineLevel="0" max="1018" min="1011" style="35" width="11.52"/>
    <col collapsed="false" customWidth="false" hidden="false" outlineLevel="0" max="1025" min="1019" style="0" width="11.52"/>
  </cols>
  <sheetData>
    <row r="1" s="35" customFormat="true" ht="12.8" hidden="false" customHeight="true" outlineLevel="0" collapsed="false">
      <c r="A1" s="25" t="s">
        <v>34</v>
      </c>
      <c r="B1" s="25"/>
      <c r="C1" s="25"/>
      <c r="AME1" s="0"/>
      <c r="AMF1" s="0"/>
      <c r="AMG1" s="0"/>
      <c r="AMH1" s="0"/>
      <c r="AMI1" s="0"/>
      <c r="AMJ1" s="0"/>
    </row>
    <row r="2" s="35" customFormat="true" ht="12.8" hidden="false" customHeight="false" outlineLevel="0" collapsed="false">
      <c r="A2" s="25"/>
      <c r="B2" s="25"/>
      <c r="C2" s="25"/>
      <c r="D2" s="18" t="s">
        <v>35</v>
      </c>
      <c r="E2" s="18"/>
      <c r="F2" s="18"/>
      <c r="G2" s="18"/>
      <c r="AME2" s="0"/>
      <c r="AMF2" s="0"/>
      <c r="AMG2" s="0"/>
      <c r="AMH2" s="0"/>
      <c r="AMI2" s="0"/>
      <c r="AMJ2" s="0"/>
    </row>
    <row r="3" s="35" customFormat="true" ht="12.8" hidden="false" customHeight="false" outlineLevel="0" collapsed="false">
      <c r="A3" s="25"/>
      <c r="B3" s="25"/>
      <c r="C3" s="25"/>
      <c r="D3" s="18" t="s">
        <v>36</v>
      </c>
      <c r="E3" s="18"/>
      <c r="F3" s="18"/>
      <c r="G3" s="18"/>
      <c r="AME3" s="0"/>
      <c r="AMF3" s="0"/>
      <c r="AMG3" s="0"/>
      <c r="AMH3" s="0"/>
      <c r="AMI3" s="0"/>
      <c r="AMJ3" s="0"/>
    </row>
    <row r="4" s="35" customFormat="true" ht="12.8" hidden="false" customHeight="false" outlineLevel="0" collapsed="false">
      <c r="A4" s="25"/>
      <c r="B4" s="25"/>
      <c r="C4" s="25"/>
      <c r="D4" s="18" t="s">
        <v>37</v>
      </c>
      <c r="E4" s="18"/>
      <c r="F4" s="18"/>
      <c r="G4" s="18"/>
      <c r="AME4" s="0"/>
      <c r="AMF4" s="0"/>
      <c r="AMG4" s="0"/>
      <c r="AMH4" s="0"/>
      <c r="AMI4" s="0"/>
      <c r="AMJ4" s="0"/>
    </row>
    <row r="5" s="35" customFormat="true" ht="12.8" hidden="false" customHeight="false" outlineLevel="0" collapsed="false">
      <c r="A5" s="25"/>
      <c r="B5" s="25"/>
      <c r="C5" s="25"/>
      <c r="D5" s="18" t="s">
        <v>38</v>
      </c>
      <c r="E5" s="18"/>
      <c r="F5" s="18"/>
      <c r="G5" s="18"/>
      <c r="AME5" s="0"/>
      <c r="AMF5" s="0"/>
      <c r="AMG5" s="0"/>
      <c r="AMH5" s="0"/>
      <c r="AMI5" s="0"/>
      <c r="AMJ5" s="0"/>
    </row>
    <row r="6" s="35" customFormat="true" ht="12.8" hidden="false" customHeight="false" outlineLevel="0" collapsed="false">
      <c r="A6" s="25"/>
      <c r="B6" s="25"/>
      <c r="C6" s="25"/>
      <c r="AME6" s="0"/>
      <c r="AMF6" s="0"/>
      <c r="AMG6" s="0"/>
      <c r="AMH6" s="0"/>
      <c r="AMI6" s="0"/>
      <c r="AMJ6" s="0"/>
    </row>
    <row r="7" s="35" customFormat="true" ht="12.8" hidden="false" customHeight="false" outlineLevel="0" collapsed="false">
      <c r="A7" s="25"/>
      <c r="B7" s="25"/>
      <c r="C7" s="25"/>
      <c r="D7" s="36" t="str">
        <f aca="false">'Model Stat'!C12</f>
        <v>97.5</v>
      </c>
      <c r="AME7" s="0"/>
      <c r="AMF7" s="0"/>
      <c r="AMG7" s="0"/>
      <c r="AMH7" s="0"/>
      <c r="AMI7" s="0"/>
      <c r="AMJ7" s="0"/>
    </row>
    <row r="8" s="35" customFormat="true" ht="12.8" hidden="false" customHeight="false" outlineLevel="0" collapsed="false">
      <c r="A8" s="25"/>
      <c r="B8" s="25"/>
      <c r="C8" s="25"/>
      <c r="AME8" s="0"/>
      <c r="AMF8" s="0"/>
      <c r="AMG8" s="0"/>
      <c r="AMH8" s="0"/>
      <c r="AMI8" s="0"/>
      <c r="AMJ8" s="0"/>
    </row>
    <row r="9" s="35" customFormat="true" ht="12.8" hidden="false" customHeight="false" outlineLevel="0" collapsed="false">
      <c r="AME9" s="0"/>
      <c r="AMF9" s="0"/>
      <c r="AMG9" s="0"/>
      <c r="AMH9" s="0"/>
      <c r="AMI9" s="0"/>
      <c r="AMJ9" s="0"/>
    </row>
    <row r="10" s="35" customFormat="true" ht="12.8" hidden="false" customHeight="false" outlineLevel="0" collapsed="false">
      <c r="B10" s="24"/>
      <c r="C10" s="24"/>
      <c r="AME10" s="0"/>
      <c r="AMF10" s="0"/>
      <c r="AMG10" s="0"/>
      <c r="AMH10" s="0"/>
      <c r="AMI10" s="0"/>
      <c r="AMJ10" s="0"/>
    </row>
    <row r="11" s="35" customFormat="true" ht="12.8" hidden="false" customHeight="false" outlineLevel="0" collapsed="false">
      <c r="B11" s="24" t="s">
        <v>39</v>
      </c>
      <c r="C11" s="24"/>
      <c r="AME11" s="0"/>
      <c r="AMF11" s="0"/>
      <c r="AMG11" s="0"/>
      <c r="AMH11" s="0"/>
      <c r="AMI11" s="0"/>
      <c r="AMJ11" s="0"/>
    </row>
    <row r="12" s="35" customFormat="true" ht="12.8" hidden="false" customHeight="false" outlineLevel="0" collapsed="false">
      <c r="B12" s="24"/>
      <c r="C12" s="24" t="s">
        <v>18</v>
      </c>
      <c r="AME12" s="0"/>
      <c r="AMF12" s="0"/>
      <c r="AMG12" s="0"/>
      <c r="AMH12" s="0"/>
      <c r="AMI12" s="0"/>
      <c r="AMJ12" s="0"/>
    </row>
    <row r="13" s="35" customFormat="true" ht="129.9" hidden="false" customHeight="true" outlineLevel="0" collapsed="false">
      <c r="B13" s="37" t="s">
        <v>40</v>
      </c>
      <c r="C13" s="38" t="n">
        <f aca="false">100*0.898378377660376</f>
        <v>89.8378377660376</v>
      </c>
      <c r="AME13" s="0"/>
      <c r="AMF13" s="0"/>
      <c r="AMG13" s="0"/>
      <c r="AMH13" s="0"/>
      <c r="AMI13" s="0"/>
      <c r="AMJ13" s="0"/>
    </row>
    <row r="14" s="35" customFormat="true" ht="113.4" hidden="false" customHeight="false" outlineLevel="0" collapsed="false">
      <c r="B14" s="37" t="s">
        <v>41</v>
      </c>
      <c r="C14" s="38" t="n">
        <f aca="false">100*0.720683595918906</f>
        <v>72.0683595918906</v>
      </c>
      <c r="AME14" s="0"/>
      <c r="AMF14" s="0"/>
      <c r="AMG14" s="0"/>
      <c r="AMH14" s="0"/>
      <c r="AMI14" s="0"/>
      <c r="AMJ14" s="0"/>
    </row>
    <row r="15" s="35" customFormat="true" ht="103.55" hidden="false" customHeight="true" outlineLevel="0" collapsed="false">
      <c r="B15" s="37" t="s">
        <v>42</v>
      </c>
      <c r="C15" s="38" t="n">
        <f aca="false">100*0.719860661275416</f>
        <v>71.9860661275416</v>
      </c>
      <c r="AME15" s="0"/>
      <c r="AMF15" s="0"/>
      <c r="AMG15" s="0"/>
      <c r="AMH15" s="0"/>
      <c r="AMI15" s="0"/>
      <c r="AMJ15" s="0"/>
    </row>
    <row r="16" s="35" customFormat="true" ht="101.8" hidden="false" customHeight="true" outlineLevel="0" collapsed="false">
      <c r="B16" s="37" t="s">
        <v>43</v>
      </c>
      <c r="C16" s="38" t="n">
        <f aca="false">100*0.955536203716801</f>
        <v>95.5536203716801</v>
      </c>
      <c r="AME16" s="0"/>
      <c r="AMF16" s="0"/>
      <c r="AMG16" s="0"/>
      <c r="AMH16" s="0"/>
      <c r="AMI16" s="0"/>
      <c r="AMJ16" s="0"/>
    </row>
    <row r="17" s="35" customFormat="true" ht="107.95" hidden="false" customHeight="true" outlineLevel="0" collapsed="false">
      <c r="B17" s="37" t="s">
        <v>44</v>
      </c>
      <c r="C17" s="38" t="n">
        <f aca="false">100*0.924779528971344</f>
        <v>92.4779528971344</v>
      </c>
      <c r="AME17" s="0"/>
      <c r="AMF17" s="0"/>
      <c r="AMG17" s="0"/>
      <c r="AMH17" s="0"/>
      <c r="AMI17" s="0"/>
      <c r="AMJ17" s="0"/>
    </row>
    <row r="18" s="35" customFormat="true" ht="153.6" hidden="false" customHeight="true" outlineLevel="0" collapsed="false">
      <c r="B18" s="37" t="s">
        <v>45</v>
      </c>
      <c r="C18" s="38" t="n">
        <f aca="false">100*0.734070301610261</f>
        <v>73.4070301610261</v>
      </c>
      <c r="AME18" s="0"/>
      <c r="AMF18" s="0"/>
      <c r="AMG18" s="0"/>
      <c r="AMH18" s="0"/>
      <c r="AMI18" s="0"/>
      <c r="AMJ18" s="0"/>
    </row>
    <row r="19" s="35" customFormat="true" ht="158.9" hidden="false" customHeight="false" outlineLevel="0" collapsed="false">
      <c r="B19" s="37" t="s">
        <v>46</v>
      </c>
      <c r="C19" s="38" t="n">
        <f aca="false">100*0.9004859942949</f>
        <v>90.04859942949</v>
      </c>
      <c r="AME19" s="0"/>
      <c r="AMF19" s="0"/>
      <c r="AMG19" s="0"/>
      <c r="AMH19" s="0"/>
      <c r="AMI19" s="0"/>
      <c r="AMJ19" s="0"/>
    </row>
    <row r="20" s="35" customFormat="true" ht="158.9" hidden="false" customHeight="false" outlineLevel="0" collapsed="false">
      <c r="B20" s="37" t="s">
        <v>47</v>
      </c>
      <c r="C20" s="38" t="n">
        <f aca="false">100*0.765078876910156</f>
        <v>76.5078876910156</v>
      </c>
      <c r="AME20" s="0"/>
      <c r="AMF20" s="0"/>
      <c r="AMG20" s="0"/>
      <c r="AMH20" s="0"/>
      <c r="AMI20" s="0"/>
      <c r="AMJ20" s="0"/>
    </row>
    <row r="21" customFormat="false" ht="158.2" hidden="false" customHeight="false" outlineLevel="0" collapsed="false">
      <c r="B21" s="37" t="s">
        <v>48</v>
      </c>
      <c r="C21" s="38" t="n">
        <v>0.895752670050659</v>
      </c>
    </row>
    <row r="22" customFormat="false" ht="158.9" hidden="false" customHeight="false" outlineLevel="0" collapsed="false">
      <c r="B22" s="37" t="s">
        <v>49</v>
      </c>
      <c r="C22" s="38" t="n">
        <f aca="false">100*0.732149617494552</f>
        <v>73.2149617494552</v>
      </c>
    </row>
    <row r="23" customFormat="false" ht="136.05" hidden="false" customHeight="false" outlineLevel="0" collapsed="false">
      <c r="B23" s="37" t="s">
        <v>50</v>
      </c>
      <c r="C23" s="38" t="n">
        <f aca="false">100*0.891046865512331</f>
        <v>89.1046865512331</v>
      </c>
    </row>
    <row r="24" customFormat="false" ht="147.45" hidden="false" customHeight="false" outlineLevel="0" collapsed="false">
      <c r="B24" s="37" t="s">
        <v>51</v>
      </c>
      <c r="C24" s="38" t="n">
        <f aca="false">100*0.707826988893925</f>
        <v>70.7826988893925</v>
      </c>
    </row>
    <row r="25" customFormat="false" ht="158.9" hidden="false" customHeight="false" outlineLevel="0" collapsed="false">
      <c r="B25" s="37" t="s">
        <v>52</v>
      </c>
      <c r="C25" s="38" t="n">
        <f aca="false">100*0.855120370043955</f>
        <v>85.5120370043955</v>
      </c>
    </row>
    <row r="26" customFormat="false" ht="158.9" hidden="false" customHeight="false" outlineLevel="0" collapsed="false">
      <c r="B26" s="37" t="s">
        <v>53</v>
      </c>
      <c r="C26" s="38" t="n">
        <f aca="false">100*0.750290858706533</f>
        <v>75.0290858706533</v>
      </c>
    </row>
    <row r="27" customFormat="false" ht="147.45" hidden="false" customHeight="false" outlineLevel="0" collapsed="false">
      <c r="B27" s="37" t="s">
        <v>54</v>
      </c>
      <c r="C27" s="38" t="n">
        <f aca="false">100* 0.863503983547862</f>
        <v>86.3503983547862</v>
      </c>
    </row>
    <row r="28" customFormat="false" ht="147.45" hidden="false" customHeight="false" outlineLevel="0" collapsed="false">
      <c r="B28" s="37" t="s">
        <v>55</v>
      </c>
      <c r="C28" s="38" t="n">
        <f aca="false">100*0.777221053170341</f>
        <v>77.7221053170341</v>
      </c>
    </row>
    <row r="29" customFormat="false" ht="158.9" hidden="false" customHeight="false" outlineLevel="0" collapsed="false">
      <c r="B29" s="37" t="s">
        <v>56</v>
      </c>
      <c r="C29" s="38" t="n">
        <f aca="false">100*0.873711374735225</f>
        <v>87.3711374735225</v>
      </c>
    </row>
    <row r="30" customFormat="false" ht="158.9" hidden="false" customHeight="false" outlineLevel="0" collapsed="false">
      <c r="B30" s="37" t="s">
        <v>57</v>
      </c>
      <c r="C30" s="38" t="n">
        <f aca="false">100*0.9004859942949</f>
        <v>90.04859942949</v>
      </c>
    </row>
    <row r="31" customFormat="false" ht="158.9" hidden="false" customHeight="false" outlineLevel="0" collapsed="false">
      <c r="B31" s="37" t="s">
        <v>58</v>
      </c>
      <c r="C31" s="38" t="n">
        <f aca="false">100*0.856846555080135</f>
        <v>85.6846555080135</v>
      </c>
    </row>
    <row r="32" customFormat="false" ht="158.9" hidden="false" customHeight="false" outlineLevel="0" collapsed="false">
      <c r="B32" s="37" t="s">
        <v>59</v>
      </c>
      <c r="C32" s="38" t="n">
        <f aca="false">100*0.895565597284983</f>
        <v>89.5565597284983</v>
      </c>
    </row>
    <row r="33" customFormat="false" ht="158.9" hidden="false" customHeight="false" outlineLevel="0" collapsed="false">
      <c r="B33" s="37" t="s">
        <v>60</v>
      </c>
      <c r="C33" s="38" t="n">
        <f aca="false">100*0.907074728918499</f>
        <v>90.7074728918499</v>
      </c>
    </row>
    <row r="34" customFormat="false" ht="158.9" hidden="false" customHeight="false" outlineLevel="0" collapsed="false">
      <c r="B34" s="37" t="s">
        <v>61</v>
      </c>
      <c r="C34" s="38" t="n">
        <f aca="false">100*0.907074728918499</f>
        <v>90.7074728918499</v>
      </c>
    </row>
    <row r="35" customFormat="false" ht="169.4" hidden="false" customHeight="false" outlineLevel="0" collapsed="false">
      <c r="B35" s="37" t="s">
        <v>62</v>
      </c>
      <c r="C35" s="38" t="n">
        <f aca="false">100*0.853030874960305</f>
        <v>85.3030874960306</v>
      </c>
    </row>
  </sheetData>
  <mergeCells count="7">
    <mergeCell ref="A1:C8"/>
    <mergeCell ref="D2:G2"/>
    <mergeCell ref="D3:G3"/>
    <mergeCell ref="D4:G4"/>
    <mergeCell ref="D5:G5"/>
    <mergeCell ref="B10:C10"/>
    <mergeCell ref="B11:B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31" activeCellId="0" sqref="H31"/>
    </sheetView>
  </sheetViews>
  <sheetFormatPr defaultRowHeight="12.8" zeroHeight="false" outlineLevelRow="0" outlineLevelCol="0"/>
  <cols>
    <col collapsed="false" customWidth="true" hidden="false" outlineLevel="0" max="1" min="1" style="22" width="11.07"/>
    <col collapsed="false" customWidth="true" hidden="false" outlineLevel="0" max="2" min="2" style="22" width="6.88"/>
    <col collapsed="false" customWidth="true" hidden="false" outlineLevel="0" max="3" min="3" style="22" width="67.11"/>
    <col collapsed="false" customWidth="true" hidden="false" outlineLevel="0" max="4" min="4" style="22" width="14.03"/>
    <col collapsed="false" customWidth="true" hidden="false" outlineLevel="0" max="5" min="5" style="22" width="14.16"/>
    <col collapsed="false" customWidth="true" hidden="false" outlineLevel="0" max="6" min="6" style="22" width="15.66"/>
    <col collapsed="false" customWidth="true" hidden="false" outlineLevel="0" max="7" min="7" style="22" width="31.54"/>
    <col collapsed="false" customWidth="true" hidden="false" outlineLevel="0" max="8" min="8" style="22" width="13.89"/>
    <col collapsed="false" customWidth="true" hidden="false" outlineLevel="0" max="9" min="9" style="22" width="18.49"/>
    <col collapsed="false" customWidth="true" hidden="false" outlineLevel="0" max="1019" min="10" style="22" width="11.07"/>
    <col collapsed="false" customWidth="true" hidden="false" outlineLevel="0" max="1021" min="1020" style="0" width="8.67"/>
    <col collapsed="false" customWidth="false" hidden="false" outlineLevel="0" max="1025" min="1022" style="0" width="11.52"/>
  </cols>
  <sheetData>
    <row r="1" customFormat="false" ht="12.8" hidden="false" customHeight="true" outlineLevel="0" collapsed="false">
      <c r="A1" s="25" t="s">
        <v>63</v>
      </c>
      <c r="B1" s="25"/>
      <c r="C1" s="25"/>
      <c r="D1" s="25"/>
      <c r="E1" s="25"/>
      <c r="F1" s="25"/>
      <c r="G1" s="25"/>
      <c r="H1" s="25"/>
      <c r="I1" s="25"/>
      <c r="J1" s="0"/>
      <c r="K1" s="0"/>
      <c r="L1" s="0"/>
    </row>
    <row r="2" customFormat="false" ht="12.8" hidden="false" customHeight="false" outlineLevel="0" collapsed="false">
      <c r="A2" s="25"/>
      <c r="B2" s="25"/>
      <c r="C2" s="25"/>
      <c r="D2" s="25"/>
      <c r="E2" s="25"/>
      <c r="F2" s="25"/>
      <c r="G2" s="25"/>
      <c r="H2" s="25"/>
      <c r="I2" s="25"/>
      <c r="J2" s="0"/>
      <c r="K2" s="0"/>
      <c r="L2" s="0"/>
    </row>
    <row r="3" customFormat="false" ht="12.8" hidden="false" customHeight="fals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0"/>
      <c r="K3" s="0"/>
      <c r="L3" s="39"/>
      <c r="M3" s="18" t="s">
        <v>35</v>
      </c>
      <c r="N3" s="18"/>
      <c r="O3" s="18"/>
      <c r="P3" s="18"/>
    </row>
    <row r="4" customFormat="false" ht="12.8" hidden="false" customHeight="false" outlineLevel="0" collapsed="false">
      <c r="A4" s="25"/>
      <c r="B4" s="25"/>
      <c r="C4" s="25"/>
      <c r="D4" s="25"/>
      <c r="E4" s="25"/>
      <c r="F4" s="25"/>
      <c r="G4" s="25"/>
      <c r="H4" s="25"/>
      <c r="I4" s="25"/>
      <c r="J4" s="0"/>
      <c r="K4" s="0"/>
      <c r="L4" s="36"/>
      <c r="M4" s="18" t="s">
        <v>36</v>
      </c>
      <c r="N4" s="18"/>
      <c r="O4" s="18"/>
      <c r="P4" s="18"/>
    </row>
    <row r="5" customFormat="false" ht="12.8" hidden="false" customHeight="false" outlineLevel="0" collapsed="false">
      <c r="A5" s="25"/>
      <c r="B5" s="25"/>
      <c r="C5" s="25"/>
      <c r="D5" s="25"/>
      <c r="E5" s="25"/>
      <c r="F5" s="25"/>
      <c r="G5" s="25"/>
      <c r="H5" s="25"/>
      <c r="I5" s="25"/>
      <c r="J5" s="0"/>
      <c r="K5" s="0"/>
      <c r="L5" s="24"/>
      <c r="M5" s="18" t="s">
        <v>37</v>
      </c>
      <c r="N5" s="18"/>
      <c r="O5" s="18"/>
      <c r="P5" s="18"/>
    </row>
    <row r="6" customFormat="false" ht="12.8" hidden="false" customHeight="fals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0"/>
      <c r="K6" s="0"/>
      <c r="L6" s="28"/>
      <c r="M6" s="18" t="s">
        <v>38</v>
      </c>
      <c r="N6" s="18"/>
      <c r="O6" s="18"/>
      <c r="P6" s="18"/>
    </row>
    <row r="7" customFormat="false" ht="12.8" hidden="false" customHeight="fals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0"/>
      <c r="K7" s="0"/>
    </row>
    <row r="8" customFormat="false" ht="12.8" hidden="false" customHeight="false" outlineLevel="0" collapsed="false">
      <c r="C8" s="0"/>
      <c r="D8" s="0"/>
      <c r="E8" s="0"/>
      <c r="F8" s="0"/>
      <c r="G8" s="0"/>
      <c r="H8" s="0"/>
      <c r="I8" s="0"/>
      <c r="J8" s="0"/>
      <c r="K8" s="0"/>
    </row>
    <row r="9" customFormat="false" ht="12.8" hidden="false" customHeight="false" outlineLevel="0" collapsed="false">
      <c r="C9" s="0"/>
      <c r="D9" s="0"/>
      <c r="E9" s="0"/>
      <c r="F9" s="0"/>
      <c r="G9" s="0"/>
      <c r="H9" s="0"/>
      <c r="I9" s="0"/>
      <c r="J9" s="0"/>
      <c r="K9" s="0"/>
    </row>
    <row r="10" customFormat="false" ht="12.8" hidden="false" customHeight="false" outlineLevel="0" collapsed="false">
      <c r="C10" s="0"/>
      <c r="D10" s="0"/>
      <c r="E10" s="0"/>
      <c r="F10" s="0"/>
      <c r="G10" s="0"/>
      <c r="H10" s="0"/>
      <c r="I10" s="0"/>
      <c r="J10" s="0"/>
      <c r="K10" s="0"/>
    </row>
    <row r="11" customFormat="false" ht="12.8" hidden="false" customHeight="false" outlineLevel="0" collapsed="false">
      <c r="C11" s="0"/>
      <c r="D11" s="0"/>
      <c r="E11" s="0"/>
      <c r="F11" s="0"/>
      <c r="G11" s="0"/>
      <c r="H11" s="0"/>
      <c r="I11" s="0"/>
      <c r="J11" s="0"/>
      <c r="K11" s="0"/>
    </row>
    <row r="12" customFormat="false" ht="12.8" hidden="false" customHeight="false" outlineLevel="0" collapsed="false">
      <c r="C12" s="0"/>
      <c r="D12" s="0"/>
      <c r="E12" s="0"/>
      <c r="F12" s="0"/>
      <c r="G12" s="0"/>
      <c r="H12" s="0"/>
      <c r="I12" s="0"/>
      <c r="J12" s="0"/>
      <c r="K12" s="0"/>
    </row>
    <row r="13" customFormat="false" ht="12.8" hidden="false" customHeight="false" outlineLevel="0" collapsed="false">
      <c r="C13" s="0"/>
      <c r="D13" s="0"/>
      <c r="E13" s="0"/>
      <c r="F13" s="0"/>
      <c r="G13" s="0"/>
      <c r="H13" s="0"/>
      <c r="I13" s="0"/>
      <c r="J13" s="0"/>
      <c r="K13" s="0"/>
    </row>
    <row r="14" customFormat="false" ht="12.8" hidden="false" customHeight="false" outlineLevel="0" collapsed="false">
      <c r="C14" s="0"/>
      <c r="D14" s="0"/>
      <c r="E14" s="0"/>
      <c r="F14" s="0"/>
      <c r="G14" s="0"/>
      <c r="H14" s="0"/>
      <c r="I14" s="0"/>
      <c r="J14" s="0"/>
      <c r="K14" s="0"/>
    </row>
    <row r="15" customFormat="false" ht="12.8" hidden="false" customHeight="false" outlineLevel="0" collapsed="false">
      <c r="C15" s="24"/>
      <c r="D15" s="24"/>
      <c r="E15" s="24"/>
      <c r="F15" s="24"/>
      <c r="G15" s="24"/>
      <c r="H15" s="24"/>
      <c r="I15" s="24"/>
      <c r="J15" s="0"/>
      <c r="K15" s="0"/>
    </row>
    <row r="16" customFormat="false" ht="12.8" hidden="false" customHeight="false" outlineLevel="0" collapsed="false">
      <c r="C16" s="24" t="s">
        <v>64</v>
      </c>
      <c r="D16" s="24" t="s">
        <v>65</v>
      </c>
      <c r="E16" s="24" t="s">
        <v>66</v>
      </c>
      <c r="F16" s="24" t="s">
        <v>67</v>
      </c>
      <c r="G16" s="24" t="s">
        <v>68</v>
      </c>
      <c r="H16" s="24" t="s">
        <v>18</v>
      </c>
      <c r="I16" s="24" t="s">
        <v>3</v>
      </c>
      <c r="J16" s="0"/>
      <c r="K16" s="0"/>
    </row>
    <row r="17" customFormat="false" ht="12.8" hidden="false" customHeight="false" outlineLevel="0" collapsed="false">
      <c r="C17" s="18" t="s">
        <v>69</v>
      </c>
      <c r="D17" s="40" t="n">
        <v>107101055</v>
      </c>
      <c r="E17" s="40" t="n">
        <v>99647683</v>
      </c>
      <c r="F17" s="40" t="n">
        <v>2782734</v>
      </c>
      <c r="G17" s="26" t="n">
        <v>5936</v>
      </c>
      <c r="H17" s="41" t="n">
        <f aca="false">(E17/D17)*100</f>
        <v>93.0408043132722</v>
      </c>
      <c r="I17" s="42" t="str">
        <f aca="false">'Model Stat'!C12</f>
        <v>97.5</v>
      </c>
      <c r="K17" s="0"/>
    </row>
    <row r="18" customFormat="false" ht="12.8" hidden="false" customHeight="false" outlineLevel="0" collapsed="false">
      <c r="C18" s="18" t="s">
        <v>70</v>
      </c>
      <c r="D18" s="43" t="n">
        <v>83058285</v>
      </c>
      <c r="E18" s="43" t="n">
        <v>71353262</v>
      </c>
      <c r="F18" s="18" t="n">
        <v>819501</v>
      </c>
      <c r="G18" s="18" t="n">
        <v>4746</v>
      </c>
      <c r="H18" s="41" t="n">
        <f aca="false">(E18/D18)*100</f>
        <v>85.9074588404998</v>
      </c>
      <c r="I18" s="42"/>
      <c r="K18" s="0"/>
    </row>
    <row r="19" customFormat="false" ht="12.8" hidden="false" customHeight="false" outlineLevel="0" collapsed="false">
      <c r="C19" s="18"/>
      <c r="D19" s="26"/>
      <c r="E19" s="26"/>
      <c r="F19" s="26"/>
      <c r="G19" s="26"/>
      <c r="H19" s="41" t="e">
        <f aca="false">(E19/D19)*100</f>
        <v>#DIV/0!</v>
      </c>
      <c r="I19" s="42"/>
    </row>
    <row r="20" customFormat="false" ht="12.8" hidden="false" customHeight="false" outlineLevel="0" collapsed="false">
      <c r="C20" s="18"/>
      <c r="D20" s="26"/>
      <c r="E20" s="26"/>
      <c r="F20" s="26"/>
      <c r="G20" s="18"/>
      <c r="H20" s="41" t="e">
        <f aca="false">(E20/D20)*100</f>
        <v>#DIV/0!</v>
      </c>
      <c r="I20" s="42"/>
    </row>
  </sheetData>
  <mergeCells count="6">
    <mergeCell ref="A1:I7"/>
    <mergeCell ref="M3:P3"/>
    <mergeCell ref="M4:P4"/>
    <mergeCell ref="M5:P5"/>
    <mergeCell ref="M6:P6"/>
    <mergeCell ref="I17:I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5980</TotalTime>
  <Application>LibreOffice/6.2.6.2$Linux_X86_64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2016-07-20T16:09:16Z</dcterms:created>
  <dc:creator/>
  <dc:description/>
  <dc:language>ru-RU</dc:language>
  <cp:lastModifiedBy/>
  <dcterms:modified xsi:type="dcterms:W3CDTF">2019-08-29T15:57:27Z</dcterms:modified>
  <cp:revision>158</cp:revision>
  <dc:subject/>
  <dc:title/>
</cp:coreProperties>
</file>