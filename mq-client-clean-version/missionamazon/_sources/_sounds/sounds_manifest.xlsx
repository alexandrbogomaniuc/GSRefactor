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D:\actiongames\missionamazon\_sources\_sounds\"/>
    </mc:Choice>
  </mc:AlternateContent>
  <xr:revisionPtr revIDLastSave="0" documentId="13_ncr:1_{76A398B3-9822-4E65-8DAD-F7D9D469EBC0}" xr6:coauthVersionLast="47" xr6:coauthVersionMax="47" xr10:uidLastSave="{00000000-0000-0000-0000-000000000000}"/>
  <bookViews>
    <workbookView xWindow="-120" yWindow="-120" windowWidth="29040" windowHeight="15840" xr2:uid="{33CFF9F8-9F59-479A-ACDE-42F2733D2D47}"/>
  </bookViews>
  <sheets>
    <sheet name="Лист1" sheetId="1" r:id="rId1"/>
  </sheets>
  <definedNames>
    <definedName name="bugnotes" localSheetId="0">Лист1!$F$74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3" i="1" l="1"/>
  <c r="B113" i="1"/>
  <c r="C8" i="1" l="1"/>
  <c r="C115" i="1" s="1"/>
  <c r="B8" i="1" l="1"/>
  <c r="B115" i="1" s="1"/>
</calcChain>
</file>

<file path=xl/sharedStrings.xml><?xml version="1.0" encoding="utf-8"?>
<sst xmlns="http://schemas.openxmlformats.org/spreadsheetml/2006/main" count="321" uniqueCount="253">
  <si>
    <t>mq_gui_launch.mp3</t>
  </si>
  <si>
    <t>mq_gui_slider.mp3</t>
  </si>
  <si>
    <t>mq_mus_lobby_bg.mp3</t>
  </si>
  <si>
    <t>LOBBY sounds</t>
  </si>
  <si>
    <t>GAME sounds</t>
  </si>
  <si>
    <t>bg_music</t>
  </si>
  <si>
    <t>enemies</t>
  </si>
  <si>
    <t>weapons/artillery_strike</t>
  </si>
  <si>
    <t>artillery_explosion.mp3</t>
  </si>
  <si>
    <t>artillery_strikes_flying.mp3</t>
  </si>
  <si>
    <t>bomb_flying.mp3</t>
  </si>
  <si>
    <t>bomb_smoking.mp3</t>
  </si>
  <si>
    <t>weapons/cryo_gun</t>
  </si>
  <si>
    <t>cryo_gun_charge.mp3</t>
  </si>
  <si>
    <t>cryo_gun_shot.mp3</t>
  </si>
  <si>
    <t>cryo_gun_unfreeze.mp3</t>
  </si>
  <si>
    <t>weapons/default</t>
  </si>
  <si>
    <t>weapons/flamethrower</t>
  </si>
  <si>
    <t>flamethrower_shot.mp3</t>
  </si>
  <si>
    <t>weapons/plasma</t>
  </si>
  <si>
    <t>plasma_powerup.mp3</t>
  </si>
  <si>
    <t>plasma_shot.mp3</t>
  </si>
  <si>
    <t>plasma_target.mp3</t>
  </si>
  <si>
    <t>weapons/splitshot</t>
  </si>
  <si>
    <t>wins</t>
  </si>
  <si>
    <t>weapon_drop.mp3</t>
  </si>
  <si>
    <t>10secleft.mp3</t>
  </si>
  <si>
    <t>orig sound name</t>
  </si>
  <si>
    <t>source file path</t>
  </si>
  <si>
    <t>source file modifications</t>
  </si>
  <si>
    <t>/PTM/PTM/Undiscovered/Provides/DesktopProvide/Audio/Batch 2.zip</t>
  </si>
  <si>
    <t>mq_gui_button.wav</t>
  </si>
  <si>
    <t>mq_gui_volumesfx_click_option_2_v.2.wav</t>
  </si>
  <si>
    <t>/PTM/PTM/Undiscovered/Provides/DesktopProvide/Audio/Settings</t>
  </si>
  <si>
    <t>/PTM/PTM/Undiscovered/Provides/DesktopProvide/Audio</t>
  </si>
  <si>
    <t>10_sec_left.wav</t>
  </si>
  <si>
    <t>/PTM/PTM/MQ_Pirates/Provides/DesktopProvide/Audio/UI</t>
  </si>
  <si>
    <t>artillery_explosion.wav</t>
  </si>
  <si>
    <t>/PTM/PTM/MQ_Pirates/Provides/DesktopProvide/Weapons/ArtilleryStrike/AUDIO/Components</t>
  </si>
  <si>
    <t>artillery_strikes_flying.wav</t>
  </si>
  <si>
    <t>bomb_flying.wav</t>
  </si>
  <si>
    <t>bomb_smoking.wav</t>
  </si>
  <si>
    <t>cryo_gun_charge.wav</t>
  </si>
  <si>
    <t>/PTM/PTM/MQ_Pirates/Provides/DesktopProvide/Weapons/Cryogun/AUDIO</t>
  </si>
  <si>
    <t>cryo_gun_shot.wav</t>
  </si>
  <si>
    <t>cryo_gun_unfreeze.wav</t>
  </si>
  <si>
    <t>0008148: Pirates: Audio
increase cryogun sound volume by 15%
изменения применены в source .wav</t>
  </si>
  <si>
    <t>/PTM/PTM/MQ_Pirates/Provides/DesktopProvide/Weapons/Flamethrower /Audio</t>
  </si>
  <si>
    <t>FLAMETHROWER.wav</t>
  </si>
  <si>
    <t>plasma_shot.wav</t>
  </si>
  <si>
    <t>plasma_target.wav</t>
  </si>
  <si>
    <t>/PTM/PTM/Undiscovered/Provides/DesktopProvide/Audio/Weapon audio/Plasma
or
/PTM/PTM/Undiscovered/Provides/DesktopProvide/_FutureScheduling/PlasmaRifleUpdate</t>
  </si>
  <si>
    <t>Chime_4.mp3</t>
  </si>
  <si>
    <t>Sound volumes update
FX volume by 30%
Increase GUI sound FX volumes by 30%
Increase All Win audio volumes by 30%</t>
  </si>
  <si>
    <t>mp3 duration</t>
  </si>
  <si>
    <t>mobile mp3 duration</t>
  </si>
  <si>
    <t>для тех звуков, которые не загружаются в мобильной версии, нужно проставить длину 0</t>
  </si>
  <si>
    <t>Total Game Sounds Duration:</t>
  </si>
  <si>
    <t>Total Lobby Sounds Duration:</t>
  </si>
  <si>
    <t>source.wav изменён (обрезана тишина по краям звука)</t>
  </si>
  <si>
    <t>Total Sounds Duration:</t>
  </si>
  <si>
    <t>* Treasure/Weapon collect sound is too quiet compared to other audios. 
In general, volumes should be identical to Ra 2.0's settings. The treasure audio as much more distinct in Ra 2.0.
increase volume  by 15%</t>
  </si>
  <si>
    <t>mq_mus_game_bg_main_1.mp3</t>
  </si>
  <si>
    <t>mq_mus_game_bg_main_2.mp3</t>
  </si>
  <si>
    <t>mq_mus_game_bg_main_3.mp3</t>
  </si>
  <si>
    <t>AMAZON_WINS_LARGE_01_DRAFT02.wav</t>
  </si>
  <si>
    <t>AMAZON_WINS_LARGE_02_DRAFT02.wav</t>
  </si>
  <si>
    <t>AMAZON_WINS_LARGE_03_DRAFT02.wav</t>
  </si>
  <si>
    <t>AMAZON_WINS_MEDIUM_01.wav</t>
  </si>
  <si>
    <t>AMAZON_WINS_MEDIUM_02.wav</t>
  </si>
  <si>
    <t>AMAZON_WINS_MEDIUM_03.wav</t>
  </si>
  <si>
    <t>/PTM/PTM/MQ_Amazon/Provides/DesktopProvide/Audio/Wins</t>
  </si>
  <si>
    <t>/PTM/PTM/MQ_Amazon/Provides/DesktopProvide/Audio/Music</t>
  </si>
  <si>
    <t>mq_mus_game_bg_boss.mp3</t>
  </si>
  <si>
    <t>mq_mus_game_bg_summary_screen.mp3</t>
  </si>
  <si>
    <t>BOSS_MUSIC__15 MAR.wav</t>
  </si>
  <si>
    <t>IN_GAME_MUSIC_01_25 MAR.wav</t>
  </si>
  <si>
    <t>IN_GAME_MUSIC_02_10 APR.wav</t>
  </si>
  <si>
    <t>IN_GAME_MUSIC_03_10 APR.wav</t>
  </si>
  <si>
    <t>Snake Death.wav</t>
  </si>
  <si>
    <t>Jaguar Death.wav</t>
  </si>
  <si>
    <t>/PTM/PTM/MQ_Amazon/Provides/DesktopProvide/Audio/Enemies/Jaguar/Jaguar Death.wav</t>
  </si>
  <si>
    <t>death_jaguar.mp3</t>
  </si>
  <si>
    <t>death_jumper.mp3</t>
  </si>
  <si>
    <t>/PTM/PTM/MQ_Amazon/Provides/DesktopProvide/Audio/Enemies/Skullbone/Skullbone Death.wav</t>
  </si>
  <si>
    <t>Skullbone Death.wav</t>
  </si>
  <si>
    <t>death_shaman.mp3</t>
  </si>
  <si>
    <t>/PTM/PTM/MQ_Amazon/Provides/DesktopProvide/Audio/Enemies/Shaman/Shaman Death.wav</t>
  </si>
  <si>
    <t>Shaman Death.wav</t>
  </si>
  <si>
    <t>death_skullbone.mp3</t>
  </si>
  <si>
    <t>death_skullbreaker.mp3</t>
  </si>
  <si>
    <t>Skullbreaker Death.wav</t>
  </si>
  <si>
    <t>/PTM/PTM/MQ_Amazon/Provides/DesktopProvide/Audio/Enemies/Skullbreaker/Skullbreaker Death.wav</t>
  </si>
  <si>
    <t>death_straight_snake.mp3</t>
  </si>
  <si>
    <t>/PTM/PTM/MQ_Amazon/Provides/DesktopProvide/Audio/Enemies/Snake/Snake Death.wav</t>
  </si>
  <si>
    <t>spawn_jaguar.mp3</t>
  </si>
  <si>
    <t>Jaguar Spawn.wav</t>
  </si>
  <si>
    <t>/PTM/PTM/MQ_Amazon/Provides/DesktopProvide/Audio/Enemies/Jaguar/Jaguar Spawn.wav</t>
  </si>
  <si>
    <t>enemies/ape</t>
  </si>
  <si>
    <t>ape_death.mp3</t>
  </si>
  <si>
    <t>Ape Death.wav</t>
  </si>
  <si>
    <t>/PTM/PTM/MQ_Amazon/Provides/DesktopProvide/Audio/Enemies/Ape/Ape Death.wav</t>
  </si>
  <si>
    <t>ape_midlife.mp3</t>
  </si>
  <si>
    <t>Ape Midlife.wav</t>
  </si>
  <si>
    <t>/PTM/PTM/MQ_Amazon/Provides/DesktopProvide/Audio/Enemies/Ape/Ape Midlife.wav</t>
  </si>
  <si>
    <t>ape_spawn.mp3</t>
  </si>
  <si>
    <t>ape_step_1.mp3</t>
  </si>
  <si>
    <t>Ape Movement.wav -&gt; ape_step_1.wav</t>
  </si>
  <si>
    <t>Ape Movement.wav -&gt; ape_step_2.wav</t>
  </si>
  <si>
    <t>ape_step_2.mp3</t>
  </si>
  <si>
    <t>/PTM/PTM/MQ_Amazon/Provides/DesktopProvide/Audio/Enemies/Ape/Ape Movement.wav</t>
  </si>
  <si>
    <t xml:space="preserve">Звук из source.wav разбит в sounde forge на 2 разных звука (шаги)
</t>
  </si>
  <si>
    <t>golem_death.mp3</t>
  </si>
  <si>
    <t>golem_midlife.mp3</t>
  </si>
  <si>
    <t>golem_step_1.mp3</t>
  </si>
  <si>
    <t>golem_step_2.mp3</t>
  </si>
  <si>
    <t>enemies/golem</t>
  </si>
  <si>
    <t>Golem Death.wav</t>
  </si>
  <si>
    <t>Golem Midlife.wav</t>
  </si>
  <si>
    <t>Goleme Movement.wav -&gt; golem_step_2.wav</t>
  </si>
  <si>
    <t>Golem Movement.wav -&gt; golem_step_1.wav</t>
  </si>
  <si>
    <t>/PTM/PTM/MQ_Amazon/Provides/DesktopProvide/Audio/Enemies/Golem/Golem Movement.wav</t>
  </si>
  <si>
    <t>enemies/spider</t>
  </si>
  <si>
    <t>spider_death.mp3</t>
  </si>
  <si>
    <t>spider_midlife.mp3</t>
  </si>
  <si>
    <t>spider_spawn.mp3</t>
  </si>
  <si>
    <t>Spider Death.wav</t>
  </si>
  <si>
    <t>Spider Midlife.wav</t>
  </si>
  <si>
    <t>Spider Spawn.wav</t>
  </si>
  <si>
    <t>/PTM/PTM/MQ_Amazon/Provides/DesktopProvide/Audio/Enemies/Spider/Spider Spawn.wav</t>
  </si>
  <si>
    <t>/PTM/PTM/MQ_Amazon/Provides/DesktopProvide/Audio/Enemies/Spider/Spider Midlife.wav</t>
  </si>
  <si>
    <t>/PTM/PTM/MQ_Amazon/Provides/DesktopProvide/Audio/Enemies/Spider/Spider Death.wav</t>
  </si>
  <si>
    <t>* Reduce BGM volume by 20%</t>
  </si>
  <si>
    <t>source.wav изменён (обрезана тишина по краям звука)
* Reduce "coin win sound fx" by 33%</t>
  </si>
  <si>
    <t>critical_hit.mp3</t>
  </si>
  <si>
    <t>исходная wav была модифицирована разработчиком в SoundForge (сам звук)
изменения применены в source .wav
MP3 STEREO: 44 Khz -&gt; 22 Khz, 128 Kbps -&gt; 64 Kbps
0011498: MQ AMAZON ASSET DELIVERIES 
1. insta kill sound + 50% volume
изменения применены в source .wav</t>
  </si>
  <si>
    <t>boss_coins_explode.mp3</t>
  </si>
  <si>
    <t>boss_coins_explode.wav</t>
  </si>
  <si>
    <t>/PTM/PTM/MQ_Amazon/Provides/DesktopProvide/Audio/Wins/BossCoinsExplode.wav</t>
  </si>
  <si>
    <t>win_chime.wav</t>
  </si>
  <si>
    <t>0011498: MQ AMAZON ASSET DELIVERIES
2) Reduce win_chime.wav volume by 25
0011498: MQ AMAZON ASSET DELIVERIES (sound)
* Please reduce small win chime sound volume by an additional 40%
source.wav не изменён, в ассетах громкость установленна в 0.45 (= 0.75 * 0.6)</t>
  </si>
  <si>
    <t>/PTM/PTM/MQ_Amazon/Provides/DesktopProvide/Audio/MQA new sounds March 3.zip</t>
  </si>
  <si>
    <t>golem_preexplosion.mp3</t>
  </si>
  <si>
    <t>golem_cry.mp3</t>
  </si>
  <si>
    <t>golem_explosion.mp3</t>
  </si>
  <si>
    <t>/PTM/PTM/MQ_Amazon/Provides/DesktopProvide/Audio/Enemies/Golem/GOLEM INTRO/03 Cry/Golem - Cry.wav</t>
  </si>
  <si>
    <t>/PTM/PTM/MQ_Amazon/Provides/DesktopProvide/Audio/Enemies/Golem/GOLEM INTRO/01 Pre Explosion/Golem - Pre Explosion.wav</t>
  </si>
  <si>
    <t>/PTM/PTM/MQ_Amazon/Provides/DesktopProvide/Audio/Enemies/Golem/GOLEM INTRO/02 Explosion/Golem - Explosion.wav</t>
  </si>
  <si>
    <t>Golem - Pre Explosion.wav -&gt; golem_preexplosion.wav</t>
  </si>
  <si>
    <t>Golem - Cry.wav -&gt; golem_cry.wav</t>
  </si>
  <si>
    <t>Golem - Explosion.wav -&gt; golem_explosion.wav</t>
  </si>
  <si>
    <t>enemies/frog</t>
  </si>
  <si>
    <t>frog_body_expand.mp3</t>
  </si>
  <si>
    <t>frog_croak_1.mp3</t>
  </si>
  <si>
    <t>frog_croak_2.mp3</t>
  </si>
  <si>
    <t>frog_croak_long.mp3</t>
  </si>
  <si>
    <t>frog_explode.mp3</t>
  </si>
  <si>
    <t>frog_land_1.mp3</t>
  </si>
  <si>
    <t>frog_land_2.mp3</t>
  </si>
  <si>
    <t>small_frog_land.mp3</t>
  </si>
  <si>
    <t>body_expand.wav</t>
  </si>
  <si>
    <t>croak_1.wav</t>
  </si>
  <si>
    <t>croak_2.wav</t>
  </si>
  <si>
    <t>Land_1.wav</t>
  </si>
  <si>
    <t>Land_2.wav</t>
  </si>
  <si>
    <t>croack_long.wav</t>
  </si>
  <si>
    <t>explode.wav</t>
  </si>
  <si>
    <t>smalll_frogs_land.wav</t>
  </si>
  <si>
    <t>/PTM/PTM/MQ_Amazon/Provides/DesktopProvide/Audio/Enemies/Frog/FROG ENEMY/04 Body Expand/body_expand.wav</t>
  </si>
  <si>
    <t>/PTM/PTM/MQ_Amazon/Provides/DesktopProvide/Audio/Enemies/Frog/FROG ENEMY/01 Croak/Croak 1/croak_1.wav</t>
  </si>
  <si>
    <t>/PTM/PTM/MQ_Amazon/Provides/DesktopProvide/Audio/Enemies/Frog/FROG ENEMY/01 Croak\Croak 2\croak_2.wav</t>
  </si>
  <si>
    <t>/PTM/PTM/MQ_Amazon/Provides/DesktopProvide/Audio/Enemies/Frog/FROG ENEMY/03 Croak Long/croack_long.wav</t>
  </si>
  <si>
    <t>/PTM/PTM/MQ_Amazon/Provides/DesktopProvide/Audio/Enemies/Frog/FROG ENEMY/05 Explode/explode.wav</t>
  </si>
  <si>
    <t>/PTM/PTM/MQ_Amazon/Provides/DesktopProvide/Audio/Enemies/Frog/FROG ENEMY/02 Land/Land 1/Land_1.wav</t>
  </si>
  <si>
    <t>/PTM/PTM/MQ_Amazon/Provides/DesktopProvide/Audio/Enemies/Frog/FROG ENEMY/02 Land\Land 2\Land_2.wav</t>
  </si>
  <si>
    <t>/PTM/PTM/MQ_Amazon/Provides/DesktopProvide/Audio/Enemies/Frog/FROG ENEMY/06 Small Frogs Land/smalll_frogs_land.wav</t>
  </si>
  <si>
    <t>teleport_close.mp3</t>
  </si>
  <si>
    <t>teleport_close.wav</t>
  </si>
  <si>
    <t>/PTM/PTM/MQ_Amazon/Provides/DesktopProvide/Audio/Enemies/Shaman/TELEPORT (SHAMAN)</t>
  </si>
  <si>
    <t>teleport_open.mp3</t>
  </si>
  <si>
    <t>teleport_open.wav</t>
  </si>
  <si>
    <t>source.wav изменён (обрезана тишина по краям звука)
*** Increase boss golem spawn +20%</t>
  </si>
  <si>
    <t>/PTM/PTM/MQ_Amazon/Provides/DesktopProvide/Audio/MQ weapon refresh.zip</t>
  </si>
  <si>
    <t>laser_shot.wav</t>
  </si>
  <si>
    <t>plasma_charge.wav</t>
  </si>
  <si>
    <t>/PTM/PTM/MQ_Amazon/Provides/DesktopProvide/Audio/Amazon HIt Sound Updates May 6.zip</t>
  </si>
  <si>
    <t>/PTM/PTM/MQ_Pirates/Provides/DesktopProvide/Audio/NewPistol</t>
  </si>
  <si>
    <t>MQ AMAZON LOBBY MUSIC LOOP_15JULY2020.mp3</t>
  </si>
  <si>
    <t>/PTM/PTM/MQ_Amazon/Provides/DesktopProvide/Audio/Music/MQ AMAZON LOBBY MUSIC LOOP_15JULY2020.mp3</t>
  </si>
  <si>
    <t>mq_dragonstone_mini_notification_banner</t>
  </si>
  <si>
    <t>/PTM/PTM/MQ_Dragonstone/MQ_Dragon_Stone/Provides/Audio/MQ_Dragonstone_Audio_Update_8.9.21.rar</t>
  </si>
  <si>
    <t>MQ_Dragonstone_mini_notification_banner.wav</t>
  </si>
  <si>
    <t>bet_change</t>
  </si>
  <si>
    <t>turret_battleground_change</t>
  </si>
  <si>
    <t>turret_change</t>
  </si>
  <si>
    <t>MQ_Dragonstone_Turret_Upgrade.wav</t>
  </si>
  <si>
    <t>turret_change.wav</t>
  </si>
  <si>
    <t>/PTM/PTM/MQ Ra Sequel/Audios/turret_change.wav</t>
  </si>
  <si>
    <t>/PTM/PTM/MQ_Battlegrounds/Provides/MQ_Dragonstone_BTG_Audio_Updates_10.25.21.rar</t>
  </si>
  <si>
    <t>mq_guns_splitshot</t>
  </si>
  <si>
    <t>mq_turret_burst1.wav</t>
  </si>
  <si>
    <t>mq_turret_burst2.wav</t>
  </si>
  <si>
    <t>mq_turret_burst3.wav</t>
  </si>
  <si>
    <t>mq_turret_burst4.wav</t>
  </si>
  <si>
    <t>mq_turret_burst5.wav</t>
  </si>
  <si>
    <t>"0009982: MAX QUEST PIRATES - UPDATE TO NEW MATH  
We have prepared some updated pistol shot sounds, as the current ones are not good enough. 
0009982: MAX QUEST PIRATES - UPDATE TO NEW MATH
Confirmed. But can you please increase the pistol shot volumes by another 20%?
изменения применены в source .wav
MP3 STEREO: 44 Khz -&gt; 22 Khz, 128 Kbps -&gt; 64 Kbps"
0019286: MABTG-48 TURRET FIRING VOLUME ADJUSTMENT
From audio team: Please reduce all turret firing audio volumes by 2db.
Изменения применены к исходникам</t>
  </si>
  <si>
    <t>huge_win_sound</t>
  </si>
  <si>
    <t>MQ_Dragonstone_megawin2.wav</t>
  </si>
  <si>
    <t>mega_win_sound</t>
  </si>
  <si>
    <t>MQ_Dragonstone_megawin3.wav</t>
  </si>
  <si>
    <t>wins/bigwin</t>
  </si>
  <si>
    <t>big_win_sound</t>
  </si>
  <si>
    <t>MQ_Dragonstone_megawin1.wav</t>
  </si>
  <si>
    <t>/PTM/PTM/MQ_Dragonstone/MQ_Dragon_Stone/Provides/Audio/MaxQuest-Dragonstone-AudioPack-12.14.20.rar</t>
  </si>
  <si>
    <t>Обрезана "пустая" область в конце файла</t>
  </si>
  <si>
    <t>mq_gui_button_generic_ui.mp3</t>
  </si>
  <si>
    <t>mq_gui_button_generic_ui.wav</t>
  </si>
  <si>
    <t>wins_large_1.mp3</t>
  </si>
  <si>
    <t>wins_large_2.mp3</t>
  </si>
  <si>
    <t>wins_large_3.mp3</t>
  </si>
  <si>
    <t>wins_medium_1.mp3</t>
  </si>
  <si>
    <t>wins_medium_2.mp3</t>
  </si>
  <si>
    <t>wins_medium_3.mp3</t>
  </si>
  <si>
    <t>wins_small.mp3</t>
  </si>
  <si>
    <t>mq_dragonstone_round_countdown</t>
  </si>
  <si>
    <t>mq_dragonstone_round_countdown.wav</t>
  </si>
  <si>
    <t>mq_scoreboard_final_countdown</t>
  </si>
  <si>
    <t>mq_scoreboard_final_countdown.wav</t>
  </si>
  <si>
    <t>mq_scoreboard_last_seconds</t>
  </si>
  <si>
    <t>mq_scoreboard_last_seconds.wav</t>
  </si>
  <si>
    <t>wins/booster</t>
  </si>
  <si>
    <t>mq_booster_end</t>
  </si>
  <si>
    <t>mq_booster_end.wav</t>
  </si>
  <si>
    <t>free_shot</t>
  </si>
  <si>
    <t>free_shot.wav</t>
  </si>
  <si>
    <t>summary_win</t>
  </si>
  <si>
    <t>summary_win.wav</t>
  </si>
  <si>
    <t>wins_coinappear</t>
  </si>
  <si>
    <t>wins_coinappear.wav</t>
  </si>
  <si>
    <t>wins_coincollect</t>
  </si>
  <si>
    <t>wins_coincollect.wav</t>
  </si>
  <si>
    <t>SUMMARY_SCREEN_03 MAY.mp3</t>
  </si>
  <si>
    <t>critical_hit_1.mp3</t>
  </si>
  <si>
    <t>wins/quests</t>
  </si>
  <si>
    <t>quests_treasure_collect</t>
  </si>
  <si>
    <t>quests_treasure_collect.wav</t>
  </si>
  <si>
    <t>quests_treasure_drop</t>
  </si>
  <si>
    <t>quests_treasure_drop.wav</t>
  </si>
  <si>
    <t>quests_win_figure</t>
  </si>
  <si>
    <t>quests_win_figure.wav</t>
  </si>
  <si>
    <t>/PTM/PTM/MQ_Battlegrounds/Provides/MQ_BTG_Audio_Update_Pack_06.13.22.rar</t>
  </si>
  <si>
    <t> /PTM/PTM/MQ_Amazon/Amazon 2021 Update/Audio/MQ_Amazon_Audio_Update_1.7.22</t>
  </si>
  <si>
    <t>/PTM/PTM/MQ_Amazon/Amazon 2021 Update/Audio/MQ_Amazon_Audio_Update_1.7.22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</si>
</sst>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11"/>
      <name val="Calibri"/>
      <family val="2"/>
      <charset val="204"/>
      <scheme val="minor"/>
    </font>
    <font>
      <b/>
      <sz val="11"/>
      <name val="Calibri"/>
      <family val="2"/>
      <charset val="204"/>
      <scheme val="minor"/>
    </font>
    <font>
      <sz val="8"/>
      <name val="Calibri"/>
      <family val="2"/>
      <charset val="204"/>
      <scheme val="minor"/>
    </font>
    <font>
      <sz val="11"/>
      <name val="Segoe UI"/>
      <family val="2"/>
      <charset val="204"/>
    </font>
  </fonts>
  <fills count="6">
    <fill>
      <patternFill patternType="none"/>
    </fill>
    <fill>
      <patternFill patternType="gray125"/>
    </fill>
    <fill>
      <patternFill patternType="solid">
        <fgColor theme="8"/>
        <bgColor indexed="64"/>
      </patternFill>
    </fill>
    <fill>
      <patternFill patternType="solid">
        <fgColor theme="4" tint="0.79998168889431442"/>
        <bgColor indexed="64"/>
      </patternFill>
    </fill>
    <fill>
      <patternFill patternType="solid">
        <fgColor theme="7"/>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wrapText="1"/>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2" fillId="0" borderId="1" xfId="0" applyFont="1" applyBorder="1" applyAlignment="1">
      <alignment horizontal="center" vertical="center" wrapText="1"/>
    </xf>
    <xf numFmtId="0" fontId="2" fillId="4" borderId="0" xfId="0" applyFont="1" applyFill="1" applyAlignment="1">
      <alignment horizontal="right" vertical="center"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1" fillId="0" borderId="0" xfId="0" applyFont="1" applyAlignment="1">
      <alignment vertical="center" wrapText="1"/>
    </xf>
    <xf numFmtId="1" fontId="1" fillId="0" borderId="1" xfId="0" applyNumberFormat="1" applyFont="1" applyBorder="1" applyAlignment="1">
      <alignment horizontal="center" vertical="center" wrapText="1"/>
    </xf>
    <xf numFmtId="1" fontId="2" fillId="4" borderId="1" xfId="0" applyNumberFormat="1" applyFont="1" applyFill="1" applyBorder="1" applyAlignment="1">
      <alignment horizontal="center" vertical="center" wrapText="1"/>
    </xf>
    <xf numFmtId="0" fontId="1" fillId="0" borderId="1" xfId="0" applyFont="1" applyBorder="1" applyAlignment="1">
      <alignment horizontal="center" wrapText="1"/>
    </xf>
    <xf numFmtId="0" fontId="1" fillId="0" borderId="1" xfId="0" applyFont="1" applyFill="1" applyBorder="1" applyAlignment="1">
      <alignment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3" borderId="1" xfId="0" applyFont="1" applyFill="1" applyBorder="1" applyAlignment="1">
      <alignment horizontal="left" vertical="center" wrapText="1"/>
    </xf>
    <xf numFmtId="0" fontId="1" fillId="0" borderId="2" xfId="0" applyFont="1" applyFill="1" applyBorder="1" applyAlignment="1">
      <alignment wrapText="1"/>
    </xf>
    <xf numFmtId="0" fontId="2" fillId="4" borderId="1" xfId="0" applyFont="1" applyFill="1" applyBorder="1" applyAlignment="1">
      <alignment horizontal="right" vertical="center" wrapText="1"/>
    </xf>
    <xf numFmtId="0" fontId="1" fillId="0" borderId="1" xfId="0" applyFont="1" applyBorder="1" applyAlignment="1">
      <alignment wrapText="1"/>
    </xf>
    <xf numFmtId="0" fontId="1" fillId="0" borderId="1" xfId="0" applyFont="1" applyBorder="1" applyAlignment="1">
      <alignment vertical="center" wrapText="1"/>
    </xf>
    <xf numFmtId="0" fontId="0" fillId="0" borderId="1" xfId="0" applyBorder="1" applyAlignment="1">
      <alignment horizontal="center" wrapText="1"/>
    </xf>
    <xf numFmtId="0" fontId="2" fillId="5" borderId="1" xfId="0" applyFont="1" applyFill="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0" fillId="0" borderId="1" xfId="0" applyBorder="1" applyAlignment="1">
      <alignment horizontal="left" vertical="center" wrapText="1"/>
    </xf>
    <xf numFmtId="0" fontId="2" fillId="3"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EEFE-5FC3-4782-9B42-4B49188DF2DC}">
  <dimension ref="A2:G131"/>
  <sheetViews>
    <sheetView tabSelected="1" zoomScaleNormal="100" workbookViewId="0">
      <pane ySplit="3" topLeftCell="A97" activePane="bottomLeft" state="frozen"/>
      <selection pane="bottomLeft" activeCell="E104" sqref="E104"/>
    </sheetView>
  </sheetViews>
  <sheetFormatPr defaultColWidth="9.140625" defaultRowHeight="15" x14ac:dyDescent="0.25"/>
  <cols>
    <col min="1" max="1" width="46.85546875" style="4" customWidth="1"/>
    <col min="2" max="2" width="19.140625" style="14" customWidth="1"/>
    <col min="3" max="3" width="21.42578125" style="14" customWidth="1"/>
    <col min="4" max="4" width="38.42578125" style="4" customWidth="1"/>
    <col min="5" max="5" width="74.140625" style="4" customWidth="1"/>
    <col min="6" max="6" width="91.85546875" style="12" customWidth="1"/>
    <col min="7" max="7" width="54.85546875" style="4" customWidth="1"/>
    <col min="8" max="16384" width="9.140625" style="4"/>
  </cols>
  <sheetData>
    <row r="2" spans="1:6" ht="85.5" customHeight="1" x14ac:dyDescent="0.25">
      <c r="C2" s="9" t="s">
        <v>56</v>
      </c>
    </row>
    <row r="3" spans="1:6" x14ac:dyDescent="0.25">
      <c r="A3" s="1" t="s">
        <v>3</v>
      </c>
      <c r="B3" s="1" t="s">
        <v>54</v>
      </c>
      <c r="C3" s="1" t="s">
        <v>55</v>
      </c>
      <c r="D3" s="2" t="s">
        <v>27</v>
      </c>
      <c r="E3" s="2" t="s">
        <v>28</v>
      </c>
      <c r="F3" s="13" t="s">
        <v>29</v>
      </c>
    </row>
    <row r="4" spans="1:6" ht="60" x14ac:dyDescent="0.25">
      <c r="A4" s="5" t="s">
        <v>215</v>
      </c>
      <c r="B4" s="15">
        <v>199</v>
      </c>
      <c r="C4" s="15">
        <v>199</v>
      </c>
      <c r="D4" s="6" t="s">
        <v>216</v>
      </c>
      <c r="E4" s="3" t="s">
        <v>36</v>
      </c>
      <c r="F4" s="11" t="s">
        <v>53</v>
      </c>
    </row>
    <row r="5" spans="1:6" ht="60" x14ac:dyDescent="0.25">
      <c r="A5" s="5" t="s">
        <v>0</v>
      </c>
      <c r="B5" s="15">
        <v>980</v>
      </c>
      <c r="C5" s="15">
        <v>980</v>
      </c>
      <c r="D5" s="6" t="s">
        <v>31</v>
      </c>
      <c r="E5" s="3" t="s">
        <v>30</v>
      </c>
      <c r="F5" s="11" t="s">
        <v>53</v>
      </c>
    </row>
    <row r="6" spans="1:6" ht="60" x14ac:dyDescent="0.25">
      <c r="A6" s="5" t="s">
        <v>1</v>
      </c>
      <c r="B6" s="15">
        <v>199</v>
      </c>
      <c r="C6" s="15">
        <v>199</v>
      </c>
      <c r="D6" s="6" t="s">
        <v>32</v>
      </c>
      <c r="E6" s="3" t="s">
        <v>33</v>
      </c>
      <c r="F6" s="11" t="s">
        <v>53</v>
      </c>
    </row>
    <row r="7" spans="1:6" ht="30" x14ac:dyDescent="0.25">
      <c r="A7" s="5" t="s">
        <v>2</v>
      </c>
      <c r="B7" s="15">
        <v>14900</v>
      </c>
      <c r="C7" s="15">
        <v>14900</v>
      </c>
      <c r="D7" s="6" t="s">
        <v>187</v>
      </c>
      <c r="E7" s="3" t="s">
        <v>188</v>
      </c>
      <c r="F7" s="11"/>
    </row>
    <row r="8" spans="1:6" x14ac:dyDescent="0.25">
      <c r="A8" s="26" t="s">
        <v>58</v>
      </c>
      <c r="B8" s="16">
        <f>SUM(B4:B7)</f>
        <v>16278</v>
      </c>
      <c r="C8" s="16">
        <f>SUM(C4:C7)</f>
        <v>16278</v>
      </c>
      <c r="D8" s="27"/>
      <c r="E8" s="27"/>
      <c r="F8" s="11"/>
    </row>
    <row r="9" spans="1:6" x14ac:dyDescent="0.25">
      <c r="A9" s="27"/>
      <c r="B9" s="28"/>
      <c r="C9" s="28"/>
      <c r="D9" s="27"/>
      <c r="E9" s="27"/>
      <c r="F9" s="11"/>
    </row>
    <row r="10" spans="1:6" x14ac:dyDescent="0.25">
      <c r="A10" s="1" t="s">
        <v>4</v>
      </c>
      <c r="B10" s="1"/>
      <c r="C10" s="1"/>
      <c r="D10" s="2" t="s">
        <v>27</v>
      </c>
      <c r="E10" s="2" t="s">
        <v>28</v>
      </c>
      <c r="F10" s="13" t="s">
        <v>29</v>
      </c>
    </row>
    <row r="11" spans="1:6" x14ac:dyDescent="0.25">
      <c r="A11" s="34"/>
      <c r="B11" s="34"/>
      <c r="C11" s="34"/>
      <c r="D11" s="34"/>
      <c r="E11" s="34"/>
      <c r="F11" s="34"/>
    </row>
    <row r="12" spans="1:6" x14ac:dyDescent="0.25">
      <c r="A12" s="5" t="s">
        <v>26</v>
      </c>
      <c r="B12" s="15">
        <v>1625</v>
      </c>
      <c r="C12" s="15">
        <v>1625</v>
      </c>
      <c r="D12" s="6" t="s">
        <v>35</v>
      </c>
      <c r="E12" s="3" t="s">
        <v>36</v>
      </c>
      <c r="F12" s="11"/>
    </row>
    <row r="13" spans="1:6" ht="30" x14ac:dyDescent="0.25">
      <c r="A13" s="5" t="s">
        <v>189</v>
      </c>
      <c r="B13" s="15">
        <v>1001</v>
      </c>
      <c r="C13" s="15">
        <v>1001</v>
      </c>
      <c r="D13" s="6" t="s">
        <v>191</v>
      </c>
      <c r="E13" s="3" t="s">
        <v>190</v>
      </c>
      <c r="F13" s="11"/>
    </row>
    <row r="14" spans="1:6" x14ac:dyDescent="0.25">
      <c r="A14" s="5" t="s">
        <v>224</v>
      </c>
      <c r="B14" s="15">
        <v>800</v>
      </c>
      <c r="C14" s="15">
        <v>800</v>
      </c>
      <c r="D14" s="6" t="s">
        <v>225</v>
      </c>
      <c r="E14" s="3"/>
      <c r="F14" s="11"/>
    </row>
    <row r="15" spans="1:6" ht="60" x14ac:dyDescent="0.25">
      <c r="A15" s="5" t="s">
        <v>215</v>
      </c>
      <c r="B15" s="15">
        <v>168</v>
      </c>
      <c r="C15" s="15">
        <v>168</v>
      </c>
      <c r="D15" s="6" t="s">
        <v>216</v>
      </c>
      <c r="E15" s="3" t="s">
        <v>36</v>
      </c>
      <c r="F15" s="11" t="s">
        <v>53</v>
      </c>
    </row>
    <row r="16" spans="1:6" x14ac:dyDescent="0.25">
      <c r="A16" s="5" t="s">
        <v>226</v>
      </c>
      <c r="B16" s="15">
        <v>1112</v>
      </c>
      <c r="C16" s="15">
        <v>1112</v>
      </c>
      <c r="D16" s="6" t="s">
        <v>227</v>
      </c>
      <c r="E16" s="38" t="s">
        <v>250</v>
      </c>
      <c r="F16" s="11"/>
    </row>
    <row r="17" spans="1:6" x14ac:dyDescent="0.25">
      <c r="A17" s="5" t="s">
        <v>228</v>
      </c>
      <c r="B17" s="15">
        <v>405</v>
      </c>
      <c r="C17" s="15">
        <v>405</v>
      </c>
      <c r="D17" s="6" t="s">
        <v>229</v>
      </c>
      <c r="E17" s="39"/>
      <c r="F17" s="11"/>
    </row>
    <row r="18" spans="1:6" x14ac:dyDescent="0.25">
      <c r="A18" s="34" t="s">
        <v>192</v>
      </c>
      <c r="B18" s="34"/>
      <c r="C18" s="34"/>
      <c r="D18" s="34"/>
      <c r="E18" s="34"/>
      <c r="F18" s="34"/>
    </row>
    <row r="19" spans="1:6" ht="30" x14ac:dyDescent="0.25">
      <c r="A19" s="5" t="s">
        <v>193</v>
      </c>
      <c r="B19" s="15">
        <v>715</v>
      </c>
      <c r="C19" s="15">
        <v>715</v>
      </c>
      <c r="D19" s="6" t="s">
        <v>195</v>
      </c>
      <c r="E19" s="3" t="s">
        <v>198</v>
      </c>
      <c r="F19" s="11"/>
    </row>
    <row r="20" spans="1:6" x14ac:dyDescent="0.25">
      <c r="A20" s="5" t="s">
        <v>194</v>
      </c>
      <c r="B20" s="15">
        <v>166</v>
      </c>
      <c r="C20" s="15">
        <v>217</v>
      </c>
      <c r="D20" s="6" t="s">
        <v>196</v>
      </c>
      <c r="E20" s="3" t="s">
        <v>197</v>
      </c>
      <c r="F20" s="11"/>
    </row>
    <row r="21" spans="1:6" x14ac:dyDescent="0.25">
      <c r="A21" s="34" t="s">
        <v>5</v>
      </c>
      <c r="B21" s="34"/>
      <c r="C21" s="34"/>
      <c r="D21" s="34"/>
      <c r="E21" s="34"/>
      <c r="F21" s="34"/>
    </row>
    <row r="22" spans="1:6" x14ac:dyDescent="0.25">
      <c r="A22" s="5" t="s">
        <v>62</v>
      </c>
      <c r="B22" s="15">
        <v>37766</v>
      </c>
      <c r="C22" s="15">
        <v>37766</v>
      </c>
      <c r="D22" s="6" t="s">
        <v>76</v>
      </c>
      <c r="E22" s="3" t="s">
        <v>72</v>
      </c>
      <c r="F22" s="23" t="s">
        <v>132</v>
      </c>
    </row>
    <row r="23" spans="1:6" x14ac:dyDescent="0.25">
      <c r="A23" s="5" t="s">
        <v>63</v>
      </c>
      <c r="B23" s="15">
        <v>37766</v>
      </c>
      <c r="C23" s="15">
        <v>37766</v>
      </c>
      <c r="D23" s="6" t="s">
        <v>77</v>
      </c>
      <c r="E23" s="3" t="s">
        <v>72</v>
      </c>
      <c r="F23" s="23" t="s">
        <v>132</v>
      </c>
    </row>
    <row r="24" spans="1:6" x14ac:dyDescent="0.25">
      <c r="A24" s="5" t="s">
        <v>64</v>
      </c>
      <c r="B24" s="15">
        <v>37766</v>
      </c>
      <c r="C24" s="15">
        <v>37766</v>
      </c>
      <c r="D24" s="6" t="s">
        <v>78</v>
      </c>
      <c r="E24" s="3" t="s">
        <v>72</v>
      </c>
      <c r="F24" s="23" t="s">
        <v>132</v>
      </c>
    </row>
    <row r="25" spans="1:6" x14ac:dyDescent="0.25">
      <c r="A25" s="5" t="s">
        <v>73</v>
      </c>
      <c r="B25" s="15">
        <v>39651</v>
      </c>
      <c r="C25" s="15">
        <v>39651</v>
      </c>
      <c r="D25" s="6" t="s">
        <v>75</v>
      </c>
      <c r="E25" s="3" t="s">
        <v>72</v>
      </c>
      <c r="F25" s="23" t="s">
        <v>132</v>
      </c>
    </row>
    <row r="26" spans="1:6" x14ac:dyDescent="0.25">
      <c r="A26" s="5" t="s">
        <v>74</v>
      </c>
      <c r="B26" s="15">
        <v>14767</v>
      </c>
      <c r="C26" s="15">
        <v>14767</v>
      </c>
      <c r="D26" s="6" t="s">
        <v>241</v>
      </c>
      <c r="E26" s="3" t="s">
        <v>72</v>
      </c>
      <c r="F26" s="11"/>
    </row>
    <row r="27" spans="1:6" x14ac:dyDescent="0.25">
      <c r="A27" s="34" t="s">
        <v>98</v>
      </c>
      <c r="B27" s="34"/>
      <c r="C27" s="34"/>
      <c r="D27" s="34"/>
      <c r="E27" s="34"/>
      <c r="F27" s="34"/>
    </row>
    <row r="28" spans="1:6" ht="30" x14ac:dyDescent="0.25">
      <c r="A28" s="5" t="s">
        <v>99</v>
      </c>
      <c r="B28" s="15">
        <v>1752</v>
      </c>
      <c r="C28" s="15">
        <v>1752</v>
      </c>
      <c r="D28" s="6" t="s">
        <v>100</v>
      </c>
      <c r="E28" s="3" t="s">
        <v>101</v>
      </c>
      <c r="F28" s="11" t="s">
        <v>59</v>
      </c>
    </row>
    <row r="29" spans="1:6" ht="30" x14ac:dyDescent="0.25">
      <c r="A29" s="5" t="s">
        <v>102</v>
      </c>
      <c r="B29" s="15">
        <v>1731</v>
      </c>
      <c r="C29" s="15">
        <v>1731</v>
      </c>
      <c r="D29" s="6" t="s">
        <v>103</v>
      </c>
      <c r="E29" s="3" t="s">
        <v>104</v>
      </c>
      <c r="F29" s="11" t="s">
        <v>59</v>
      </c>
    </row>
    <row r="30" spans="1:6" ht="30" x14ac:dyDescent="0.25">
      <c r="A30" s="5" t="s">
        <v>105</v>
      </c>
      <c r="B30" s="15">
        <v>2925</v>
      </c>
      <c r="C30" s="15">
        <v>2925</v>
      </c>
      <c r="D30" s="6" t="s">
        <v>105</v>
      </c>
      <c r="E30" s="3" t="s">
        <v>141</v>
      </c>
      <c r="F30" s="11"/>
    </row>
    <row r="31" spans="1:6" ht="30" x14ac:dyDescent="0.25">
      <c r="A31" s="5" t="s">
        <v>106</v>
      </c>
      <c r="B31" s="15">
        <v>673</v>
      </c>
      <c r="C31" s="15">
        <v>0</v>
      </c>
      <c r="D31" s="6" t="s">
        <v>107</v>
      </c>
      <c r="E31" s="3" t="s">
        <v>110</v>
      </c>
      <c r="F31" s="11" t="s">
        <v>111</v>
      </c>
    </row>
    <row r="32" spans="1:6" ht="30" x14ac:dyDescent="0.25">
      <c r="A32" s="5" t="s">
        <v>109</v>
      </c>
      <c r="B32" s="15">
        <v>597</v>
      </c>
      <c r="C32" s="15">
        <v>597</v>
      </c>
      <c r="D32" s="6" t="s">
        <v>108</v>
      </c>
      <c r="E32" s="3" t="s">
        <v>110</v>
      </c>
      <c r="F32" s="11" t="s">
        <v>111</v>
      </c>
    </row>
    <row r="33" spans="1:7" x14ac:dyDescent="0.25">
      <c r="A33" s="34" t="s">
        <v>116</v>
      </c>
      <c r="B33" s="34"/>
      <c r="C33" s="34"/>
      <c r="D33" s="34"/>
      <c r="E33" s="34"/>
      <c r="F33" s="34"/>
    </row>
    <row r="34" spans="1:7" ht="30" x14ac:dyDescent="0.25">
      <c r="A34" s="5" t="s">
        <v>112</v>
      </c>
      <c r="B34" s="15">
        <v>2762</v>
      </c>
      <c r="C34" s="15">
        <v>2762</v>
      </c>
      <c r="D34" s="6" t="s">
        <v>117</v>
      </c>
      <c r="E34" s="17" t="s">
        <v>101</v>
      </c>
      <c r="F34" s="11" t="s">
        <v>59</v>
      </c>
    </row>
    <row r="35" spans="1:7" ht="30" x14ac:dyDescent="0.25">
      <c r="A35" s="5" t="s">
        <v>113</v>
      </c>
      <c r="B35" s="15">
        <v>1419</v>
      </c>
      <c r="C35" s="15">
        <v>1419</v>
      </c>
      <c r="D35" s="6" t="s">
        <v>118</v>
      </c>
      <c r="E35" s="17" t="s">
        <v>104</v>
      </c>
      <c r="F35" s="11" t="s">
        <v>59</v>
      </c>
    </row>
    <row r="36" spans="1:7" ht="30" x14ac:dyDescent="0.25">
      <c r="A36" s="5" t="s">
        <v>114</v>
      </c>
      <c r="B36" s="15">
        <v>693</v>
      </c>
      <c r="C36" s="15">
        <v>0</v>
      </c>
      <c r="D36" s="6" t="s">
        <v>120</v>
      </c>
      <c r="E36" s="17" t="s">
        <v>121</v>
      </c>
      <c r="F36" s="11" t="s">
        <v>111</v>
      </c>
    </row>
    <row r="37" spans="1:7" ht="30" x14ac:dyDescent="0.25">
      <c r="A37" s="5" t="s">
        <v>115</v>
      </c>
      <c r="B37" s="15">
        <v>581</v>
      </c>
      <c r="C37" s="15">
        <v>581</v>
      </c>
      <c r="D37" s="6" t="s">
        <v>119</v>
      </c>
      <c r="E37" s="17" t="s">
        <v>121</v>
      </c>
      <c r="F37" s="11" t="s">
        <v>111</v>
      </c>
    </row>
    <row r="38" spans="1:7" ht="30" x14ac:dyDescent="0.25">
      <c r="A38" s="5" t="s">
        <v>142</v>
      </c>
      <c r="B38" s="15">
        <v>3552</v>
      </c>
      <c r="C38" s="15">
        <v>3552</v>
      </c>
      <c r="D38" s="6" t="s">
        <v>148</v>
      </c>
      <c r="E38" s="17" t="s">
        <v>146</v>
      </c>
      <c r="F38" s="11" t="s">
        <v>181</v>
      </c>
    </row>
    <row r="39" spans="1:7" ht="30" x14ac:dyDescent="0.25">
      <c r="A39" s="5" t="s">
        <v>143</v>
      </c>
      <c r="B39" s="15">
        <v>2953</v>
      </c>
      <c r="C39" s="15">
        <v>2953</v>
      </c>
      <c r="D39" s="6" t="s">
        <v>149</v>
      </c>
      <c r="E39" s="29" t="s">
        <v>145</v>
      </c>
      <c r="F39" s="11" t="s">
        <v>181</v>
      </c>
    </row>
    <row r="40" spans="1:7" ht="30" x14ac:dyDescent="0.25">
      <c r="A40" s="5" t="s">
        <v>144</v>
      </c>
      <c r="B40" s="15">
        <v>2413</v>
      </c>
      <c r="C40" s="15">
        <v>2413</v>
      </c>
      <c r="D40" s="6" t="s">
        <v>150</v>
      </c>
      <c r="E40" s="17" t="s">
        <v>147</v>
      </c>
      <c r="F40" s="11" t="s">
        <v>181</v>
      </c>
    </row>
    <row r="41" spans="1:7" x14ac:dyDescent="0.25">
      <c r="A41" s="34" t="s">
        <v>122</v>
      </c>
      <c r="B41" s="34"/>
      <c r="C41" s="34"/>
      <c r="D41" s="34"/>
      <c r="E41" s="34"/>
      <c r="F41" s="34"/>
    </row>
    <row r="42" spans="1:7" ht="30" x14ac:dyDescent="0.25">
      <c r="A42" s="5" t="s">
        <v>123</v>
      </c>
      <c r="B42" s="15">
        <v>1640</v>
      </c>
      <c r="C42" s="15">
        <v>1640</v>
      </c>
      <c r="D42" s="6" t="s">
        <v>126</v>
      </c>
      <c r="E42" s="3" t="s">
        <v>131</v>
      </c>
      <c r="F42" s="11" t="s">
        <v>59</v>
      </c>
    </row>
    <row r="43" spans="1:7" ht="30" x14ac:dyDescent="0.25">
      <c r="A43" s="5" t="s">
        <v>124</v>
      </c>
      <c r="B43" s="15">
        <v>1639</v>
      </c>
      <c r="C43" s="15">
        <v>1639</v>
      </c>
      <c r="D43" s="6" t="s">
        <v>127</v>
      </c>
      <c r="E43" s="3" t="s">
        <v>130</v>
      </c>
      <c r="F43" s="11" t="s">
        <v>59</v>
      </c>
    </row>
    <row r="44" spans="1:7" ht="30" x14ac:dyDescent="0.25">
      <c r="A44" s="5" t="s">
        <v>125</v>
      </c>
      <c r="B44" s="15">
        <v>1593</v>
      </c>
      <c r="C44" s="15">
        <v>1593</v>
      </c>
      <c r="D44" s="6" t="s">
        <v>128</v>
      </c>
      <c r="E44" s="3" t="s">
        <v>129</v>
      </c>
      <c r="F44" s="11" t="s">
        <v>59</v>
      </c>
    </row>
    <row r="45" spans="1:7" x14ac:dyDescent="0.25">
      <c r="A45" s="34" t="s">
        <v>151</v>
      </c>
      <c r="B45" s="34"/>
      <c r="C45" s="34"/>
      <c r="D45" s="34"/>
      <c r="E45" s="34"/>
      <c r="F45" s="34"/>
    </row>
    <row r="46" spans="1:7" s="18" customFormat="1" ht="30" x14ac:dyDescent="0.25">
      <c r="A46" s="19" t="s">
        <v>152</v>
      </c>
      <c r="B46" s="20">
        <v>713</v>
      </c>
      <c r="C46" s="20">
        <v>713</v>
      </c>
      <c r="D46" s="20" t="s">
        <v>160</v>
      </c>
      <c r="E46" s="20" t="s">
        <v>168</v>
      </c>
      <c r="F46" s="11" t="s">
        <v>59</v>
      </c>
      <c r="G46" s="25"/>
    </row>
    <row r="47" spans="1:7" s="18" customFormat="1" ht="30" x14ac:dyDescent="0.25">
      <c r="A47" s="19" t="s">
        <v>153</v>
      </c>
      <c r="B47" s="20">
        <v>1221</v>
      </c>
      <c r="C47" s="20">
        <v>0</v>
      </c>
      <c r="D47" s="20" t="s">
        <v>161</v>
      </c>
      <c r="E47" s="20" t="s">
        <v>169</v>
      </c>
      <c r="F47" s="20"/>
      <c r="G47" s="25"/>
    </row>
    <row r="48" spans="1:7" s="18" customFormat="1" ht="30" x14ac:dyDescent="0.25">
      <c r="A48" s="19" t="s">
        <v>154</v>
      </c>
      <c r="B48" s="20">
        <v>1143</v>
      </c>
      <c r="C48" s="20">
        <v>1143</v>
      </c>
      <c r="D48" s="20" t="s">
        <v>162</v>
      </c>
      <c r="E48" s="20" t="s">
        <v>170</v>
      </c>
      <c r="F48" s="11" t="s">
        <v>59</v>
      </c>
      <c r="G48" s="25"/>
    </row>
    <row r="49" spans="1:7" s="18" customFormat="1" ht="30" x14ac:dyDescent="0.25">
      <c r="A49" s="19" t="s">
        <v>155</v>
      </c>
      <c r="B49" s="20">
        <v>1847</v>
      </c>
      <c r="C49" s="20">
        <v>1847</v>
      </c>
      <c r="D49" s="20" t="s">
        <v>165</v>
      </c>
      <c r="E49" s="20" t="s">
        <v>171</v>
      </c>
      <c r="F49" s="20"/>
      <c r="G49" s="25"/>
    </row>
    <row r="50" spans="1:7" s="18" customFormat="1" ht="30" x14ac:dyDescent="0.25">
      <c r="A50" s="19" t="s">
        <v>156</v>
      </c>
      <c r="B50" s="20">
        <v>1300</v>
      </c>
      <c r="C50" s="20">
        <v>1300</v>
      </c>
      <c r="D50" s="20" t="s">
        <v>166</v>
      </c>
      <c r="E50" s="20" t="s">
        <v>172</v>
      </c>
      <c r="F50" s="20"/>
      <c r="G50" s="25"/>
    </row>
    <row r="51" spans="1:7" s="18" customFormat="1" ht="30" x14ac:dyDescent="0.25">
      <c r="A51" s="19" t="s">
        <v>157</v>
      </c>
      <c r="B51" s="20">
        <v>467</v>
      </c>
      <c r="C51" s="20">
        <v>467</v>
      </c>
      <c r="D51" s="20" t="s">
        <v>163</v>
      </c>
      <c r="E51" s="20" t="s">
        <v>173</v>
      </c>
      <c r="F51" s="11" t="s">
        <v>59</v>
      </c>
      <c r="G51" s="25"/>
    </row>
    <row r="52" spans="1:7" s="18" customFormat="1" ht="30" x14ac:dyDescent="0.25">
      <c r="A52" s="19" t="s">
        <v>158</v>
      </c>
      <c r="B52" s="20">
        <v>576</v>
      </c>
      <c r="C52" s="20">
        <v>0</v>
      </c>
      <c r="D52" s="20" t="s">
        <v>164</v>
      </c>
      <c r="E52" s="20" t="s">
        <v>174</v>
      </c>
      <c r="F52" s="11" t="s">
        <v>59</v>
      </c>
      <c r="G52" s="25"/>
    </row>
    <row r="53" spans="1:7" s="18" customFormat="1" ht="30" x14ac:dyDescent="0.25">
      <c r="A53" s="19" t="s">
        <v>159</v>
      </c>
      <c r="B53" s="20">
        <v>320</v>
      </c>
      <c r="C53" s="20">
        <v>320</v>
      </c>
      <c r="D53" s="20" t="s">
        <v>167</v>
      </c>
      <c r="E53" s="20" t="s">
        <v>175</v>
      </c>
      <c r="F53" s="11" t="s">
        <v>59</v>
      </c>
      <c r="G53" s="25"/>
    </row>
    <row r="54" spans="1:7" x14ac:dyDescent="0.25">
      <c r="A54" s="34" t="s">
        <v>6</v>
      </c>
      <c r="B54" s="34"/>
      <c r="C54" s="34"/>
      <c r="D54" s="34"/>
      <c r="E54" s="34"/>
      <c r="F54" s="34"/>
    </row>
    <row r="55" spans="1:7" ht="30" x14ac:dyDescent="0.25">
      <c r="A55" s="7" t="s">
        <v>82</v>
      </c>
      <c r="B55" s="15">
        <v>2896</v>
      </c>
      <c r="C55" s="15">
        <v>2896</v>
      </c>
      <c r="D55" s="8" t="s">
        <v>80</v>
      </c>
      <c r="E55" s="8" t="s">
        <v>81</v>
      </c>
      <c r="F55" s="11" t="s">
        <v>59</v>
      </c>
    </row>
    <row r="56" spans="1:7" ht="30" x14ac:dyDescent="0.25">
      <c r="A56" s="7" t="s">
        <v>83</v>
      </c>
      <c r="B56" s="15">
        <v>1254</v>
      </c>
      <c r="C56" s="15">
        <v>1254</v>
      </c>
      <c r="D56" s="8" t="s">
        <v>85</v>
      </c>
      <c r="E56" s="8" t="s">
        <v>84</v>
      </c>
      <c r="F56" s="11" t="s">
        <v>59</v>
      </c>
    </row>
    <row r="57" spans="1:7" ht="30" x14ac:dyDescent="0.25">
      <c r="A57" s="7" t="s">
        <v>86</v>
      </c>
      <c r="B57" s="15">
        <v>1571</v>
      </c>
      <c r="C57" s="15">
        <v>1571</v>
      </c>
      <c r="D57" s="8" t="s">
        <v>88</v>
      </c>
      <c r="E57" s="8" t="s">
        <v>87</v>
      </c>
      <c r="F57" s="11" t="s">
        <v>59</v>
      </c>
    </row>
    <row r="58" spans="1:7" ht="30" x14ac:dyDescent="0.25">
      <c r="A58" s="7" t="s">
        <v>89</v>
      </c>
      <c r="B58" s="15">
        <v>1358</v>
      </c>
      <c r="C58" s="15">
        <v>1358</v>
      </c>
      <c r="D58" s="8" t="s">
        <v>85</v>
      </c>
      <c r="E58" s="8" t="s">
        <v>84</v>
      </c>
      <c r="F58" s="11" t="s">
        <v>59</v>
      </c>
    </row>
    <row r="59" spans="1:7" ht="30" x14ac:dyDescent="0.25">
      <c r="A59" s="7" t="s">
        <v>90</v>
      </c>
      <c r="B59" s="15">
        <v>941</v>
      </c>
      <c r="C59" s="15">
        <v>941</v>
      </c>
      <c r="D59" s="8" t="s">
        <v>91</v>
      </c>
      <c r="E59" s="8" t="s">
        <v>92</v>
      </c>
      <c r="F59" s="11" t="s">
        <v>59</v>
      </c>
    </row>
    <row r="60" spans="1:7" ht="30" x14ac:dyDescent="0.25">
      <c r="A60" s="7" t="s">
        <v>93</v>
      </c>
      <c r="B60" s="15">
        <v>1095</v>
      </c>
      <c r="C60" s="15">
        <v>1095</v>
      </c>
      <c r="D60" s="8" t="s">
        <v>79</v>
      </c>
      <c r="E60" s="8" t="s">
        <v>94</v>
      </c>
      <c r="F60" s="11" t="s">
        <v>59</v>
      </c>
    </row>
    <row r="61" spans="1:7" ht="30" x14ac:dyDescent="0.25">
      <c r="A61" s="7" t="s">
        <v>176</v>
      </c>
      <c r="B61" s="15">
        <v>855</v>
      </c>
      <c r="C61" s="15">
        <v>855</v>
      </c>
      <c r="D61" s="8" t="s">
        <v>177</v>
      </c>
      <c r="E61" s="8" t="s">
        <v>178</v>
      </c>
      <c r="F61" s="11" t="s">
        <v>59</v>
      </c>
    </row>
    <row r="62" spans="1:7" ht="30" x14ac:dyDescent="0.25">
      <c r="A62" s="7" t="s">
        <v>179</v>
      </c>
      <c r="B62" s="15">
        <v>888</v>
      </c>
      <c r="C62" s="15">
        <v>888</v>
      </c>
      <c r="D62" s="8" t="s">
        <v>180</v>
      </c>
      <c r="E62" s="8" t="s">
        <v>178</v>
      </c>
      <c r="F62" s="11"/>
    </row>
    <row r="63" spans="1:7" ht="30" x14ac:dyDescent="0.25">
      <c r="A63" s="7" t="s">
        <v>95</v>
      </c>
      <c r="B63" s="15">
        <v>2163</v>
      </c>
      <c r="C63" s="15">
        <v>2163</v>
      </c>
      <c r="D63" s="8" t="s">
        <v>96</v>
      </c>
      <c r="E63" s="8" t="s">
        <v>97</v>
      </c>
      <c r="F63" s="11"/>
    </row>
    <row r="64" spans="1:7" ht="37.5" customHeight="1" x14ac:dyDescent="0.25">
      <c r="A64" s="24" t="s">
        <v>7</v>
      </c>
      <c r="B64" s="24"/>
      <c r="C64" s="24"/>
      <c r="D64" s="24"/>
      <c r="E64" s="24"/>
      <c r="F64" s="24"/>
    </row>
    <row r="65" spans="1:6" ht="30" x14ac:dyDescent="0.25">
      <c r="A65" s="5" t="s">
        <v>8</v>
      </c>
      <c r="B65" s="15">
        <v>2288</v>
      </c>
      <c r="C65" s="15">
        <v>2288</v>
      </c>
      <c r="D65" s="6" t="s">
        <v>37</v>
      </c>
      <c r="E65" s="3" t="s">
        <v>38</v>
      </c>
      <c r="F65" s="30"/>
    </row>
    <row r="66" spans="1:6" ht="30" x14ac:dyDescent="0.25">
      <c r="A66" s="5" t="s">
        <v>9</v>
      </c>
      <c r="B66" s="15">
        <v>1955</v>
      </c>
      <c r="C66" s="15">
        <v>1955</v>
      </c>
      <c r="D66" s="6" t="s">
        <v>39</v>
      </c>
      <c r="E66" s="3" t="s">
        <v>38</v>
      </c>
      <c r="F66" s="11"/>
    </row>
    <row r="67" spans="1:6" ht="30" x14ac:dyDescent="0.25">
      <c r="A67" s="5" t="s">
        <v>10</v>
      </c>
      <c r="B67" s="15">
        <v>816</v>
      </c>
      <c r="C67" s="15">
        <v>816</v>
      </c>
      <c r="D67" s="6" t="s">
        <v>40</v>
      </c>
      <c r="E67" s="3" t="s">
        <v>38</v>
      </c>
      <c r="F67" s="11"/>
    </row>
    <row r="68" spans="1:6" ht="30" x14ac:dyDescent="0.25">
      <c r="A68" s="5" t="s">
        <v>11</v>
      </c>
      <c r="B68" s="15">
        <v>2337</v>
      </c>
      <c r="C68" s="15">
        <v>2337</v>
      </c>
      <c r="D68" s="6" t="s">
        <v>41</v>
      </c>
      <c r="E68" s="3" t="s">
        <v>38</v>
      </c>
      <c r="F68" s="11"/>
    </row>
    <row r="69" spans="1:6" x14ac:dyDescent="0.25">
      <c r="A69" s="24" t="s">
        <v>12</v>
      </c>
      <c r="B69" s="24"/>
      <c r="C69" s="24"/>
      <c r="D69" s="24"/>
      <c r="E69" s="24"/>
      <c r="F69" s="24"/>
    </row>
    <row r="70" spans="1:6" x14ac:dyDescent="0.25">
      <c r="A70" s="5" t="s">
        <v>13</v>
      </c>
      <c r="B70" s="15">
        <v>1850</v>
      </c>
      <c r="C70" s="15">
        <v>1850</v>
      </c>
      <c r="D70" s="6" t="s">
        <v>42</v>
      </c>
      <c r="E70" s="3" t="s">
        <v>43</v>
      </c>
      <c r="F70" s="11"/>
    </row>
    <row r="71" spans="1:6" ht="45" x14ac:dyDescent="0.25">
      <c r="A71" s="5" t="s">
        <v>14</v>
      </c>
      <c r="B71" s="15">
        <v>1732</v>
      </c>
      <c r="C71" s="15">
        <v>1732</v>
      </c>
      <c r="D71" s="6" t="s">
        <v>44</v>
      </c>
      <c r="E71" s="3" t="s">
        <v>43</v>
      </c>
      <c r="F71" s="11" t="s">
        <v>46</v>
      </c>
    </row>
    <row r="72" spans="1:6" ht="45" x14ac:dyDescent="0.25">
      <c r="A72" s="5" t="s">
        <v>15</v>
      </c>
      <c r="B72" s="15">
        <v>1260</v>
      </c>
      <c r="C72" s="15">
        <v>1260</v>
      </c>
      <c r="D72" s="6" t="s">
        <v>45</v>
      </c>
      <c r="E72" s="3" t="s">
        <v>43</v>
      </c>
      <c r="F72" s="11" t="s">
        <v>46</v>
      </c>
    </row>
    <row r="73" spans="1:6" x14ac:dyDescent="0.25">
      <c r="A73" s="24" t="s">
        <v>16</v>
      </c>
      <c r="B73" s="24"/>
      <c r="C73" s="24"/>
      <c r="D73" s="24"/>
      <c r="E73" s="24"/>
      <c r="F73" s="24"/>
    </row>
    <row r="74" spans="1:6" ht="16.5" customHeight="1" x14ac:dyDescent="0.25">
      <c r="A74" s="5" t="s">
        <v>200</v>
      </c>
      <c r="B74" s="15">
        <v>450</v>
      </c>
      <c r="C74" s="15">
        <v>450</v>
      </c>
      <c r="D74" s="3" t="s">
        <v>200</v>
      </c>
      <c r="E74" s="35" t="s">
        <v>186</v>
      </c>
      <c r="F74" s="33" t="s">
        <v>205</v>
      </c>
    </row>
    <row r="75" spans="1:6" ht="16.5" customHeight="1" x14ac:dyDescent="0.25">
      <c r="A75" s="5" t="s">
        <v>201</v>
      </c>
      <c r="B75" s="15">
        <v>254</v>
      </c>
      <c r="C75" s="15">
        <v>254</v>
      </c>
      <c r="D75" s="3" t="s">
        <v>201</v>
      </c>
      <c r="E75" s="35"/>
      <c r="F75" s="33"/>
    </row>
    <row r="76" spans="1:6" ht="16.5" customHeight="1" x14ac:dyDescent="0.25">
      <c r="A76" s="5" t="s">
        <v>202</v>
      </c>
      <c r="B76" s="15">
        <v>240</v>
      </c>
      <c r="C76" s="15">
        <v>240</v>
      </c>
      <c r="D76" s="3" t="s">
        <v>202</v>
      </c>
      <c r="E76" s="35"/>
      <c r="F76" s="33"/>
    </row>
    <row r="77" spans="1:6" ht="16.5" customHeight="1" x14ac:dyDescent="0.25">
      <c r="A77" s="5" t="s">
        <v>203</v>
      </c>
      <c r="B77" s="15">
        <v>256</v>
      </c>
      <c r="C77" s="15">
        <v>256</v>
      </c>
      <c r="D77" s="3" t="s">
        <v>203</v>
      </c>
      <c r="E77" s="35"/>
      <c r="F77" s="33"/>
    </row>
    <row r="78" spans="1:6" x14ac:dyDescent="0.25">
      <c r="A78" s="5" t="s">
        <v>204</v>
      </c>
      <c r="B78" s="15">
        <v>712</v>
      </c>
      <c r="C78" s="15">
        <v>712</v>
      </c>
      <c r="D78" s="3" t="s">
        <v>204</v>
      </c>
      <c r="E78" s="35"/>
      <c r="F78" s="33"/>
    </row>
    <row r="79" spans="1:6" x14ac:dyDescent="0.25">
      <c r="A79" s="24" t="s">
        <v>17</v>
      </c>
      <c r="B79" s="24"/>
      <c r="C79" s="24"/>
      <c r="D79" s="24"/>
      <c r="E79" s="24"/>
      <c r="F79" s="24"/>
    </row>
    <row r="80" spans="1:6" ht="63" customHeight="1" x14ac:dyDescent="0.25">
      <c r="A80" s="5" t="s">
        <v>18</v>
      </c>
      <c r="B80" s="15">
        <v>2190</v>
      </c>
      <c r="C80" s="15">
        <v>2190</v>
      </c>
      <c r="D80" s="6" t="s">
        <v>48</v>
      </c>
      <c r="E80" s="3" t="s">
        <v>47</v>
      </c>
      <c r="F80" s="11"/>
    </row>
    <row r="81" spans="1:6" x14ac:dyDescent="0.25">
      <c r="A81" s="24" t="s">
        <v>19</v>
      </c>
      <c r="B81" s="24"/>
      <c r="C81" s="24"/>
      <c r="D81" s="24"/>
      <c r="E81" s="24"/>
      <c r="F81" s="24"/>
    </row>
    <row r="82" spans="1:6" x14ac:dyDescent="0.25">
      <c r="A82" s="5" t="s">
        <v>20</v>
      </c>
      <c r="B82" s="15">
        <v>1749</v>
      </c>
      <c r="C82" s="15">
        <v>1749</v>
      </c>
      <c r="D82" s="6" t="s">
        <v>184</v>
      </c>
      <c r="E82" s="23" t="s">
        <v>182</v>
      </c>
      <c r="F82" s="27"/>
    </row>
    <row r="83" spans="1:6" x14ac:dyDescent="0.25">
      <c r="A83" s="5" t="s">
        <v>21</v>
      </c>
      <c r="B83" s="15">
        <v>705</v>
      </c>
      <c r="C83" s="15">
        <v>705</v>
      </c>
      <c r="D83" s="6" t="s">
        <v>49</v>
      </c>
      <c r="E83" s="23" t="s">
        <v>182</v>
      </c>
      <c r="F83" s="28"/>
    </row>
    <row r="84" spans="1:6" ht="90" x14ac:dyDescent="0.25">
      <c r="A84" s="5" t="s">
        <v>22</v>
      </c>
      <c r="B84" s="15">
        <v>725</v>
      </c>
      <c r="C84" s="15">
        <v>725</v>
      </c>
      <c r="D84" s="6" t="s">
        <v>50</v>
      </c>
      <c r="E84" s="3" t="s">
        <v>51</v>
      </c>
      <c r="F84" s="28" t="s">
        <v>135</v>
      </c>
    </row>
    <row r="85" spans="1:6" x14ac:dyDescent="0.25">
      <c r="A85" s="24" t="s">
        <v>23</v>
      </c>
      <c r="B85" s="24"/>
      <c r="C85" s="24"/>
      <c r="D85" s="24"/>
      <c r="E85" s="24"/>
      <c r="F85" s="24"/>
    </row>
    <row r="86" spans="1:6" ht="15.75" customHeight="1" x14ac:dyDescent="0.25">
      <c r="A86" s="5" t="s">
        <v>199</v>
      </c>
      <c r="B86" s="15">
        <v>899</v>
      </c>
      <c r="C86" s="15">
        <v>899</v>
      </c>
      <c r="D86" s="6" t="s">
        <v>183</v>
      </c>
      <c r="E86" s="23" t="s">
        <v>182</v>
      </c>
      <c r="F86" s="11"/>
    </row>
    <row r="87" spans="1:6" ht="15.75" customHeight="1" x14ac:dyDescent="0.25">
      <c r="A87" s="24" t="s">
        <v>243</v>
      </c>
      <c r="B87" s="24"/>
      <c r="C87" s="24"/>
      <c r="D87" s="24"/>
      <c r="E87" s="24"/>
      <c r="F87" s="24"/>
    </row>
    <row r="88" spans="1:6" ht="33" customHeight="1" x14ac:dyDescent="0.25">
      <c r="A88" s="5" t="s">
        <v>244</v>
      </c>
      <c r="B88" s="15">
        <v>580</v>
      </c>
      <c r="C88" s="15">
        <v>580</v>
      </c>
      <c r="D88" s="6" t="s">
        <v>245</v>
      </c>
      <c r="E88" s="40" t="s">
        <v>251</v>
      </c>
      <c r="F88" s="11"/>
    </row>
    <row r="89" spans="1:6" ht="15.75" customHeight="1" x14ac:dyDescent="0.25">
      <c r="A89" s="5" t="s">
        <v>246</v>
      </c>
      <c r="B89" s="15">
        <v>800</v>
      </c>
      <c r="C89" s="15">
        <v>800</v>
      </c>
      <c r="D89" s="6" t="s">
        <v>247</v>
      </c>
      <c r="E89" s="41"/>
      <c r="F89" s="11"/>
    </row>
    <row r="90" spans="1:6" ht="15.75" customHeight="1" x14ac:dyDescent="0.25">
      <c r="A90" s="5" t="s">
        <v>248</v>
      </c>
      <c r="B90" s="15">
        <v>700</v>
      </c>
      <c r="C90" s="15">
        <v>700</v>
      </c>
      <c r="D90" s="6" t="s">
        <v>249</v>
      </c>
      <c r="E90" s="23"/>
      <c r="F90" s="11"/>
    </row>
    <row r="91" spans="1:6" ht="15.75" customHeight="1" x14ac:dyDescent="0.25">
      <c r="A91" s="24" t="s">
        <v>210</v>
      </c>
      <c r="B91" s="24"/>
      <c r="C91" s="24"/>
      <c r="D91" s="24"/>
      <c r="E91" s="24"/>
      <c r="F91" s="24"/>
    </row>
    <row r="92" spans="1:6" x14ac:dyDescent="0.25">
      <c r="A92" s="5" t="s">
        <v>211</v>
      </c>
      <c r="B92" s="15">
        <v>2588</v>
      </c>
      <c r="C92" s="15">
        <v>2588</v>
      </c>
      <c r="D92" s="6" t="s">
        <v>212</v>
      </c>
      <c r="E92" s="36" t="s">
        <v>213</v>
      </c>
      <c r="F92" s="37" t="s">
        <v>214</v>
      </c>
    </row>
    <row r="93" spans="1:6" x14ac:dyDescent="0.25">
      <c r="A93" s="5" t="s">
        <v>206</v>
      </c>
      <c r="B93" s="15">
        <v>2899</v>
      </c>
      <c r="C93" s="15">
        <v>2899</v>
      </c>
      <c r="D93" s="6" t="s">
        <v>207</v>
      </c>
      <c r="E93" s="36"/>
      <c r="F93" s="37"/>
    </row>
    <row r="94" spans="1:6" x14ac:dyDescent="0.25">
      <c r="A94" s="5" t="s">
        <v>208</v>
      </c>
      <c r="B94" s="15">
        <v>4234</v>
      </c>
      <c r="C94" s="15">
        <v>4234</v>
      </c>
      <c r="D94" s="6" t="s">
        <v>209</v>
      </c>
      <c r="E94" s="36"/>
      <c r="F94" s="37"/>
    </row>
    <row r="95" spans="1:6" x14ac:dyDescent="0.25">
      <c r="A95" s="24" t="s">
        <v>230</v>
      </c>
      <c r="B95" s="24"/>
      <c r="C95" s="24"/>
      <c r="D95" s="24"/>
      <c r="E95" s="24"/>
      <c r="F95" s="24"/>
    </row>
    <row r="96" spans="1:6" x14ac:dyDescent="0.25">
      <c r="A96" s="5" t="s">
        <v>231</v>
      </c>
      <c r="B96" s="15">
        <v>895</v>
      </c>
      <c r="C96" s="15">
        <v>895</v>
      </c>
      <c r="D96" s="6" t="s">
        <v>232</v>
      </c>
      <c r="E96" s="21"/>
      <c r="F96" s="11"/>
    </row>
    <row r="97" spans="1:6" x14ac:dyDescent="0.25">
      <c r="A97" s="24" t="s">
        <v>24</v>
      </c>
      <c r="B97" s="24"/>
      <c r="C97" s="24"/>
      <c r="D97" s="24"/>
      <c r="E97" s="24"/>
      <c r="F97" s="24"/>
    </row>
    <row r="98" spans="1:6" ht="30" x14ac:dyDescent="0.25">
      <c r="A98" s="5" t="s">
        <v>136</v>
      </c>
      <c r="B98" s="15">
        <v>6792</v>
      </c>
      <c r="C98" s="15">
        <v>6792</v>
      </c>
      <c r="D98" s="6" t="s">
        <v>137</v>
      </c>
      <c r="E98" s="3" t="s">
        <v>138</v>
      </c>
      <c r="F98" s="11"/>
    </row>
    <row r="99" spans="1:6" ht="30" x14ac:dyDescent="0.25">
      <c r="A99" s="5" t="s">
        <v>134</v>
      </c>
      <c r="B99" s="15">
        <v>854</v>
      </c>
      <c r="C99" s="15">
        <v>854</v>
      </c>
      <c r="D99" s="6" t="s">
        <v>242</v>
      </c>
      <c r="E99" s="22" t="s">
        <v>185</v>
      </c>
      <c r="F99" s="11"/>
    </row>
    <row r="100" spans="1:6" x14ac:dyDescent="0.25">
      <c r="A100" s="5" t="s">
        <v>233</v>
      </c>
      <c r="B100" s="15">
        <v>1498</v>
      </c>
      <c r="C100" s="15">
        <v>1498</v>
      </c>
      <c r="D100" s="6" t="s">
        <v>234</v>
      </c>
      <c r="E100" s="22"/>
      <c r="F100" s="11"/>
    </row>
    <row r="101" spans="1:6" x14ac:dyDescent="0.25">
      <c r="A101" s="5" t="s">
        <v>235</v>
      </c>
      <c r="B101" s="15">
        <v>4342</v>
      </c>
      <c r="C101" s="15">
        <v>4342</v>
      </c>
      <c r="D101" s="6" t="s">
        <v>236</v>
      </c>
      <c r="E101" s="22"/>
      <c r="F101" s="11"/>
    </row>
    <row r="102" spans="1:6" ht="75" x14ac:dyDescent="0.25">
      <c r="A102" s="5" t="s">
        <v>25</v>
      </c>
      <c r="B102" s="15">
        <v>1954</v>
      </c>
      <c r="C102" s="15">
        <v>1954</v>
      </c>
      <c r="D102" s="6" t="s">
        <v>52</v>
      </c>
      <c r="E102" s="3" t="s">
        <v>34</v>
      </c>
      <c r="F102" s="11" t="s">
        <v>61</v>
      </c>
    </row>
    <row r="103" spans="1:6" x14ac:dyDescent="0.25">
      <c r="A103" s="5" t="s">
        <v>237</v>
      </c>
      <c r="B103" s="15">
        <v>336</v>
      </c>
      <c r="C103" s="15">
        <v>336</v>
      </c>
      <c r="D103" s="6" t="s">
        <v>238</v>
      </c>
      <c r="E103" s="3"/>
      <c r="F103" s="11"/>
    </row>
    <row r="104" spans="1:6" ht="30" x14ac:dyDescent="0.25">
      <c r="A104" s="5" t="s">
        <v>239</v>
      </c>
      <c r="B104" s="15">
        <v>706</v>
      </c>
      <c r="C104" s="15">
        <v>706</v>
      </c>
      <c r="D104" s="6" t="s">
        <v>240</v>
      </c>
      <c r="E104" s="3" t="s">
        <v>252</v>
      </c>
      <c r="F104" s="11"/>
    </row>
    <row r="105" spans="1:6" x14ac:dyDescent="0.25">
      <c r="A105" s="5" t="s">
        <v>217</v>
      </c>
      <c r="B105" s="15">
        <v>2860</v>
      </c>
      <c r="C105" s="15">
        <v>0</v>
      </c>
      <c r="D105" s="6" t="s">
        <v>65</v>
      </c>
      <c r="E105" s="3" t="s">
        <v>71</v>
      </c>
      <c r="F105" s="32" t="s">
        <v>133</v>
      </c>
    </row>
    <row r="106" spans="1:6" x14ac:dyDescent="0.25">
      <c r="A106" s="5" t="s">
        <v>218</v>
      </c>
      <c r="B106" s="15">
        <v>2934</v>
      </c>
      <c r="C106" s="15">
        <v>2934</v>
      </c>
      <c r="D106" s="6" t="s">
        <v>66</v>
      </c>
      <c r="E106" s="3" t="s">
        <v>71</v>
      </c>
      <c r="F106" s="32"/>
    </row>
    <row r="107" spans="1:6" x14ac:dyDescent="0.25">
      <c r="A107" s="5" t="s">
        <v>219</v>
      </c>
      <c r="B107" s="15">
        <v>2921</v>
      </c>
      <c r="C107" s="15">
        <v>0</v>
      </c>
      <c r="D107" s="6" t="s">
        <v>67</v>
      </c>
      <c r="E107" s="3" t="s">
        <v>71</v>
      </c>
      <c r="F107" s="32"/>
    </row>
    <row r="108" spans="1:6" x14ac:dyDescent="0.25">
      <c r="A108" s="5" t="s">
        <v>220</v>
      </c>
      <c r="B108" s="15">
        <v>1863</v>
      </c>
      <c r="C108" s="15">
        <v>0</v>
      </c>
      <c r="D108" s="6" t="s">
        <v>68</v>
      </c>
      <c r="E108" s="3" t="s">
        <v>71</v>
      </c>
      <c r="F108" s="32" t="s">
        <v>133</v>
      </c>
    </row>
    <row r="109" spans="1:6" x14ac:dyDescent="0.25">
      <c r="A109" s="5" t="s">
        <v>221</v>
      </c>
      <c r="B109" s="15">
        <v>1986</v>
      </c>
      <c r="C109" s="15">
        <v>0</v>
      </c>
      <c r="D109" s="6" t="s">
        <v>69</v>
      </c>
      <c r="E109" s="3" t="s">
        <v>71</v>
      </c>
      <c r="F109" s="32"/>
    </row>
    <row r="110" spans="1:6" x14ac:dyDescent="0.25">
      <c r="A110" s="5" t="s">
        <v>222</v>
      </c>
      <c r="B110" s="15">
        <v>2011</v>
      </c>
      <c r="C110" s="15">
        <v>2011</v>
      </c>
      <c r="D110" s="6" t="s">
        <v>70</v>
      </c>
      <c r="E110" s="3" t="s">
        <v>71</v>
      </c>
      <c r="F110" s="32"/>
    </row>
    <row r="111" spans="1:6" ht="105" x14ac:dyDescent="0.25">
      <c r="A111" s="5" t="s">
        <v>223</v>
      </c>
      <c r="B111" s="15">
        <v>1124</v>
      </c>
      <c r="C111" s="15">
        <v>1124</v>
      </c>
      <c r="D111" s="6" t="s">
        <v>139</v>
      </c>
      <c r="E111" s="3" t="s">
        <v>71</v>
      </c>
      <c r="F111" s="31" t="s">
        <v>140</v>
      </c>
    </row>
    <row r="113" spans="1:3" x14ac:dyDescent="0.25">
      <c r="A113" s="10" t="s">
        <v>57</v>
      </c>
      <c r="B113" s="16">
        <f>SUM(B12:B17,B19:B20,B22:B26,B28:B32,B34:B40,B42:B44,B46:B53,B55:B63,B65:B68,B70:B72,B74:B78,B80,B82:B84,B86,B92:B94,B98:B111,B96,B88:B90)</f>
        <v>286534</v>
      </c>
      <c r="C113" s="16">
        <f>SUM(C12:C17,C22:C26,C28:C32,C34:C40,C42:C44,C55:C63,C65:C68,C70:C72,C74:C78,C80,C82:C84,C86:C86,C92:C94,C98:C111,C46:C53,C19:C20,C96,C88:C90)</f>
        <v>273792</v>
      </c>
    </row>
    <row r="114" spans="1:3" ht="26.45" customHeight="1" x14ac:dyDescent="0.25"/>
    <row r="115" spans="1:3" x14ac:dyDescent="0.25">
      <c r="A115" s="10" t="s">
        <v>60</v>
      </c>
      <c r="B115" s="16">
        <f>B113+B8</f>
        <v>302812</v>
      </c>
      <c r="C115" s="16">
        <f>C113+C8</f>
        <v>290070</v>
      </c>
    </row>
    <row r="117" spans="1:3" ht="24" customHeight="1" x14ac:dyDescent="0.25"/>
    <row r="124" spans="1:3" ht="22.5" customHeight="1" x14ac:dyDescent="0.25"/>
    <row r="125" spans="1:3" ht="19.5" customHeight="1" x14ac:dyDescent="0.25"/>
    <row r="126" spans="1:3" ht="31.5" customHeight="1" x14ac:dyDescent="0.25"/>
    <row r="127" spans="1:3" ht="18.600000000000001" customHeight="1" x14ac:dyDescent="0.25"/>
    <row r="128" spans="1:3" ht="18.95" customHeight="1" x14ac:dyDescent="0.25"/>
    <row r="131" ht="60" customHeight="1" x14ac:dyDescent="0.25"/>
  </sheetData>
  <mergeCells count="16">
    <mergeCell ref="F105:F107"/>
    <mergeCell ref="F108:F110"/>
    <mergeCell ref="F74:F78"/>
    <mergeCell ref="A11:F11"/>
    <mergeCell ref="A21:F21"/>
    <mergeCell ref="A54:F54"/>
    <mergeCell ref="A27:F27"/>
    <mergeCell ref="A33:F33"/>
    <mergeCell ref="A41:F41"/>
    <mergeCell ref="A45:F45"/>
    <mergeCell ref="E74:E78"/>
    <mergeCell ref="A18:F18"/>
    <mergeCell ref="E92:E94"/>
    <mergeCell ref="F92:F94"/>
    <mergeCell ref="E16:E17"/>
    <mergeCell ref="E88:E89"/>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Лист1!bugnotes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Ольга Салова</dc:creator>
  <cp:lastModifiedBy>Максим Дёмин</cp:lastModifiedBy>
  <dcterms:created xsi:type="dcterms:W3CDTF">2019-08-19T01:44:28Z</dcterms:created>
  <dcterms:modified xsi:type="dcterms:W3CDTF">2022-06-30T10:43:31Z</dcterms:modified>
</cp:coreProperties>
</file>