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18" r:id="rId7"/>
    <sheet name="Scarab Gem Covered" sheetId="19" r:id="rId8"/>
    <sheet name="Standard Mummy" sheetId="20" r:id="rId9"/>
    <sheet name="Mummy A" sheetId="21" r:id="rId10"/>
    <sheet name="Mummy B" sheetId="22" r:id="rId11"/>
    <sheet name="Mummy C" sheetId="23" r:id="rId12"/>
    <sheet name="Pharaoh A" sheetId="24" r:id="rId13"/>
    <sheet name="Pharaoh B" sheetId="25" r:id="rId14"/>
    <sheet name="HV Scarab" sheetId="26" r:id="rId15"/>
    <sheet name="HV enemy" sheetId="27" r:id="rId16"/>
  </sheets>
  <externalReferences>
    <externalReference r:id="rId17"/>
  </externalReferences>
  <calcPr calcId="124519"/>
</workbook>
</file>

<file path=xl/calcChain.xml><?xml version="1.0" encoding="utf-8"?>
<calcChain xmlns="http://schemas.openxmlformats.org/spreadsheetml/2006/main">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8" i="1"/>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1" i="1"/>
  <c r="H51"/>
  <c r="E51"/>
  <c r="B51"/>
  <c r="K50"/>
  <c r="H50"/>
  <c r="E50"/>
  <c r="B50"/>
  <c r="K49"/>
  <c r="H49"/>
  <c r="E49"/>
  <c r="B49"/>
  <c r="K48"/>
  <c r="H48"/>
  <c r="E48"/>
  <c r="B48"/>
  <c r="K47"/>
  <c r="H47"/>
  <c r="E47"/>
  <c r="B47"/>
  <c r="K46"/>
  <c r="H46"/>
  <c r="E46"/>
  <c r="B46"/>
  <c r="K45"/>
  <c r="H45"/>
  <c r="E45"/>
  <c r="B45"/>
  <c r="K40"/>
  <c r="H40"/>
  <c r="E40"/>
  <c r="B40"/>
  <c r="K39"/>
  <c r="H39"/>
  <c r="E39"/>
  <c r="B39"/>
  <c r="K38"/>
  <c r="H38"/>
  <c r="E38"/>
  <c r="B38"/>
  <c r="K37"/>
  <c r="H37"/>
  <c r="E37"/>
  <c r="B37"/>
  <c r="K36"/>
  <c r="H36"/>
  <c r="E36"/>
  <c r="B36"/>
  <c r="K35"/>
  <c r="H35"/>
  <c r="E35"/>
  <c r="B35"/>
  <c r="K34"/>
  <c r="H34"/>
  <c r="E34"/>
  <c r="B34"/>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29" i="1"/>
  <c r="E29"/>
  <c r="B29"/>
  <c r="H28"/>
  <c r="E28"/>
  <c r="B28"/>
  <c r="H27"/>
  <c r="E27"/>
  <c r="B27"/>
  <c r="H26"/>
  <c r="E26"/>
  <c r="B26"/>
  <c r="H25"/>
  <c r="E25"/>
  <c r="B25"/>
  <c r="H24"/>
  <c r="E24"/>
  <c r="B24"/>
  <c r="H23"/>
  <c r="E23"/>
  <c r="B23"/>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Y6" i="27" l="1"/>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CJ10" i="27" l="1"/>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M23" s="1"/>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4" i="1"/>
  <c r="J8"/>
  <c r="D7"/>
  <c r="B7"/>
  <c r="AT3" i="18" l="1"/>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I51" s="1"/>
  <c r="M13"/>
  <c r="M16"/>
  <c r="T19"/>
  <c r="M28"/>
  <c r="M31"/>
  <c r="M46"/>
  <c r="D23" i="2"/>
  <c r="D27"/>
  <c r="D26"/>
  <c r="D21"/>
  <c r="D28"/>
  <c r="C34"/>
  <c r="D34" s="1"/>
  <c r="D32"/>
  <c r="C40"/>
  <c r="C39"/>
  <c r="D38" s="1"/>
  <c r="O18" i="4"/>
  <c r="Y18"/>
  <c r="F67"/>
  <c r="F56"/>
  <c r="G33"/>
  <c r="CI3" i="18" l="1"/>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2" s="1"/>
  <c r="K8"/>
  <c r="H8" s="1"/>
  <c r="H12"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<sst xmlns="http://schemas.openxmlformats.org/spreadsheetml/2006/main" count="2120" uniqueCount="180">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</sst>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s>
  <cellStyleXfs count="2">
    <xf numFmtId="0" fontId="0" fillId="0" borderId="0"/>
    <xf numFmtId="9" fontId="11" fillId="0" borderId="0" applyBorder="0" applyProtection="0"/>
  </cellStyleXfs>
  <cellXfs count="101">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1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cellXfs>
  <cellStyles count="2">
    <cellStyle name="Normal" xfId="0" builtinId="0"/>
    <cellStyle name="Porcentual" xfId="1" builtinId="5"/>
  </cellStyles>
  <dxfs count="0"/>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sheetPr codeName="Hoja18"/>
  <dimension ref="A1:K53"/>
  <sheetViews>
    <sheetView tabSelected="1" workbookViewId="0"/>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0.17015854074326628</v>
      </c>
      <c r="C8" s="3">
        <v>700</v>
      </c>
      <c r="D8" s="3">
        <f>1/C8</f>
        <v>1.4285714285714286E-3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172</v>
      </c>
      <c r="B10" s="91">
        <f>1/C10*E10</f>
        <v>0.03</v>
      </c>
      <c r="C10" s="88">
        <f>1/D10</f>
        <v>666.66666666666663</v>
      </c>
      <c r="D10" s="3">
        <v>1.5E-3</v>
      </c>
      <c r="E10" s="3">
        <v>20</v>
      </c>
      <c r="G10" s="58" t="s">
        <v>172</v>
      </c>
      <c r="H10" s="87">
        <f>1/I10*K10</f>
        <v>0.03</v>
      </c>
      <c r="I10" s="88">
        <f>1/J10</f>
        <v>666.66666666666663</v>
      </c>
      <c r="J10" s="3">
        <v>1.5E-3</v>
      </c>
      <c r="K10" s="3">
        <v>20</v>
      </c>
    </row>
    <row r="11" spans="1:11">
      <c r="A11" s="3" t="s">
        <v>12</v>
      </c>
      <c r="B11" s="5">
        <v>0</v>
      </c>
      <c r="C11" s="3"/>
      <c r="D11" s="3"/>
      <c r="E11" s="3"/>
      <c r="G11" s="3" t="s">
        <v>12</v>
      </c>
      <c r="H11" s="5">
        <v>0</v>
      </c>
      <c r="I11" s="3"/>
      <c r="J11" s="3"/>
      <c r="K11" s="3"/>
    </row>
    <row r="12" spans="1:11">
      <c r="A12" s="2" t="s">
        <v>13</v>
      </c>
      <c r="B12" s="7">
        <f>+SUM(B6:B11)</f>
        <v>0.97515854074326636</v>
      </c>
      <c r="C12" s="2"/>
      <c r="D12" s="2"/>
      <c r="E12" s="2"/>
      <c r="G12" s="2" t="s">
        <v>13</v>
      </c>
      <c r="H12" s="7">
        <f>+SUM(H6:H11)</f>
        <v>0.97509292181470841</v>
      </c>
      <c r="I12" s="2"/>
      <c r="J12" s="2"/>
      <c r="K12" s="2"/>
    </row>
    <row r="13" spans="1:11">
      <c r="A13" s="8" t="s">
        <v>14</v>
      </c>
    </row>
    <row r="14" spans="1:11">
      <c r="A14" s="9" t="str">
        <f>+CONCATENATE("Boss Prize: ", E7, "x to be distributed between players according to total bet during triggering round")</f>
        <v>Boss Prize: 100x to be distributed between players according to total bet during triggering round</v>
      </c>
    </row>
    <row r="15" spans="1:11">
      <c r="A15" s="9"/>
    </row>
    <row r="16" spans="1:11">
      <c r="A16" s="9" t="s">
        <v>179</v>
      </c>
    </row>
    <row r="17" spans="1:10">
      <c r="A17" s="9"/>
    </row>
    <row r="18" spans="1:10">
      <c r="A18" s="10" t="s">
        <v>15</v>
      </c>
    </row>
    <row r="19" spans="1:10">
      <c r="A19" s="10"/>
    </row>
    <row r="20" spans="1:10">
      <c r="A20" s="10"/>
    </row>
    <row r="21" spans="1:10">
      <c r="A21" s="1" t="s">
        <v>16</v>
      </c>
      <c r="D21" s="1" t="s">
        <v>17</v>
      </c>
      <c r="G21" s="1" t="s">
        <v>18</v>
      </c>
    </row>
    <row r="22" spans="1:10">
      <c r="A22" s="2" t="s">
        <v>19</v>
      </c>
      <c r="B22" s="2" t="s">
        <v>20</v>
      </c>
      <c r="D22" s="2" t="s">
        <v>19</v>
      </c>
      <c r="E22" s="2" t="s">
        <v>20</v>
      </c>
      <c r="G22" s="2" t="s">
        <v>19</v>
      </c>
      <c r="H22" s="2" t="s">
        <v>20</v>
      </c>
    </row>
    <row r="23" spans="1:10">
      <c r="A23" s="3">
        <v>1</v>
      </c>
      <c r="B23" s="11">
        <f>+'Scarab Black'!$J3</f>
        <v>2</v>
      </c>
      <c r="D23" s="3">
        <v>1</v>
      </c>
      <c r="E23" s="11">
        <f>+'Scarab Gold'!$J3</f>
        <v>2</v>
      </c>
      <c r="G23" s="3">
        <v>1</v>
      </c>
      <c r="H23" s="11">
        <f>+'Scarab Gem Covered'!$J3</f>
        <v>3</v>
      </c>
    </row>
    <row r="24" spans="1:10">
      <c r="A24" s="3">
        <v>2</v>
      </c>
      <c r="B24" s="11">
        <f>+'Scarab Black'!$J4</f>
        <v>3</v>
      </c>
      <c r="D24" s="3">
        <v>2</v>
      </c>
      <c r="E24" s="11">
        <f>+'Scarab Gold'!$J4</f>
        <v>3</v>
      </c>
      <c r="G24" s="3">
        <v>2</v>
      </c>
      <c r="H24" s="11">
        <f>+'Scarab Gem Covered'!$J4</f>
        <v>4</v>
      </c>
    </row>
    <row r="25" spans="1:10">
      <c r="A25" s="3">
        <v>3</v>
      </c>
      <c r="B25" s="11">
        <f>+'Scarab Black'!$J5</f>
        <v>5</v>
      </c>
      <c r="D25" s="3">
        <v>3</v>
      </c>
      <c r="E25" s="11">
        <f>+'Scarab Gold'!$J5</f>
        <v>5</v>
      </c>
      <c r="G25" s="3">
        <v>3</v>
      </c>
      <c r="H25" s="11">
        <f>+'Scarab Gem Covered'!$J5</f>
        <v>6</v>
      </c>
    </row>
    <row r="26" spans="1:10">
      <c r="A26" s="3">
        <v>4</v>
      </c>
      <c r="B26" s="11">
        <f>+'Scarab Black'!$J6</f>
        <v>7</v>
      </c>
      <c r="D26" s="3">
        <v>4</v>
      </c>
      <c r="E26" s="11">
        <f>+'Scarab Gold'!$J6</f>
        <v>7</v>
      </c>
      <c r="G26" s="3">
        <v>4</v>
      </c>
      <c r="H26" s="11">
        <f>+'Scarab Gem Covered'!$J6</f>
        <v>8</v>
      </c>
    </row>
    <row r="27" spans="1:10">
      <c r="A27" s="3">
        <v>5</v>
      </c>
      <c r="B27" s="11">
        <f>+'Scarab Black'!$J7</f>
        <v>10</v>
      </c>
      <c r="D27" s="3">
        <v>5</v>
      </c>
      <c r="E27" s="11">
        <f>+'Scarab Gold'!$J7</f>
        <v>10</v>
      </c>
      <c r="G27" s="3">
        <v>5</v>
      </c>
      <c r="H27" s="11">
        <f>+'Scarab Gem Covered'!$J7</f>
        <v>12</v>
      </c>
    </row>
    <row r="28" spans="1:10">
      <c r="A28" s="3">
        <v>6</v>
      </c>
      <c r="B28" s="11">
        <f>+'Scarab Black'!$J8</f>
        <v>20</v>
      </c>
      <c r="D28" s="3">
        <v>6</v>
      </c>
      <c r="E28" s="11">
        <f>+'Scarab Gold'!$J8</f>
        <v>20</v>
      </c>
      <c r="G28" s="3">
        <v>6</v>
      </c>
      <c r="H28" s="11">
        <f>+'Scarab Gem Covered'!$J8</f>
        <v>25</v>
      </c>
    </row>
    <row r="29" spans="1:10">
      <c r="A29" s="3">
        <v>7</v>
      </c>
      <c r="B29" s="11">
        <f>+'Scarab Black'!$J9</f>
        <v>50</v>
      </c>
      <c r="D29" s="3">
        <v>7</v>
      </c>
      <c r="E29" s="11">
        <f>+'Scarab Gold'!$J9</f>
        <v>50</v>
      </c>
      <c r="G29" s="3">
        <v>7</v>
      </c>
      <c r="H29" s="11">
        <f>+'Scarab Gem Covered'!$J9</f>
        <v>60</v>
      </c>
    </row>
    <row r="30" spans="1:10">
      <c r="A30" s="12"/>
      <c r="B30" s="13"/>
      <c r="D30" s="12"/>
      <c r="E30" s="13"/>
      <c r="G30" s="12"/>
      <c r="H30" s="13"/>
    </row>
    <row r="31" spans="1:10">
      <c r="A31" s="12"/>
      <c r="B31" s="13"/>
      <c r="D31" s="12"/>
      <c r="E31" s="13"/>
      <c r="G31" s="12"/>
      <c r="H31" s="13"/>
    </row>
    <row r="32" spans="1:10">
      <c r="A32" s="1" t="s">
        <v>21</v>
      </c>
      <c r="D32" s="1" t="s">
        <v>22</v>
      </c>
      <c r="G32" s="1" t="s">
        <v>23</v>
      </c>
      <c r="J32" s="1" t="s">
        <v>24</v>
      </c>
    </row>
    <row r="33" spans="1:11">
      <c r="A33" s="2" t="s">
        <v>25</v>
      </c>
      <c r="B33" s="2" t="s">
        <v>20</v>
      </c>
      <c r="D33" s="2" t="s">
        <v>19</v>
      </c>
      <c r="E33" s="2" t="s">
        <v>20</v>
      </c>
      <c r="G33" s="2" t="s">
        <v>19</v>
      </c>
      <c r="H33" s="2" t="s">
        <v>20</v>
      </c>
      <c r="J33" s="2" t="s">
        <v>19</v>
      </c>
      <c r="K33" s="2" t="s">
        <v>20</v>
      </c>
    </row>
    <row r="34" spans="1:11">
      <c r="A34" s="3">
        <v>1</v>
      </c>
      <c r="B34" s="11">
        <f>+'[1]Standard Mummy'!$J3</f>
        <v>5</v>
      </c>
      <c r="D34" s="3">
        <v>1</v>
      </c>
      <c r="E34" s="11">
        <f>+'[1]Mummy A'!$J3</f>
        <v>5</v>
      </c>
      <c r="G34" s="3">
        <v>1</v>
      </c>
      <c r="H34" s="11">
        <f>+'[1]Mummy B'!$J3</f>
        <v>5</v>
      </c>
      <c r="J34" s="3">
        <v>1</v>
      </c>
      <c r="K34" s="11">
        <f>+'[1]Mummy C'!$J3</f>
        <v>7</v>
      </c>
    </row>
    <row r="35" spans="1:11">
      <c r="A35" s="3">
        <v>2</v>
      </c>
      <c r="B35" s="11">
        <f>+'[1]Standard Mummy'!$J4</f>
        <v>7</v>
      </c>
      <c r="D35" s="3">
        <v>2</v>
      </c>
      <c r="E35" s="11">
        <f>+'[1]Mummy A'!$J4</f>
        <v>7</v>
      </c>
      <c r="G35" s="3">
        <v>2</v>
      </c>
      <c r="H35" s="11">
        <f>+'[1]Mummy B'!$J4</f>
        <v>7</v>
      </c>
      <c r="J35" s="3">
        <v>2</v>
      </c>
      <c r="K35" s="11">
        <f>+'[1]Mummy C'!$J4</f>
        <v>10</v>
      </c>
    </row>
    <row r="36" spans="1:11">
      <c r="A36" s="3">
        <v>3</v>
      </c>
      <c r="B36" s="11">
        <f>+'[1]Standard Mummy'!$J5</f>
        <v>10</v>
      </c>
      <c r="D36" s="3">
        <v>3</v>
      </c>
      <c r="E36" s="11">
        <f>+'[1]Mummy A'!$J5</f>
        <v>10</v>
      </c>
      <c r="G36" s="3">
        <v>3</v>
      </c>
      <c r="H36" s="11">
        <f>+'[1]Mummy B'!$J5</f>
        <v>10</v>
      </c>
      <c r="J36" s="3">
        <v>3</v>
      </c>
      <c r="K36" s="11">
        <f>+'[1]Mummy C'!$J5</f>
        <v>15</v>
      </c>
    </row>
    <row r="37" spans="1:11">
      <c r="A37" s="3">
        <v>4</v>
      </c>
      <c r="B37" s="11">
        <f>+'[1]Standard Mummy'!$J6</f>
        <v>15</v>
      </c>
      <c r="D37" s="3">
        <v>4</v>
      </c>
      <c r="E37" s="11">
        <f>+'[1]Mummy A'!$J6</f>
        <v>15</v>
      </c>
      <c r="F37" s="1"/>
      <c r="G37" s="3">
        <v>4</v>
      </c>
      <c r="H37" s="11">
        <f>+'[1]Mummy B'!$J6</f>
        <v>15</v>
      </c>
      <c r="I37" s="1"/>
      <c r="J37" s="3">
        <v>4</v>
      </c>
      <c r="K37" s="11">
        <f>+'[1]Mummy C'!$J6</f>
        <v>20</v>
      </c>
    </row>
    <row r="38" spans="1:11">
      <c r="A38" s="3">
        <v>5</v>
      </c>
      <c r="B38" s="11">
        <f>+'[1]Standard Mummy'!$J7</f>
        <v>25</v>
      </c>
      <c r="D38" s="3">
        <v>5</v>
      </c>
      <c r="E38" s="11">
        <f>+'[1]Mummy A'!$J7</f>
        <v>25</v>
      </c>
      <c r="F38" s="1"/>
      <c r="G38" s="3">
        <v>5</v>
      </c>
      <c r="H38" s="11">
        <f>+'[1]Mummy B'!$J7</f>
        <v>25</v>
      </c>
      <c r="I38" s="1"/>
      <c r="J38" s="3">
        <v>5</v>
      </c>
      <c r="K38" s="11">
        <f>+'[1]Mummy C'!$J7</f>
        <v>40</v>
      </c>
    </row>
    <row r="39" spans="1:11">
      <c r="A39" s="3">
        <v>6</v>
      </c>
      <c r="B39" s="11">
        <f>+'[1]Standard Mummy'!$J8</f>
        <v>50</v>
      </c>
      <c r="D39" s="3">
        <v>6</v>
      </c>
      <c r="E39" s="11">
        <f>+'[1]Mummy A'!$J8</f>
        <v>50</v>
      </c>
      <c r="F39" s="1"/>
      <c r="G39" s="3">
        <v>6</v>
      </c>
      <c r="H39" s="11">
        <f>+'[1]Mummy B'!$J8</f>
        <v>50</v>
      </c>
      <c r="I39" s="1"/>
      <c r="J39" s="3">
        <v>6</v>
      </c>
      <c r="K39" s="11">
        <f>+'[1]Mummy C'!$J8</f>
        <v>75</v>
      </c>
    </row>
    <row r="40" spans="1:11">
      <c r="A40" s="3">
        <v>7</v>
      </c>
      <c r="B40" s="11">
        <f>+'[1]Standard Mummy'!$J9</f>
        <v>100</v>
      </c>
      <c r="D40" s="3">
        <v>7</v>
      </c>
      <c r="E40" s="11">
        <f>+'[1]Mummy A'!$J9</f>
        <v>100</v>
      </c>
      <c r="F40" s="1"/>
      <c r="G40" s="3">
        <v>7</v>
      </c>
      <c r="H40" s="11">
        <f>+'[1]Mummy B'!$J9</f>
        <v>100</v>
      </c>
      <c r="I40" s="1"/>
      <c r="J40" s="3">
        <v>7</v>
      </c>
      <c r="K40" s="11">
        <f>+'[1]Mummy C'!$J9</f>
        <v>150</v>
      </c>
    </row>
    <row r="41" spans="1:11">
      <c r="A41" s="12"/>
      <c r="B41" s="13"/>
      <c r="D41" s="12"/>
      <c r="E41" s="13"/>
      <c r="F41" s="1"/>
    </row>
    <row r="43" spans="1:11">
      <c r="A43" s="1" t="s">
        <v>26</v>
      </c>
      <c r="D43" s="1" t="s">
        <v>27</v>
      </c>
      <c r="G43" s="1" t="s">
        <v>28</v>
      </c>
      <c r="J43" s="1" t="s">
        <v>29</v>
      </c>
    </row>
    <row r="44" spans="1:11">
      <c r="A44" s="2" t="s">
        <v>19</v>
      </c>
      <c r="B44" s="2" t="s">
        <v>20</v>
      </c>
      <c r="D44" s="2" t="s">
        <v>19</v>
      </c>
      <c r="E44" s="2" t="s">
        <v>20</v>
      </c>
      <c r="G44" s="2" t="s">
        <v>19</v>
      </c>
      <c r="H44" s="2" t="s">
        <v>20</v>
      </c>
      <c r="J44" s="2" t="s">
        <v>19</v>
      </c>
      <c r="K44" s="2" t="s">
        <v>20</v>
      </c>
    </row>
    <row r="45" spans="1:11">
      <c r="A45" s="3">
        <v>1</v>
      </c>
      <c r="B45" s="11">
        <f>+'[1]Pharaoh A'!$J3</f>
        <v>10</v>
      </c>
      <c r="D45" s="3">
        <v>1</v>
      </c>
      <c r="E45" s="11">
        <f>+'[1]Pharaoh B'!$J3</f>
        <v>10</v>
      </c>
      <c r="G45" s="3">
        <v>1</v>
      </c>
      <c r="H45" s="11">
        <f>+'[1]HV Scarab'!$J3</f>
        <v>50</v>
      </c>
      <c r="J45" s="3">
        <v>1</v>
      </c>
      <c r="K45" s="11">
        <f>+'[1]HV enemy'!$J3</f>
        <v>75</v>
      </c>
    </row>
    <row r="46" spans="1:11">
      <c r="A46" s="3">
        <v>2</v>
      </c>
      <c r="B46" s="11">
        <f>+'[1]Pharaoh A'!$J4</f>
        <v>15</v>
      </c>
      <c r="D46" s="3">
        <v>2</v>
      </c>
      <c r="E46" s="11">
        <f>+'[1]Pharaoh B'!$J4</f>
        <v>15</v>
      </c>
      <c r="G46" s="3">
        <v>2</v>
      </c>
      <c r="H46" s="11">
        <f>+'[1]HV Scarab'!$J4</f>
        <v>100</v>
      </c>
      <c r="J46" s="3">
        <v>2</v>
      </c>
      <c r="K46" s="11">
        <f>+'[1]HV enemy'!$J4</f>
        <v>150</v>
      </c>
    </row>
    <row r="47" spans="1:11">
      <c r="A47" s="3">
        <v>3</v>
      </c>
      <c r="B47" s="11">
        <f>+'[1]Pharaoh A'!$J5</f>
        <v>20</v>
      </c>
      <c r="D47" s="3">
        <v>3</v>
      </c>
      <c r="E47" s="11">
        <f>+'[1]Pharaoh B'!$J5</f>
        <v>20</v>
      </c>
      <c r="G47" s="3">
        <v>3</v>
      </c>
      <c r="H47" s="11">
        <f>+'[1]HV Scarab'!$J5</f>
        <v>200</v>
      </c>
      <c r="J47" s="3">
        <v>3</v>
      </c>
      <c r="K47" s="11">
        <f>+'[1]HV enemy'!$J5</f>
        <v>300</v>
      </c>
    </row>
    <row r="48" spans="1:11">
      <c r="A48" s="3">
        <v>4</v>
      </c>
      <c r="B48" s="11">
        <f>+'[1]Pharaoh A'!$J6</f>
        <v>40</v>
      </c>
      <c r="D48" s="3">
        <v>4</v>
      </c>
      <c r="E48" s="11">
        <f>+'[1]Pharaoh B'!$J6</f>
        <v>40</v>
      </c>
      <c r="G48" s="3">
        <v>4</v>
      </c>
      <c r="H48" s="11">
        <f>+'[1]HV Scarab'!$J6</f>
        <v>500</v>
      </c>
      <c r="J48" s="3">
        <v>4</v>
      </c>
      <c r="K48" s="11">
        <f>+'[1]HV enemy'!$J6</f>
        <v>500</v>
      </c>
    </row>
    <row r="49" spans="1:11">
      <c r="A49" s="3">
        <v>5</v>
      </c>
      <c r="B49" s="11">
        <f>+'[1]Pharaoh A'!$J7</f>
        <v>75</v>
      </c>
      <c r="D49" s="3">
        <v>5</v>
      </c>
      <c r="E49" s="11">
        <f>+'[1]Pharaoh B'!$J7</f>
        <v>75</v>
      </c>
      <c r="G49" s="3">
        <v>5</v>
      </c>
      <c r="H49" s="11">
        <f>+'[1]HV Scarab'!$J7</f>
        <v>750</v>
      </c>
      <c r="J49" s="3">
        <v>5</v>
      </c>
      <c r="K49" s="11">
        <f>+'[1]HV enemy'!$J7</f>
        <v>1000</v>
      </c>
    </row>
    <row r="50" spans="1:11">
      <c r="A50" s="3">
        <v>6</v>
      </c>
      <c r="B50" s="11">
        <f>+'[1]Pharaoh A'!$J8</f>
        <v>100</v>
      </c>
      <c r="D50" s="3">
        <v>6</v>
      </c>
      <c r="E50" s="11">
        <f>+'[1]Pharaoh B'!$J8</f>
        <v>100</v>
      </c>
      <c r="G50" s="3">
        <v>6</v>
      </c>
      <c r="H50" s="11">
        <f>+'[1]HV Scarab'!$J8</f>
        <v>1000</v>
      </c>
      <c r="J50" s="3">
        <v>6</v>
      </c>
      <c r="K50" s="11">
        <f>+'[1]HV enemy'!$J8</f>
        <v>2000</v>
      </c>
    </row>
    <row r="51" spans="1:11">
      <c r="A51" s="3">
        <v>7</v>
      </c>
      <c r="B51" s="11">
        <f>+'[1]Pharaoh A'!$J9</f>
        <v>200</v>
      </c>
      <c r="D51" s="3">
        <v>7</v>
      </c>
      <c r="E51" s="11">
        <f>+'[1]Pharaoh B'!$J9</f>
        <v>200</v>
      </c>
      <c r="G51" s="3">
        <v>7</v>
      </c>
      <c r="H51" s="11">
        <f>+'[1]HV Scarab'!$J9</f>
        <v>2000</v>
      </c>
      <c r="J51" s="3">
        <v>7</v>
      </c>
      <c r="K51" s="11">
        <f>+'[1]HV enemy'!$J9</f>
        <v>5000</v>
      </c>
    </row>
    <row r="53" spans="1:11">
      <c r="C53" s="14"/>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sheetPr codeName="Hoja19"/>
  <dimension ref="A1:E125"/>
  <sheetViews>
    <sheetView topLeftCell="A23" workbookViewId="0">
      <selection activeCell="E36" sqref="E36"/>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30</v>
      </c>
    </row>
    <row r="2" spans="1:5">
      <c r="A2" t="str">
        <f>+CONCATENATE("Probability of getting a special weapon = 1/",Summary!C8)</f>
        <v>Probability of getting a special weapon = 1/700</v>
      </c>
    </row>
    <row r="3" spans="1:5">
      <c r="A3" t="s">
        <v>31</v>
      </c>
    </row>
    <row r="6" spans="1:5">
      <c r="A6" t="s">
        <v>32</v>
      </c>
    </row>
    <row r="7" spans="1:5" ht="15" thickBot="1"/>
    <row r="8" spans="1:5" ht="15" thickBot="1">
      <c r="A8" s="15" t="s">
        <v>33</v>
      </c>
      <c r="B8" s="16" t="s">
        <v>34</v>
      </c>
      <c r="C8" s="16" t="s">
        <v>35</v>
      </c>
      <c r="D8" s="16" t="s">
        <v>36</v>
      </c>
      <c r="E8" s="17" t="s">
        <v>37</v>
      </c>
    </row>
    <row r="9" spans="1:5">
      <c r="A9" s="69" t="s">
        <v>38</v>
      </c>
      <c r="B9" s="68">
        <v>10</v>
      </c>
      <c r="C9" s="68">
        <v>5</v>
      </c>
      <c r="D9" s="68">
        <f t="shared" ref="D9:D44" si="0">+B9*C9</f>
        <v>50</v>
      </c>
      <c r="E9" s="19">
        <v>150</v>
      </c>
    </row>
    <row r="10" spans="1:5">
      <c r="A10" s="69" t="s">
        <v>39</v>
      </c>
      <c r="B10" s="68">
        <v>15</v>
      </c>
      <c r="C10" s="68">
        <v>8</v>
      </c>
      <c r="D10" s="68">
        <f>+B10*C10</f>
        <v>120</v>
      </c>
      <c r="E10" s="20">
        <v>116</v>
      </c>
    </row>
    <row r="11" spans="1:5">
      <c r="A11" s="76" t="s">
        <v>40</v>
      </c>
      <c r="B11" s="68">
        <v>20</v>
      </c>
      <c r="C11" s="68">
        <v>10</v>
      </c>
      <c r="D11" s="68">
        <f t="shared" si="0"/>
        <v>200</v>
      </c>
      <c r="E11" s="20">
        <v>149</v>
      </c>
    </row>
    <row r="12" spans="1:5">
      <c r="A12" s="69" t="s">
        <v>130</v>
      </c>
      <c r="B12" s="68">
        <v>3</v>
      </c>
      <c r="C12" s="68">
        <v>30</v>
      </c>
      <c r="D12" s="68">
        <f t="shared" si="0"/>
        <v>90</v>
      </c>
      <c r="E12" s="20">
        <v>100</v>
      </c>
    </row>
    <row r="13" spans="1:5">
      <c r="A13" s="69" t="s">
        <v>126</v>
      </c>
      <c r="B13" s="68">
        <v>15</v>
      </c>
      <c r="C13" s="68">
        <v>10</v>
      </c>
      <c r="D13" s="68">
        <f t="shared" si="0"/>
        <v>150</v>
      </c>
      <c r="E13" s="20">
        <v>65</v>
      </c>
    </row>
    <row r="14" spans="1:5">
      <c r="A14" s="69" t="s">
        <v>127</v>
      </c>
      <c r="B14" s="68">
        <v>15</v>
      </c>
      <c r="C14" s="68">
        <v>11</v>
      </c>
      <c r="D14" s="68">
        <f t="shared" si="0"/>
        <v>165</v>
      </c>
      <c r="E14" s="20">
        <v>75</v>
      </c>
    </row>
    <row r="15" spans="1:5">
      <c r="A15" s="69" t="s">
        <v>128</v>
      </c>
      <c r="B15" s="68">
        <v>15</v>
      </c>
      <c r="C15" s="68">
        <v>11</v>
      </c>
      <c r="D15" s="68">
        <f t="shared" si="0"/>
        <v>165</v>
      </c>
      <c r="E15" s="20">
        <v>81</v>
      </c>
    </row>
    <row r="16" spans="1:5">
      <c r="A16" s="69" t="s">
        <v>129</v>
      </c>
      <c r="B16" s="68">
        <v>15</v>
      </c>
      <c r="C16" s="68">
        <v>10</v>
      </c>
      <c r="D16" s="68">
        <f t="shared" si="0"/>
        <v>150</v>
      </c>
      <c r="E16" s="20">
        <v>65</v>
      </c>
    </row>
    <row r="17" spans="1:5">
      <c r="A17" s="69" t="s">
        <v>161</v>
      </c>
      <c r="B17" s="68">
        <v>50</v>
      </c>
      <c r="C17" s="68">
        <v>0.65500000000000003</v>
      </c>
      <c r="D17" s="68">
        <f t="shared" si="0"/>
        <v>32.75</v>
      </c>
      <c r="E17" s="20">
        <v>210</v>
      </c>
    </row>
    <row r="18" spans="1:5">
      <c r="A18" s="69" t="s">
        <v>162</v>
      </c>
      <c r="B18" s="68">
        <v>50</v>
      </c>
      <c r="C18" s="68">
        <v>0.65500000000000003</v>
      </c>
      <c r="D18" s="68">
        <f t="shared" si="0"/>
        <v>32.75</v>
      </c>
      <c r="E18" s="20">
        <v>210</v>
      </c>
    </row>
    <row r="19" spans="1:5">
      <c r="A19" s="69" t="s">
        <v>163</v>
      </c>
      <c r="B19" s="68">
        <v>15</v>
      </c>
      <c r="C19" s="68">
        <v>20</v>
      </c>
      <c r="D19" s="68">
        <f t="shared" si="0"/>
        <v>300</v>
      </c>
      <c r="E19" s="20">
        <v>20</v>
      </c>
    </row>
    <row r="20" spans="1:5" ht="15" thickBot="1">
      <c r="A20" s="77" t="s">
        <v>41</v>
      </c>
      <c r="B20" s="78">
        <v>3</v>
      </c>
      <c r="C20" s="78">
        <v>50</v>
      </c>
      <c r="D20" s="78">
        <f t="shared" si="0"/>
        <v>150</v>
      </c>
      <c r="E20" s="23">
        <v>50</v>
      </c>
    </row>
    <row r="21" spans="1:5">
      <c r="A21" s="76" t="s">
        <v>38</v>
      </c>
      <c r="B21" s="68">
        <v>14</v>
      </c>
      <c r="C21" s="68">
        <f t="shared" ref="C21:C40" si="1">+C9</f>
        <v>5</v>
      </c>
      <c r="D21" s="68">
        <f t="shared" si="0"/>
        <v>70</v>
      </c>
      <c r="E21" s="20">
        <v>59</v>
      </c>
    </row>
    <row r="22" spans="1:5">
      <c r="A22" s="76" t="s">
        <v>39</v>
      </c>
      <c r="B22" s="68">
        <v>25</v>
      </c>
      <c r="C22" s="68">
        <f t="shared" si="1"/>
        <v>8</v>
      </c>
      <c r="D22" s="68">
        <f t="shared" si="0"/>
        <v>200</v>
      </c>
      <c r="E22" s="20">
        <v>3</v>
      </c>
    </row>
    <row r="23" spans="1:5">
      <c r="A23" s="76" t="s">
        <v>40</v>
      </c>
      <c r="B23" s="68">
        <v>40</v>
      </c>
      <c r="C23" s="68">
        <f t="shared" si="1"/>
        <v>10</v>
      </c>
      <c r="D23" s="68">
        <f t="shared" si="0"/>
        <v>400</v>
      </c>
      <c r="E23" s="20">
        <v>3</v>
      </c>
    </row>
    <row r="24" spans="1:5">
      <c r="A24" s="69" t="s">
        <v>130</v>
      </c>
      <c r="B24" s="68">
        <v>5</v>
      </c>
      <c r="C24" s="68">
        <f t="shared" si="1"/>
        <v>30</v>
      </c>
      <c r="D24" s="68">
        <f t="shared" ref="D24:D31" si="2">+B24*C24</f>
        <v>150</v>
      </c>
      <c r="E24" s="20">
        <v>15</v>
      </c>
    </row>
    <row r="25" spans="1:5">
      <c r="A25" s="69" t="s">
        <v>126</v>
      </c>
      <c r="B25" s="68">
        <v>25</v>
      </c>
      <c r="C25" s="68">
        <f t="shared" si="1"/>
        <v>10</v>
      </c>
      <c r="D25" s="68">
        <f>+B25*C25</f>
        <v>250</v>
      </c>
      <c r="E25" s="20">
        <v>4</v>
      </c>
    </row>
    <row r="26" spans="1:5">
      <c r="A26" s="69" t="s">
        <v>127</v>
      </c>
      <c r="B26" s="68">
        <v>25</v>
      </c>
      <c r="C26" s="68">
        <f t="shared" si="1"/>
        <v>11</v>
      </c>
      <c r="D26" s="68">
        <f t="shared" si="2"/>
        <v>275</v>
      </c>
      <c r="E26" s="20">
        <v>3</v>
      </c>
    </row>
    <row r="27" spans="1:5">
      <c r="A27" s="69" t="s">
        <v>128</v>
      </c>
      <c r="B27" s="68">
        <v>25</v>
      </c>
      <c r="C27" s="68">
        <f t="shared" si="1"/>
        <v>11</v>
      </c>
      <c r="D27" s="68">
        <f t="shared" si="2"/>
        <v>275</v>
      </c>
      <c r="E27" s="20">
        <v>2</v>
      </c>
    </row>
    <row r="28" spans="1:5">
      <c r="A28" s="69" t="s">
        <v>129</v>
      </c>
      <c r="B28" s="68">
        <v>25</v>
      </c>
      <c r="C28" s="68">
        <f t="shared" si="1"/>
        <v>10</v>
      </c>
      <c r="D28" s="68">
        <f t="shared" si="2"/>
        <v>250</v>
      </c>
      <c r="E28" s="20">
        <v>3</v>
      </c>
    </row>
    <row r="29" spans="1:5">
      <c r="A29" s="69" t="s">
        <v>161</v>
      </c>
      <c r="B29" s="68">
        <v>100</v>
      </c>
      <c r="C29" s="68">
        <f t="shared" si="1"/>
        <v>0.65500000000000003</v>
      </c>
      <c r="D29" s="68">
        <f t="shared" si="2"/>
        <v>65.5</v>
      </c>
      <c r="E29" s="20">
        <v>100</v>
      </c>
    </row>
    <row r="30" spans="1:5">
      <c r="A30" s="69" t="s">
        <v>162</v>
      </c>
      <c r="B30" s="68">
        <v>100</v>
      </c>
      <c r="C30" s="68">
        <f t="shared" si="1"/>
        <v>0.65500000000000003</v>
      </c>
      <c r="D30" s="68">
        <f t="shared" si="2"/>
        <v>65.5</v>
      </c>
      <c r="E30" s="20">
        <v>100</v>
      </c>
    </row>
    <row r="31" spans="1:5">
      <c r="A31" s="69" t="s">
        <v>163</v>
      </c>
      <c r="B31" s="68">
        <v>25</v>
      </c>
      <c r="C31" s="68">
        <f t="shared" si="1"/>
        <v>20</v>
      </c>
      <c r="D31" s="68">
        <f t="shared" si="2"/>
        <v>500</v>
      </c>
      <c r="E31" s="20">
        <v>40</v>
      </c>
    </row>
    <row r="32" spans="1:5" ht="15" thickBot="1">
      <c r="A32" s="77" t="s">
        <v>41</v>
      </c>
      <c r="B32" s="78">
        <v>5</v>
      </c>
      <c r="C32" s="78">
        <f t="shared" si="1"/>
        <v>50</v>
      </c>
      <c r="D32" s="78">
        <f t="shared" si="0"/>
        <v>250</v>
      </c>
      <c r="E32" s="23">
        <v>3</v>
      </c>
    </row>
    <row r="33" spans="1:5">
      <c r="A33" s="76" t="s">
        <v>38</v>
      </c>
      <c r="B33" s="68">
        <v>30</v>
      </c>
      <c r="C33" s="68">
        <f t="shared" si="1"/>
        <v>5</v>
      </c>
      <c r="D33" s="68">
        <f t="shared" si="0"/>
        <v>150</v>
      </c>
      <c r="E33" s="20">
        <v>14</v>
      </c>
    </row>
    <row r="34" spans="1:5">
      <c r="A34" s="76" t="s">
        <v>39</v>
      </c>
      <c r="B34" s="68">
        <v>50</v>
      </c>
      <c r="C34" s="68">
        <f t="shared" si="1"/>
        <v>8</v>
      </c>
      <c r="D34" s="68">
        <f t="shared" si="0"/>
        <v>400</v>
      </c>
      <c r="E34" s="20">
        <v>2</v>
      </c>
    </row>
    <row r="35" spans="1:5">
      <c r="A35" s="76" t="s">
        <v>40</v>
      </c>
      <c r="B35" s="68">
        <v>100</v>
      </c>
      <c r="C35" s="68">
        <f t="shared" si="1"/>
        <v>10</v>
      </c>
      <c r="D35" s="68">
        <f t="shared" si="0"/>
        <v>1000</v>
      </c>
      <c r="E35" s="20">
        <v>6</v>
      </c>
    </row>
    <row r="36" spans="1:5">
      <c r="A36" s="69" t="s">
        <v>131</v>
      </c>
      <c r="B36" s="68">
        <v>10</v>
      </c>
      <c r="C36" s="68">
        <f t="shared" si="1"/>
        <v>30</v>
      </c>
      <c r="D36" s="68">
        <f t="shared" ref="D36:D43" si="3">+B36*C36</f>
        <v>300</v>
      </c>
      <c r="E36" s="20">
        <v>3</v>
      </c>
    </row>
    <row r="37" spans="1:5">
      <c r="A37" s="69" t="s">
        <v>126</v>
      </c>
      <c r="B37" s="68">
        <v>50</v>
      </c>
      <c r="C37" s="68">
        <f t="shared" si="1"/>
        <v>10</v>
      </c>
      <c r="D37" s="68">
        <f t="shared" si="3"/>
        <v>500</v>
      </c>
      <c r="E37" s="20">
        <v>2</v>
      </c>
    </row>
    <row r="38" spans="1:5">
      <c r="A38" s="69" t="s">
        <v>127</v>
      </c>
      <c r="B38" s="68">
        <v>50</v>
      </c>
      <c r="C38" s="68">
        <f t="shared" si="1"/>
        <v>11</v>
      </c>
      <c r="D38" s="68">
        <f t="shared" si="3"/>
        <v>550</v>
      </c>
      <c r="E38" s="20">
        <v>1</v>
      </c>
    </row>
    <row r="39" spans="1:5">
      <c r="A39" s="69" t="s">
        <v>128</v>
      </c>
      <c r="B39" s="68">
        <v>50</v>
      </c>
      <c r="C39" s="68">
        <f t="shared" si="1"/>
        <v>11</v>
      </c>
      <c r="D39" s="68">
        <f t="shared" si="3"/>
        <v>550</v>
      </c>
      <c r="E39" s="20">
        <v>2</v>
      </c>
    </row>
    <row r="40" spans="1:5">
      <c r="A40" s="69" t="s">
        <v>129</v>
      </c>
      <c r="B40" s="68">
        <v>50</v>
      </c>
      <c r="C40" s="68">
        <f t="shared" si="1"/>
        <v>10</v>
      </c>
      <c r="D40" s="68">
        <f t="shared" si="3"/>
        <v>500</v>
      </c>
      <c r="E40" s="20">
        <v>2</v>
      </c>
    </row>
    <row r="41" spans="1:5">
      <c r="A41" s="69" t="s">
        <v>161</v>
      </c>
      <c r="B41" s="68">
        <v>200</v>
      </c>
      <c r="C41" s="68">
        <f t="shared" ref="C41:C43" si="4">+C29</f>
        <v>0.65500000000000003</v>
      </c>
      <c r="D41" s="68">
        <f t="shared" si="3"/>
        <v>131</v>
      </c>
      <c r="E41" s="20">
        <v>5</v>
      </c>
    </row>
    <row r="42" spans="1:5">
      <c r="A42" s="69" t="s">
        <v>162</v>
      </c>
      <c r="B42" s="68">
        <v>200</v>
      </c>
      <c r="C42" s="68">
        <f t="shared" si="4"/>
        <v>0.65500000000000003</v>
      </c>
      <c r="D42" s="68">
        <f t="shared" si="3"/>
        <v>131</v>
      </c>
      <c r="E42" s="20">
        <v>5</v>
      </c>
    </row>
    <row r="43" spans="1:5">
      <c r="A43" s="69" t="s">
        <v>163</v>
      </c>
      <c r="B43" s="68">
        <v>50</v>
      </c>
      <c r="C43" s="68">
        <f t="shared" si="4"/>
        <v>20</v>
      </c>
      <c r="D43" s="68">
        <f t="shared" si="3"/>
        <v>1000</v>
      </c>
      <c r="E43" s="20">
        <v>6</v>
      </c>
    </row>
    <row r="44" spans="1:5" ht="13.8" customHeight="1" thickBot="1">
      <c r="A44" s="77" t="s">
        <v>41</v>
      </c>
      <c r="B44" s="78">
        <v>10</v>
      </c>
      <c r="C44" s="78">
        <f t="shared" ref="C44" si="5">+C32</f>
        <v>50</v>
      </c>
      <c r="D44" s="79">
        <f t="shared" si="0"/>
        <v>500</v>
      </c>
      <c r="E44" s="23">
        <v>2</v>
      </c>
    </row>
    <row r="45" spans="1:5">
      <c r="A45" s="10" t="s">
        <v>42</v>
      </c>
      <c r="E45" s="24">
        <f>+SUM(E9:E44)</f>
        <v>1676</v>
      </c>
    </row>
    <row r="46" spans="1:5">
      <c r="A46" s="10"/>
    </row>
    <row r="47" spans="1:5">
      <c r="C47" s="25" t="s">
        <v>43</v>
      </c>
      <c r="D47" s="26">
        <f>+SUMPRODUCT(D9:D44,E9:E44)/SUM(E9:E44)</f>
        <v>119.11097852028639</v>
      </c>
    </row>
    <row r="49" spans="1:1">
      <c r="A49" t="s">
        <v>44</v>
      </c>
    </row>
    <row r="50" spans="1:1">
      <c r="A50" t="s">
        <v>45</v>
      </c>
    </row>
    <row r="53" spans="1:1" ht="15.6">
      <c r="A53" s="27" t="s">
        <v>46</v>
      </c>
    </row>
    <row r="54" spans="1:1">
      <c r="A54" s="28" t="s">
        <v>47</v>
      </c>
    </row>
    <row r="56" spans="1:1">
      <c r="A56" t="s">
        <v>48</v>
      </c>
    </row>
    <row r="57" spans="1:1">
      <c r="A57" s="29" t="s">
        <v>49</v>
      </c>
    </row>
    <row r="58" spans="1:1">
      <c r="A58" t="s">
        <v>50</v>
      </c>
    </row>
    <row r="59" spans="1:1">
      <c r="A59" t="s">
        <v>51</v>
      </c>
    </row>
    <row r="61" spans="1:1">
      <c r="A61" t="s">
        <v>52</v>
      </c>
    </row>
    <row r="62" spans="1:1">
      <c r="A62" t="s">
        <v>53</v>
      </c>
    </row>
    <row r="63" spans="1:1">
      <c r="A63" t="s">
        <v>54</v>
      </c>
    </row>
    <row r="65" spans="1:2">
      <c r="A65" t="s">
        <v>148</v>
      </c>
    </row>
    <row r="67" spans="1:2">
      <c r="A67" t="s">
        <v>149</v>
      </c>
    </row>
    <row r="69" spans="1:2">
      <c r="A69" s="69" t="s">
        <v>150</v>
      </c>
    </row>
    <row r="71" spans="1:2">
      <c r="A71" s="69" t="s">
        <v>151</v>
      </c>
    </row>
    <row r="73" spans="1:2">
      <c r="A73" s="69" t="s">
        <v>152</v>
      </c>
    </row>
    <row r="75" spans="1:2">
      <c r="A75" s="69" t="s">
        <v>174</v>
      </c>
    </row>
    <row r="76" spans="1:2">
      <c r="A76" s="72" t="s">
        <v>157</v>
      </c>
    </row>
    <row r="77" spans="1:2">
      <c r="A77" s="72" t="s">
        <v>175</v>
      </c>
    </row>
    <row r="78" spans="1:2">
      <c r="A78" s="72" t="s">
        <v>160</v>
      </c>
    </row>
    <row r="80" spans="1:2">
      <c r="B80" s="1"/>
    </row>
    <row r="81" spans="1:4">
      <c r="B81" s="2" t="s">
        <v>19</v>
      </c>
      <c r="C81" s="2" t="s">
        <v>20</v>
      </c>
      <c r="D81" s="2" t="s">
        <v>58</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159</v>
      </c>
      <c r="D90" s="57">
        <f>+SUMPRODUCT(C82:C89,D82:D89)/SUM(D82:D89)</f>
        <v>1</v>
      </c>
    </row>
    <row r="91" spans="1:4">
      <c r="B91" s="12"/>
      <c r="C91" s="13"/>
    </row>
    <row r="92" spans="1:4">
      <c r="A92" s="69" t="s">
        <v>176</v>
      </c>
    </row>
    <row r="93" spans="1:4">
      <c r="A93" s="72" t="s">
        <v>157</v>
      </c>
    </row>
    <row r="94" spans="1:4">
      <c r="A94" s="72" t="s">
        <v>175</v>
      </c>
    </row>
    <row r="95" spans="1:4">
      <c r="A95" s="72" t="s">
        <v>160</v>
      </c>
    </row>
    <row r="97" spans="1:4">
      <c r="B97" s="1"/>
    </row>
    <row r="98" spans="1:4">
      <c r="B98" s="2" t="s">
        <v>19</v>
      </c>
      <c r="C98" s="2" t="s">
        <v>20</v>
      </c>
      <c r="D98" s="2" t="s">
        <v>58</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159</v>
      </c>
      <c r="D105" s="57">
        <f>+SUMPRODUCT(C99:C104,D99:D104)/SUM(D99:D104)</f>
        <v>0.65500000000000003</v>
      </c>
    </row>
    <row r="107" spans="1:4">
      <c r="A107" s="69" t="s">
        <v>155</v>
      </c>
    </row>
    <row r="108" spans="1:4">
      <c r="A108" s="72" t="s">
        <v>156</v>
      </c>
    </row>
    <row r="109" spans="1:4">
      <c r="A109" s="72" t="s">
        <v>157</v>
      </c>
    </row>
    <row r="110" spans="1:4">
      <c r="A110" s="72" t="s">
        <v>158</v>
      </c>
    </row>
    <row r="111" spans="1:4">
      <c r="A111" s="72" t="s">
        <v>160</v>
      </c>
    </row>
    <row r="113" spans="1:4">
      <c r="B113" s="1"/>
    </row>
    <row r="114" spans="1:4">
      <c r="B114" s="2" t="s">
        <v>19</v>
      </c>
      <c r="C114" s="2" t="s">
        <v>20</v>
      </c>
      <c r="D114" s="2" t="s">
        <v>58</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159</v>
      </c>
      <c r="D121" s="57">
        <f>+SUMPRODUCT(C115:C120,D115:D120)/SUM(D115:D120)</f>
        <v>0.65500000000000003</v>
      </c>
    </row>
    <row r="124" spans="1:4">
      <c r="A124" t="s">
        <v>177</v>
      </c>
    </row>
    <row r="125" spans="1:4">
      <c r="A125" t="s">
        <v>178</v>
      </c>
    </row>
  </sheetData>
  <pageMargins left="0.7" right="0.7" top="0.75" bottom="0.75" header="0.51180555555555496" footer="0.51180555555555496"/>
  <pageSetup paperSize="9"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Hoja20"/>
  <dimension ref="A1:T55"/>
  <sheetViews>
    <sheetView workbookViewId="0">
      <selection activeCell="A4" sqref="A4"/>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55</v>
      </c>
    </row>
    <row r="2" spans="1:20">
      <c r="A2" t="s">
        <v>32</v>
      </c>
    </row>
    <row r="4" spans="1:20">
      <c r="A4" s="16" t="s">
        <v>56</v>
      </c>
      <c r="B4" s="17">
        <v>400</v>
      </c>
      <c r="H4" s="15" t="s">
        <v>56</v>
      </c>
      <c r="I4" s="17">
        <v>200</v>
      </c>
      <c r="O4" s="15" t="s">
        <v>56</v>
      </c>
      <c r="P4" s="17">
        <v>100</v>
      </c>
    </row>
    <row r="6" spans="1:20">
      <c r="A6" t="s">
        <v>57</v>
      </c>
      <c r="H6" t="s">
        <v>57</v>
      </c>
      <c r="O6" t="s">
        <v>57</v>
      </c>
    </row>
    <row r="9" spans="1:20">
      <c r="A9" s="30" t="s">
        <v>33</v>
      </c>
      <c r="B9" s="31" t="s">
        <v>34</v>
      </c>
      <c r="C9" s="31" t="s">
        <v>35</v>
      </c>
      <c r="D9" s="32" t="s">
        <v>36</v>
      </c>
      <c r="E9" s="35" t="s">
        <v>58</v>
      </c>
      <c r="F9" s="35" t="s">
        <v>59</v>
      </c>
      <c r="H9" s="30" t="s">
        <v>33</v>
      </c>
      <c r="I9" s="31" t="s">
        <v>34</v>
      </c>
      <c r="J9" s="31" t="s">
        <v>35</v>
      </c>
      <c r="K9" s="32" t="s">
        <v>36</v>
      </c>
      <c r="L9" s="35" t="s">
        <v>58</v>
      </c>
      <c r="M9" s="35" t="s">
        <v>59</v>
      </c>
      <c r="O9" s="30" t="s">
        <v>33</v>
      </c>
      <c r="P9" s="31" t="s">
        <v>34</v>
      </c>
      <c r="Q9" s="31" t="s">
        <v>35</v>
      </c>
      <c r="R9" s="32" t="s">
        <v>36</v>
      </c>
      <c r="S9" s="35" t="s">
        <v>58</v>
      </c>
      <c r="T9" s="35" t="s">
        <v>59</v>
      </c>
    </row>
    <row r="10" spans="1:20">
      <c r="A10" s="36" t="s">
        <v>38</v>
      </c>
      <c r="B10" s="37">
        <v>40</v>
      </c>
      <c r="C10" s="38">
        <v>5</v>
      </c>
      <c r="D10" s="39">
        <f t="shared" ref="D10:D48" si="0">+B10*C10</f>
        <v>200</v>
      </c>
      <c r="E10" s="19">
        <v>9</v>
      </c>
      <c r="F10" s="40">
        <f t="shared" ref="F10:F48" si="1">+D10/$B$4</f>
        <v>0.5</v>
      </c>
      <c r="G10" s="29"/>
      <c r="H10" s="36" t="s">
        <v>38</v>
      </c>
      <c r="I10" s="38">
        <v>24</v>
      </c>
      <c r="J10" s="38">
        <v>5</v>
      </c>
      <c r="K10" s="39">
        <f t="shared" ref="K10:K48" si="2">+I10*J10</f>
        <v>120</v>
      </c>
      <c r="L10" s="19">
        <v>20</v>
      </c>
      <c r="M10" s="40">
        <f t="shared" ref="M10:M48" si="3">+K10/$I$4</f>
        <v>0.6</v>
      </c>
      <c r="N10" s="29"/>
      <c r="O10" s="36" t="s">
        <v>38</v>
      </c>
      <c r="P10" s="38">
        <v>8</v>
      </c>
      <c r="Q10" s="38">
        <v>5</v>
      </c>
      <c r="R10" s="39">
        <f t="shared" ref="R10:R48" si="4">+P10*Q10</f>
        <v>40</v>
      </c>
      <c r="S10" s="19">
        <v>11</v>
      </c>
      <c r="T10" s="40">
        <f t="shared" ref="T10:T48" si="5">+R10/$P$4</f>
        <v>0.4</v>
      </c>
    </row>
    <row r="11" spans="1:20">
      <c r="A11" s="18" t="s">
        <v>38</v>
      </c>
      <c r="B11" s="41">
        <v>44</v>
      </c>
      <c r="C11" s="10">
        <v>5</v>
      </c>
      <c r="D11" s="33">
        <f t="shared" si="0"/>
        <v>220</v>
      </c>
      <c r="E11" s="20">
        <v>8</v>
      </c>
      <c r="F11" s="42">
        <f t="shared" si="1"/>
        <v>0.55000000000000004</v>
      </c>
      <c r="G11" s="29"/>
      <c r="H11" s="18" t="s">
        <v>38</v>
      </c>
      <c r="I11" s="10">
        <v>26</v>
      </c>
      <c r="J11" s="10">
        <v>5</v>
      </c>
      <c r="K11" s="33">
        <f t="shared" si="2"/>
        <v>130</v>
      </c>
      <c r="L11" s="20">
        <v>15</v>
      </c>
      <c r="M11" s="42">
        <f t="shared" si="3"/>
        <v>0.65</v>
      </c>
      <c r="N11" s="29"/>
      <c r="O11" s="18" t="s">
        <v>38</v>
      </c>
      <c r="P11" s="10">
        <v>10</v>
      </c>
      <c r="Q11" s="10">
        <v>5</v>
      </c>
      <c r="R11" s="33">
        <f t="shared" si="4"/>
        <v>50</v>
      </c>
      <c r="S11" s="20">
        <v>10</v>
      </c>
      <c r="T11" s="42">
        <f t="shared" si="5"/>
        <v>0.5</v>
      </c>
    </row>
    <row r="12" spans="1:20">
      <c r="A12" s="18" t="s">
        <v>38</v>
      </c>
      <c r="B12" s="41">
        <v>48</v>
      </c>
      <c r="C12" s="10">
        <v>5</v>
      </c>
      <c r="D12" s="33">
        <f t="shared" si="0"/>
        <v>240</v>
      </c>
      <c r="E12" s="20">
        <v>9</v>
      </c>
      <c r="F12" s="42">
        <f t="shared" si="1"/>
        <v>0.6</v>
      </c>
      <c r="G12" s="29"/>
      <c r="H12" s="18" t="s">
        <v>38</v>
      </c>
      <c r="I12" s="10">
        <v>28</v>
      </c>
      <c r="J12" s="10">
        <v>5</v>
      </c>
      <c r="K12" s="33">
        <f t="shared" si="2"/>
        <v>140</v>
      </c>
      <c r="L12" s="20">
        <v>11</v>
      </c>
      <c r="M12" s="42">
        <f t="shared" si="3"/>
        <v>0.7</v>
      </c>
      <c r="N12" s="29"/>
      <c r="O12" s="18" t="s">
        <v>38</v>
      </c>
      <c r="P12" s="10">
        <v>14</v>
      </c>
      <c r="Q12" s="10">
        <v>5</v>
      </c>
      <c r="R12" s="33">
        <f t="shared" si="4"/>
        <v>70</v>
      </c>
      <c r="S12" s="20">
        <v>6</v>
      </c>
      <c r="T12" s="42">
        <f t="shared" si="5"/>
        <v>0.7</v>
      </c>
    </row>
    <row r="13" spans="1:20">
      <c r="A13" s="18" t="s">
        <v>38</v>
      </c>
      <c r="B13" s="41">
        <v>50</v>
      </c>
      <c r="C13" s="10">
        <v>5</v>
      </c>
      <c r="D13" s="33">
        <f t="shared" si="0"/>
        <v>250</v>
      </c>
      <c r="E13" s="20">
        <v>9</v>
      </c>
      <c r="F13" s="42">
        <f t="shared" si="1"/>
        <v>0.625</v>
      </c>
      <c r="G13" s="29"/>
      <c r="H13" s="18" t="s">
        <v>38</v>
      </c>
      <c r="I13" s="10">
        <v>32</v>
      </c>
      <c r="J13" s="10">
        <v>5</v>
      </c>
      <c r="K13" s="33">
        <f t="shared" si="2"/>
        <v>160</v>
      </c>
      <c r="L13" s="20">
        <v>9</v>
      </c>
      <c r="M13" s="42">
        <f t="shared" si="3"/>
        <v>0.8</v>
      </c>
      <c r="N13" s="29"/>
      <c r="O13" s="18" t="s">
        <v>38</v>
      </c>
      <c r="P13" s="10">
        <v>20</v>
      </c>
      <c r="Q13" s="10">
        <v>5</v>
      </c>
      <c r="R13" s="33">
        <f t="shared" si="4"/>
        <v>100</v>
      </c>
      <c r="S13" s="20">
        <v>4</v>
      </c>
      <c r="T13" s="42">
        <f t="shared" si="5"/>
        <v>1</v>
      </c>
    </row>
    <row r="14" spans="1:20">
      <c r="A14" s="21" t="s">
        <v>38</v>
      </c>
      <c r="B14" s="43">
        <v>60</v>
      </c>
      <c r="C14" s="22">
        <v>5</v>
      </c>
      <c r="D14" s="34">
        <f t="shared" si="0"/>
        <v>300</v>
      </c>
      <c r="E14" s="23">
        <v>3</v>
      </c>
      <c r="F14" s="44">
        <f t="shared" si="1"/>
        <v>0.75</v>
      </c>
      <c r="G14" s="29"/>
      <c r="H14" s="21" t="s">
        <v>38</v>
      </c>
      <c r="I14" s="22">
        <v>36</v>
      </c>
      <c r="J14" s="22">
        <v>5</v>
      </c>
      <c r="K14" s="34">
        <f t="shared" si="2"/>
        <v>180</v>
      </c>
      <c r="L14" s="23">
        <v>3</v>
      </c>
      <c r="M14" s="44">
        <f t="shared" si="3"/>
        <v>0.9</v>
      </c>
      <c r="N14" s="29"/>
      <c r="O14" s="21" t="s">
        <v>38</v>
      </c>
      <c r="P14" s="22">
        <v>22</v>
      </c>
      <c r="Q14" s="22">
        <v>5</v>
      </c>
      <c r="R14" s="34">
        <f t="shared" si="4"/>
        <v>110</v>
      </c>
      <c r="S14" s="23">
        <v>3</v>
      </c>
      <c r="T14" s="44">
        <f t="shared" si="5"/>
        <v>1.1000000000000001</v>
      </c>
    </row>
    <row r="15" spans="1:20">
      <c r="A15" s="36" t="s">
        <v>39</v>
      </c>
      <c r="B15" s="37">
        <v>35</v>
      </c>
      <c r="C15" s="38">
        <v>8</v>
      </c>
      <c r="D15" s="39">
        <f t="shared" si="0"/>
        <v>280</v>
      </c>
      <c r="E15" s="19">
        <v>22</v>
      </c>
      <c r="F15" s="40">
        <f t="shared" si="1"/>
        <v>0.7</v>
      </c>
      <c r="G15" s="29"/>
      <c r="H15" s="36" t="s">
        <v>39</v>
      </c>
      <c r="I15" s="38">
        <v>20</v>
      </c>
      <c r="J15" s="38">
        <v>8</v>
      </c>
      <c r="K15" s="39">
        <f t="shared" si="2"/>
        <v>160</v>
      </c>
      <c r="L15" s="19">
        <v>19</v>
      </c>
      <c r="M15" s="40">
        <f t="shared" si="3"/>
        <v>0.8</v>
      </c>
      <c r="N15" s="29"/>
      <c r="O15" s="36" t="s">
        <v>39</v>
      </c>
      <c r="P15" s="38">
        <v>5</v>
      </c>
      <c r="Q15" s="38">
        <v>8</v>
      </c>
      <c r="R15" s="39">
        <f t="shared" si="4"/>
        <v>40</v>
      </c>
      <c r="S15" s="19">
        <v>10</v>
      </c>
      <c r="T15" s="40">
        <f t="shared" si="5"/>
        <v>0.4</v>
      </c>
    </row>
    <row r="16" spans="1:20">
      <c r="A16" s="18" t="s">
        <v>39</v>
      </c>
      <c r="B16" s="41">
        <v>40</v>
      </c>
      <c r="C16" s="10">
        <v>8</v>
      </c>
      <c r="D16" s="33">
        <f t="shared" si="0"/>
        <v>320</v>
      </c>
      <c r="E16" s="20">
        <v>11</v>
      </c>
      <c r="F16" s="42">
        <f t="shared" si="1"/>
        <v>0.8</v>
      </c>
      <c r="G16" s="29"/>
      <c r="H16" s="18" t="s">
        <v>39</v>
      </c>
      <c r="I16" s="10">
        <v>25</v>
      </c>
      <c r="J16" s="10">
        <v>8</v>
      </c>
      <c r="K16" s="33">
        <f t="shared" si="2"/>
        <v>200</v>
      </c>
      <c r="L16" s="20">
        <v>10</v>
      </c>
      <c r="M16" s="42">
        <f t="shared" si="3"/>
        <v>1</v>
      </c>
      <c r="N16" s="29"/>
      <c r="O16" s="18" t="s">
        <v>39</v>
      </c>
      <c r="P16" s="10">
        <v>10</v>
      </c>
      <c r="Q16" s="10">
        <v>8</v>
      </c>
      <c r="R16" s="33">
        <f t="shared" si="4"/>
        <v>80</v>
      </c>
      <c r="S16" s="20">
        <v>15</v>
      </c>
      <c r="T16" s="42">
        <f t="shared" si="5"/>
        <v>0.8</v>
      </c>
    </row>
    <row r="17" spans="1:20">
      <c r="A17" s="21" t="s">
        <v>39</v>
      </c>
      <c r="B17" s="43">
        <v>50</v>
      </c>
      <c r="C17" s="22">
        <v>8</v>
      </c>
      <c r="D17" s="34">
        <f t="shared" si="0"/>
        <v>400</v>
      </c>
      <c r="E17" s="23">
        <v>4</v>
      </c>
      <c r="F17" s="44">
        <f t="shared" si="1"/>
        <v>1</v>
      </c>
      <c r="G17" s="29"/>
      <c r="H17" s="21" t="s">
        <v>39</v>
      </c>
      <c r="I17" s="22">
        <v>30</v>
      </c>
      <c r="J17" s="22">
        <v>8</v>
      </c>
      <c r="K17" s="34">
        <f t="shared" si="2"/>
        <v>240</v>
      </c>
      <c r="L17" s="23">
        <v>1</v>
      </c>
      <c r="M17" s="44">
        <f t="shared" si="3"/>
        <v>1.2</v>
      </c>
      <c r="N17" s="29"/>
      <c r="O17" s="21" t="s">
        <v>39</v>
      </c>
      <c r="P17" s="22">
        <v>15</v>
      </c>
      <c r="Q17" s="22">
        <v>8</v>
      </c>
      <c r="R17" s="34">
        <f t="shared" si="4"/>
        <v>120</v>
      </c>
      <c r="S17" s="23">
        <v>5</v>
      </c>
      <c r="T17" s="44">
        <f t="shared" si="5"/>
        <v>1.2</v>
      </c>
    </row>
    <row r="18" spans="1:20">
      <c r="A18" s="18" t="s">
        <v>40</v>
      </c>
      <c r="B18" s="41">
        <v>45</v>
      </c>
      <c r="C18" s="10">
        <v>10</v>
      </c>
      <c r="D18" s="33">
        <f t="shared" si="0"/>
        <v>450</v>
      </c>
      <c r="E18" s="20">
        <v>16</v>
      </c>
      <c r="F18" s="42">
        <f t="shared" si="1"/>
        <v>1.125</v>
      </c>
      <c r="G18" s="29"/>
      <c r="H18" s="18" t="s">
        <v>40</v>
      </c>
      <c r="I18" s="10">
        <v>25</v>
      </c>
      <c r="J18" s="10">
        <v>10</v>
      </c>
      <c r="K18" s="33">
        <f t="shared" si="2"/>
        <v>250</v>
      </c>
      <c r="L18" s="20">
        <v>15</v>
      </c>
      <c r="M18" s="42">
        <f t="shared" si="3"/>
        <v>1.25</v>
      </c>
      <c r="N18" s="29"/>
      <c r="O18" s="18" t="s">
        <v>40</v>
      </c>
      <c r="P18" s="10">
        <v>10</v>
      </c>
      <c r="Q18" s="10">
        <v>10</v>
      </c>
      <c r="R18" s="33">
        <f t="shared" si="4"/>
        <v>100</v>
      </c>
      <c r="S18" s="20">
        <v>5</v>
      </c>
      <c r="T18" s="42">
        <f t="shared" si="5"/>
        <v>1</v>
      </c>
    </row>
    <row r="19" spans="1:20">
      <c r="A19" s="18" t="s">
        <v>40</v>
      </c>
      <c r="B19" s="41">
        <v>50</v>
      </c>
      <c r="C19" s="10">
        <v>10</v>
      </c>
      <c r="D19" s="33">
        <f t="shared" si="0"/>
        <v>500</v>
      </c>
      <c r="E19" s="20">
        <v>12</v>
      </c>
      <c r="F19" s="42">
        <f t="shared" si="1"/>
        <v>1.25</v>
      </c>
      <c r="G19" s="29"/>
      <c r="H19" s="18" t="s">
        <v>40</v>
      </c>
      <c r="I19" s="10">
        <v>30</v>
      </c>
      <c r="J19" s="10">
        <v>10</v>
      </c>
      <c r="K19" s="33">
        <f t="shared" si="2"/>
        <v>300</v>
      </c>
      <c r="L19" s="20">
        <v>7</v>
      </c>
      <c r="M19" s="42">
        <f t="shared" si="3"/>
        <v>1.5</v>
      </c>
      <c r="N19" s="29"/>
      <c r="O19" s="18" t="s">
        <v>40</v>
      </c>
      <c r="P19" s="10">
        <v>10</v>
      </c>
      <c r="Q19" s="10">
        <v>10</v>
      </c>
      <c r="R19" s="33">
        <f t="shared" si="4"/>
        <v>100</v>
      </c>
      <c r="S19" s="20">
        <v>5</v>
      </c>
      <c r="T19" s="42">
        <f t="shared" si="5"/>
        <v>1</v>
      </c>
    </row>
    <row r="20" spans="1:20">
      <c r="A20" s="18" t="s">
        <v>40</v>
      </c>
      <c r="B20" s="41">
        <v>55</v>
      </c>
      <c r="C20" s="10">
        <v>10</v>
      </c>
      <c r="D20" s="33">
        <f t="shared" si="0"/>
        <v>550</v>
      </c>
      <c r="E20" s="20">
        <v>6</v>
      </c>
      <c r="F20" s="42">
        <f t="shared" si="1"/>
        <v>1.375</v>
      </c>
      <c r="G20" s="29"/>
      <c r="H20" s="18" t="s">
        <v>40</v>
      </c>
      <c r="I20" s="10">
        <v>35</v>
      </c>
      <c r="J20" s="10">
        <v>10</v>
      </c>
      <c r="K20" s="33">
        <f t="shared" si="2"/>
        <v>350</v>
      </c>
      <c r="L20" s="20">
        <v>1</v>
      </c>
      <c r="M20" s="42">
        <f t="shared" si="3"/>
        <v>1.75</v>
      </c>
      <c r="N20" s="29"/>
      <c r="O20" s="18" t="s">
        <v>40</v>
      </c>
      <c r="P20" s="10">
        <v>15</v>
      </c>
      <c r="Q20" s="10">
        <v>10</v>
      </c>
      <c r="R20" s="33">
        <f t="shared" si="4"/>
        <v>150</v>
      </c>
      <c r="S20" s="20">
        <v>10</v>
      </c>
      <c r="T20" s="42">
        <f t="shared" si="5"/>
        <v>1.5</v>
      </c>
    </row>
    <row r="21" spans="1:20" ht="15" thickBot="1">
      <c r="A21" s="21" t="s">
        <v>40</v>
      </c>
      <c r="B21" s="43">
        <v>60</v>
      </c>
      <c r="C21" s="22">
        <v>10</v>
      </c>
      <c r="D21" s="34">
        <f t="shared" si="0"/>
        <v>600</v>
      </c>
      <c r="E21" s="23">
        <v>2</v>
      </c>
      <c r="F21" s="44">
        <f t="shared" si="1"/>
        <v>1.5</v>
      </c>
      <c r="G21" s="29"/>
      <c r="H21" s="21" t="s">
        <v>40</v>
      </c>
      <c r="I21" s="22">
        <v>40</v>
      </c>
      <c r="J21" s="22">
        <v>10</v>
      </c>
      <c r="K21" s="34">
        <f t="shared" si="2"/>
        <v>400</v>
      </c>
      <c r="L21" s="23">
        <v>1</v>
      </c>
      <c r="M21" s="44">
        <f t="shared" si="3"/>
        <v>2</v>
      </c>
      <c r="N21" s="29"/>
      <c r="O21" s="21" t="s">
        <v>40</v>
      </c>
      <c r="P21" s="22">
        <v>20</v>
      </c>
      <c r="Q21" s="22">
        <v>10</v>
      </c>
      <c r="R21" s="34">
        <f t="shared" si="4"/>
        <v>200</v>
      </c>
      <c r="S21" s="23">
        <v>9</v>
      </c>
      <c r="T21" s="44">
        <f t="shared" si="5"/>
        <v>2</v>
      </c>
    </row>
    <row r="22" spans="1:20">
      <c r="A22" s="70" t="s">
        <v>130</v>
      </c>
      <c r="B22" s="37">
        <v>15</v>
      </c>
      <c r="C22" s="38">
        <v>30</v>
      </c>
      <c r="D22" s="39">
        <f t="shared" si="0"/>
        <v>450</v>
      </c>
      <c r="E22" s="19">
        <v>5</v>
      </c>
      <c r="F22" s="40">
        <f t="shared" si="1"/>
        <v>1.125</v>
      </c>
      <c r="G22" s="29"/>
      <c r="H22" s="70" t="s">
        <v>130</v>
      </c>
      <c r="I22" s="37">
        <v>12</v>
      </c>
      <c r="J22" s="38">
        <v>30</v>
      </c>
      <c r="K22" s="39">
        <f t="shared" si="2"/>
        <v>360</v>
      </c>
      <c r="L22" s="19">
        <v>5</v>
      </c>
      <c r="M22" s="40">
        <f>+K22/$I$4</f>
        <v>1.8</v>
      </c>
      <c r="N22" s="29"/>
      <c r="O22" s="70" t="s">
        <v>130</v>
      </c>
      <c r="P22" s="37">
        <v>7</v>
      </c>
      <c r="Q22" s="38">
        <v>30</v>
      </c>
      <c r="R22" s="39">
        <f t="shared" si="4"/>
        <v>210</v>
      </c>
      <c r="S22" s="19">
        <v>10</v>
      </c>
      <c r="T22" s="40">
        <f>+R22/$P$4</f>
        <v>2.1</v>
      </c>
    </row>
    <row r="23" spans="1:20">
      <c r="A23" s="18" t="s">
        <v>130</v>
      </c>
      <c r="B23" s="72">
        <v>17</v>
      </c>
      <c r="C23" s="68">
        <v>30</v>
      </c>
      <c r="D23" s="33">
        <f t="shared" si="0"/>
        <v>510</v>
      </c>
      <c r="E23" s="20">
        <v>3</v>
      </c>
      <c r="F23" s="42">
        <f t="shared" si="1"/>
        <v>1.2749999999999999</v>
      </c>
      <c r="G23" s="29"/>
      <c r="H23" s="18" t="s">
        <v>130</v>
      </c>
      <c r="I23" s="72">
        <v>15</v>
      </c>
      <c r="J23" s="68">
        <v>30</v>
      </c>
      <c r="K23" s="33">
        <f t="shared" si="2"/>
        <v>450</v>
      </c>
      <c r="L23" s="20">
        <v>3</v>
      </c>
      <c r="M23" s="42">
        <f t="shared" si="3"/>
        <v>2.25</v>
      </c>
      <c r="N23" s="29"/>
      <c r="O23" s="18" t="s">
        <v>130</v>
      </c>
      <c r="P23" s="72">
        <v>10</v>
      </c>
      <c r="Q23" s="68">
        <v>30</v>
      </c>
      <c r="R23" s="33">
        <f t="shared" si="4"/>
        <v>300</v>
      </c>
      <c r="S23" s="20">
        <v>3</v>
      </c>
      <c r="T23" s="42">
        <f t="shared" si="5"/>
        <v>3</v>
      </c>
    </row>
    <row r="24" spans="1:20" ht="15" thickBot="1">
      <c r="A24" s="21" t="s">
        <v>130</v>
      </c>
      <c r="B24" s="43">
        <v>20</v>
      </c>
      <c r="C24" s="22">
        <v>30</v>
      </c>
      <c r="D24" s="34">
        <f t="shared" si="0"/>
        <v>600</v>
      </c>
      <c r="E24" s="23">
        <v>2</v>
      </c>
      <c r="F24" s="44">
        <f t="shared" si="1"/>
        <v>1.5</v>
      </c>
      <c r="G24" s="29"/>
      <c r="H24" s="21" t="s">
        <v>130</v>
      </c>
      <c r="I24" s="43">
        <v>17</v>
      </c>
      <c r="J24" s="22">
        <v>30</v>
      </c>
      <c r="K24" s="34">
        <f t="shared" si="2"/>
        <v>510</v>
      </c>
      <c r="L24" s="23">
        <v>2</v>
      </c>
      <c r="M24" s="44">
        <f t="shared" si="3"/>
        <v>2.5499999999999998</v>
      </c>
      <c r="N24" s="29"/>
      <c r="O24" s="21" t="s">
        <v>130</v>
      </c>
      <c r="P24" s="43">
        <v>12</v>
      </c>
      <c r="Q24" s="22">
        <v>30</v>
      </c>
      <c r="R24" s="34">
        <f t="shared" si="4"/>
        <v>360</v>
      </c>
      <c r="S24" s="23">
        <v>2</v>
      </c>
      <c r="T24" s="44">
        <f t="shared" si="5"/>
        <v>3.6</v>
      </c>
    </row>
    <row r="25" spans="1:20">
      <c r="A25" s="70" t="s">
        <v>126</v>
      </c>
      <c r="B25" s="37">
        <v>35</v>
      </c>
      <c r="C25" s="38">
        <v>10</v>
      </c>
      <c r="D25" s="39">
        <f t="shared" si="0"/>
        <v>350</v>
      </c>
      <c r="E25" s="19">
        <v>20</v>
      </c>
      <c r="F25" s="40">
        <f t="shared" si="1"/>
        <v>0.875</v>
      </c>
      <c r="G25" s="29"/>
      <c r="H25" s="70" t="s">
        <v>126</v>
      </c>
      <c r="I25" s="38">
        <v>20</v>
      </c>
      <c r="J25" s="38">
        <v>10</v>
      </c>
      <c r="K25" s="39">
        <f t="shared" si="2"/>
        <v>200</v>
      </c>
      <c r="L25" s="19">
        <v>17</v>
      </c>
      <c r="M25" s="40">
        <f t="shared" si="3"/>
        <v>1</v>
      </c>
      <c r="N25" s="29"/>
      <c r="O25" s="70" t="s">
        <v>126</v>
      </c>
      <c r="P25" s="38">
        <v>5</v>
      </c>
      <c r="Q25" s="38">
        <v>10</v>
      </c>
      <c r="R25" s="39">
        <f t="shared" si="4"/>
        <v>50</v>
      </c>
      <c r="S25" s="19">
        <v>10</v>
      </c>
      <c r="T25" s="40">
        <f t="shared" si="5"/>
        <v>0.5</v>
      </c>
    </row>
    <row r="26" spans="1:20">
      <c r="A26" s="67" t="s">
        <v>126</v>
      </c>
      <c r="B26" s="41">
        <v>40</v>
      </c>
      <c r="C26" s="68">
        <v>10</v>
      </c>
      <c r="D26" s="33">
        <f t="shared" si="0"/>
        <v>400</v>
      </c>
      <c r="E26" s="20">
        <v>9</v>
      </c>
      <c r="F26" s="42">
        <f t="shared" si="1"/>
        <v>1</v>
      </c>
      <c r="G26" s="29"/>
      <c r="H26" s="67" t="s">
        <v>126</v>
      </c>
      <c r="I26" s="10">
        <v>25</v>
      </c>
      <c r="J26" s="68">
        <v>10</v>
      </c>
      <c r="K26" s="33">
        <f t="shared" si="2"/>
        <v>250</v>
      </c>
      <c r="L26" s="20">
        <v>8</v>
      </c>
      <c r="M26" s="42">
        <f t="shared" si="3"/>
        <v>1.25</v>
      </c>
      <c r="N26" s="29"/>
      <c r="O26" s="67" t="s">
        <v>126</v>
      </c>
      <c r="P26" s="10">
        <v>10</v>
      </c>
      <c r="Q26" s="68">
        <v>10</v>
      </c>
      <c r="R26" s="33">
        <f t="shared" si="4"/>
        <v>100</v>
      </c>
      <c r="S26" s="20">
        <v>10</v>
      </c>
      <c r="T26" s="42">
        <f t="shared" si="5"/>
        <v>1</v>
      </c>
    </row>
    <row r="27" spans="1:20" ht="15" thickBot="1">
      <c r="A27" s="71" t="s">
        <v>126</v>
      </c>
      <c r="B27" s="43">
        <v>50</v>
      </c>
      <c r="C27" s="22">
        <v>10</v>
      </c>
      <c r="D27" s="34">
        <f t="shared" si="0"/>
        <v>500</v>
      </c>
      <c r="E27" s="23">
        <v>6</v>
      </c>
      <c r="F27" s="44">
        <f t="shared" si="1"/>
        <v>1.25</v>
      </c>
      <c r="G27" s="29"/>
      <c r="H27" s="71" t="s">
        <v>126</v>
      </c>
      <c r="I27" s="22">
        <v>30</v>
      </c>
      <c r="J27" s="22">
        <v>10</v>
      </c>
      <c r="K27" s="34">
        <f t="shared" si="2"/>
        <v>300</v>
      </c>
      <c r="L27" s="23">
        <v>1</v>
      </c>
      <c r="M27" s="44">
        <f t="shared" si="3"/>
        <v>1.5</v>
      </c>
      <c r="N27" s="29"/>
      <c r="O27" s="71" t="s">
        <v>126</v>
      </c>
      <c r="P27" s="22">
        <v>15</v>
      </c>
      <c r="Q27" s="22">
        <v>10</v>
      </c>
      <c r="R27" s="34">
        <f t="shared" si="4"/>
        <v>150</v>
      </c>
      <c r="S27" s="23">
        <v>10</v>
      </c>
      <c r="T27" s="44">
        <f t="shared" si="5"/>
        <v>1.5</v>
      </c>
    </row>
    <row r="28" spans="1:20">
      <c r="A28" s="70" t="s">
        <v>127</v>
      </c>
      <c r="B28" s="37">
        <v>35</v>
      </c>
      <c r="C28" s="38">
        <v>11</v>
      </c>
      <c r="D28" s="39">
        <f t="shared" si="0"/>
        <v>385</v>
      </c>
      <c r="E28" s="19">
        <v>20</v>
      </c>
      <c r="F28" s="40">
        <f t="shared" si="1"/>
        <v>0.96250000000000002</v>
      </c>
      <c r="G28" s="29"/>
      <c r="H28" s="70" t="s">
        <v>127</v>
      </c>
      <c r="I28" s="38">
        <v>15</v>
      </c>
      <c r="J28" s="38">
        <v>11</v>
      </c>
      <c r="K28" s="39">
        <f t="shared" si="2"/>
        <v>165</v>
      </c>
      <c r="L28" s="19">
        <v>15</v>
      </c>
      <c r="M28" s="40">
        <f t="shared" si="3"/>
        <v>0.82499999999999996</v>
      </c>
      <c r="N28" s="29"/>
      <c r="O28" s="70" t="s">
        <v>127</v>
      </c>
      <c r="P28" s="38">
        <v>5</v>
      </c>
      <c r="Q28" s="38">
        <v>11</v>
      </c>
      <c r="R28" s="39">
        <f t="shared" si="4"/>
        <v>55</v>
      </c>
      <c r="S28" s="19">
        <v>15</v>
      </c>
      <c r="T28" s="40">
        <f t="shared" si="5"/>
        <v>0.55000000000000004</v>
      </c>
    </row>
    <row r="29" spans="1:20">
      <c r="A29" s="67" t="s">
        <v>127</v>
      </c>
      <c r="B29" s="41">
        <v>40</v>
      </c>
      <c r="C29" s="68">
        <v>11</v>
      </c>
      <c r="D29" s="33">
        <f t="shared" si="0"/>
        <v>440</v>
      </c>
      <c r="E29" s="20">
        <v>10</v>
      </c>
      <c r="F29" s="42">
        <f t="shared" si="1"/>
        <v>1.1000000000000001</v>
      </c>
      <c r="G29" s="29"/>
      <c r="H29" s="67" t="s">
        <v>127</v>
      </c>
      <c r="I29" s="10">
        <v>25</v>
      </c>
      <c r="J29" s="68">
        <v>11</v>
      </c>
      <c r="K29" s="33">
        <f t="shared" si="2"/>
        <v>275</v>
      </c>
      <c r="L29" s="20">
        <v>5</v>
      </c>
      <c r="M29" s="42">
        <f t="shared" si="3"/>
        <v>1.375</v>
      </c>
      <c r="N29" s="29"/>
      <c r="O29" s="67" t="s">
        <v>127</v>
      </c>
      <c r="P29" s="10">
        <v>10</v>
      </c>
      <c r="Q29" s="68">
        <v>11</v>
      </c>
      <c r="R29" s="33">
        <f t="shared" si="4"/>
        <v>110</v>
      </c>
      <c r="S29" s="20">
        <v>10</v>
      </c>
      <c r="T29" s="42">
        <f t="shared" si="5"/>
        <v>1.1000000000000001</v>
      </c>
    </row>
    <row r="30" spans="1:20" ht="15" thickBot="1">
      <c r="A30" s="71" t="s">
        <v>127</v>
      </c>
      <c r="B30" s="43">
        <v>50</v>
      </c>
      <c r="C30" s="22">
        <v>11</v>
      </c>
      <c r="D30" s="34">
        <f t="shared" si="0"/>
        <v>550</v>
      </c>
      <c r="E30" s="23">
        <v>5</v>
      </c>
      <c r="F30" s="44">
        <f t="shared" si="1"/>
        <v>1.375</v>
      </c>
      <c r="G30" s="29"/>
      <c r="H30" s="71" t="s">
        <v>127</v>
      </c>
      <c r="I30" s="22">
        <v>30</v>
      </c>
      <c r="J30" s="22">
        <v>11</v>
      </c>
      <c r="K30" s="34">
        <f t="shared" si="2"/>
        <v>330</v>
      </c>
      <c r="L30" s="23">
        <v>1</v>
      </c>
      <c r="M30" s="44">
        <f t="shared" si="3"/>
        <v>1.65</v>
      </c>
      <c r="N30" s="29"/>
      <c r="O30" s="71" t="s">
        <v>127</v>
      </c>
      <c r="P30" s="22">
        <v>15</v>
      </c>
      <c r="Q30" s="22">
        <v>11</v>
      </c>
      <c r="R30" s="34">
        <f t="shared" si="4"/>
        <v>165</v>
      </c>
      <c r="S30" s="23">
        <v>5</v>
      </c>
      <c r="T30" s="44">
        <f t="shared" si="5"/>
        <v>1.65</v>
      </c>
    </row>
    <row r="31" spans="1:20">
      <c r="A31" s="70" t="s">
        <v>128</v>
      </c>
      <c r="B31" s="37">
        <v>35</v>
      </c>
      <c r="C31" s="38">
        <v>11</v>
      </c>
      <c r="D31" s="39">
        <f t="shared" si="0"/>
        <v>385</v>
      </c>
      <c r="E31" s="19">
        <v>18</v>
      </c>
      <c r="F31" s="40">
        <f t="shared" si="1"/>
        <v>0.96250000000000002</v>
      </c>
      <c r="G31" s="29"/>
      <c r="H31" s="70" t="s">
        <v>128</v>
      </c>
      <c r="I31" s="38">
        <v>15</v>
      </c>
      <c r="J31" s="38">
        <v>11</v>
      </c>
      <c r="K31" s="39">
        <f t="shared" si="2"/>
        <v>165</v>
      </c>
      <c r="L31" s="19">
        <v>15</v>
      </c>
      <c r="M31" s="40">
        <f t="shared" si="3"/>
        <v>0.82499999999999996</v>
      </c>
      <c r="N31" s="29"/>
      <c r="O31" s="70" t="s">
        <v>128</v>
      </c>
      <c r="P31" s="38">
        <v>5</v>
      </c>
      <c r="Q31" s="38">
        <v>11</v>
      </c>
      <c r="R31" s="39">
        <f t="shared" si="4"/>
        <v>55</v>
      </c>
      <c r="S31" s="19">
        <v>14</v>
      </c>
      <c r="T31" s="40">
        <f t="shared" si="5"/>
        <v>0.55000000000000004</v>
      </c>
    </row>
    <row r="32" spans="1:20">
      <c r="A32" s="67" t="s">
        <v>128</v>
      </c>
      <c r="B32" s="41">
        <v>40</v>
      </c>
      <c r="C32" s="68">
        <v>11</v>
      </c>
      <c r="D32" s="33">
        <f t="shared" si="0"/>
        <v>440</v>
      </c>
      <c r="E32" s="20">
        <v>10</v>
      </c>
      <c r="F32" s="42">
        <f t="shared" si="1"/>
        <v>1.1000000000000001</v>
      </c>
      <c r="G32" s="29"/>
      <c r="H32" s="67" t="s">
        <v>128</v>
      </c>
      <c r="I32" s="10">
        <v>25</v>
      </c>
      <c r="J32" s="68">
        <v>11</v>
      </c>
      <c r="K32" s="33">
        <f t="shared" si="2"/>
        <v>275</v>
      </c>
      <c r="L32" s="20">
        <v>5</v>
      </c>
      <c r="M32" s="42">
        <f t="shared" si="3"/>
        <v>1.375</v>
      </c>
      <c r="N32" s="29"/>
      <c r="O32" s="67" t="s">
        <v>128</v>
      </c>
      <c r="P32" s="10">
        <v>10</v>
      </c>
      <c r="Q32" s="68">
        <v>11</v>
      </c>
      <c r="R32" s="33">
        <f t="shared" si="4"/>
        <v>110</v>
      </c>
      <c r="S32" s="20">
        <v>12</v>
      </c>
      <c r="T32" s="42">
        <f t="shared" si="5"/>
        <v>1.1000000000000001</v>
      </c>
    </row>
    <row r="33" spans="1:20" ht="15" thickBot="1">
      <c r="A33" s="71" t="s">
        <v>128</v>
      </c>
      <c r="B33" s="43">
        <v>50</v>
      </c>
      <c r="C33" s="22">
        <v>11</v>
      </c>
      <c r="D33" s="34">
        <f t="shared" si="0"/>
        <v>550</v>
      </c>
      <c r="E33" s="23">
        <v>7</v>
      </c>
      <c r="F33" s="44">
        <f t="shared" si="1"/>
        <v>1.375</v>
      </c>
      <c r="G33" s="29"/>
      <c r="H33" s="71" t="s">
        <v>128</v>
      </c>
      <c r="I33" s="22">
        <v>30</v>
      </c>
      <c r="J33" s="22">
        <v>11</v>
      </c>
      <c r="K33" s="34">
        <f t="shared" si="2"/>
        <v>330</v>
      </c>
      <c r="L33" s="23">
        <v>1</v>
      </c>
      <c r="M33" s="44">
        <f t="shared" si="3"/>
        <v>1.65</v>
      </c>
      <c r="N33" s="29"/>
      <c r="O33" s="71" t="s">
        <v>128</v>
      </c>
      <c r="P33" s="22">
        <v>15</v>
      </c>
      <c r="Q33" s="22">
        <v>11</v>
      </c>
      <c r="R33" s="34">
        <f t="shared" si="4"/>
        <v>165</v>
      </c>
      <c r="S33" s="23">
        <v>7</v>
      </c>
      <c r="T33" s="44">
        <f t="shared" si="5"/>
        <v>1.65</v>
      </c>
    </row>
    <row r="34" spans="1:20">
      <c r="A34" s="70" t="s">
        <v>129</v>
      </c>
      <c r="B34" s="37">
        <v>35</v>
      </c>
      <c r="C34" s="38">
        <v>10</v>
      </c>
      <c r="D34" s="39">
        <f t="shared" si="0"/>
        <v>350</v>
      </c>
      <c r="E34" s="19">
        <v>17</v>
      </c>
      <c r="F34" s="40">
        <f t="shared" si="1"/>
        <v>0.875</v>
      </c>
      <c r="G34" s="29"/>
      <c r="H34" s="70" t="s">
        <v>129</v>
      </c>
      <c r="I34" s="38">
        <v>20</v>
      </c>
      <c r="J34" s="38">
        <v>10</v>
      </c>
      <c r="K34" s="39">
        <f t="shared" si="2"/>
        <v>200</v>
      </c>
      <c r="L34" s="19">
        <v>16</v>
      </c>
      <c r="M34" s="40">
        <f t="shared" si="3"/>
        <v>1</v>
      </c>
      <c r="N34" s="29"/>
      <c r="O34" s="70" t="s">
        <v>129</v>
      </c>
      <c r="P34" s="38">
        <v>5</v>
      </c>
      <c r="Q34" s="38">
        <v>10</v>
      </c>
      <c r="R34" s="39">
        <f t="shared" si="4"/>
        <v>50</v>
      </c>
      <c r="S34" s="19">
        <v>10</v>
      </c>
      <c r="T34" s="40">
        <f t="shared" si="5"/>
        <v>0.5</v>
      </c>
    </row>
    <row r="35" spans="1:20">
      <c r="A35" s="67" t="s">
        <v>129</v>
      </c>
      <c r="B35" s="41">
        <v>40</v>
      </c>
      <c r="C35" s="68">
        <v>10</v>
      </c>
      <c r="D35" s="33">
        <f t="shared" si="0"/>
        <v>400</v>
      </c>
      <c r="E35" s="20">
        <v>11</v>
      </c>
      <c r="F35" s="42">
        <f t="shared" si="1"/>
        <v>1</v>
      </c>
      <c r="G35" s="29"/>
      <c r="H35" s="67" t="s">
        <v>129</v>
      </c>
      <c r="I35" s="10">
        <v>25</v>
      </c>
      <c r="J35" s="68">
        <v>10</v>
      </c>
      <c r="K35" s="33">
        <f t="shared" si="2"/>
        <v>250</v>
      </c>
      <c r="L35" s="20">
        <v>5</v>
      </c>
      <c r="M35" s="42">
        <f t="shared" si="3"/>
        <v>1.25</v>
      </c>
      <c r="N35" s="29"/>
      <c r="O35" s="67" t="s">
        <v>129</v>
      </c>
      <c r="P35" s="10">
        <v>10</v>
      </c>
      <c r="Q35" s="68">
        <v>10</v>
      </c>
      <c r="R35" s="33">
        <f t="shared" si="4"/>
        <v>100</v>
      </c>
      <c r="S35" s="20">
        <v>10</v>
      </c>
      <c r="T35" s="42">
        <f t="shared" si="5"/>
        <v>1</v>
      </c>
    </row>
    <row r="36" spans="1:20" ht="15" thickBot="1">
      <c r="A36" s="71" t="s">
        <v>129</v>
      </c>
      <c r="B36" s="43">
        <v>50</v>
      </c>
      <c r="C36" s="22">
        <v>10</v>
      </c>
      <c r="D36" s="34">
        <f t="shared" si="0"/>
        <v>500</v>
      </c>
      <c r="E36" s="23">
        <v>7</v>
      </c>
      <c r="F36" s="44">
        <f t="shared" si="1"/>
        <v>1.25</v>
      </c>
      <c r="G36" s="29"/>
      <c r="H36" s="71" t="s">
        <v>129</v>
      </c>
      <c r="I36" s="22">
        <v>30</v>
      </c>
      <c r="J36" s="22">
        <v>10</v>
      </c>
      <c r="K36" s="34">
        <f t="shared" si="2"/>
        <v>300</v>
      </c>
      <c r="L36" s="23">
        <v>1</v>
      </c>
      <c r="M36" s="44">
        <f t="shared" si="3"/>
        <v>1.5</v>
      </c>
      <c r="N36" s="29"/>
      <c r="O36" s="71" t="s">
        <v>129</v>
      </c>
      <c r="P36" s="22">
        <v>15</v>
      </c>
      <c r="Q36" s="22">
        <v>10</v>
      </c>
      <c r="R36" s="34">
        <f t="shared" si="4"/>
        <v>150</v>
      </c>
      <c r="S36" s="23">
        <v>9</v>
      </c>
      <c r="T36" s="44">
        <f t="shared" si="5"/>
        <v>1.5</v>
      </c>
    </row>
    <row r="37" spans="1:20">
      <c r="A37" s="70" t="s">
        <v>161</v>
      </c>
      <c r="B37" s="37">
        <v>200</v>
      </c>
      <c r="C37" s="38">
        <v>0.65500000000000003</v>
      </c>
      <c r="D37" s="39">
        <f>+B37*C37</f>
        <v>131</v>
      </c>
      <c r="E37" s="19">
        <v>21</v>
      </c>
      <c r="F37" s="40">
        <f t="shared" ref="F37:F45" si="6">+D37/$B$4</f>
        <v>0.32750000000000001</v>
      </c>
      <c r="G37" s="29"/>
      <c r="H37" s="70" t="s">
        <v>161</v>
      </c>
      <c r="I37" s="38">
        <v>100</v>
      </c>
      <c r="J37" s="38">
        <v>0.65500000000000003</v>
      </c>
      <c r="K37" s="39">
        <f t="shared" si="2"/>
        <v>65.5</v>
      </c>
      <c r="L37" s="19">
        <v>27</v>
      </c>
      <c r="M37" s="40">
        <f t="shared" si="3"/>
        <v>0.32750000000000001</v>
      </c>
      <c r="N37" s="29"/>
      <c r="O37" s="70" t="s">
        <v>161</v>
      </c>
      <c r="P37" s="37">
        <v>20</v>
      </c>
      <c r="Q37" s="38">
        <v>0.65500000000000003</v>
      </c>
      <c r="R37" s="39">
        <f t="shared" si="4"/>
        <v>13.100000000000001</v>
      </c>
      <c r="S37" s="19">
        <v>12</v>
      </c>
      <c r="T37" s="40">
        <f t="shared" si="5"/>
        <v>0.13100000000000001</v>
      </c>
    </row>
    <row r="38" spans="1:20">
      <c r="A38" s="67" t="s">
        <v>161</v>
      </c>
      <c r="B38" s="72">
        <v>300</v>
      </c>
      <c r="C38" s="10">
        <v>0.65500000000000003</v>
      </c>
      <c r="D38" s="33">
        <f t="shared" si="0"/>
        <v>196.5</v>
      </c>
      <c r="E38" s="20">
        <v>10</v>
      </c>
      <c r="F38" s="42">
        <f t="shared" si="6"/>
        <v>0.49125000000000002</v>
      </c>
      <c r="G38" s="29"/>
      <c r="H38" s="67" t="s">
        <v>161</v>
      </c>
      <c r="I38" s="68">
        <v>150</v>
      </c>
      <c r="J38" s="10">
        <v>0.65500000000000003</v>
      </c>
      <c r="K38" s="33">
        <f t="shared" si="2"/>
        <v>98.25</v>
      </c>
      <c r="L38" s="20">
        <v>12</v>
      </c>
      <c r="M38" s="42">
        <f t="shared" si="3"/>
        <v>0.49125000000000002</v>
      </c>
      <c r="N38" s="29"/>
      <c r="O38" s="67" t="s">
        <v>161</v>
      </c>
      <c r="P38" s="72">
        <v>50</v>
      </c>
      <c r="Q38" s="10">
        <v>0.65500000000000003</v>
      </c>
      <c r="R38" s="33">
        <f t="shared" si="4"/>
        <v>32.75</v>
      </c>
      <c r="S38" s="20">
        <v>14</v>
      </c>
      <c r="T38" s="42">
        <f t="shared" si="5"/>
        <v>0.32750000000000001</v>
      </c>
    </row>
    <row r="39" spans="1:20" ht="15" thickBot="1">
      <c r="A39" s="71" t="s">
        <v>161</v>
      </c>
      <c r="B39" s="43">
        <v>500</v>
      </c>
      <c r="C39" s="22">
        <v>0.65500000000000003</v>
      </c>
      <c r="D39" s="34">
        <f t="shared" si="0"/>
        <v>327.5</v>
      </c>
      <c r="E39" s="23">
        <v>6</v>
      </c>
      <c r="F39" s="44">
        <f t="shared" si="6"/>
        <v>0.81874999999999998</v>
      </c>
      <c r="G39" s="29"/>
      <c r="H39" s="71" t="s">
        <v>161</v>
      </c>
      <c r="I39" s="22">
        <v>200</v>
      </c>
      <c r="J39" s="22">
        <v>0.65500000000000003</v>
      </c>
      <c r="K39" s="34">
        <f t="shared" si="2"/>
        <v>131</v>
      </c>
      <c r="L39" s="23">
        <v>6</v>
      </c>
      <c r="M39" s="44">
        <f t="shared" si="3"/>
        <v>0.65500000000000003</v>
      </c>
      <c r="N39" s="29"/>
      <c r="O39" s="71" t="s">
        <v>161</v>
      </c>
      <c r="P39" s="43">
        <v>100</v>
      </c>
      <c r="Q39" s="22">
        <v>0.65500000000000003</v>
      </c>
      <c r="R39" s="34">
        <f t="shared" si="4"/>
        <v>65.5</v>
      </c>
      <c r="S39" s="23">
        <v>8</v>
      </c>
      <c r="T39" s="44">
        <f t="shared" si="5"/>
        <v>0.65500000000000003</v>
      </c>
    </row>
    <row r="40" spans="1:20">
      <c r="A40" s="70" t="s">
        <v>162</v>
      </c>
      <c r="B40" s="37">
        <v>200</v>
      </c>
      <c r="C40" s="38">
        <v>0.65500000000000003</v>
      </c>
      <c r="D40" s="39">
        <f t="shared" si="0"/>
        <v>131</v>
      </c>
      <c r="E40" s="19">
        <v>21</v>
      </c>
      <c r="F40" s="40">
        <f t="shared" si="6"/>
        <v>0.32750000000000001</v>
      </c>
      <c r="G40" s="29"/>
      <c r="H40" s="70" t="s">
        <v>162</v>
      </c>
      <c r="I40" s="38">
        <v>100</v>
      </c>
      <c r="J40" s="38">
        <v>0.65500000000000003</v>
      </c>
      <c r="K40" s="39">
        <f t="shared" si="2"/>
        <v>65.5</v>
      </c>
      <c r="L40" s="19">
        <v>27</v>
      </c>
      <c r="M40" s="40">
        <f t="shared" si="3"/>
        <v>0.32750000000000001</v>
      </c>
      <c r="N40" s="29"/>
      <c r="O40" s="70" t="s">
        <v>162</v>
      </c>
      <c r="P40" s="37">
        <v>20</v>
      </c>
      <c r="Q40" s="38">
        <v>0.65500000000000003</v>
      </c>
      <c r="R40" s="39">
        <f t="shared" si="4"/>
        <v>13.100000000000001</v>
      </c>
      <c r="S40" s="19">
        <v>12</v>
      </c>
      <c r="T40" s="40">
        <f t="shared" si="5"/>
        <v>0.13100000000000001</v>
      </c>
    </row>
    <row r="41" spans="1:20">
      <c r="A41" s="67" t="s">
        <v>162</v>
      </c>
      <c r="B41" s="72">
        <v>300</v>
      </c>
      <c r="C41" s="10">
        <v>0.65500000000000003</v>
      </c>
      <c r="D41" s="33">
        <f t="shared" si="0"/>
        <v>196.5</v>
      </c>
      <c r="E41" s="20">
        <v>10</v>
      </c>
      <c r="F41" s="42">
        <f t="shared" si="6"/>
        <v>0.49125000000000002</v>
      </c>
      <c r="G41" s="29"/>
      <c r="H41" s="67" t="s">
        <v>162</v>
      </c>
      <c r="I41" s="68">
        <v>150</v>
      </c>
      <c r="J41" s="10">
        <v>0.65500000000000003</v>
      </c>
      <c r="K41" s="33">
        <f t="shared" si="2"/>
        <v>98.25</v>
      </c>
      <c r="L41" s="20">
        <v>12</v>
      </c>
      <c r="M41" s="42">
        <f t="shared" si="3"/>
        <v>0.49125000000000002</v>
      </c>
      <c r="N41" s="29"/>
      <c r="O41" s="67" t="s">
        <v>162</v>
      </c>
      <c r="P41" s="72">
        <v>50</v>
      </c>
      <c r="Q41" s="10">
        <v>0.65500000000000003</v>
      </c>
      <c r="R41" s="33">
        <f t="shared" si="4"/>
        <v>32.75</v>
      </c>
      <c r="S41" s="20">
        <v>14</v>
      </c>
      <c r="T41" s="42">
        <f t="shared" si="5"/>
        <v>0.32750000000000001</v>
      </c>
    </row>
    <row r="42" spans="1:20" ht="15" thickBot="1">
      <c r="A42" s="71" t="s">
        <v>162</v>
      </c>
      <c r="B42" s="43">
        <v>500</v>
      </c>
      <c r="C42" s="22">
        <v>0.65500000000000003</v>
      </c>
      <c r="D42" s="34">
        <f t="shared" si="0"/>
        <v>327.5</v>
      </c>
      <c r="E42" s="23">
        <v>6</v>
      </c>
      <c r="F42" s="44">
        <f t="shared" si="6"/>
        <v>0.81874999999999998</v>
      </c>
      <c r="G42" s="29"/>
      <c r="H42" s="71" t="s">
        <v>162</v>
      </c>
      <c r="I42" s="22">
        <v>200</v>
      </c>
      <c r="J42" s="22">
        <v>0.65500000000000003</v>
      </c>
      <c r="K42" s="34">
        <f t="shared" si="2"/>
        <v>131</v>
      </c>
      <c r="L42" s="23">
        <v>6</v>
      </c>
      <c r="M42" s="44">
        <f t="shared" si="3"/>
        <v>0.65500000000000003</v>
      </c>
      <c r="N42" s="29"/>
      <c r="O42" s="71" t="s">
        <v>162</v>
      </c>
      <c r="P42" s="43">
        <v>100</v>
      </c>
      <c r="Q42" s="22">
        <v>0.65500000000000003</v>
      </c>
      <c r="R42" s="34">
        <f t="shared" si="4"/>
        <v>65.5</v>
      </c>
      <c r="S42" s="23">
        <v>8</v>
      </c>
      <c r="T42" s="44">
        <f t="shared" si="5"/>
        <v>0.65500000000000003</v>
      </c>
    </row>
    <row r="43" spans="1:20">
      <c r="A43" s="70" t="s">
        <v>163</v>
      </c>
      <c r="B43" s="37">
        <v>35</v>
      </c>
      <c r="C43" s="38">
        <v>20</v>
      </c>
      <c r="D43" s="39">
        <f t="shared" si="0"/>
        <v>700</v>
      </c>
      <c r="E43" s="19">
        <v>15</v>
      </c>
      <c r="F43" s="40">
        <f t="shared" si="6"/>
        <v>1.75</v>
      </c>
      <c r="G43" s="29"/>
      <c r="H43" s="70" t="s">
        <v>163</v>
      </c>
      <c r="I43" s="38">
        <v>20</v>
      </c>
      <c r="J43" s="38">
        <v>20</v>
      </c>
      <c r="K43" s="39">
        <f t="shared" si="2"/>
        <v>400</v>
      </c>
      <c r="L43" s="19">
        <v>16</v>
      </c>
      <c r="M43" s="40">
        <f t="shared" si="3"/>
        <v>2</v>
      </c>
      <c r="N43" s="29"/>
      <c r="O43" s="70" t="s">
        <v>163</v>
      </c>
      <c r="P43" s="38">
        <v>5</v>
      </c>
      <c r="Q43" s="38">
        <v>20</v>
      </c>
      <c r="R43" s="39">
        <f t="shared" si="4"/>
        <v>100</v>
      </c>
      <c r="S43" s="19">
        <v>16</v>
      </c>
      <c r="T43" s="40">
        <f t="shared" si="5"/>
        <v>1</v>
      </c>
    </row>
    <row r="44" spans="1:20">
      <c r="A44" s="67" t="s">
        <v>163</v>
      </c>
      <c r="B44" s="72">
        <v>40</v>
      </c>
      <c r="C44" s="68">
        <v>20</v>
      </c>
      <c r="D44" s="33">
        <f t="shared" si="0"/>
        <v>800</v>
      </c>
      <c r="E44" s="20">
        <v>10</v>
      </c>
      <c r="F44" s="42">
        <f t="shared" si="6"/>
        <v>2</v>
      </c>
      <c r="G44" s="29"/>
      <c r="H44" s="67" t="s">
        <v>163</v>
      </c>
      <c r="I44" s="10">
        <v>25</v>
      </c>
      <c r="J44" s="68">
        <v>20</v>
      </c>
      <c r="K44" s="33">
        <f t="shared" si="2"/>
        <v>500</v>
      </c>
      <c r="L44" s="20">
        <v>10</v>
      </c>
      <c r="M44" s="42">
        <f t="shared" si="3"/>
        <v>2.5</v>
      </c>
      <c r="N44" s="29"/>
      <c r="O44" s="67" t="s">
        <v>163</v>
      </c>
      <c r="P44" s="10">
        <v>10</v>
      </c>
      <c r="Q44" s="68">
        <v>20</v>
      </c>
      <c r="R44" s="33">
        <f t="shared" si="4"/>
        <v>200</v>
      </c>
      <c r="S44" s="20">
        <v>10</v>
      </c>
      <c r="T44" s="42">
        <f t="shared" si="5"/>
        <v>2</v>
      </c>
    </row>
    <row r="45" spans="1:20" ht="15" thickBot="1">
      <c r="A45" s="71" t="s">
        <v>163</v>
      </c>
      <c r="B45" s="43">
        <v>50</v>
      </c>
      <c r="C45" s="22">
        <v>20</v>
      </c>
      <c r="D45" s="34">
        <f t="shared" si="0"/>
        <v>1000</v>
      </c>
      <c r="E45" s="23">
        <v>5</v>
      </c>
      <c r="F45" s="44">
        <f t="shared" si="6"/>
        <v>2.5</v>
      </c>
      <c r="G45" s="29"/>
      <c r="H45" s="71" t="s">
        <v>163</v>
      </c>
      <c r="I45" s="22">
        <v>30</v>
      </c>
      <c r="J45" s="22">
        <v>20</v>
      </c>
      <c r="K45" s="34">
        <f t="shared" si="2"/>
        <v>600</v>
      </c>
      <c r="L45" s="23">
        <v>4</v>
      </c>
      <c r="M45" s="44">
        <f t="shared" si="3"/>
        <v>3</v>
      </c>
      <c r="N45" s="29"/>
      <c r="O45" s="71" t="s">
        <v>163</v>
      </c>
      <c r="P45" s="22">
        <v>15</v>
      </c>
      <c r="Q45" s="22">
        <v>20</v>
      </c>
      <c r="R45" s="34">
        <f t="shared" si="4"/>
        <v>300</v>
      </c>
      <c r="S45" s="23">
        <v>5</v>
      </c>
      <c r="T45" s="44">
        <f t="shared" si="5"/>
        <v>3</v>
      </c>
    </row>
    <row r="46" spans="1:20">
      <c r="A46" s="18" t="s">
        <v>41</v>
      </c>
      <c r="B46" s="10">
        <v>15</v>
      </c>
      <c r="C46" s="10">
        <v>50</v>
      </c>
      <c r="D46" s="33">
        <f t="shared" si="0"/>
        <v>750</v>
      </c>
      <c r="E46" s="20">
        <v>5</v>
      </c>
      <c r="F46" s="42">
        <f t="shared" si="1"/>
        <v>1.875</v>
      </c>
      <c r="G46" s="29"/>
      <c r="H46" s="18" t="s">
        <v>41</v>
      </c>
      <c r="I46" s="10">
        <v>6</v>
      </c>
      <c r="J46" s="10">
        <v>50</v>
      </c>
      <c r="K46" s="33">
        <f t="shared" si="2"/>
        <v>300</v>
      </c>
      <c r="L46" s="20">
        <v>5</v>
      </c>
      <c r="M46" s="42">
        <f t="shared" si="3"/>
        <v>1.5</v>
      </c>
      <c r="N46" s="29"/>
      <c r="O46" s="18" t="s">
        <v>41</v>
      </c>
      <c r="P46" s="10">
        <v>3</v>
      </c>
      <c r="Q46" s="10">
        <v>50</v>
      </c>
      <c r="R46" s="33">
        <f t="shared" si="4"/>
        <v>150</v>
      </c>
      <c r="S46" s="20">
        <v>2</v>
      </c>
      <c r="T46" s="42">
        <f t="shared" si="5"/>
        <v>1.5</v>
      </c>
    </row>
    <row r="47" spans="1:20">
      <c r="A47" s="18" t="s">
        <v>41</v>
      </c>
      <c r="B47" s="10">
        <v>25</v>
      </c>
      <c r="C47" s="10">
        <v>50</v>
      </c>
      <c r="D47" s="33">
        <f t="shared" si="0"/>
        <v>1250</v>
      </c>
      <c r="E47" s="20">
        <v>3</v>
      </c>
      <c r="F47" s="42">
        <f t="shared" si="1"/>
        <v>3.125</v>
      </c>
      <c r="G47" s="29"/>
      <c r="H47" s="18" t="s">
        <v>41</v>
      </c>
      <c r="I47" s="10">
        <v>7</v>
      </c>
      <c r="J47" s="10">
        <v>50</v>
      </c>
      <c r="K47" s="33">
        <f t="shared" si="2"/>
        <v>350</v>
      </c>
      <c r="L47" s="20">
        <v>1</v>
      </c>
      <c r="M47" s="42">
        <f t="shared" si="3"/>
        <v>1.75</v>
      </c>
      <c r="N47" s="29"/>
      <c r="O47" s="18" t="s">
        <v>41</v>
      </c>
      <c r="P47" s="10">
        <v>4</v>
      </c>
      <c r="Q47" s="10">
        <v>50</v>
      </c>
      <c r="R47" s="33">
        <f t="shared" si="4"/>
        <v>200</v>
      </c>
      <c r="S47" s="20">
        <v>2</v>
      </c>
      <c r="T47" s="42">
        <f t="shared" si="5"/>
        <v>2</v>
      </c>
    </row>
    <row r="48" spans="1:20" ht="15" thickBot="1">
      <c r="A48" s="18" t="s">
        <v>41</v>
      </c>
      <c r="B48" s="43">
        <v>30</v>
      </c>
      <c r="C48" s="22">
        <v>50</v>
      </c>
      <c r="D48" s="34">
        <f t="shared" si="0"/>
        <v>1500</v>
      </c>
      <c r="E48" s="23">
        <v>1</v>
      </c>
      <c r="F48" s="44">
        <f t="shared" si="1"/>
        <v>3.75</v>
      </c>
      <c r="G48" s="29"/>
      <c r="H48" s="18" t="s">
        <v>41</v>
      </c>
      <c r="I48" s="22">
        <v>8</v>
      </c>
      <c r="J48" s="22">
        <v>50</v>
      </c>
      <c r="K48" s="34">
        <f t="shared" si="2"/>
        <v>400</v>
      </c>
      <c r="L48" s="23">
        <v>1</v>
      </c>
      <c r="M48" s="44">
        <f t="shared" si="3"/>
        <v>2</v>
      </c>
      <c r="N48" s="29"/>
      <c r="O48" s="18" t="s">
        <v>41</v>
      </c>
      <c r="P48" s="22">
        <v>5</v>
      </c>
      <c r="Q48" s="22">
        <v>50</v>
      </c>
      <c r="R48" s="34">
        <f t="shared" si="4"/>
        <v>250</v>
      </c>
      <c r="S48" s="23">
        <v>2</v>
      </c>
      <c r="T48" s="44">
        <f t="shared" si="5"/>
        <v>2.5</v>
      </c>
    </row>
    <row r="49" spans="1:19">
      <c r="A49" s="15" t="s">
        <v>13</v>
      </c>
      <c r="B49" s="16"/>
      <c r="C49" s="16"/>
      <c r="D49" s="45">
        <f>+SUMPRODUCT(D10:D48,E10:E48)/SUM(E10:E48)</f>
        <v>390.83422459893046</v>
      </c>
      <c r="E49" s="46">
        <f>+SUM(E10:E48)</f>
        <v>374</v>
      </c>
      <c r="H49" s="15" t="s">
        <v>13</v>
      </c>
      <c r="I49" s="16"/>
      <c r="J49" s="16"/>
      <c r="K49" s="45">
        <f>+SUMPRODUCT(K10:K48,L10:L48)/SUM(L10:L48)</f>
        <v>195.41887905604719</v>
      </c>
      <c r="L49" s="46">
        <f>+SUM(L10:L48)</f>
        <v>339</v>
      </c>
      <c r="O49" s="15" t="s">
        <v>13</v>
      </c>
      <c r="P49" s="16"/>
      <c r="Q49" s="16"/>
      <c r="R49" s="45">
        <f>+SUMPRODUCT(R10:R48,S10:S48)/SUM(S10:S48)</f>
        <v>97.714626865671647</v>
      </c>
      <c r="S49" s="46">
        <f>+SUM(S10:S48)</f>
        <v>335</v>
      </c>
    </row>
    <row r="51" spans="1:19">
      <c r="A51" s="12" t="s">
        <v>60</v>
      </c>
      <c r="B51" s="47">
        <f>+D49/B4</f>
        <v>0.97708556149732617</v>
      </c>
      <c r="H51" s="12" t="s">
        <v>60</v>
      </c>
      <c r="I51" s="47">
        <f>+K49/I4</f>
        <v>0.97709439528023589</v>
      </c>
      <c r="O51" s="12" t="s">
        <v>60</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98" t="s">
        <v>61</v>
      </c>
      <c r="B1" s="98"/>
      <c r="C1" s="98"/>
      <c r="D1" s="98"/>
      <c r="E1" s="98"/>
    </row>
    <row r="2" spans="1:65">
      <c r="A2" t="s">
        <v>62</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63</v>
      </c>
    </row>
    <row r="5" spans="1:65">
      <c r="A5" t="s">
        <v>64</v>
      </c>
    </row>
    <row r="6" spans="1:65">
      <c r="A6" s="1" t="s">
        <v>65</v>
      </c>
    </row>
    <row r="8" spans="1:65" ht="18">
      <c r="A8" s="97" t="s">
        <v>66</v>
      </c>
      <c r="B8" s="97"/>
      <c r="C8" s="97"/>
      <c r="D8" s="97"/>
      <c r="E8" s="97"/>
    </row>
    <row r="9" spans="1:65" ht="15" thickBot="1"/>
    <row r="10" spans="1:65" ht="15" thickBot="1">
      <c r="B10" s="93" t="s">
        <v>67</v>
      </c>
      <c r="C10" s="93"/>
      <c r="D10" s="93"/>
      <c r="E10" s="93"/>
      <c r="G10" s="93" t="s">
        <v>38</v>
      </c>
      <c r="H10" s="93"/>
      <c r="I10" s="93"/>
      <c r="J10" s="93"/>
      <c r="L10" s="93" t="s">
        <v>39</v>
      </c>
      <c r="M10" s="93"/>
      <c r="N10" s="93"/>
      <c r="O10" s="93"/>
      <c r="Q10" s="93" t="s">
        <v>40</v>
      </c>
      <c r="R10" s="93"/>
      <c r="S10" s="93"/>
      <c r="T10" s="93"/>
      <c r="V10" s="93" t="s">
        <v>131</v>
      </c>
      <c r="W10" s="93"/>
      <c r="X10" s="93"/>
      <c r="Y10" s="93"/>
      <c r="AA10" s="93" t="s">
        <v>126</v>
      </c>
      <c r="AB10" s="93"/>
      <c r="AC10" s="93"/>
      <c r="AD10" s="93"/>
      <c r="AF10" s="93" t="s">
        <v>153</v>
      </c>
      <c r="AG10" s="93"/>
      <c r="AH10" s="93"/>
      <c r="AI10" s="93"/>
      <c r="AK10" s="93" t="s">
        <v>128</v>
      </c>
      <c r="AL10" s="93"/>
      <c r="AM10" s="93"/>
      <c r="AN10" s="93"/>
      <c r="AP10" s="93" t="s">
        <v>154</v>
      </c>
      <c r="AQ10" s="93"/>
      <c r="AR10" s="93"/>
      <c r="AS10" s="93"/>
      <c r="AU10" s="94" t="s">
        <v>167</v>
      </c>
      <c r="AV10" s="95"/>
      <c r="AW10" s="95"/>
      <c r="AX10" s="96"/>
      <c r="AZ10" s="94" t="s">
        <v>169</v>
      </c>
      <c r="BA10" s="95"/>
      <c r="BB10" s="95"/>
      <c r="BC10" s="96"/>
      <c r="BE10" s="94" t="s">
        <v>168</v>
      </c>
      <c r="BF10" s="95"/>
      <c r="BG10" s="95"/>
      <c r="BH10" s="96"/>
      <c r="BJ10" s="94" t="s">
        <v>41</v>
      </c>
      <c r="BK10" s="95"/>
      <c r="BL10" s="95"/>
      <c r="BM10" s="96"/>
    </row>
    <row r="11" spans="1:6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0.23310000000000003</v>
      </c>
      <c r="AW18" s="50"/>
      <c r="AX18" s="51">
        <f>+SUM(AX12:AX17)</f>
        <v>1.6099999999999999</v>
      </c>
      <c r="AZ18" s="50" t="s">
        <v>71</v>
      </c>
      <c r="BA18" s="50">
        <f>+SUM(BA12:BA17)</f>
        <v>0.1145</v>
      </c>
      <c r="BB18" s="50"/>
      <c r="BC18" s="51">
        <f>+SUM(BC12:BC17)</f>
        <v>1.61</v>
      </c>
      <c r="BE18" s="50" t="s">
        <v>71</v>
      </c>
      <c r="BF18" s="50">
        <f>+SUM(BF12:BF17)</f>
        <v>0.39500000000000002</v>
      </c>
      <c r="BG18" s="50"/>
      <c r="BH18" s="51">
        <f>+SUM(BH12:BH17)</f>
        <v>20</v>
      </c>
      <c r="BJ18" s="50" t="s">
        <v>71</v>
      </c>
      <c r="BK18" s="50">
        <f>+SUM(BK12:BK17)</f>
        <v>0.42499999999999999</v>
      </c>
      <c r="BL18" s="50"/>
      <c r="BM18" s="51">
        <f>+SUM(BM12:BM17)</f>
        <v>50</v>
      </c>
    </row>
    <row r="19" spans="1:65">
      <c r="B19" s="10"/>
      <c r="AX19" t="s">
        <v>173</v>
      </c>
      <c r="BC19" t="s">
        <v>173</v>
      </c>
    </row>
    <row r="21" spans="1:65" ht="18">
      <c r="A21" s="97" t="s">
        <v>72</v>
      </c>
      <c r="B21" s="97"/>
      <c r="C21" s="97"/>
      <c r="D21" s="97"/>
      <c r="E21" s="97"/>
    </row>
    <row r="22" spans="1:65" ht="15" thickBot="1"/>
    <row r="23" spans="1:65" ht="15" thickBot="1">
      <c r="A23" s="15" t="s">
        <v>73</v>
      </c>
      <c r="B23" s="52">
        <f>+Summary!E7</f>
        <v>100</v>
      </c>
    </row>
    <row r="24" spans="1:65">
      <c r="A24" s="12" t="s">
        <v>74</v>
      </c>
      <c r="B24" s="53"/>
    </row>
    <row r="25" spans="1:65">
      <c r="A25" s="54" t="s">
        <v>75</v>
      </c>
    </row>
    <row r="26" spans="1:65">
      <c r="A26" s="54" t="s">
        <v>76</v>
      </c>
    </row>
    <row r="27" spans="1:65">
      <c r="A27" t="s">
        <v>77</v>
      </c>
    </row>
    <row r="28" spans="1:65">
      <c r="A28" s="10" t="s">
        <v>78</v>
      </c>
    </row>
    <row r="29" spans="1:65">
      <c r="A29" s="10" t="s">
        <v>79</v>
      </c>
    </row>
    <row r="30" spans="1:65">
      <c r="A30" s="12" t="s">
        <v>80</v>
      </c>
    </row>
    <row r="31" spans="1:65" ht="15" thickBot="1"/>
    <row r="32" spans="1:65">
      <c r="A32" s="1" t="s">
        <v>81</v>
      </c>
      <c r="B32" s="2" t="s">
        <v>82</v>
      </c>
      <c r="C32" s="2" t="s">
        <v>83</v>
      </c>
      <c r="D32" s="2" t="s">
        <v>4</v>
      </c>
      <c r="F32" s="36" t="s">
        <v>84</v>
      </c>
      <c r="G32" s="55">
        <f>+SUMPRODUCT(B33:B37,C33:C37)</f>
        <v>0.1</v>
      </c>
    </row>
    <row r="33" spans="1:7" ht="15" thickBot="1">
      <c r="B33" s="3">
        <v>1</v>
      </c>
      <c r="C33" s="3">
        <v>0.01</v>
      </c>
      <c r="D33" s="3">
        <f>+B33*C33</f>
        <v>0.01</v>
      </c>
      <c r="F33" s="21" t="s">
        <v>85</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86</v>
      </c>
    </row>
    <row r="40" spans="1:7">
      <c r="A40" t="s">
        <v>87</v>
      </c>
    </row>
    <row r="42" spans="1:7">
      <c r="A42" s="1" t="s">
        <v>88</v>
      </c>
      <c r="B42" s="2" t="s">
        <v>82</v>
      </c>
      <c r="C42" s="2" t="s">
        <v>83</v>
      </c>
      <c r="D42" s="2" t="s">
        <v>4</v>
      </c>
    </row>
    <row r="43" spans="1:7">
      <c r="B43" s="3">
        <v>1</v>
      </c>
      <c r="C43" s="3">
        <f>+D38</f>
        <v>0.1</v>
      </c>
      <c r="D43" s="3">
        <f>+C43*B43</f>
        <v>0.1</v>
      </c>
    </row>
    <row r="44" spans="1:7">
      <c r="B44" s="50" t="s">
        <v>13</v>
      </c>
      <c r="C44" s="50">
        <f>+SUM(C43)</f>
        <v>0.1</v>
      </c>
      <c r="D44" s="50">
        <f>+D43</f>
        <v>0.1</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sheetPr codeName="Hoja22"/>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98" t="s">
        <v>61</v>
      </c>
      <c r="B1" s="98"/>
      <c r="C1" s="98"/>
      <c r="D1" s="98"/>
      <c r="E1" s="98"/>
    </row>
    <row r="2" spans="1:65">
      <c r="A2" t="s">
        <v>62</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63</v>
      </c>
    </row>
    <row r="5" spans="1:65">
      <c r="A5" t="s">
        <v>64</v>
      </c>
    </row>
    <row r="6" spans="1:65">
      <c r="A6" s="1" t="s">
        <v>65</v>
      </c>
    </row>
    <row r="8" spans="1:65" ht="18">
      <c r="A8" s="97" t="s">
        <v>66</v>
      </c>
      <c r="B8" s="97"/>
      <c r="C8" s="97"/>
      <c r="D8" s="97"/>
      <c r="E8" s="97"/>
    </row>
    <row r="9" spans="1:65" ht="15" thickBot="1"/>
    <row r="10" spans="1:65" ht="15" thickBot="1">
      <c r="B10" s="93" t="s">
        <v>67</v>
      </c>
      <c r="C10" s="93"/>
      <c r="D10" s="93"/>
      <c r="E10" s="93"/>
      <c r="G10" s="93" t="s">
        <v>38</v>
      </c>
      <c r="H10" s="93"/>
      <c r="I10" s="93"/>
      <c r="J10" s="93"/>
      <c r="L10" s="93" t="s">
        <v>39</v>
      </c>
      <c r="M10" s="93"/>
      <c r="N10" s="93"/>
      <c r="O10" s="93"/>
      <c r="Q10" s="93" t="s">
        <v>40</v>
      </c>
      <c r="R10" s="93"/>
      <c r="S10" s="93"/>
      <c r="T10" s="93"/>
      <c r="V10" s="93" t="s">
        <v>131</v>
      </c>
      <c r="W10" s="93"/>
      <c r="X10" s="93"/>
      <c r="Y10" s="93"/>
      <c r="AA10" s="93" t="s">
        <v>126</v>
      </c>
      <c r="AB10" s="93"/>
      <c r="AC10" s="93"/>
      <c r="AD10" s="93"/>
      <c r="AF10" s="93" t="s">
        <v>153</v>
      </c>
      <c r="AG10" s="93"/>
      <c r="AH10" s="93"/>
      <c r="AI10" s="93"/>
      <c r="AK10" s="93" t="s">
        <v>128</v>
      </c>
      <c r="AL10" s="93"/>
      <c r="AM10" s="93"/>
      <c r="AN10" s="93"/>
      <c r="AP10" s="93" t="s">
        <v>154</v>
      </c>
      <c r="AQ10" s="93"/>
      <c r="AR10" s="93"/>
      <c r="AS10" s="93"/>
      <c r="AU10" s="94" t="s">
        <v>167</v>
      </c>
      <c r="AV10" s="95"/>
      <c r="AW10" s="95"/>
      <c r="AX10" s="96"/>
      <c r="AZ10" s="94" t="s">
        <v>169</v>
      </c>
      <c r="BA10" s="95"/>
      <c r="BB10" s="95"/>
      <c r="BC10" s="96"/>
      <c r="BE10" s="94" t="s">
        <v>168</v>
      </c>
      <c r="BF10" s="95"/>
      <c r="BG10" s="95"/>
      <c r="BH10" s="96"/>
      <c r="BJ10" s="94" t="s">
        <v>41</v>
      </c>
      <c r="BK10" s="95"/>
      <c r="BL10" s="95"/>
      <c r="BM10" s="96"/>
    </row>
    <row r="11" spans="1:65">
      <c r="A11" s="1" t="s">
        <v>68</v>
      </c>
      <c r="B11" s="48" t="s">
        <v>25</v>
      </c>
      <c r="C11" s="48" t="s">
        <v>6</v>
      </c>
      <c r="D11" s="48" t="s">
        <v>69</v>
      </c>
      <c r="E11" s="48" t="s">
        <v>4</v>
      </c>
      <c r="G11" s="2" t="s">
        <v>25</v>
      </c>
      <c r="H11" s="2" t="s">
        <v>6</v>
      </c>
      <c r="I11" s="2" t="s">
        <v>69</v>
      </c>
      <c r="J11" s="2" t="s">
        <v>70</v>
      </c>
      <c r="L11" s="2" t="s">
        <v>25</v>
      </c>
      <c r="M11" s="2" t="s">
        <v>6</v>
      </c>
      <c r="N11" s="2" t="s">
        <v>69</v>
      </c>
      <c r="O11" s="2" t="s">
        <v>70</v>
      </c>
      <c r="Q11" s="2" t="s">
        <v>25</v>
      </c>
      <c r="R11" s="2" t="s">
        <v>6</v>
      </c>
      <c r="S11" s="2" t="s">
        <v>69</v>
      </c>
      <c r="T11" s="2" t="s">
        <v>70</v>
      </c>
      <c r="V11" s="2" t="s">
        <v>25</v>
      </c>
      <c r="W11" s="2" t="s">
        <v>6</v>
      </c>
      <c r="X11" s="2" t="s">
        <v>69</v>
      </c>
      <c r="Y11" s="2" t="s">
        <v>70</v>
      </c>
      <c r="AA11" s="2" t="s">
        <v>25</v>
      </c>
      <c r="AB11" s="2" t="s">
        <v>6</v>
      </c>
      <c r="AC11" s="2" t="s">
        <v>69</v>
      </c>
      <c r="AD11" s="2" t="s">
        <v>70</v>
      </c>
      <c r="AF11" s="2" t="s">
        <v>25</v>
      </c>
      <c r="AG11" s="2" t="s">
        <v>6</v>
      </c>
      <c r="AH11" s="2" t="s">
        <v>69</v>
      </c>
      <c r="AI11" s="2" t="s">
        <v>70</v>
      </c>
      <c r="AK11" s="2" t="s">
        <v>25</v>
      </c>
      <c r="AL11" s="2" t="s">
        <v>6</v>
      </c>
      <c r="AM11" s="2" t="s">
        <v>69</v>
      </c>
      <c r="AN11" s="2" t="s">
        <v>70</v>
      </c>
      <c r="AP11" s="2" t="s">
        <v>25</v>
      </c>
      <c r="AQ11" s="2" t="s">
        <v>6</v>
      </c>
      <c r="AR11" s="2" t="s">
        <v>69</v>
      </c>
      <c r="AS11" s="2" t="s">
        <v>70</v>
      </c>
      <c r="AU11" s="2" t="s">
        <v>25</v>
      </c>
      <c r="AV11" s="2" t="s">
        <v>6</v>
      </c>
      <c r="AW11" s="2" t="s">
        <v>69</v>
      </c>
      <c r="AX11" s="2" t="s">
        <v>70</v>
      </c>
      <c r="AZ11" s="2" t="s">
        <v>25</v>
      </c>
      <c r="BA11" s="2" t="s">
        <v>6</v>
      </c>
      <c r="BB11" s="2" t="s">
        <v>69</v>
      </c>
      <c r="BC11" s="2" t="s">
        <v>70</v>
      </c>
      <c r="BE11" s="2" t="s">
        <v>25</v>
      </c>
      <c r="BF11" s="2" t="s">
        <v>6</v>
      </c>
      <c r="BG11" s="2" t="s">
        <v>69</v>
      </c>
      <c r="BH11" s="2" t="s">
        <v>70</v>
      </c>
      <c r="BJ11" s="2" t="s">
        <v>25</v>
      </c>
      <c r="BK11" s="2" t="s">
        <v>6</v>
      </c>
      <c r="BL11" s="2" t="s">
        <v>69</v>
      </c>
      <c r="BM11" s="2" t="s">
        <v>70</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71</v>
      </c>
      <c r="C18" s="50">
        <f>+SUM(C12:C17)</f>
        <v>0.1255</v>
      </c>
      <c r="D18" s="50"/>
      <c r="E18" s="51">
        <f>+SUM(E12:E17)</f>
        <v>0.95500000000000007</v>
      </c>
      <c r="G18" s="50" t="s">
        <v>71</v>
      </c>
      <c r="H18" s="50">
        <f>+SUM(H12:H17)</f>
        <v>0.17575000000000002</v>
      </c>
      <c r="I18" s="50"/>
      <c r="J18" s="51">
        <f>+SUM(J12:J17)</f>
        <v>5</v>
      </c>
      <c r="L18" s="50" t="s">
        <v>71</v>
      </c>
      <c r="M18" s="50">
        <f>+SUM(M12:M17)</f>
        <v>0.15800000000000003</v>
      </c>
      <c r="N18" s="50"/>
      <c r="O18" s="51">
        <f>+SUM(O12:O17)</f>
        <v>8</v>
      </c>
      <c r="Q18" s="50" t="s">
        <v>71</v>
      </c>
      <c r="R18" s="50">
        <f>+SUM(R12:R17)</f>
        <v>0.15049999999999999</v>
      </c>
      <c r="S18" s="50"/>
      <c r="T18" s="51">
        <f>+SUM(T12:T17)</f>
        <v>10</v>
      </c>
      <c r="V18" s="50" t="s">
        <v>71</v>
      </c>
      <c r="W18" s="50">
        <f>+SUM(W12:W17)</f>
        <v>0.59000000000000008</v>
      </c>
      <c r="X18" s="50"/>
      <c r="Y18" s="51">
        <f>+SUM(Y12:Y17)</f>
        <v>30</v>
      </c>
      <c r="AA18" s="50" t="s">
        <v>71</v>
      </c>
      <c r="AB18" s="50">
        <f>+SUM(AB12:AB17)</f>
        <v>0.15049999999999999</v>
      </c>
      <c r="AC18" s="50"/>
      <c r="AD18" s="51">
        <f>+SUM(AD12:AD17)</f>
        <v>10</v>
      </c>
      <c r="AF18" s="50" t="s">
        <v>71</v>
      </c>
      <c r="AG18" s="50">
        <f>+SUM(AG12:AG17)</f>
        <v>0.17050000000000001</v>
      </c>
      <c r="AH18" s="50"/>
      <c r="AI18" s="51">
        <f>+SUM(AI12:AI17)</f>
        <v>11</v>
      </c>
      <c r="AK18" s="50" t="s">
        <v>71</v>
      </c>
      <c r="AL18" s="50">
        <f>+SUM(AL12:AL17)</f>
        <v>0.17050000000000001</v>
      </c>
      <c r="AM18" s="50"/>
      <c r="AN18" s="51">
        <f>+SUM(AN12:AN17)</f>
        <v>11</v>
      </c>
      <c r="AP18" s="50" t="s">
        <v>71</v>
      </c>
      <c r="AQ18" s="50">
        <f>+SUM(AQ12:AQ17)</f>
        <v>0.15049999999999999</v>
      </c>
      <c r="AR18" s="50"/>
      <c r="AS18" s="51">
        <f>+SUM(AS12:AS17)</f>
        <v>10</v>
      </c>
      <c r="AU18" s="50" t="s">
        <v>71</v>
      </c>
      <c r="AV18" s="50">
        <f>+SUM(AV12:AV17)</f>
        <v>0.23310000000000003</v>
      </c>
      <c r="AW18" s="50"/>
      <c r="AX18" s="51">
        <f>+SUM(AX12:AX17)</f>
        <v>1.6099999999999999</v>
      </c>
      <c r="AZ18" s="50" t="s">
        <v>71</v>
      </c>
      <c r="BA18" s="50">
        <f>+SUM(BA12:BA17)</f>
        <v>0.1145</v>
      </c>
      <c r="BB18" s="50"/>
      <c r="BC18" s="51">
        <f>+SUM(BC12:BC17)</f>
        <v>1.61</v>
      </c>
      <c r="BE18" s="50" t="s">
        <v>71</v>
      </c>
      <c r="BF18" s="50">
        <f>+SUM(BF12:BF17)</f>
        <v>0.39500000000000002</v>
      </c>
      <c r="BG18" s="50"/>
      <c r="BH18" s="51">
        <f>+SUM(BH12:BH17)</f>
        <v>20</v>
      </c>
      <c r="BJ18" s="50" t="s">
        <v>71</v>
      </c>
      <c r="BK18" s="50">
        <f>+SUM(BK12:BK17)</f>
        <v>0.42499999999999999</v>
      </c>
      <c r="BL18" s="50"/>
      <c r="BM18" s="51">
        <f>+SUM(BM12:BM17)</f>
        <v>50</v>
      </c>
    </row>
    <row r="19" spans="1:65">
      <c r="B19" s="10"/>
      <c r="AX19" t="s">
        <v>173</v>
      </c>
      <c r="BC19" t="s">
        <v>173</v>
      </c>
    </row>
    <row r="20" spans="1:65">
      <c r="AX20" s="89"/>
    </row>
    <row r="21" spans="1:65" ht="18">
      <c r="A21" s="97" t="s">
        <v>72</v>
      </c>
      <c r="B21" s="97"/>
      <c r="C21" s="97"/>
      <c r="D21" s="97"/>
      <c r="E21" s="97"/>
    </row>
    <row r="22" spans="1:65" ht="15" thickBot="1"/>
    <row r="23" spans="1:65" ht="15" thickBot="1">
      <c r="A23" s="15" t="s">
        <v>73</v>
      </c>
      <c r="B23" s="52">
        <f>+Summary!E7</f>
        <v>100</v>
      </c>
    </row>
    <row r="24" spans="1:65">
      <c r="A24" s="12" t="s">
        <v>74</v>
      </c>
      <c r="B24" s="53"/>
    </row>
    <row r="25" spans="1:65">
      <c r="A25" s="54" t="s">
        <v>75</v>
      </c>
    </row>
    <row r="26" spans="1:65">
      <c r="A26" s="54" t="s">
        <v>76</v>
      </c>
    </row>
    <row r="27" spans="1:65">
      <c r="A27" t="s">
        <v>77</v>
      </c>
    </row>
    <row r="28" spans="1:65">
      <c r="A28" s="10" t="s">
        <v>78</v>
      </c>
    </row>
    <row r="29" spans="1:65">
      <c r="A29" s="10" t="s">
        <v>79</v>
      </c>
    </row>
    <row r="30" spans="1:65">
      <c r="A30" s="12" t="s">
        <v>80</v>
      </c>
    </row>
    <row r="31" spans="1:65" ht="15" thickBot="1"/>
    <row r="32" spans="1:65">
      <c r="A32" s="1" t="s">
        <v>81</v>
      </c>
      <c r="B32" s="2" t="s">
        <v>82</v>
      </c>
      <c r="C32" s="2" t="s">
        <v>83</v>
      </c>
      <c r="D32" s="2" t="s">
        <v>4</v>
      </c>
      <c r="F32" s="36" t="s">
        <v>84</v>
      </c>
      <c r="G32" s="55">
        <f>+SUMPRODUCT(B33:B37,C33:C37)</f>
        <v>0.14499999999999999</v>
      </c>
    </row>
    <row r="33" spans="1:7" ht="15" thickBot="1">
      <c r="B33" s="3">
        <v>1</v>
      </c>
      <c r="C33" s="3">
        <v>0.01</v>
      </c>
      <c r="D33" s="3">
        <f>+B33*C33</f>
        <v>0.01</v>
      </c>
      <c r="F33" s="21" t="s">
        <v>85</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86</v>
      </c>
    </row>
    <row r="40" spans="1:7">
      <c r="A40" t="s">
        <v>87</v>
      </c>
    </row>
    <row r="42" spans="1:7">
      <c r="A42" s="1" t="s">
        <v>88</v>
      </c>
      <c r="B42" s="2" t="s">
        <v>82</v>
      </c>
      <c r="C42" s="2" t="s">
        <v>83</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89</v>
      </c>
    </row>
    <row r="47" spans="1:7">
      <c r="A47" t="s">
        <v>90</v>
      </c>
    </row>
    <row r="48" spans="1:7">
      <c r="A48" t="s">
        <v>91</v>
      </c>
    </row>
    <row r="49" spans="1:6">
      <c r="A49" s="10" t="s">
        <v>92</v>
      </c>
    </row>
    <row r="51" spans="1:6">
      <c r="A51" t="s">
        <v>93</v>
      </c>
    </row>
    <row r="53" spans="1:6">
      <c r="B53" s="1" t="s">
        <v>94</v>
      </c>
      <c r="C53" s="1" t="s">
        <v>95</v>
      </c>
    </row>
    <row r="54" spans="1:6">
      <c r="B54" s="2" t="s">
        <v>82</v>
      </c>
      <c r="C54" s="2" t="s">
        <v>83</v>
      </c>
      <c r="D54" s="57" t="s">
        <v>96</v>
      </c>
      <c r="E54" s="2" t="s">
        <v>97</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98</v>
      </c>
      <c r="C62" s="1" t="s">
        <v>99</v>
      </c>
    </row>
    <row r="63" spans="1:6">
      <c r="B63" s="2" t="s">
        <v>82</v>
      </c>
      <c r="C63" s="2" t="s">
        <v>83</v>
      </c>
      <c r="D63" s="57" t="s">
        <v>96</v>
      </c>
      <c r="E63" s="2" t="s">
        <v>97</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100</v>
      </c>
    </row>
    <row r="73" spans="1:6">
      <c r="A73" t="s">
        <v>101</v>
      </c>
    </row>
    <row r="74" spans="1:6">
      <c r="A74" t="s">
        <v>102</v>
      </c>
    </row>
  </sheetData>
  <mergeCells count="16">
    <mergeCell ref="AZ10:BC10"/>
    <mergeCell ref="BE10:BH10"/>
    <mergeCell ref="BJ10:BM10"/>
    <mergeCell ref="Q10:T10"/>
    <mergeCell ref="V10:Y10"/>
    <mergeCell ref="A21:E21"/>
    <mergeCell ref="A1:E1"/>
    <mergeCell ref="A8:E8"/>
    <mergeCell ref="B10:E10"/>
    <mergeCell ref="G10:J10"/>
    <mergeCell ref="L10:O10"/>
    <mergeCell ref="AU10:AX10"/>
    <mergeCell ref="AA10:AD10"/>
    <mergeCell ref="AF10:AI10"/>
    <mergeCell ref="AK10:AN10"/>
    <mergeCell ref="AP10:AS10"/>
  </mergeCells>
  <pageMargins left="0.7" right="0.7" top="0.75" bottom="0.75" header="0.51180555555555496" footer="0.51180555555555496"/>
  <pageSetup paperSize="9"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sheetPr codeName="Hoja23"/>
  <dimension ref="A1:DF19"/>
  <sheetViews>
    <sheetView workbookViewId="0">
      <pane xSplit="6" ySplit="1" topLeftCell="DB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103</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114</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115</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116</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132</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133</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134</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135</v>
      </c>
      <c r="B10" s="75">
        <f t="shared" si="33"/>
        <v>0.86614173228346425</v>
      </c>
      <c r="C10" s="3">
        <v>0</v>
      </c>
      <c r="D10" s="64">
        <f>+BH10</f>
        <v>12.700000000000005</v>
      </c>
      <c r="E10" s="3">
        <v>11</v>
      </c>
      <c r="G10" s="50" t="s">
        <v>71</v>
      </c>
      <c r="H10" s="50">
        <f>+SUM(H3:H9)</f>
        <v>1</v>
      </c>
      <c r="I10" s="50"/>
      <c r="J10" s="50"/>
      <c r="K10" s="51">
        <f>+SUM(K3:K9)</f>
        <v>3.0749999999999944</v>
      </c>
      <c r="L10" s="51"/>
      <c r="N10" s="50" t="s">
        <v>71</v>
      </c>
      <c r="O10" s="50">
        <f>+SUM(O3:O9)</f>
        <v>1</v>
      </c>
      <c r="P10" s="50"/>
      <c r="Q10" s="50"/>
      <c r="R10" s="51">
        <f>+SUM(R3:R9)</f>
        <v>7.6499999999999977</v>
      </c>
      <c r="S10" s="51"/>
      <c r="U10" s="50" t="s">
        <v>71</v>
      </c>
      <c r="V10" s="50">
        <f>+SUM(V3:V9)</f>
        <v>1</v>
      </c>
      <c r="W10" s="50"/>
      <c r="X10" s="50"/>
      <c r="Y10" s="51">
        <f>+SUM(Y3:Y9)</f>
        <v>9.3399999999999963</v>
      </c>
      <c r="Z10" s="51"/>
      <c r="AB10" s="50" t="s">
        <v>71</v>
      </c>
      <c r="AC10" s="50">
        <f>+SUM(AC3:AC9)</f>
        <v>1</v>
      </c>
      <c r="AD10" s="50"/>
      <c r="AE10" s="50"/>
      <c r="AF10" s="51">
        <f>+SUM(AF3:AF9)</f>
        <v>10.469999999999999</v>
      </c>
      <c r="AG10" s="51"/>
      <c r="AI10" s="50" t="s">
        <v>71</v>
      </c>
      <c r="AJ10" s="50">
        <f>+SUM(AJ3:AJ9)</f>
        <v>1</v>
      </c>
      <c r="AK10" s="50"/>
      <c r="AL10" s="50"/>
      <c r="AM10" s="51">
        <f>+SUM(AM3:AM9)</f>
        <v>21</v>
      </c>
      <c r="AN10" s="51"/>
      <c r="AP10" s="50" t="s">
        <v>71</v>
      </c>
      <c r="AQ10" s="50">
        <f>+SUM(AQ3:AQ9)</f>
        <v>1</v>
      </c>
      <c r="AR10" s="50"/>
      <c r="AS10" s="50"/>
      <c r="AT10" s="51">
        <f>+SUM(AT3:AT9)</f>
        <v>5</v>
      </c>
      <c r="AU10" s="51"/>
      <c r="AW10" s="50" t="s">
        <v>71</v>
      </c>
      <c r="AX10" s="50">
        <f>+SUM(AX3:AX9)</f>
        <v>1</v>
      </c>
      <c r="AY10" s="50"/>
      <c r="AZ10" s="50"/>
      <c r="BA10" s="51">
        <f>+SUM(BA3:BA9)</f>
        <v>10.549999999999997</v>
      </c>
      <c r="BB10" s="51"/>
      <c r="BD10" s="50" t="s">
        <v>71</v>
      </c>
      <c r="BE10" s="50">
        <f>+SUM(BE3:BE9)</f>
        <v>1</v>
      </c>
      <c r="BF10" s="50"/>
      <c r="BG10" s="50"/>
      <c r="BH10" s="51">
        <f>+SUM(BH3:BH9)</f>
        <v>12.700000000000005</v>
      </c>
      <c r="BI10" s="51"/>
      <c r="BK10" s="50" t="s">
        <v>71</v>
      </c>
      <c r="BL10" s="50">
        <f>+SUM(BL3:BL9)</f>
        <v>1</v>
      </c>
      <c r="BM10" s="50"/>
      <c r="BN10" s="50"/>
      <c r="BO10" s="51">
        <f>+SUM(BO3:BO9)</f>
        <v>11.400000000000006</v>
      </c>
      <c r="BP10" s="51"/>
      <c r="BR10" s="50" t="s">
        <v>71</v>
      </c>
      <c r="BS10" s="50">
        <f>+SUM(BS3:BS9)</f>
        <v>1</v>
      </c>
      <c r="BT10" s="50"/>
      <c r="BU10" s="50"/>
      <c r="BV10" s="51">
        <f>+SUM(BV3:BV9)</f>
        <v>12.25</v>
      </c>
      <c r="BW10" s="51"/>
      <c r="BY10" s="50" t="s">
        <v>71</v>
      </c>
      <c r="BZ10" s="50">
        <f>+SUM(BZ3:BZ9)</f>
        <v>1</v>
      </c>
      <c r="CA10" s="50"/>
      <c r="CB10" s="50"/>
      <c r="CC10" s="51">
        <f>+SUM(CC3:CC9)</f>
        <v>4.2300000000000004</v>
      </c>
      <c r="CD10" s="51"/>
      <c r="CF10" s="50" t="s">
        <v>71</v>
      </c>
      <c r="CG10" s="50">
        <f>+SUM(CG3:CG9)</f>
        <v>1</v>
      </c>
      <c r="CH10" s="50"/>
      <c r="CI10" s="50"/>
      <c r="CJ10" s="51">
        <f>+SUM(CJ3:CJ9)</f>
        <v>50</v>
      </c>
      <c r="CK10" s="51"/>
      <c r="CM10" s="50" t="s">
        <v>71</v>
      </c>
      <c r="CN10" s="50">
        <f>+SUM(CN3:CN9)</f>
        <v>1</v>
      </c>
      <c r="CO10" s="50"/>
      <c r="CP10" s="50"/>
      <c r="CQ10" s="51">
        <f>+SUM(CQ3:CQ9)</f>
        <v>3.0749999999999944</v>
      </c>
      <c r="CR10" s="51"/>
      <c r="CT10" s="50" t="s">
        <v>71</v>
      </c>
      <c r="CU10" s="50">
        <f>+SUM(CU3:CU9)</f>
        <v>1</v>
      </c>
      <c r="CV10" s="50"/>
      <c r="CW10" s="50"/>
      <c r="CX10" s="51">
        <f>+SUM(CX3:CX9)</f>
        <v>6.1499999999999888</v>
      </c>
      <c r="CY10" s="51"/>
      <c r="DA10" s="50" t="s">
        <v>71</v>
      </c>
      <c r="DB10" s="50">
        <f>+SUM(DB3:DB9)</f>
        <v>1</v>
      </c>
      <c r="DC10" s="50"/>
      <c r="DD10" s="50"/>
      <c r="DE10" s="51">
        <f>+SUM(DE3:DE9)</f>
        <v>23.450000000000003</v>
      </c>
      <c r="DF10" s="51"/>
    </row>
    <row r="11" spans="1:110">
      <c r="A11" s="75" t="s">
        <v>136</v>
      </c>
      <c r="B11" s="75">
        <f t="shared" si="33"/>
        <v>0.96491228070175394</v>
      </c>
      <c r="C11" s="3">
        <v>0</v>
      </c>
      <c r="D11" s="64">
        <f>+BO10</f>
        <v>11.400000000000006</v>
      </c>
      <c r="E11" s="3">
        <v>11</v>
      </c>
    </row>
    <row r="12" spans="1:110">
      <c r="A12" s="75" t="s">
        <v>137</v>
      </c>
      <c r="B12" s="75">
        <f t="shared" si="33"/>
        <v>0.81632653061224492</v>
      </c>
      <c r="C12" s="3">
        <v>0</v>
      </c>
      <c r="D12" s="64">
        <f>+BV10</f>
        <v>12.25</v>
      </c>
      <c r="E12" s="3">
        <v>10</v>
      </c>
    </row>
    <row r="13" spans="1:110">
      <c r="A13" s="85" t="s">
        <v>165</v>
      </c>
      <c r="B13" s="58">
        <f>+E13/D13</f>
        <v>0.42601626016260241</v>
      </c>
      <c r="C13" s="3">
        <f>1/B13/Summary!$C$7</f>
        <v>2.3473282442748049E-3</v>
      </c>
      <c r="D13" s="86">
        <f>+CQ10</f>
        <v>3.0749999999999944</v>
      </c>
      <c r="E13" s="3">
        <f>+E3*2</f>
        <v>1.31</v>
      </c>
    </row>
    <row r="14" spans="1:110">
      <c r="A14" s="85" t="s">
        <v>166</v>
      </c>
      <c r="B14" s="58">
        <f>+E14/D14</f>
        <v>0.21300813008130121</v>
      </c>
      <c r="C14" s="3">
        <f>1/B14/Summary!$C$7</f>
        <v>4.6946564885496098E-3</v>
      </c>
      <c r="D14" s="86">
        <f>+CX10</f>
        <v>6.1499999999999888</v>
      </c>
      <c r="E14" s="3">
        <f>+E13</f>
        <v>1.31</v>
      </c>
    </row>
    <row r="15" spans="1:110">
      <c r="A15" s="75" t="s">
        <v>164</v>
      </c>
      <c r="B15" s="58">
        <f>+E15/D15</f>
        <v>0.85287846481876317</v>
      </c>
      <c r="C15" s="3">
        <v>0</v>
      </c>
      <c r="D15" s="86">
        <f>+DE10</f>
        <v>23.450000000000003</v>
      </c>
      <c r="E15" s="3">
        <v>20</v>
      </c>
    </row>
    <row r="16" spans="1:110">
      <c r="A16" s="3" t="s">
        <v>117</v>
      </c>
      <c r="B16" s="58">
        <f>+E16/D16</f>
        <v>1</v>
      </c>
      <c r="C16" s="3">
        <v>0</v>
      </c>
      <c r="D16" s="64">
        <f>+CJ10</f>
        <v>50</v>
      </c>
      <c r="E16" s="3">
        <v>50</v>
      </c>
    </row>
    <row r="17" spans="1:2">
      <c r="A17" s="3" t="s">
        <v>118</v>
      </c>
      <c r="B17" s="65" t="str">
        <f>+CONCATENATE("x",J3," - x",J9)</f>
        <v>x2 - x50</v>
      </c>
    </row>
    <row r="19" spans="1:2">
      <c r="A19" t="s">
        <v>170</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114</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115</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116</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132</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133</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134</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135</v>
      </c>
      <c r="B10" s="75">
        <f t="shared" si="34"/>
        <v>0.8029197080291971</v>
      </c>
      <c r="C10" s="3">
        <v>0</v>
      </c>
      <c r="D10" s="64">
        <f>+BH10</f>
        <v>13.7</v>
      </c>
      <c r="E10" s="3">
        <v>11</v>
      </c>
      <c r="G10" s="50" t="s">
        <v>71</v>
      </c>
      <c r="H10" s="50">
        <f>+SUM(H3:H9)</f>
        <v>1</v>
      </c>
      <c r="I10" s="50"/>
      <c r="J10" s="50"/>
      <c r="K10" s="51">
        <f>+SUM(K3:K9)</f>
        <v>3.3149999999999946</v>
      </c>
      <c r="L10" s="51"/>
      <c r="N10" s="50" t="s">
        <v>71</v>
      </c>
      <c r="O10" s="50">
        <f>+SUM(O3:O9)</f>
        <v>1</v>
      </c>
      <c r="P10" s="50"/>
      <c r="Q10" s="50"/>
      <c r="R10" s="51">
        <f>+SUM(R3:R9)</f>
        <v>8.2399999999999984</v>
      </c>
      <c r="S10" s="51"/>
      <c r="U10" s="50" t="s">
        <v>71</v>
      </c>
      <c r="V10" s="50">
        <f>+SUM(V3:V9)</f>
        <v>1</v>
      </c>
      <c r="W10" s="50"/>
      <c r="X10" s="50"/>
      <c r="Y10" s="51">
        <f>+SUM(Y3:Y9)</f>
        <v>10.050000000000004</v>
      </c>
      <c r="Z10" s="51"/>
      <c r="AB10" s="50" t="s">
        <v>71</v>
      </c>
      <c r="AC10" s="50">
        <f>+SUM(AC3:AC9)</f>
        <v>1</v>
      </c>
      <c r="AD10" s="50"/>
      <c r="AE10" s="50"/>
      <c r="AF10" s="51">
        <f>+SUM(AF3:AF9)</f>
        <v>11.27</v>
      </c>
      <c r="AG10" s="51"/>
      <c r="AI10" s="50" t="s">
        <v>71</v>
      </c>
      <c r="AJ10" s="50">
        <f>+SUM(AJ3:AJ9)</f>
        <v>1</v>
      </c>
      <c r="AK10" s="50"/>
      <c r="AL10" s="50"/>
      <c r="AM10" s="51">
        <f>+SUM(AM3:AM9)</f>
        <v>22.199999999999996</v>
      </c>
      <c r="AN10" s="51"/>
      <c r="AP10" s="50" t="s">
        <v>71</v>
      </c>
      <c r="AQ10" s="50">
        <f>+SUM(AQ3:AQ9)</f>
        <v>1</v>
      </c>
      <c r="AR10" s="50"/>
      <c r="AS10" s="50"/>
      <c r="AT10" s="51">
        <f>+SUM(AT3:AT9)</f>
        <v>5</v>
      </c>
      <c r="AU10" s="51"/>
      <c r="AW10" s="50" t="s">
        <v>71</v>
      </c>
      <c r="AX10" s="50">
        <f>+SUM(AX3:AX9)</f>
        <v>1</v>
      </c>
      <c r="AY10" s="50"/>
      <c r="AZ10" s="50"/>
      <c r="BA10" s="51">
        <f>+SUM(BA3:BA9)</f>
        <v>11.179999999999996</v>
      </c>
      <c r="BB10" s="51"/>
      <c r="BD10" s="50" t="s">
        <v>71</v>
      </c>
      <c r="BE10" s="50">
        <f>+SUM(BE3:BE9)</f>
        <v>1</v>
      </c>
      <c r="BF10" s="50"/>
      <c r="BG10" s="50"/>
      <c r="BH10" s="51">
        <f>+SUM(BH3:BH9)</f>
        <v>13.7</v>
      </c>
      <c r="BI10" s="51"/>
      <c r="BK10" s="50" t="s">
        <v>71</v>
      </c>
      <c r="BL10" s="50">
        <f>+SUM(BL3:BL9)</f>
        <v>1</v>
      </c>
      <c r="BM10" s="50"/>
      <c r="BN10" s="50"/>
      <c r="BO10" s="51">
        <f>+SUM(BO3:BO9)</f>
        <v>12.399999999999999</v>
      </c>
      <c r="BP10" s="51"/>
      <c r="BR10" s="50" t="s">
        <v>71</v>
      </c>
      <c r="BS10" s="50">
        <f>+SUM(BS3:BS9)</f>
        <v>1</v>
      </c>
      <c r="BT10" s="50"/>
      <c r="BU10" s="50"/>
      <c r="BV10" s="51">
        <f>+SUM(BV3:BV9)</f>
        <v>12.43</v>
      </c>
      <c r="BW10" s="51"/>
      <c r="BY10" s="50" t="s">
        <v>71</v>
      </c>
      <c r="BZ10" s="50">
        <f>+SUM(BZ3:BZ9)</f>
        <v>1</v>
      </c>
      <c r="CA10" s="50"/>
      <c r="CB10" s="50"/>
      <c r="CC10" s="51">
        <f>+SUM(CC3:CC9)</f>
        <v>4.1900000000000013</v>
      </c>
      <c r="CD10" s="51"/>
      <c r="CF10" s="50" t="s">
        <v>71</v>
      </c>
      <c r="CG10" s="50">
        <f>+SUM(CG3:CG9)</f>
        <v>1</v>
      </c>
      <c r="CH10" s="50"/>
      <c r="CI10" s="50"/>
      <c r="CJ10" s="51">
        <f>+SUM(CJ3:CJ9)</f>
        <v>50</v>
      </c>
      <c r="CK10" s="51"/>
      <c r="CM10" s="50" t="s">
        <v>71</v>
      </c>
      <c r="CN10" s="50">
        <f>+SUM(CN3:CN9)</f>
        <v>1</v>
      </c>
      <c r="CO10" s="50"/>
      <c r="CP10" s="50"/>
      <c r="CQ10" s="51">
        <f>+SUM(CQ3:CQ9)</f>
        <v>3.3149999999999946</v>
      </c>
      <c r="CR10" s="51"/>
      <c r="CT10" s="50" t="s">
        <v>71</v>
      </c>
      <c r="CU10" s="50">
        <f>+SUM(CU3:CU9)</f>
        <v>1</v>
      </c>
      <c r="CV10" s="50"/>
      <c r="CW10" s="50"/>
      <c r="CX10" s="51">
        <f>+SUM(CX3:CX9)</f>
        <v>6.6299999999999892</v>
      </c>
      <c r="CY10" s="51"/>
      <c r="DA10" s="50" t="s">
        <v>71</v>
      </c>
      <c r="DB10" s="50">
        <f>+SUM(DB3:DB9)</f>
        <v>1</v>
      </c>
      <c r="DC10" s="50"/>
      <c r="DD10" s="50"/>
      <c r="DE10" s="51">
        <f>+SUM(DE3:DE9)</f>
        <v>25.050000000000004</v>
      </c>
      <c r="DF10" s="51"/>
    </row>
    <row r="11" spans="1:110">
      <c r="A11" s="75" t="s">
        <v>136</v>
      </c>
      <c r="B11" s="75">
        <f t="shared" si="34"/>
        <v>0.88709677419354849</v>
      </c>
      <c r="C11" s="3">
        <v>0</v>
      </c>
      <c r="D11" s="64">
        <f>+BO10</f>
        <v>12.399999999999999</v>
      </c>
      <c r="E11" s="3">
        <v>11</v>
      </c>
    </row>
    <row r="12" spans="1:110">
      <c r="A12" s="75" t="s">
        <v>137</v>
      </c>
      <c r="B12" s="75">
        <f t="shared" si="34"/>
        <v>0.80450522928399038</v>
      </c>
      <c r="C12" s="3">
        <v>0</v>
      </c>
      <c r="D12" s="64">
        <f>+BV10</f>
        <v>12.43</v>
      </c>
      <c r="E12" s="3">
        <v>10</v>
      </c>
    </row>
    <row r="13" spans="1:110">
      <c r="A13" s="85" t="s">
        <v>165</v>
      </c>
      <c r="B13" s="58">
        <f>+E13/D13</f>
        <v>0.39517345399698406</v>
      </c>
      <c r="C13" s="3">
        <f>1/B13/Summary!$C$7</f>
        <v>2.5305343511450341E-3</v>
      </c>
      <c r="D13" s="86">
        <f>+CQ10</f>
        <v>3.3149999999999946</v>
      </c>
      <c r="E13" s="3">
        <f>+E3*2</f>
        <v>1.31</v>
      </c>
    </row>
    <row r="14" spans="1:110">
      <c r="A14" s="85" t="s">
        <v>166</v>
      </c>
      <c r="B14" s="58">
        <f>+E14/D14</f>
        <v>0.19758672699849203</v>
      </c>
      <c r="C14" s="3">
        <f>1/B14/Summary!$C$7</f>
        <v>5.0610687022900683E-3</v>
      </c>
      <c r="D14" s="86">
        <f>+CX10</f>
        <v>6.6299999999999892</v>
      </c>
      <c r="E14" s="3">
        <f>+E13</f>
        <v>1.31</v>
      </c>
    </row>
    <row r="15" spans="1:110">
      <c r="A15" s="75" t="s">
        <v>164</v>
      </c>
      <c r="B15" s="58">
        <f>+E15/D15</f>
        <v>0.79840319361277434</v>
      </c>
      <c r="C15" s="3">
        <v>0</v>
      </c>
      <c r="D15" s="86">
        <f>+DE10</f>
        <v>25.050000000000004</v>
      </c>
      <c r="E15" s="3">
        <v>20</v>
      </c>
    </row>
    <row r="16" spans="1:110">
      <c r="A16" s="3" t="s">
        <v>117</v>
      </c>
      <c r="B16" s="58">
        <f>+E16/D16</f>
        <v>1</v>
      </c>
      <c r="C16" s="3">
        <v>0</v>
      </c>
      <c r="D16" s="64">
        <f>+CJ10</f>
        <v>50</v>
      </c>
      <c r="E16" s="3">
        <v>50</v>
      </c>
    </row>
    <row r="17" spans="1:2">
      <c r="A17" s="3" t="s">
        <v>118</v>
      </c>
      <c r="B17" s="65" t="str">
        <f>+CONCATENATE("x",J3," - x",J9)</f>
        <v>x2 - x50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114</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115</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116</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132</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133</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134</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135</v>
      </c>
      <c r="B10" s="75">
        <f t="shared" si="34"/>
        <v>0.66465256797583083</v>
      </c>
      <c r="C10" s="3">
        <v>0</v>
      </c>
      <c r="D10" s="64">
        <f>+BH10</f>
        <v>16.55</v>
      </c>
      <c r="E10" s="3">
        <v>11</v>
      </c>
      <c r="G10" s="50" t="s">
        <v>71</v>
      </c>
      <c r="H10" s="50">
        <f>+SUM(H3:H9)</f>
        <v>1</v>
      </c>
      <c r="I10" s="50"/>
      <c r="J10" s="50"/>
      <c r="K10" s="51">
        <f>+SUM(K3:K9)</f>
        <v>3.9369999999999936</v>
      </c>
      <c r="L10" s="51"/>
      <c r="N10" s="50" t="s">
        <v>71</v>
      </c>
      <c r="O10" s="50">
        <f>+SUM(O3:O9)</f>
        <v>1</v>
      </c>
      <c r="P10" s="50"/>
      <c r="Q10" s="50"/>
      <c r="R10" s="51">
        <f>+SUM(R3:R9)</f>
        <v>9.8299999999999965</v>
      </c>
      <c r="S10" s="51"/>
      <c r="U10" s="50" t="s">
        <v>71</v>
      </c>
      <c r="V10" s="50">
        <f>+SUM(V3:V9)</f>
        <v>1</v>
      </c>
      <c r="W10" s="50"/>
      <c r="X10" s="50"/>
      <c r="Y10" s="51">
        <f>+SUM(Y3:Y9)</f>
        <v>12.050000000000004</v>
      </c>
      <c r="Z10" s="51"/>
      <c r="AB10" s="50" t="s">
        <v>71</v>
      </c>
      <c r="AC10" s="50">
        <f>+SUM(AC3:AC9)</f>
        <v>1</v>
      </c>
      <c r="AD10" s="50"/>
      <c r="AE10" s="50"/>
      <c r="AF10" s="51">
        <f>+SUM(AF3:AF9)</f>
        <v>13.209999999999996</v>
      </c>
      <c r="AG10" s="51"/>
      <c r="AI10" s="50" t="s">
        <v>71</v>
      </c>
      <c r="AJ10" s="50">
        <f>+SUM(AJ3:AJ9)</f>
        <v>1</v>
      </c>
      <c r="AK10" s="50"/>
      <c r="AL10" s="50"/>
      <c r="AM10" s="51">
        <f>+SUM(AM3:AM9)</f>
        <v>28.099999999999998</v>
      </c>
      <c r="AN10" s="51"/>
      <c r="AP10" s="50" t="s">
        <v>71</v>
      </c>
      <c r="AQ10" s="50">
        <f>+SUM(AQ3:AQ9)</f>
        <v>1</v>
      </c>
      <c r="AR10" s="50"/>
      <c r="AS10" s="50"/>
      <c r="AT10" s="51">
        <f>+SUM(AT3:AT9)</f>
        <v>6.5</v>
      </c>
      <c r="AU10" s="51"/>
      <c r="AW10" s="50" t="s">
        <v>71</v>
      </c>
      <c r="AX10" s="50">
        <f>+SUM(AX3:AX9)</f>
        <v>1</v>
      </c>
      <c r="AY10" s="50"/>
      <c r="AZ10" s="50"/>
      <c r="BA10" s="51">
        <f>+SUM(BA3:BA9)</f>
        <v>13.220000000000002</v>
      </c>
      <c r="BB10" s="51"/>
      <c r="BD10" s="50" t="s">
        <v>71</v>
      </c>
      <c r="BE10" s="50">
        <f>+SUM(BE3:BE9)</f>
        <v>1</v>
      </c>
      <c r="BF10" s="50"/>
      <c r="BG10" s="50"/>
      <c r="BH10" s="51">
        <f>+SUM(BH3:BH9)</f>
        <v>16.55</v>
      </c>
      <c r="BI10" s="51"/>
      <c r="BK10" s="50" t="s">
        <v>71</v>
      </c>
      <c r="BL10" s="50">
        <f>+SUM(BL3:BL9)</f>
        <v>1</v>
      </c>
      <c r="BM10" s="50"/>
      <c r="BN10" s="50"/>
      <c r="BO10" s="51">
        <f>+SUM(BO3:BO9)</f>
        <v>14.59</v>
      </c>
      <c r="BP10" s="51"/>
      <c r="BR10" s="50" t="s">
        <v>71</v>
      </c>
      <c r="BS10" s="50">
        <f>+SUM(BS3:BS9)</f>
        <v>1</v>
      </c>
      <c r="BT10" s="50"/>
      <c r="BU10" s="50"/>
      <c r="BV10" s="51">
        <f>+SUM(BV3:BV9)</f>
        <v>15.069999999999999</v>
      </c>
      <c r="BW10" s="51"/>
      <c r="BY10" s="50" t="s">
        <v>71</v>
      </c>
      <c r="BZ10" s="50">
        <f>+SUM(BZ3:BZ9)</f>
        <v>1</v>
      </c>
      <c r="CA10" s="50"/>
      <c r="CB10" s="50"/>
      <c r="CC10" s="51">
        <f>+SUM(CC3:CC9)</f>
        <v>5.1900000000000013</v>
      </c>
      <c r="CD10" s="51"/>
      <c r="CF10" s="50" t="s">
        <v>71</v>
      </c>
      <c r="CG10" s="50">
        <f>+SUM(CG3:CG9)</f>
        <v>1</v>
      </c>
      <c r="CH10" s="50"/>
      <c r="CI10" s="50"/>
      <c r="CJ10" s="51">
        <f>+SUM(CJ3:CJ9)</f>
        <v>53.050000000000004</v>
      </c>
      <c r="CK10" s="51"/>
      <c r="CM10" s="50" t="s">
        <v>71</v>
      </c>
      <c r="CN10" s="50">
        <f>+SUM(CN3:CN9)</f>
        <v>1</v>
      </c>
      <c r="CO10" s="50"/>
      <c r="CP10" s="50"/>
      <c r="CQ10" s="51">
        <f>+SUM(CQ3:CQ9)</f>
        <v>3.9369999999999936</v>
      </c>
      <c r="CR10" s="51"/>
      <c r="CT10" s="50" t="s">
        <v>71</v>
      </c>
      <c r="CU10" s="50">
        <f>+SUM(CU3:CU9)</f>
        <v>1</v>
      </c>
      <c r="CV10" s="50"/>
      <c r="CW10" s="50"/>
      <c r="CX10" s="51">
        <f>+SUM(CX3:CX9)</f>
        <v>7.8739999999999872</v>
      </c>
      <c r="CY10" s="51"/>
      <c r="DA10" s="50" t="s">
        <v>71</v>
      </c>
      <c r="DB10" s="50">
        <f>+SUM(DB3:DB9)</f>
        <v>1</v>
      </c>
      <c r="DC10" s="50"/>
      <c r="DD10" s="50"/>
      <c r="DE10" s="51">
        <f>+SUM(DE3:DE9)</f>
        <v>30.350000000000005</v>
      </c>
      <c r="DF10" s="51"/>
    </row>
    <row r="11" spans="1:110">
      <c r="A11" s="75" t="s">
        <v>136</v>
      </c>
      <c r="B11" s="75">
        <f t="shared" si="34"/>
        <v>0.7539410555174777</v>
      </c>
      <c r="C11" s="3">
        <v>0</v>
      </c>
      <c r="D11" s="64">
        <f>+BO10</f>
        <v>14.59</v>
      </c>
      <c r="E11" s="3">
        <v>11</v>
      </c>
    </row>
    <row r="12" spans="1:110">
      <c r="A12" s="75" t="s">
        <v>137</v>
      </c>
      <c r="B12" s="75">
        <f t="shared" si="34"/>
        <v>0.66357000663570009</v>
      </c>
      <c r="C12" s="3">
        <v>0</v>
      </c>
      <c r="D12" s="64">
        <f>+BV10</f>
        <v>15.069999999999999</v>
      </c>
      <c r="E12" s="3">
        <v>10</v>
      </c>
    </row>
    <row r="13" spans="1:110">
      <c r="A13" s="85" t="s">
        <v>165</v>
      </c>
      <c r="B13" s="58">
        <f>+E13/D13</f>
        <v>0.33274066548133152</v>
      </c>
      <c r="C13" s="3">
        <f>1/B13/Summary!$C$7</f>
        <v>3.0053435114503766E-3</v>
      </c>
      <c r="D13" s="86">
        <f>+CQ10</f>
        <v>3.9369999999999936</v>
      </c>
      <c r="E13" s="3">
        <f>+E3*2</f>
        <v>1.31</v>
      </c>
    </row>
    <row r="14" spans="1:110">
      <c r="A14" s="85" t="s">
        <v>166</v>
      </c>
      <c r="B14" s="58">
        <f>+E14/D14</f>
        <v>0.16637033274066576</v>
      </c>
      <c r="C14" s="3">
        <f>1/B14/Summary!$C$7</f>
        <v>6.0106870229007531E-3</v>
      </c>
      <c r="D14" s="86">
        <f>+CX10</f>
        <v>7.8739999999999872</v>
      </c>
      <c r="E14" s="3">
        <f>+E13</f>
        <v>1.31</v>
      </c>
    </row>
    <row r="15" spans="1:110">
      <c r="A15" s="75" t="s">
        <v>164</v>
      </c>
      <c r="B15" s="58">
        <f>+E15/D15</f>
        <v>0.65897858319604607</v>
      </c>
      <c r="C15" s="3">
        <v>0</v>
      </c>
      <c r="D15" s="86">
        <f>+DE10</f>
        <v>30.350000000000005</v>
      </c>
      <c r="E15" s="3">
        <v>20</v>
      </c>
    </row>
    <row r="16" spans="1:110">
      <c r="A16" s="3" t="s">
        <v>117</v>
      </c>
      <c r="B16" s="58">
        <f>+E16/D16</f>
        <v>0.94250706880301593</v>
      </c>
      <c r="C16" s="3">
        <v>0</v>
      </c>
      <c r="D16" s="64">
        <f>+CJ10</f>
        <v>53.050000000000004</v>
      </c>
      <c r="E16" s="3">
        <v>50</v>
      </c>
    </row>
    <row r="17" spans="1:2">
      <c r="A17" s="3" t="s">
        <v>118</v>
      </c>
      <c r="B17" s="65" t="str">
        <f>+CONCATENATE("x",J3," - x",J9)</f>
        <v>x3 - x60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133</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135</v>
      </c>
      <c r="B10" s="75">
        <f t="shared" si="34"/>
        <v>0.36727879799666113</v>
      </c>
      <c r="C10" s="3">
        <v>0</v>
      </c>
      <c r="D10" s="64">
        <f>+BH10</f>
        <v>29.95</v>
      </c>
      <c r="E10" s="3">
        <v>11</v>
      </c>
      <c r="G10" s="50" t="s">
        <v>71</v>
      </c>
      <c r="H10" s="50">
        <f>+SUM(H3:H9)</f>
        <v>1</v>
      </c>
      <c r="I10" s="50"/>
      <c r="J10" s="50"/>
      <c r="K10" s="51">
        <f>+SUM(K3:K9)</f>
        <v>7.0649999999999888</v>
      </c>
      <c r="L10" s="51"/>
      <c r="N10" s="50" t="s">
        <v>71</v>
      </c>
      <c r="O10" s="50">
        <f>+SUM(O3:O9)</f>
        <v>1</v>
      </c>
      <c r="P10" s="50"/>
      <c r="Q10" s="50"/>
      <c r="R10" s="51">
        <f>+SUM(R3:R9)</f>
        <v>18.009999999999994</v>
      </c>
      <c r="S10" s="51"/>
      <c r="U10" s="50" t="s">
        <v>71</v>
      </c>
      <c r="V10" s="50">
        <f>+SUM(V3:V9)</f>
        <v>1</v>
      </c>
      <c r="W10" s="50"/>
      <c r="X10" s="50"/>
      <c r="Y10" s="51">
        <f>+SUM(Y3:Y9)</f>
        <v>22.050000000000008</v>
      </c>
      <c r="Z10" s="51"/>
      <c r="AB10" s="50" t="s">
        <v>71</v>
      </c>
      <c r="AC10" s="50">
        <f>+SUM(AC3:AC9)</f>
        <v>1</v>
      </c>
      <c r="AD10" s="50"/>
      <c r="AE10" s="50"/>
      <c r="AF10" s="51">
        <f>+SUM(AF3:AF9)</f>
        <v>23.95</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29.95</v>
      </c>
      <c r="BI10" s="51"/>
      <c r="BK10" s="50" t="s">
        <v>71</v>
      </c>
      <c r="BL10" s="50">
        <f>+SUM(BL3:BL9)</f>
        <v>1</v>
      </c>
      <c r="BM10" s="50"/>
      <c r="BN10" s="50"/>
      <c r="BO10" s="51">
        <f>+SUM(BO3:BO9)</f>
        <v>26.349999999999998</v>
      </c>
      <c r="BP10" s="51"/>
      <c r="BR10" s="50" t="s">
        <v>71</v>
      </c>
      <c r="BS10" s="50">
        <f>+SUM(BS3:BS9)</f>
        <v>1</v>
      </c>
      <c r="BT10" s="50"/>
      <c r="BU10" s="50"/>
      <c r="BV10" s="51">
        <f>+SUM(BV3:BV9)</f>
        <v>27.4</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c r="A11" s="75" t="s">
        <v>136</v>
      </c>
      <c r="B11" s="75">
        <f t="shared" si="34"/>
        <v>0.41745730550284632</v>
      </c>
      <c r="C11" s="3">
        <v>0</v>
      </c>
      <c r="D11" s="64">
        <f>+BO10</f>
        <v>26.349999999999998</v>
      </c>
      <c r="E11" s="3">
        <v>11</v>
      </c>
    </row>
    <row r="12" spans="1:110">
      <c r="A12" s="75" t="s">
        <v>137</v>
      </c>
      <c r="B12" s="75">
        <f t="shared" si="34"/>
        <v>0.36496350364963503</v>
      </c>
      <c r="C12" s="3">
        <v>0</v>
      </c>
      <c r="D12" s="64">
        <f>+BV10</f>
        <v>27.4</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0.36529680365296802</v>
      </c>
      <c r="C15" s="3">
        <v>0</v>
      </c>
      <c r="D15" s="86">
        <f>+DE10</f>
        <v>54.75</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133</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135</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8.75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54.75</v>
      </c>
      <c r="DF10" s="51"/>
    </row>
    <row r="11" spans="1:110">
      <c r="A11" s="75" t="s">
        <v>136</v>
      </c>
      <c r="B11" s="75">
        <f t="shared" si="34"/>
        <v>0.41745730550284632</v>
      </c>
      <c r="C11" s="3">
        <v>0</v>
      </c>
      <c r="D11" s="64">
        <f>+BO10</f>
        <v>26.349999999999998</v>
      </c>
      <c r="E11" s="3">
        <v>11</v>
      </c>
    </row>
    <row r="12" spans="1:110">
      <c r="A12" s="75" t="s">
        <v>137</v>
      </c>
      <c r="B12" s="75">
        <f t="shared" si="34"/>
        <v>0.37807183364839325</v>
      </c>
      <c r="C12" s="3">
        <v>0</v>
      </c>
      <c r="D12" s="64">
        <f>+BV10</f>
        <v>26.449999999999996</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0.36529680365296802</v>
      </c>
      <c r="C15" s="3">
        <v>0</v>
      </c>
      <c r="D15" s="86">
        <f>+DE10</f>
        <v>54.75</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99" t="s">
        <v>104</v>
      </c>
      <c r="H1" s="100"/>
      <c r="I1" s="100"/>
      <c r="J1" s="100"/>
      <c r="K1" s="100"/>
      <c r="L1" s="100"/>
      <c r="N1" s="99" t="s">
        <v>105</v>
      </c>
      <c r="O1" s="100"/>
      <c r="P1" s="100"/>
      <c r="Q1" s="100"/>
      <c r="R1" s="100"/>
      <c r="S1" s="100"/>
      <c r="U1" s="99" t="s">
        <v>106</v>
      </c>
      <c r="V1" s="100"/>
      <c r="W1" s="100"/>
      <c r="X1" s="100"/>
      <c r="Y1" s="100"/>
      <c r="Z1" s="100"/>
      <c r="AB1" s="99" t="s">
        <v>107</v>
      </c>
      <c r="AC1" s="100"/>
      <c r="AD1" s="100"/>
      <c r="AE1" s="100"/>
      <c r="AF1" s="100"/>
      <c r="AG1" s="100"/>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114</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115</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116</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132</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133</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134</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135</v>
      </c>
      <c r="B10" s="75">
        <f t="shared" si="34"/>
        <v>0.37606837606837606</v>
      </c>
      <c r="C10" s="3">
        <v>0</v>
      </c>
      <c r="D10" s="64">
        <f>+BH10</f>
        <v>29.25</v>
      </c>
      <c r="E10" s="3">
        <v>11</v>
      </c>
      <c r="G10" s="50" t="s">
        <v>71</v>
      </c>
      <c r="H10" s="50">
        <f>+SUM(H3:H9)</f>
        <v>1</v>
      </c>
      <c r="I10" s="50"/>
      <c r="J10" s="50"/>
      <c r="K10" s="51">
        <f>+SUM(K3:K9)</f>
        <v>7.0649999999999888</v>
      </c>
      <c r="L10" s="51"/>
      <c r="N10" s="50" t="s">
        <v>71</v>
      </c>
      <c r="O10" s="50">
        <f>+SUM(O3:O9)</f>
        <v>1</v>
      </c>
      <c r="P10" s="50"/>
      <c r="Q10" s="50"/>
      <c r="R10" s="51">
        <f>+SUM(R3:R9)</f>
        <v>17.449999999999996</v>
      </c>
      <c r="S10" s="51"/>
      <c r="U10" s="50" t="s">
        <v>71</v>
      </c>
      <c r="V10" s="50">
        <f>+SUM(V3:V9)</f>
        <v>1</v>
      </c>
      <c r="W10" s="50"/>
      <c r="X10" s="50"/>
      <c r="Y10" s="51">
        <f>+SUM(Y3:Y9)</f>
        <v>21.200000000000006</v>
      </c>
      <c r="Z10" s="51"/>
      <c r="AB10" s="50" t="s">
        <v>71</v>
      </c>
      <c r="AC10" s="50">
        <f>+SUM(AC3:AC9)</f>
        <v>1</v>
      </c>
      <c r="AD10" s="50"/>
      <c r="AE10" s="50"/>
      <c r="AF10" s="51">
        <f>+SUM(AF3:AF9)</f>
        <v>24.049999999999997</v>
      </c>
      <c r="AG10" s="51"/>
      <c r="AI10" s="50" t="s">
        <v>71</v>
      </c>
      <c r="AJ10" s="50">
        <f>+SUM(AJ3:AJ9)</f>
        <v>1</v>
      </c>
      <c r="AK10" s="50"/>
      <c r="AL10" s="50"/>
      <c r="AM10" s="51">
        <f>+SUM(AM3:AM9)</f>
        <v>48.75</v>
      </c>
      <c r="AN10" s="51"/>
      <c r="AP10" s="50" t="s">
        <v>71</v>
      </c>
      <c r="AQ10" s="50">
        <f>+SUM(AQ3:AQ9)</f>
        <v>1</v>
      </c>
      <c r="AR10" s="50"/>
      <c r="AS10" s="50"/>
      <c r="AT10" s="51">
        <f>+SUM(AT3:AT9)</f>
        <v>9.15</v>
      </c>
      <c r="AU10" s="51"/>
      <c r="AW10" s="50" t="s">
        <v>71</v>
      </c>
      <c r="AX10" s="50">
        <f>+SUM(AX3:AX9)</f>
        <v>1</v>
      </c>
      <c r="AY10" s="50"/>
      <c r="AZ10" s="50"/>
      <c r="BA10" s="51">
        <f>+SUM(BA3:BA9)</f>
        <v>24.15</v>
      </c>
      <c r="BB10" s="51"/>
      <c r="BD10" s="50" t="s">
        <v>71</v>
      </c>
      <c r="BE10" s="50">
        <f>+SUM(BE3:BE9)</f>
        <v>1</v>
      </c>
      <c r="BF10" s="50"/>
      <c r="BG10" s="50"/>
      <c r="BH10" s="51">
        <f>+SUM(BH3:BH9)</f>
        <v>29.25</v>
      </c>
      <c r="BI10" s="51"/>
      <c r="BK10" s="50" t="s">
        <v>71</v>
      </c>
      <c r="BL10" s="50">
        <f>+SUM(BL3:BL9)</f>
        <v>1</v>
      </c>
      <c r="BM10" s="50"/>
      <c r="BN10" s="50"/>
      <c r="BO10" s="51">
        <f>+SUM(BO3:BO9)</f>
        <v>26.349999999999998</v>
      </c>
      <c r="BP10" s="51"/>
      <c r="BR10" s="50" t="s">
        <v>71</v>
      </c>
      <c r="BS10" s="50">
        <f>+SUM(BS3:BS9)</f>
        <v>1</v>
      </c>
      <c r="BT10" s="50"/>
      <c r="BU10" s="50"/>
      <c r="BV10" s="51">
        <f>+SUM(BV3:BV9)</f>
        <v>26.449999999999996</v>
      </c>
      <c r="BW10" s="51"/>
      <c r="BY10" s="50" t="s">
        <v>71</v>
      </c>
      <c r="BZ10" s="50">
        <f>+SUM(BZ3:BZ9)</f>
        <v>1</v>
      </c>
      <c r="CA10" s="50"/>
      <c r="CB10" s="50"/>
      <c r="CC10" s="51">
        <f>+SUM(CC3:CC9)</f>
        <v>9.8500000000000121</v>
      </c>
      <c r="CD10" s="51"/>
      <c r="CF10" s="50" t="s">
        <v>71</v>
      </c>
      <c r="CG10" s="50">
        <f>+SUM(CG3:CG9)</f>
        <v>1</v>
      </c>
      <c r="CH10" s="50"/>
      <c r="CI10" s="50"/>
      <c r="CJ10" s="51">
        <f>+SUM(CJ3:CJ9)</f>
        <v>63.75</v>
      </c>
      <c r="CK10" s="51"/>
      <c r="CM10" s="50" t="s">
        <v>71</v>
      </c>
      <c r="CN10" s="50">
        <f>+SUM(CN3:CN9)</f>
        <v>1</v>
      </c>
      <c r="CO10" s="50"/>
      <c r="CP10" s="50"/>
      <c r="CQ10" s="51">
        <f>+SUM(CQ3:CQ9)</f>
        <v>7.0649999999999888</v>
      </c>
      <c r="CR10" s="51"/>
      <c r="CT10" s="50" t="s">
        <v>71</v>
      </c>
      <c r="CU10" s="50">
        <f>+SUM(CU3:CU9)</f>
        <v>1</v>
      </c>
      <c r="CV10" s="50"/>
      <c r="CW10" s="50"/>
      <c r="CX10" s="51">
        <f>+SUM(CX3:CX9)</f>
        <v>14.129999999999978</v>
      </c>
      <c r="CY10" s="51"/>
      <c r="DA10" s="50" t="s">
        <v>71</v>
      </c>
      <c r="DB10" s="50">
        <f>+SUM(DB3:DB9)</f>
        <v>1</v>
      </c>
      <c r="DC10" s="50"/>
      <c r="DD10" s="50"/>
      <c r="DE10" s="51">
        <f>+SUM(DE3:DE9)</f>
        <v>53.900000000000006</v>
      </c>
      <c r="DF10" s="51"/>
    </row>
    <row r="11" spans="1:110">
      <c r="A11" s="75" t="s">
        <v>136</v>
      </c>
      <c r="B11" s="75">
        <f t="shared" si="34"/>
        <v>0.41745730550284632</v>
      </c>
      <c r="C11" s="3">
        <v>0</v>
      </c>
      <c r="D11" s="64">
        <f>+BO10</f>
        <v>26.349999999999998</v>
      </c>
      <c r="E11" s="3">
        <v>11</v>
      </c>
    </row>
    <row r="12" spans="1:110">
      <c r="A12" s="75" t="s">
        <v>137</v>
      </c>
      <c r="B12" s="75">
        <f t="shared" si="34"/>
        <v>0.37807183364839325</v>
      </c>
      <c r="C12" s="3">
        <v>0</v>
      </c>
      <c r="D12" s="64">
        <f>+BV10</f>
        <v>26.449999999999996</v>
      </c>
      <c r="E12" s="3">
        <v>10</v>
      </c>
    </row>
    <row r="13" spans="1:110">
      <c r="A13" s="85" t="s">
        <v>165</v>
      </c>
      <c r="B13" s="58">
        <f>+E13/D13</f>
        <v>0.18542108987968892</v>
      </c>
      <c r="C13" s="3">
        <f>1/B13/Summary!$C$7</f>
        <v>5.3931297709923567E-3</v>
      </c>
      <c r="D13" s="86">
        <f>+CQ10</f>
        <v>7.0649999999999888</v>
      </c>
      <c r="E13" s="3">
        <f>+E3*2</f>
        <v>1.31</v>
      </c>
    </row>
    <row r="14" spans="1:110">
      <c r="A14" s="85" t="s">
        <v>166</v>
      </c>
      <c r="B14" s="58">
        <f>+E14/D14</f>
        <v>9.2710544939844458E-2</v>
      </c>
      <c r="C14" s="3">
        <f>1/B14/Summary!$C$7</f>
        <v>1.0786259541984713E-2</v>
      </c>
      <c r="D14" s="86">
        <f>+CX10</f>
        <v>14.129999999999978</v>
      </c>
      <c r="E14" s="3">
        <f>+E13</f>
        <v>1.31</v>
      </c>
    </row>
    <row r="15" spans="1:110">
      <c r="A15" s="75" t="s">
        <v>164</v>
      </c>
      <c r="B15" s="58">
        <f>+E15/D15</f>
        <v>0.37105751391465674</v>
      </c>
      <c r="C15" s="3">
        <v>0</v>
      </c>
      <c r="D15" s="86">
        <f>+DE10</f>
        <v>53.900000000000006</v>
      </c>
      <c r="E15" s="3">
        <v>20</v>
      </c>
    </row>
    <row r="16" spans="1:110">
      <c r="A16" s="3" t="s">
        <v>117</v>
      </c>
      <c r="B16" s="58">
        <f>+E16/D16</f>
        <v>0.78431372549019607</v>
      </c>
      <c r="C16" s="3">
        <v>0</v>
      </c>
      <c r="D16" s="64">
        <f>+CJ10</f>
        <v>63.75</v>
      </c>
      <c r="E16" s="3">
        <v>50</v>
      </c>
    </row>
    <row r="17" spans="1:2">
      <c r="A17" s="3" t="s">
        <v>118</v>
      </c>
      <c r="B17" s="65" t="str">
        <f>+CONCATENATE("x",J3," - x",J9)</f>
        <v>x5 - x100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147</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114</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115</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116</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132</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133</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134</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135</v>
      </c>
      <c r="B10" s="75">
        <f t="shared" si="34"/>
        <v>0.26461390425787834</v>
      </c>
      <c r="C10" s="3">
        <v>0</v>
      </c>
      <c r="D10" s="64">
        <f>+BH10</f>
        <v>41.569999999999993</v>
      </c>
      <c r="E10" s="3">
        <v>11</v>
      </c>
      <c r="G10" s="50" t="s">
        <v>71</v>
      </c>
      <c r="H10" s="50">
        <f>+SUM(H3:H9)</f>
        <v>1</v>
      </c>
      <c r="I10" s="50"/>
      <c r="J10" s="50"/>
      <c r="K10" s="51">
        <f>+SUM(K3:K9)</f>
        <v>10.019999999999982</v>
      </c>
      <c r="L10" s="51"/>
      <c r="N10" s="50" t="s">
        <v>71</v>
      </c>
      <c r="O10" s="50">
        <f>+SUM(O3:O9)</f>
        <v>1</v>
      </c>
      <c r="P10" s="50"/>
      <c r="Q10" s="50"/>
      <c r="R10" s="51">
        <f>+SUM(R3:R9)</f>
        <v>25.009999999999991</v>
      </c>
      <c r="S10" s="51"/>
      <c r="U10" s="50" t="s">
        <v>71</v>
      </c>
      <c r="V10" s="50">
        <f>+SUM(V3:V9)</f>
        <v>1</v>
      </c>
      <c r="W10" s="50"/>
      <c r="X10" s="50"/>
      <c r="Y10" s="51">
        <f>+SUM(Y3:Y9)</f>
        <v>30.450000000000006</v>
      </c>
      <c r="Z10" s="51"/>
      <c r="AB10" s="50" t="s">
        <v>71</v>
      </c>
      <c r="AC10" s="50">
        <f>+SUM(AC3:AC9)</f>
        <v>1</v>
      </c>
      <c r="AD10" s="50"/>
      <c r="AE10" s="50"/>
      <c r="AF10" s="51">
        <f>+SUM(AF3:AF9)</f>
        <v>34.25</v>
      </c>
      <c r="AG10" s="51"/>
      <c r="AI10" s="50" t="s">
        <v>71</v>
      </c>
      <c r="AJ10" s="50">
        <f>+SUM(AJ3:AJ9)</f>
        <v>1</v>
      </c>
      <c r="AK10" s="50"/>
      <c r="AL10" s="50"/>
      <c r="AM10" s="51">
        <f>+SUM(AM3:AM9)</f>
        <v>68.5</v>
      </c>
      <c r="AN10" s="51"/>
      <c r="AP10" s="50" t="s">
        <v>71</v>
      </c>
      <c r="AQ10" s="50">
        <f>+SUM(AQ3:AQ9)</f>
        <v>1</v>
      </c>
      <c r="AR10" s="50"/>
      <c r="AS10" s="50"/>
      <c r="AT10" s="51">
        <f>+SUM(AT3:AT9)</f>
        <v>12.85</v>
      </c>
      <c r="AU10" s="51"/>
      <c r="AW10" s="50" t="s">
        <v>71</v>
      </c>
      <c r="AX10" s="50">
        <f>+SUM(AX3:AX9)</f>
        <v>1</v>
      </c>
      <c r="AY10" s="50"/>
      <c r="AZ10" s="50"/>
      <c r="BA10" s="51">
        <f>+SUM(BA3:BA9)</f>
        <v>34.15</v>
      </c>
      <c r="BB10" s="51"/>
      <c r="BD10" s="50" t="s">
        <v>71</v>
      </c>
      <c r="BE10" s="50">
        <f>+SUM(BE3:BE9)</f>
        <v>1</v>
      </c>
      <c r="BF10" s="50"/>
      <c r="BG10" s="50"/>
      <c r="BH10" s="51">
        <f>+SUM(BH3:BH9)</f>
        <v>41.569999999999993</v>
      </c>
      <c r="BI10" s="51"/>
      <c r="BK10" s="50" t="s">
        <v>71</v>
      </c>
      <c r="BL10" s="50">
        <f>+SUM(BL3:BL9)</f>
        <v>1</v>
      </c>
      <c r="BM10" s="50"/>
      <c r="BN10" s="50"/>
      <c r="BO10" s="51">
        <f>+SUM(BO3:BO9)</f>
        <v>37.619999999999997</v>
      </c>
      <c r="BP10" s="51"/>
      <c r="BR10" s="50" t="s">
        <v>71</v>
      </c>
      <c r="BS10" s="50">
        <f>+SUM(BS3:BS9)</f>
        <v>1</v>
      </c>
      <c r="BT10" s="50"/>
      <c r="BU10" s="50"/>
      <c r="BV10" s="51">
        <f>+SUM(BV3:BV9)</f>
        <v>37.779999999999994</v>
      </c>
      <c r="BW10" s="51"/>
      <c r="BY10" s="50" t="s">
        <v>71</v>
      </c>
      <c r="BZ10" s="50">
        <f>+SUM(BZ3:BZ9)</f>
        <v>1</v>
      </c>
      <c r="CA10" s="50"/>
      <c r="CB10" s="50"/>
      <c r="CC10" s="51">
        <f>+SUM(CC3:CC9)</f>
        <v>14.250000000000018</v>
      </c>
      <c r="CD10" s="51"/>
      <c r="CF10" s="50" t="s">
        <v>71</v>
      </c>
      <c r="CG10" s="50">
        <f>+SUM(CG3:CG9)</f>
        <v>1</v>
      </c>
      <c r="CH10" s="50"/>
      <c r="CI10" s="50"/>
      <c r="CJ10" s="51">
        <f>+SUM(CJ3:CJ9)</f>
        <v>70.25</v>
      </c>
      <c r="CK10" s="51"/>
      <c r="CM10" s="50" t="s">
        <v>71</v>
      </c>
      <c r="CN10" s="50">
        <f>+SUM(CN3:CN9)</f>
        <v>1</v>
      </c>
      <c r="CO10" s="50"/>
      <c r="CP10" s="50"/>
      <c r="CQ10" s="51">
        <f>+SUM(CQ3:CQ9)</f>
        <v>10.019999999999982</v>
      </c>
      <c r="CR10" s="51"/>
      <c r="CT10" s="50" t="s">
        <v>71</v>
      </c>
      <c r="CU10" s="50">
        <f>+SUM(CU3:CU9)</f>
        <v>1</v>
      </c>
      <c r="CV10" s="50"/>
      <c r="CW10" s="50"/>
      <c r="CX10" s="51">
        <f>+SUM(CX3:CX9)</f>
        <v>20.039999999999964</v>
      </c>
      <c r="CY10" s="51"/>
      <c r="DA10" s="50" t="s">
        <v>71</v>
      </c>
      <c r="DB10" s="50">
        <f>+SUM(DB3:DB9)</f>
        <v>1</v>
      </c>
      <c r="DC10" s="50"/>
      <c r="DD10" s="50"/>
      <c r="DE10" s="51">
        <f>+SUM(DE3:DE9)</f>
        <v>75.45</v>
      </c>
      <c r="DF10" s="51"/>
    </row>
    <row r="11" spans="1:110">
      <c r="A11" s="75" t="s">
        <v>136</v>
      </c>
      <c r="B11" s="75">
        <f t="shared" si="34"/>
        <v>0.29239766081871349</v>
      </c>
      <c r="C11" s="3">
        <v>0</v>
      </c>
      <c r="D11" s="64">
        <f>+BO10</f>
        <v>37.619999999999997</v>
      </c>
      <c r="E11" s="3">
        <v>11</v>
      </c>
    </row>
    <row r="12" spans="1:110">
      <c r="A12" s="75" t="s">
        <v>137</v>
      </c>
      <c r="B12" s="75">
        <f t="shared" si="34"/>
        <v>0.26469031233456858</v>
      </c>
      <c r="C12" s="3">
        <v>0</v>
      </c>
      <c r="D12" s="64">
        <f>+BV10</f>
        <v>37.779999999999994</v>
      </c>
      <c r="E12" s="3">
        <v>10</v>
      </c>
    </row>
    <row r="13" spans="1:110">
      <c r="A13" s="85" t="s">
        <v>165</v>
      </c>
      <c r="B13" s="58">
        <f>+E13/D13</f>
        <v>0.13073852295409205</v>
      </c>
      <c r="C13" s="3">
        <f>1/B13/Summary!$C$7</f>
        <v>7.6488549618320472E-3</v>
      </c>
      <c r="D13" s="86">
        <f>+CQ10</f>
        <v>10.019999999999982</v>
      </c>
      <c r="E13" s="3">
        <f>+E3*2</f>
        <v>1.31</v>
      </c>
    </row>
    <row r="14" spans="1:110">
      <c r="A14" s="85" t="s">
        <v>166</v>
      </c>
      <c r="B14" s="58">
        <f>+E14/D14</f>
        <v>6.5369261477046026E-2</v>
      </c>
      <c r="C14" s="3">
        <f>1/B14/Summary!$C$7</f>
        <v>1.5297709923664094E-2</v>
      </c>
      <c r="D14" s="86">
        <f>+CX10</f>
        <v>20.039999999999964</v>
      </c>
      <c r="E14" s="3">
        <f>+E13</f>
        <v>1.31</v>
      </c>
    </row>
    <row r="15" spans="1:110">
      <c r="A15" s="75" t="s">
        <v>164</v>
      </c>
      <c r="B15" s="58">
        <f>+E15/D15</f>
        <v>0.26507620941020543</v>
      </c>
      <c r="C15" s="3">
        <v>0</v>
      </c>
      <c r="D15" s="86">
        <f>+DE10</f>
        <v>75.45</v>
      </c>
      <c r="E15" s="3">
        <v>20</v>
      </c>
    </row>
    <row r="16" spans="1:110">
      <c r="A16" s="3" t="s">
        <v>117</v>
      </c>
      <c r="B16" s="58">
        <f>+E16/D16</f>
        <v>0.71174377224199292</v>
      </c>
      <c r="C16" s="3">
        <v>0</v>
      </c>
      <c r="D16" s="64">
        <f>+CJ10</f>
        <v>70.25</v>
      </c>
      <c r="E16" s="3">
        <v>50</v>
      </c>
    </row>
    <row r="17" spans="1:2">
      <c r="A17" s="3" t="s">
        <v>118</v>
      </c>
      <c r="B17" s="65" t="str">
        <f>+CONCATENATE("x",J3," - x",J9)</f>
        <v>x7 - x150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115</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116</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132</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133</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134</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135</v>
      </c>
      <c r="B10" s="75">
        <f t="shared" si="34"/>
        <v>0.17501988862370726</v>
      </c>
      <c r="C10" s="3">
        <v>0</v>
      </c>
      <c r="D10" s="64">
        <f>+BH10</f>
        <v>62.849999999999994</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46.250000000000014</v>
      </c>
      <c r="Z10" s="51"/>
      <c r="AB10" s="50" t="s">
        <v>71</v>
      </c>
      <c r="AC10" s="50">
        <f>+SUM(AC3:AC9)</f>
        <v>1</v>
      </c>
      <c r="AD10" s="50"/>
      <c r="AE10" s="50"/>
      <c r="AF10" s="51">
        <f>+SUM(AF3:AF9)</f>
        <v>51.7</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52.4</v>
      </c>
      <c r="BB10" s="51"/>
      <c r="BD10" s="50" t="s">
        <v>71</v>
      </c>
      <c r="BE10" s="50">
        <f>+SUM(BE3:BE9)</f>
        <v>1</v>
      </c>
      <c r="BF10" s="50"/>
      <c r="BG10" s="50"/>
      <c r="BH10" s="51">
        <f>+SUM(BH3:BH9)</f>
        <v>62.849999999999994</v>
      </c>
      <c r="BI10" s="51"/>
      <c r="BK10" s="50" t="s">
        <v>71</v>
      </c>
      <c r="BL10" s="50">
        <f>+SUM(BL3:BL9)</f>
        <v>1</v>
      </c>
      <c r="BM10" s="50"/>
      <c r="BN10" s="50"/>
      <c r="BO10" s="51">
        <f>+SUM(BO3:BO9)</f>
        <v>56.350000000000009</v>
      </c>
      <c r="BP10" s="51"/>
      <c r="BR10" s="50" t="s">
        <v>71</v>
      </c>
      <c r="BS10" s="50">
        <f>+SUM(BS3:BS9)</f>
        <v>1</v>
      </c>
      <c r="BT10" s="50"/>
      <c r="BU10" s="50"/>
      <c r="BV10" s="51">
        <f>+SUM(BV3:BV9)</f>
        <v>57.399999999999991</v>
      </c>
      <c r="BW10" s="51"/>
      <c r="BY10" s="50" t="s">
        <v>71</v>
      </c>
      <c r="BZ10" s="50">
        <f>+SUM(BZ3:BZ9)</f>
        <v>1</v>
      </c>
      <c r="CA10" s="50"/>
      <c r="CB10" s="50"/>
      <c r="CC10" s="51">
        <f>+SUM(CC3:CC9)</f>
        <v>21.500000000000025</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c r="A11" s="75" t="s">
        <v>136</v>
      </c>
      <c r="B11" s="75">
        <f t="shared" si="34"/>
        <v>0.19520851818988463</v>
      </c>
      <c r="C11" s="3">
        <v>0</v>
      </c>
      <c r="D11" s="64">
        <f>+BO10</f>
        <v>56.350000000000009</v>
      </c>
      <c r="E11" s="3">
        <v>11</v>
      </c>
    </row>
    <row r="12" spans="1:110">
      <c r="A12" s="75" t="s">
        <v>137</v>
      </c>
      <c r="B12" s="75">
        <f t="shared" si="34"/>
        <v>0.1742160278745645</v>
      </c>
      <c r="C12" s="3">
        <v>0</v>
      </c>
      <c r="D12" s="64">
        <f>+BV10</f>
        <v>57.399999999999991</v>
      </c>
      <c r="E12" s="3">
        <v>10</v>
      </c>
    </row>
    <row r="13" spans="1:110">
      <c r="A13" s="85" t="s">
        <v>165</v>
      </c>
      <c r="B13" s="58">
        <f>+E13/D13</f>
        <v>8.6042692939244783E-2</v>
      </c>
      <c r="C13" s="3">
        <f>1/B13/Summary!$C$7</f>
        <v>1.1622137404580136E-2</v>
      </c>
      <c r="D13" s="86">
        <f>+CQ10</f>
        <v>15.224999999999978</v>
      </c>
      <c r="E13" s="3">
        <f>+E3*2</f>
        <v>1.31</v>
      </c>
    </row>
    <row r="14" spans="1:110">
      <c r="A14" s="85" t="s">
        <v>166</v>
      </c>
      <c r="B14" s="58">
        <f>+E14/D14</f>
        <v>4.3021346469622392E-2</v>
      </c>
      <c r="C14" s="3">
        <f>1/B14/Summary!$C$7</f>
        <v>2.3244274809160272E-2</v>
      </c>
      <c r="D14" s="86">
        <f>+CX10</f>
        <v>30.449999999999957</v>
      </c>
      <c r="E14" s="3">
        <f>+E13</f>
        <v>1.31</v>
      </c>
    </row>
    <row r="15" spans="1:110">
      <c r="A15" s="75" t="s">
        <v>164</v>
      </c>
      <c r="B15" s="58">
        <f>+E15/D15</f>
        <v>0.17241379310344829</v>
      </c>
      <c r="C15" s="3">
        <v>0</v>
      </c>
      <c r="D15" s="86">
        <f>+DE10</f>
        <v>116</v>
      </c>
      <c r="E15" s="3">
        <v>20</v>
      </c>
    </row>
    <row r="16" spans="1:110">
      <c r="A16" s="3" t="s">
        <v>117</v>
      </c>
      <c r="B16" s="58">
        <f>+E16/D16</f>
        <v>0.5</v>
      </c>
      <c r="C16" s="3">
        <v>0</v>
      </c>
      <c r="D16" s="64">
        <f>+CJ10</f>
        <v>100</v>
      </c>
      <c r="E16" s="3">
        <v>50</v>
      </c>
    </row>
    <row r="17" spans="1:2">
      <c r="A17" s="3" t="s">
        <v>118</v>
      </c>
      <c r="B17" s="65" t="str">
        <f>+CONCATENATE("x",J3," - x",J9)</f>
        <v>x10 - x200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123</v>
      </c>
      <c r="G1" s="99" t="s">
        <v>104</v>
      </c>
      <c r="H1" s="100"/>
      <c r="I1" s="100"/>
      <c r="J1" s="100"/>
      <c r="K1" s="100"/>
      <c r="L1" s="100"/>
      <c r="N1" s="99" t="s">
        <v>105</v>
      </c>
      <c r="O1" s="100"/>
      <c r="P1" s="100"/>
      <c r="Q1" s="100"/>
      <c r="R1" s="100"/>
      <c r="S1" s="100"/>
      <c r="U1" s="99" t="s">
        <v>106</v>
      </c>
      <c r="V1" s="100"/>
      <c r="W1" s="100"/>
      <c r="X1" s="100"/>
      <c r="Y1" s="100"/>
      <c r="Z1" s="100"/>
      <c r="AB1" s="99" t="s">
        <v>107</v>
      </c>
      <c r="AC1" s="100"/>
      <c r="AD1" s="100"/>
      <c r="AE1" s="100"/>
      <c r="AF1" s="100"/>
      <c r="AG1" s="100"/>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114</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115</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116</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132</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133</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134</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135</v>
      </c>
      <c r="B10" s="75">
        <f t="shared" si="34"/>
        <v>0.17147310989867492</v>
      </c>
      <c r="C10" s="3">
        <v>0</v>
      </c>
      <c r="D10" s="64">
        <f>+BH10</f>
        <v>64.15000000000002</v>
      </c>
      <c r="E10" s="3">
        <v>11</v>
      </c>
      <c r="G10" s="50" t="s">
        <v>71</v>
      </c>
      <c r="H10" s="50">
        <f>+SUM(H3:H9)</f>
        <v>1</v>
      </c>
      <c r="I10" s="50"/>
      <c r="J10" s="50"/>
      <c r="K10" s="51">
        <f>+SUM(K3:K9)</f>
        <v>15.224999999999978</v>
      </c>
      <c r="L10" s="51"/>
      <c r="N10" s="50" t="s">
        <v>71</v>
      </c>
      <c r="O10" s="50">
        <f>+SUM(O3:O9)</f>
        <v>1</v>
      </c>
      <c r="P10" s="50"/>
      <c r="Q10" s="50"/>
      <c r="R10" s="51">
        <f>+SUM(R3:R9)</f>
        <v>37.849999999999994</v>
      </c>
      <c r="S10" s="51"/>
      <c r="U10" s="50" t="s">
        <v>71</v>
      </c>
      <c r="V10" s="50">
        <f>+SUM(V3:V9)</f>
        <v>1</v>
      </c>
      <c r="W10" s="50"/>
      <c r="X10" s="50"/>
      <c r="Y10" s="51">
        <f>+SUM(Y3:Y9)</f>
        <v>46.600000000000009</v>
      </c>
      <c r="Z10" s="51"/>
      <c r="AB10" s="50" t="s">
        <v>71</v>
      </c>
      <c r="AC10" s="50">
        <f>+SUM(AC3:AC9)</f>
        <v>1</v>
      </c>
      <c r="AD10" s="50"/>
      <c r="AE10" s="50"/>
      <c r="AF10" s="51">
        <f>+SUM(AF3:AF9)</f>
        <v>51.84999999999998</v>
      </c>
      <c r="AG10" s="51"/>
      <c r="AI10" s="50" t="s">
        <v>71</v>
      </c>
      <c r="AJ10" s="50">
        <f>+SUM(AJ3:AJ9)</f>
        <v>1</v>
      </c>
      <c r="AK10" s="50"/>
      <c r="AL10" s="50"/>
      <c r="AM10" s="51">
        <f>+SUM(AM3:AM9)</f>
        <v>104.25</v>
      </c>
      <c r="AN10" s="51"/>
      <c r="AP10" s="50" t="s">
        <v>71</v>
      </c>
      <c r="AQ10" s="50">
        <f>+SUM(AQ3:AQ9)</f>
        <v>1</v>
      </c>
      <c r="AR10" s="50"/>
      <c r="AS10" s="50"/>
      <c r="AT10" s="51">
        <f>+SUM(AT3:AT9)</f>
        <v>21.25</v>
      </c>
      <c r="AU10" s="51"/>
      <c r="AW10" s="50" t="s">
        <v>71</v>
      </c>
      <c r="AX10" s="50">
        <f>+SUM(AX3:AX9)</f>
        <v>1</v>
      </c>
      <c r="AY10" s="50"/>
      <c r="AZ10" s="50"/>
      <c r="BA10" s="51">
        <f>+SUM(BA3:BA9)</f>
        <v>52.35</v>
      </c>
      <c r="BB10" s="51"/>
      <c r="BD10" s="50" t="s">
        <v>71</v>
      </c>
      <c r="BE10" s="50">
        <f>+SUM(BE3:BE9)</f>
        <v>1</v>
      </c>
      <c r="BF10" s="50"/>
      <c r="BG10" s="50"/>
      <c r="BH10" s="51">
        <f>+SUM(BH3:BH9)</f>
        <v>64.15000000000002</v>
      </c>
      <c r="BI10" s="51"/>
      <c r="BK10" s="50" t="s">
        <v>71</v>
      </c>
      <c r="BL10" s="50">
        <f>+SUM(BL3:BL9)</f>
        <v>1</v>
      </c>
      <c r="BM10" s="50"/>
      <c r="BN10" s="50"/>
      <c r="BO10" s="51">
        <f>+SUM(BO3:BO9)</f>
        <v>56.350000000000009</v>
      </c>
      <c r="BP10" s="51"/>
      <c r="BR10" s="50" t="s">
        <v>71</v>
      </c>
      <c r="BS10" s="50">
        <f>+SUM(BS3:BS9)</f>
        <v>1</v>
      </c>
      <c r="BT10" s="50"/>
      <c r="BU10" s="50"/>
      <c r="BV10" s="51">
        <f>+SUM(BV3:BV9)</f>
        <v>58.29999999999999</v>
      </c>
      <c r="BW10" s="51"/>
      <c r="BY10" s="50" t="s">
        <v>71</v>
      </c>
      <c r="BZ10" s="50">
        <f>+SUM(BZ3:BZ9)</f>
        <v>1</v>
      </c>
      <c r="CA10" s="50"/>
      <c r="CB10" s="50"/>
      <c r="CC10" s="51">
        <f>+SUM(CC3:CC9)</f>
        <v>22.399999999999977</v>
      </c>
      <c r="CD10" s="51"/>
      <c r="CF10" s="50" t="s">
        <v>71</v>
      </c>
      <c r="CG10" s="50">
        <f>+SUM(CG3:CG9)</f>
        <v>1</v>
      </c>
      <c r="CH10" s="50"/>
      <c r="CI10" s="50"/>
      <c r="CJ10" s="51">
        <f>+SUM(CJ3:CJ9)</f>
        <v>100</v>
      </c>
      <c r="CK10" s="51"/>
      <c r="CM10" s="50" t="s">
        <v>71</v>
      </c>
      <c r="CN10" s="50">
        <f>+SUM(CN3:CN9)</f>
        <v>1</v>
      </c>
      <c r="CO10" s="50"/>
      <c r="CP10" s="50"/>
      <c r="CQ10" s="51">
        <f>+SUM(CQ3:CQ9)</f>
        <v>15.224999999999978</v>
      </c>
      <c r="CR10" s="51"/>
      <c r="CT10" s="50" t="s">
        <v>71</v>
      </c>
      <c r="CU10" s="50">
        <f>+SUM(CU3:CU9)</f>
        <v>1</v>
      </c>
      <c r="CV10" s="50"/>
      <c r="CW10" s="50"/>
      <c r="CX10" s="51">
        <f>+SUM(CX3:CX9)</f>
        <v>30.449999999999957</v>
      </c>
      <c r="CY10" s="51"/>
      <c r="DA10" s="50" t="s">
        <v>71</v>
      </c>
      <c r="DB10" s="50">
        <f>+SUM(DB3:DB9)</f>
        <v>1</v>
      </c>
      <c r="DC10" s="50"/>
      <c r="DD10" s="50"/>
      <c r="DE10" s="51">
        <f>+SUM(DE3:DE9)</f>
        <v>116</v>
      </c>
      <c r="DF10" s="51"/>
    </row>
    <row r="11" spans="1:110">
      <c r="A11" s="75" t="s">
        <v>136</v>
      </c>
      <c r="B11" s="75">
        <f t="shared" si="34"/>
        <v>0.19520851818988463</v>
      </c>
      <c r="C11" s="3">
        <v>0</v>
      </c>
      <c r="D11" s="64">
        <f>+BO10</f>
        <v>56.350000000000009</v>
      </c>
      <c r="E11" s="3">
        <v>11</v>
      </c>
    </row>
    <row r="12" spans="1:110">
      <c r="A12" s="75" t="s">
        <v>137</v>
      </c>
      <c r="B12" s="75">
        <f t="shared" si="34"/>
        <v>0.17152658662092626</v>
      </c>
      <c r="C12" s="3">
        <v>0</v>
      </c>
      <c r="D12" s="64">
        <f>+BV10</f>
        <v>58.29999999999999</v>
      </c>
      <c r="E12" s="3">
        <v>10</v>
      </c>
    </row>
    <row r="13" spans="1:110">
      <c r="A13" s="85" t="s">
        <v>165</v>
      </c>
      <c r="B13" s="58">
        <f>+E13/D13</f>
        <v>8.6042692939244783E-2</v>
      </c>
      <c r="C13" s="3">
        <f>1/B13/Summary!$C$7</f>
        <v>1.1622137404580136E-2</v>
      </c>
      <c r="D13" s="86">
        <f>+CQ10</f>
        <v>15.224999999999978</v>
      </c>
      <c r="E13" s="3">
        <f>+E3*2</f>
        <v>1.31</v>
      </c>
    </row>
    <row r="14" spans="1:110">
      <c r="A14" s="85" t="s">
        <v>166</v>
      </c>
      <c r="B14" s="58">
        <f>+E14/D14</f>
        <v>4.3021346469622392E-2</v>
      </c>
      <c r="C14" s="3">
        <f>1/B14/Summary!$C$7</f>
        <v>2.3244274809160272E-2</v>
      </c>
      <c r="D14" s="86">
        <f>+CX10</f>
        <v>30.449999999999957</v>
      </c>
      <c r="E14" s="3">
        <f>+E13</f>
        <v>1.31</v>
      </c>
    </row>
    <row r="15" spans="1:110">
      <c r="A15" s="75" t="s">
        <v>164</v>
      </c>
      <c r="B15" s="58">
        <f>+E15/D15</f>
        <v>0.17241379310344829</v>
      </c>
      <c r="C15" s="3">
        <v>0</v>
      </c>
      <c r="D15" s="86">
        <f>+DE10</f>
        <v>116</v>
      </c>
      <c r="E15" s="3">
        <v>20</v>
      </c>
    </row>
    <row r="16" spans="1:110">
      <c r="A16" s="3" t="s">
        <v>117</v>
      </c>
      <c r="B16" s="58">
        <f>+E16/D16</f>
        <v>0.5</v>
      </c>
      <c r="C16" s="3">
        <v>0</v>
      </c>
      <c r="D16" s="64">
        <f>+CJ10</f>
        <v>100</v>
      </c>
      <c r="E16" s="3">
        <v>50</v>
      </c>
    </row>
    <row r="17" spans="1:2">
      <c r="A17" s="3" t="s">
        <v>118</v>
      </c>
      <c r="B17" s="65" t="str">
        <f>+CONCATENATE("x",J3," - x",J9)</f>
        <v>x10 - x200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114</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115</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116</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132</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133</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134</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135</v>
      </c>
      <c r="B10" s="75">
        <f t="shared" si="34"/>
        <v>2.2155085599194348E-2</v>
      </c>
      <c r="C10" s="3">
        <v>0</v>
      </c>
      <c r="D10" s="64">
        <f>+BH10</f>
        <v>496.50000000000028</v>
      </c>
      <c r="E10" s="3">
        <v>11</v>
      </c>
      <c r="G10" s="50" t="s">
        <v>71</v>
      </c>
      <c r="H10" s="50">
        <f>+SUM(H3:H9)</f>
        <v>1</v>
      </c>
      <c r="I10" s="50"/>
      <c r="J10" s="50"/>
      <c r="K10" s="51">
        <f>+SUM(K3:K9)</f>
        <v>165.00000000000003</v>
      </c>
      <c r="L10" s="51"/>
      <c r="N10" s="50" t="s">
        <v>71</v>
      </c>
      <c r="O10" s="50">
        <f>+SUM(O3:O9)</f>
        <v>1</v>
      </c>
      <c r="P10" s="50"/>
      <c r="Q10" s="50"/>
      <c r="R10" s="51">
        <f>+SUM(R3:R9)</f>
        <v>284.50000000000006</v>
      </c>
      <c r="S10" s="51"/>
      <c r="U10" s="50" t="s">
        <v>71</v>
      </c>
      <c r="V10" s="50">
        <f>+SUM(V3:V9)</f>
        <v>1</v>
      </c>
      <c r="W10" s="50"/>
      <c r="X10" s="50"/>
      <c r="Y10" s="51">
        <f>+SUM(Y3:Y9)</f>
        <v>339.50000000000006</v>
      </c>
      <c r="Z10" s="51"/>
      <c r="AB10" s="50" t="s">
        <v>71</v>
      </c>
      <c r="AC10" s="50">
        <f>+SUM(AC3:AC9)</f>
        <v>1</v>
      </c>
      <c r="AD10" s="50"/>
      <c r="AE10" s="50"/>
      <c r="AF10" s="51">
        <f>+SUM(AF3:AF9)</f>
        <v>389.99999999999983</v>
      </c>
      <c r="AG10" s="51"/>
      <c r="AI10" s="50" t="s">
        <v>71</v>
      </c>
      <c r="AJ10" s="50">
        <f>+SUM(AJ3:AJ9)</f>
        <v>1</v>
      </c>
      <c r="AK10" s="50"/>
      <c r="AL10" s="50"/>
      <c r="AM10" s="51">
        <f>+SUM(AM3:AM9)</f>
        <v>962.5</v>
      </c>
      <c r="AN10" s="51"/>
      <c r="AP10" s="50" t="s">
        <v>71</v>
      </c>
      <c r="AQ10" s="50">
        <f>+SUM(AQ3:AQ9)</f>
        <v>1</v>
      </c>
      <c r="AR10" s="50"/>
      <c r="AS10" s="50"/>
      <c r="AT10" s="51">
        <f>+SUM(AT3:AT9)</f>
        <v>189.99999999999997</v>
      </c>
      <c r="AU10" s="51"/>
      <c r="AW10" s="50" t="s">
        <v>71</v>
      </c>
      <c r="AX10" s="50">
        <f>+SUM(AX3:AX9)</f>
        <v>1</v>
      </c>
      <c r="AY10" s="50"/>
      <c r="AZ10" s="50"/>
      <c r="BA10" s="51">
        <f>+SUM(BA3:BA9)</f>
        <v>409.99999999999983</v>
      </c>
      <c r="BB10" s="51"/>
      <c r="BD10" s="50" t="s">
        <v>71</v>
      </c>
      <c r="BE10" s="50">
        <f>+SUM(BE3:BE9)</f>
        <v>1</v>
      </c>
      <c r="BF10" s="50"/>
      <c r="BG10" s="50"/>
      <c r="BH10" s="51">
        <f>+SUM(BH3:BH9)</f>
        <v>496.50000000000028</v>
      </c>
      <c r="BI10" s="51"/>
      <c r="BK10" s="50" t="s">
        <v>71</v>
      </c>
      <c r="BL10" s="50">
        <f>+SUM(BL3:BL9)</f>
        <v>1</v>
      </c>
      <c r="BM10" s="50"/>
      <c r="BN10" s="50"/>
      <c r="BO10" s="51">
        <f>+SUM(BO3:BO9)</f>
        <v>447.49999999999989</v>
      </c>
      <c r="BP10" s="51"/>
      <c r="BR10" s="50" t="s">
        <v>71</v>
      </c>
      <c r="BS10" s="50">
        <f>+SUM(BS3:BS9)</f>
        <v>1</v>
      </c>
      <c r="BT10" s="50"/>
      <c r="BU10" s="50"/>
      <c r="BV10" s="51">
        <f>+SUM(BV3:BV9)</f>
        <v>442.00000000000011</v>
      </c>
      <c r="BW10" s="51"/>
      <c r="BY10" s="50" t="s">
        <v>71</v>
      </c>
      <c r="BZ10" s="50">
        <f>+SUM(BZ3:BZ9)</f>
        <v>1</v>
      </c>
      <c r="CA10" s="50"/>
      <c r="CB10" s="50"/>
      <c r="CC10" s="51">
        <f>+SUM(CC3:CC9)</f>
        <v>201.9999999999998</v>
      </c>
      <c r="CD10" s="51"/>
      <c r="CF10" s="50" t="s">
        <v>71</v>
      </c>
      <c r="CG10" s="50">
        <f>+SUM(CG3:CG9)</f>
        <v>1</v>
      </c>
      <c r="CH10" s="50"/>
      <c r="CI10" s="50"/>
      <c r="CJ10" s="51">
        <f>+SUM(CJ3:CJ9)</f>
        <v>410.00000000000006</v>
      </c>
      <c r="CK10" s="51"/>
      <c r="CM10" s="50" t="s">
        <v>71</v>
      </c>
      <c r="CN10" s="50">
        <f>+SUM(CN3:CN9)</f>
        <v>1</v>
      </c>
      <c r="CO10" s="50"/>
      <c r="CP10" s="50"/>
      <c r="CQ10" s="51">
        <f>+SUM(CQ3:CQ9)</f>
        <v>165.00000000000003</v>
      </c>
      <c r="CR10" s="51"/>
      <c r="CT10" s="50" t="s">
        <v>71</v>
      </c>
      <c r="CU10" s="50">
        <f>+SUM(CU3:CU9)</f>
        <v>1</v>
      </c>
      <c r="CV10" s="50"/>
      <c r="CW10" s="50"/>
      <c r="CX10" s="51">
        <f>+SUM(CX3:CX9)</f>
        <v>330.00000000000006</v>
      </c>
      <c r="CY10" s="51"/>
      <c r="DA10" s="50" t="s">
        <v>71</v>
      </c>
      <c r="DB10" s="50">
        <f>+SUM(DB3:DB9)</f>
        <v>1</v>
      </c>
      <c r="DC10" s="50"/>
      <c r="DD10" s="50"/>
      <c r="DE10" s="51">
        <f>+SUM(DE3:DE9)</f>
        <v>925</v>
      </c>
      <c r="DF10" s="51"/>
    </row>
    <row r="11" spans="1:110">
      <c r="A11" s="75" t="s">
        <v>136</v>
      </c>
      <c r="B11" s="75">
        <f t="shared" si="34"/>
        <v>2.4581005586592184E-2</v>
      </c>
      <c r="C11" s="3">
        <v>0</v>
      </c>
      <c r="D11" s="64">
        <f>+BO10</f>
        <v>447.49999999999989</v>
      </c>
      <c r="E11" s="3">
        <v>11</v>
      </c>
    </row>
    <row r="12" spans="1:110">
      <c r="A12" s="75" t="s">
        <v>137</v>
      </c>
      <c r="B12" s="75">
        <f t="shared" si="34"/>
        <v>2.2624434389140264E-2</v>
      </c>
      <c r="C12" s="3">
        <v>0</v>
      </c>
      <c r="D12" s="64">
        <f>+BV10</f>
        <v>442.00000000000011</v>
      </c>
      <c r="E12" s="3">
        <v>10</v>
      </c>
    </row>
    <row r="13" spans="1:110">
      <c r="A13" s="85" t="s">
        <v>165</v>
      </c>
      <c r="B13" s="58">
        <f>+E13/D13</f>
        <v>7.9393939393939388E-3</v>
      </c>
      <c r="C13" s="3">
        <f>1/B13/Summary!$C$7</f>
        <v>0.12595419847328246</v>
      </c>
      <c r="D13" s="86">
        <f>+CQ10</f>
        <v>165.00000000000003</v>
      </c>
      <c r="E13" s="3">
        <f>+E3*2</f>
        <v>1.31</v>
      </c>
    </row>
    <row r="14" spans="1:110">
      <c r="A14" s="85" t="s">
        <v>166</v>
      </c>
      <c r="B14" s="58">
        <f>+E14/D14</f>
        <v>3.9696969696969694E-3</v>
      </c>
      <c r="C14" s="3">
        <f>1/B14/Summary!$C$7</f>
        <v>0.25190839694656492</v>
      </c>
      <c r="D14" s="86">
        <f>+CX10</f>
        <v>330.00000000000006</v>
      </c>
      <c r="E14" s="3">
        <f>+E13</f>
        <v>1.31</v>
      </c>
    </row>
    <row r="15" spans="1:110">
      <c r="A15" s="75" t="s">
        <v>164</v>
      </c>
      <c r="B15" s="58">
        <f>+E15/D15</f>
        <v>2.1621621621621623E-2</v>
      </c>
      <c r="C15" s="3">
        <v>0</v>
      </c>
      <c r="D15" s="86">
        <f>+DE10</f>
        <v>925</v>
      </c>
      <c r="E15" s="3">
        <v>20</v>
      </c>
    </row>
    <row r="16" spans="1:110">
      <c r="A16" s="3" t="s">
        <v>117</v>
      </c>
      <c r="B16" s="58">
        <f>+E16/D16</f>
        <v>0.12195121951219511</v>
      </c>
      <c r="C16" s="3">
        <v>0</v>
      </c>
      <c r="D16" s="64">
        <f>+CJ10</f>
        <v>410.00000000000006</v>
      </c>
      <c r="E16" s="3">
        <v>50</v>
      </c>
    </row>
    <row r="17" spans="1:3">
      <c r="A17" s="3" t="s">
        <v>118</v>
      </c>
      <c r="B17" s="65" t="str">
        <f>+CONCATENATE("x",J3," - x",J9)</f>
        <v>x50 - x2000</v>
      </c>
    </row>
    <row r="19" spans="1:3">
      <c r="A19" t="s">
        <v>170</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125</v>
      </c>
      <c r="G1" s="99" t="s">
        <v>104</v>
      </c>
      <c r="H1" s="99"/>
      <c r="I1" s="99"/>
      <c r="J1" s="99"/>
      <c r="K1" s="99"/>
      <c r="L1" s="99"/>
      <c r="N1" s="99" t="s">
        <v>105</v>
      </c>
      <c r="O1" s="99"/>
      <c r="P1" s="99"/>
      <c r="Q1" s="99"/>
      <c r="R1" s="99"/>
      <c r="S1" s="99"/>
      <c r="U1" s="99" t="s">
        <v>106</v>
      </c>
      <c r="V1" s="99"/>
      <c r="W1" s="99"/>
      <c r="X1" s="99"/>
      <c r="Y1" s="99"/>
      <c r="Z1" s="99"/>
      <c r="AB1" s="99" t="s">
        <v>107</v>
      </c>
      <c r="AC1" s="99"/>
      <c r="AD1" s="99"/>
      <c r="AE1" s="99"/>
      <c r="AF1" s="99"/>
      <c r="AG1" s="99"/>
      <c r="AI1" s="99" t="s">
        <v>138</v>
      </c>
      <c r="AJ1" s="99"/>
      <c r="AK1" s="99"/>
      <c r="AL1" s="99"/>
      <c r="AM1" s="99"/>
      <c r="AN1" s="99"/>
      <c r="AP1" s="99" t="s">
        <v>139</v>
      </c>
      <c r="AQ1" s="99"/>
      <c r="AR1" s="99"/>
      <c r="AS1" s="99"/>
      <c r="AT1" s="99"/>
      <c r="AU1" s="99"/>
      <c r="AW1" s="99" t="s">
        <v>140</v>
      </c>
      <c r="AX1" s="99"/>
      <c r="AY1" s="99"/>
      <c r="AZ1" s="99"/>
      <c r="BA1" s="99"/>
      <c r="BB1" s="99"/>
      <c r="BD1" s="99" t="s">
        <v>141</v>
      </c>
      <c r="BE1" s="99"/>
      <c r="BF1" s="99"/>
      <c r="BG1" s="99"/>
      <c r="BH1" s="99"/>
      <c r="BI1" s="99"/>
      <c r="BK1" s="99" t="s">
        <v>142</v>
      </c>
      <c r="BL1" s="99"/>
      <c r="BM1" s="99"/>
      <c r="BN1" s="99"/>
      <c r="BO1" s="99"/>
      <c r="BP1" s="99"/>
      <c r="BR1" s="99" t="s">
        <v>143</v>
      </c>
      <c r="BS1" s="99"/>
      <c r="BT1" s="99"/>
      <c r="BU1" s="99"/>
      <c r="BV1" s="99"/>
      <c r="BW1" s="99"/>
      <c r="BY1" s="99" t="s">
        <v>144</v>
      </c>
      <c r="BZ1" s="99"/>
      <c r="CA1" s="99"/>
      <c r="CB1" s="99"/>
      <c r="CC1" s="99"/>
      <c r="CD1" s="99"/>
      <c r="CF1" s="99" t="s">
        <v>108</v>
      </c>
      <c r="CG1" s="99"/>
      <c r="CH1" s="99"/>
      <c r="CI1" s="99"/>
      <c r="CJ1" s="99"/>
      <c r="CK1" s="99"/>
      <c r="CM1" s="99" t="s">
        <v>167</v>
      </c>
      <c r="CN1" s="99"/>
      <c r="CO1" s="99"/>
      <c r="CP1" s="99"/>
      <c r="CQ1" s="99"/>
      <c r="CR1" s="99"/>
      <c r="CT1" s="99" t="s">
        <v>169</v>
      </c>
      <c r="CU1" s="99"/>
      <c r="CV1" s="99"/>
      <c r="CW1" s="99"/>
      <c r="CX1" s="99"/>
      <c r="CY1" s="99"/>
      <c r="DA1" s="99" t="s">
        <v>168</v>
      </c>
      <c r="DB1" s="99"/>
      <c r="DC1" s="99"/>
      <c r="DD1" s="99"/>
      <c r="DE1" s="99"/>
      <c r="DF1" s="99"/>
    </row>
    <row r="2" spans="1:110">
      <c r="A2" s="2"/>
      <c r="B2" s="2" t="s">
        <v>109</v>
      </c>
      <c r="C2" s="2" t="s">
        <v>110</v>
      </c>
      <c r="D2" s="2" t="s">
        <v>111</v>
      </c>
      <c r="E2" s="2" t="s">
        <v>4</v>
      </c>
      <c r="G2" s="2" t="s">
        <v>19</v>
      </c>
      <c r="H2" s="2" t="s">
        <v>6</v>
      </c>
      <c r="I2" s="2" t="s">
        <v>69</v>
      </c>
      <c r="J2" s="2" t="s">
        <v>112</v>
      </c>
      <c r="K2" s="2" t="s">
        <v>111</v>
      </c>
      <c r="L2" s="2" t="s">
        <v>113</v>
      </c>
      <c r="N2" s="2" t="s">
        <v>19</v>
      </c>
      <c r="O2" s="2" t="s">
        <v>6</v>
      </c>
      <c r="P2" s="2" t="s">
        <v>69</v>
      </c>
      <c r="Q2" s="2" t="s">
        <v>112</v>
      </c>
      <c r="R2" s="2" t="s">
        <v>111</v>
      </c>
      <c r="S2" s="2" t="s">
        <v>113</v>
      </c>
      <c r="U2" s="2" t="s">
        <v>19</v>
      </c>
      <c r="V2" s="2" t="s">
        <v>6</v>
      </c>
      <c r="W2" s="2" t="s">
        <v>69</v>
      </c>
      <c r="X2" s="2" t="s">
        <v>112</v>
      </c>
      <c r="Y2" s="2" t="s">
        <v>111</v>
      </c>
      <c r="Z2" s="2" t="s">
        <v>113</v>
      </c>
      <c r="AB2" s="2" t="s">
        <v>19</v>
      </c>
      <c r="AC2" s="2" t="s">
        <v>6</v>
      </c>
      <c r="AD2" s="2" t="s">
        <v>69</v>
      </c>
      <c r="AE2" s="2" t="s">
        <v>112</v>
      </c>
      <c r="AF2" s="2" t="s">
        <v>111</v>
      </c>
      <c r="AG2" s="2" t="s">
        <v>113</v>
      </c>
      <c r="AI2" s="2" t="s">
        <v>19</v>
      </c>
      <c r="AJ2" s="2" t="s">
        <v>6</v>
      </c>
      <c r="AK2" s="2" t="s">
        <v>69</v>
      </c>
      <c r="AL2" s="2" t="s">
        <v>112</v>
      </c>
      <c r="AM2" s="2" t="s">
        <v>111</v>
      </c>
      <c r="AN2" s="2" t="s">
        <v>113</v>
      </c>
      <c r="AP2" s="2" t="s">
        <v>19</v>
      </c>
      <c r="AQ2" s="2" t="s">
        <v>6</v>
      </c>
      <c r="AR2" s="2" t="s">
        <v>69</v>
      </c>
      <c r="AS2" s="2" t="s">
        <v>112</v>
      </c>
      <c r="AT2" s="2" t="s">
        <v>111</v>
      </c>
      <c r="AU2" s="2" t="s">
        <v>113</v>
      </c>
      <c r="AW2" s="2" t="s">
        <v>19</v>
      </c>
      <c r="AX2" s="2" t="s">
        <v>6</v>
      </c>
      <c r="AY2" s="2" t="s">
        <v>69</v>
      </c>
      <c r="AZ2" s="2" t="s">
        <v>112</v>
      </c>
      <c r="BA2" s="2" t="s">
        <v>111</v>
      </c>
      <c r="BB2" s="2" t="s">
        <v>113</v>
      </c>
      <c r="BD2" s="2" t="s">
        <v>19</v>
      </c>
      <c r="BE2" s="2" t="s">
        <v>6</v>
      </c>
      <c r="BF2" s="2" t="s">
        <v>69</v>
      </c>
      <c r="BG2" s="2" t="s">
        <v>112</v>
      </c>
      <c r="BH2" s="2" t="s">
        <v>111</v>
      </c>
      <c r="BI2" s="2" t="s">
        <v>113</v>
      </c>
      <c r="BK2" s="2" t="s">
        <v>19</v>
      </c>
      <c r="BL2" s="2" t="s">
        <v>6</v>
      </c>
      <c r="BM2" s="2" t="s">
        <v>69</v>
      </c>
      <c r="BN2" s="2" t="s">
        <v>112</v>
      </c>
      <c r="BO2" s="2" t="s">
        <v>111</v>
      </c>
      <c r="BP2" s="2" t="s">
        <v>113</v>
      </c>
      <c r="BR2" s="2" t="s">
        <v>19</v>
      </c>
      <c r="BS2" s="2" t="s">
        <v>6</v>
      </c>
      <c r="BT2" s="2" t="s">
        <v>69</v>
      </c>
      <c r="BU2" s="2" t="s">
        <v>112</v>
      </c>
      <c r="BV2" s="2" t="s">
        <v>111</v>
      </c>
      <c r="BW2" s="2" t="s">
        <v>113</v>
      </c>
      <c r="BY2" s="2" t="s">
        <v>19</v>
      </c>
      <c r="BZ2" s="2" t="s">
        <v>6</v>
      </c>
      <c r="CA2" s="2" t="s">
        <v>69</v>
      </c>
      <c r="CB2" s="2" t="s">
        <v>112</v>
      </c>
      <c r="CC2" s="2" t="s">
        <v>111</v>
      </c>
      <c r="CD2" s="2" t="s">
        <v>113</v>
      </c>
      <c r="CF2" s="2" t="s">
        <v>19</v>
      </c>
      <c r="CG2" s="2" t="s">
        <v>6</v>
      </c>
      <c r="CH2" s="2" t="s">
        <v>69</v>
      </c>
      <c r="CI2" s="2" t="s">
        <v>112</v>
      </c>
      <c r="CJ2" s="2" t="s">
        <v>111</v>
      </c>
      <c r="CK2" s="2" t="s">
        <v>113</v>
      </c>
      <c r="CM2" s="2" t="s">
        <v>19</v>
      </c>
      <c r="CN2" s="2" t="s">
        <v>6</v>
      </c>
      <c r="CO2" s="2" t="s">
        <v>69</v>
      </c>
      <c r="CP2" s="2" t="s">
        <v>112</v>
      </c>
      <c r="CQ2" s="2" t="s">
        <v>111</v>
      </c>
      <c r="CR2" s="2" t="s">
        <v>113</v>
      </c>
      <c r="CT2" s="2" t="s">
        <v>19</v>
      </c>
      <c r="CU2" s="2" t="s">
        <v>6</v>
      </c>
      <c r="CV2" s="2" t="s">
        <v>69</v>
      </c>
      <c r="CW2" s="2" t="s">
        <v>112</v>
      </c>
      <c r="CX2" s="2" t="s">
        <v>111</v>
      </c>
      <c r="CY2" s="2" t="s">
        <v>113</v>
      </c>
      <c r="DA2" s="2" t="s">
        <v>19</v>
      </c>
      <c r="DB2" s="2" t="s">
        <v>6</v>
      </c>
      <c r="DC2" s="2" t="s">
        <v>69</v>
      </c>
      <c r="DD2" s="2" t="s">
        <v>112</v>
      </c>
      <c r="DE2" s="2" t="s">
        <v>111</v>
      </c>
      <c r="DF2" s="2" t="s">
        <v>113</v>
      </c>
    </row>
    <row r="3" spans="1:110">
      <c r="A3" s="58" t="s">
        <v>171</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114</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115</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116</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132</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133</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134</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135</v>
      </c>
      <c r="B10" s="75">
        <f t="shared" si="34"/>
        <v>1.5536723163841804E-2</v>
      </c>
      <c r="C10" s="3">
        <v>0</v>
      </c>
      <c r="D10" s="64">
        <f>+BH10</f>
        <v>708.00000000000023</v>
      </c>
      <c r="E10" s="3">
        <v>11</v>
      </c>
      <c r="G10" s="50" t="s">
        <v>71</v>
      </c>
      <c r="H10" s="50">
        <f>+SUM(H3:H9)</f>
        <v>1</v>
      </c>
      <c r="I10" s="50"/>
      <c r="J10" s="50"/>
      <c r="K10" s="51">
        <f>+SUM(K3:K9)</f>
        <v>253.00000000000003</v>
      </c>
      <c r="L10" s="51"/>
      <c r="N10" s="50" t="s">
        <v>71</v>
      </c>
      <c r="O10" s="50">
        <f>+SUM(O3:O9)</f>
        <v>1</v>
      </c>
      <c r="P10" s="50"/>
      <c r="Q10" s="50"/>
      <c r="R10" s="51">
        <f>+SUM(R3:R9)</f>
        <v>430.00000000000006</v>
      </c>
      <c r="S10" s="51"/>
      <c r="U10" s="50" t="s">
        <v>71</v>
      </c>
      <c r="V10" s="50">
        <f>+SUM(V3:V9)</f>
        <v>1</v>
      </c>
      <c r="W10" s="50"/>
      <c r="X10" s="50"/>
      <c r="Y10" s="51">
        <f>+SUM(Y3:Y9)</f>
        <v>520.25000000000011</v>
      </c>
      <c r="Z10" s="51"/>
      <c r="AB10" s="50" t="s">
        <v>71</v>
      </c>
      <c r="AC10" s="50">
        <f>+SUM(AC3:AC9)</f>
        <v>1</v>
      </c>
      <c r="AD10" s="50"/>
      <c r="AE10" s="50"/>
      <c r="AF10" s="51">
        <f>+SUM(AF3:AF9)</f>
        <v>546.25000000000011</v>
      </c>
      <c r="AG10" s="51"/>
      <c r="AI10" s="50" t="s">
        <v>71</v>
      </c>
      <c r="AJ10" s="50">
        <f>+SUM(AJ3:AJ9)</f>
        <v>1</v>
      </c>
      <c r="AK10" s="50"/>
      <c r="AL10" s="50"/>
      <c r="AM10" s="81">
        <f>+SUM(AM3:AM9)</f>
        <v>1349.9999999999995</v>
      </c>
      <c r="AN10" s="51"/>
      <c r="AP10" s="50" t="s">
        <v>71</v>
      </c>
      <c r="AQ10" s="50">
        <f>+SUM(AQ3:AQ9)</f>
        <v>1</v>
      </c>
      <c r="AR10" s="50"/>
      <c r="AS10" s="50"/>
      <c r="AT10" s="51">
        <f>+SUM(AT3:AT9)</f>
        <v>252.5</v>
      </c>
      <c r="AU10" s="51"/>
      <c r="AW10" s="50" t="s">
        <v>71</v>
      </c>
      <c r="AX10" s="50">
        <f>+SUM(AX3:AX9)</f>
        <v>1</v>
      </c>
      <c r="AY10" s="50"/>
      <c r="AZ10" s="50"/>
      <c r="BA10" s="51">
        <f>+SUM(BA3:BA9)</f>
        <v>533.74999999999955</v>
      </c>
      <c r="BB10" s="51"/>
      <c r="BD10" s="50" t="s">
        <v>71</v>
      </c>
      <c r="BE10" s="50">
        <f>+SUM(BE3:BE9)</f>
        <v>1</v>
      </c>
      <c r="BF10" s="50"/>
      <c r="BG10" s="50"/>
      <c r="BH10" s="51">
        <f>+SUM(BH3:BH9)</f>
        <v>708.00000000000023</v>
      </c>
      <c r="BI10" s="51"/>
      <c r="BK10" s="50" t="s">
        <v>71</v>
      </c>
      <c r="BL10" s="50">
        <f>+SUM(BL3:BL9)</f>
        <v>1</v>
      </c>
      <c r="BM10" s="50"/>
      <c r="BN10" s="50"/>
      <c r="BO10" s="51">
        <f>+SUM(BO3:BO9)</f>
        <v>612.24999999999966</v>
      </c>
      <c r="BP10" s="51"/>
      <c r="BR10" s="50" t="s">
        <v>71</v>
      </c>
      <c r="BS10" s="50">
        <f>+SUM(BS3:BS9)</f>
        <v>1</v>
      </c>
      <c r="BT10" s="50"/>
      <c r="BU10" s="50"/>
      <c r="BV10" s="51">
        <f>+SUM(BV3:BV9)</f>
        <v>612.50000000000023</v>
      </c>
      <c r="BW10" s="51"/>
      <c r="BY10" s="50" t="s">
        <v>71</v>
      </c>
      <c r="BZ10" s="50">
        <f>+SUM(BZ3:BZ9)</f>
        <v>1</v>
      </c>
      <c r="CA10" s="50"/>
      <c r="CB10" s="50"/>
      <c r="CC10" s="51">
        <f>+SUM(CC3:CC9)</f>
        <v>310.49999999999949</v>
      </c>
      <c r="CD10" s="51"/>
      <c r="CF10" s="50" t="s">
        <v>71</v>
      </c>
      <c r="CG10" s="50">
        <f>+SUM(CG3:CG9)</f>
        <v>1</v>
      </c>
      <c r="CH10" s="50"/>
      <c r="CI10" s="50"/>
      <c r="CJ10" s="51">
        <f>+SUM(CJ3:CJ9)</f>
        <v>570.00000000000011</v>
      </c>
      <c r="CK10" s="51"/>
      <c r="CM10" s="50" t="s">
        <v>71</v>
      </c>
      <c r="CN10" s="50">
        <f>+SUM(CN3:CN9)</f>
        <v>1</v>
      </c>
      <c r="CO10" s="50"/>
      <c r="CP10" s="50"/>
      <c r="CQ10" s="51">
        <f>+SUM(CQ3:CQ9)</f>
        <v>253.00000000000003</v>
      </c>
      <c r="CR10" s="51"/>
      <c r="CT10" s="50" t="s">
        <v>71</v>
      </c>
      <c r="CU10" s="50">
        <f>+SUM(CU3:CU9)</f>
        <v>1</v>
      </c>
      <c r="CV10" s="50"/>
      <c r="CW10" s="50"/>
      <c r="CX10" s="51">
        <f>+SUM(CX3:CX9)</f>
        <v>506.00000000000006</v>
      </c>
      <c r="CY10" s="51"/>
      <c r="DA10" s="50" t="s">
        <v>71</v>
      </c>
      <c r="DB10" s="50">
        <f>+SUM(DB3:DB9)</f>
        <v>1</v>
      </c>
      <c r="DC10" s="50"/>
      <c r="DD10" s="50"/>
      <c r="DE10" s="51">
        <f>+SUM(DE3:DE9)</f>
        <v>1479.9999999999995</v>
      </c>
      <c r="DF10" s="51"/>
    </row>
    <row r="11" spans="1:110">
      <c r="A11" s="75" t="s">
        <v>136</v>
      </c>
      <c r="B11" s="75">
        <f t="shared" si="34"/>
        <v>1.7966516945692131E-2</v>
      </c>
      <c r="C11" s="3">
        <v>0</v>
      </c>
      <c r="D11" s="64">
        <f>+BO10</f>
        <v>612.24999999999966</v>
      </c>
      <c r="E11" s="3">
        <v>11</v>
      </c>
    </row>
    <row r="12" spans="1:110">
      <c r="A12" s="75" t="s">
        <v>137</v>
      </c>
      <c r="B12" s="75">
        <f t="shared" si="34"/>
        <v>1.6326530612244892E-2</v>
      </c>
      <c r="C12" s="3">
        <v>0</v>
      </c>
      <c r="D12" s="64">
        <f>+BV10</f>
        <v>612.50000000000023</v>
      </c>
      <c r="E12" s="3">
        <v>10</v>
      </c>
    </row>
    <row r="13" spans="1:110">
      <c r="A13" s="85" t="s">
        <v>165</v>
      </c>
      <c r="B13" s="58">
        <f>+E13/D13</f>
        <v>5.1778656126482206E-3</v>
      </c>
      <c r="C13" s="3">
        <f>1/B13/Summary!$C$7</f>
        <v>0.19312977099236645</v>
      </c>
      <c r="D13" s="86">
        <f>+CQ10</f>
        <v>253.00000000000003</v>
      </c>
      <c r="E13" s="3">
        <f>+E3*2</f>
        <v>1.31</v>
      </c>
    </row>
    <row r="14" spans="1:110">
      <c r="A14" s="85" t="s">
        <v>166</v>
      </c>
      <c r="B14" s="58">
        <f>+E14/D14</f>
        <v>2.5889328063241103E-3</v>
      </c>
      <c r="C14" s="3">
        <f>1/B14/Summary!$C$7</f>
        <v>0.38625954198473289</v>
      </c>
      <c r="D14" s="86">
        <f>+CX10</f>
        <v>506.00000000000006</v>
      </c>
      <c r="E14" s="3">
        <f>+E13</f>
        <v>1.31</v>
      </c>
    </row>
    <row r="15" spans="1:110">
      <c r="A15" s="75" t="s">
        <v>164</v>
      </c>
      <c r="B15" s="58">
        <f>+E15/D15</f>
        <v>1.3513513513513518E-2</v>
      </c>
      <c r="C15" s="3">
        <v>0</v>
      </c>
      <c r="D15" s="86">
        <f>+DE10</f>
        <v>1479.9999999999995</v>
      </c>
      <c r="E15" s="3">
        <v>20</v>
      </c>
    </row>
    <row r="16" spans="1:110">
      <c r="A16" s="80" t="s">
        <v>117</v>
      </c>
      <c r="B16" s="75">
        <f>+E16/D16</f>
        <v>8.7719298245614016E-2</v>
      </c>
      <c r="C16" s="3">
        <v>0</v>
      </c>
      <c r="D16" s="64">
        <f>+CJ10</f>
        <v>570.00000000000011</v>
      </c>
      <c r="E16" s="3">
        <v>50</v>
      </c>
    </row>
    <row r="17" spans="1:2">
      <c r="A17" s="3" t="s">
        <v>118</v>
      </c>
      <c r="B17" s="65" t="str">
        <f>+CONCATENATE("x",J3," - x",J9)</f>
        <v>x75 - x5000</v>
      </c>
    </row>
    <row r="19" spans="1:2">
      <c r="A19" t="s">
        <v>170</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16</vt:i4>
      </vt:variant>
    </vt:vector>
  </HeadingPairs>
  <TitlesOfParts>
    <vt:vector size="16"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2019-02-07T05:14:23Z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