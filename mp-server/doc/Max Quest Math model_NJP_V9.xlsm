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7.xml" ContentType="application/vnd.openxmlformats-officedocument.spreadsheetml.comments+xml"/>
  <Override PartName="/xl/drawings/drawing8.xml" ContentType="application/vnd.openxmlformats-officedocument.drawing+xml"/>
  <Override PartName="/xl/ctrlProps/ctrlProp15.xml" ContentType="application/vnd.ms-excel.controlproperties+xml"/>
  <Override PartName="/xl/ctrlProps/ctrlProp16.xml" ContentType="application/vnd.ms-excel.controlproperties+xml"/>
  <Override PartName="/xl/comments8.xml" ContentType="application/vnd.openxmlformats-officedocument.spreadsheetml.comments+xml"/>
  <Override PartName="/xl/drawings/drawing9.xml" ContentType="application/vnd.openxmlformats-officedocument.drawing+xml"/>
  <Override PartName="/xl/ctrlProps/ctrlProp17.xml" ContentType="application/vnd.ms-excel.controlproperties+xml"/>
  <Override PartName="/xl/ctrlProps/ctrlProp18.xml" ContentType="application/vnd.ms-excel.controlproperties+xml"/>
  <Override PartName="/xl/comments9.xml" ContentType="application/vnd.openxmlformats-officedocument.spreadsheetml.comments+xml"/>
  <Override PartName="/xl/drawings/drawing10.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1.xml" ContentType="application/vnd.openxmlformats-officedocument.drawing+xml"/>
  <Override PartName="/xl/ctrlProps/ctrlProp21.xml" ContentType="application/vnd.ms-excel.controlproperties+xml"/>
  <Override PartName="/xl/ctrlProps/ctrlProp2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827" codeName="{3D1A710C-6663-3D7B-7F91-EC182F24A4BC}"/>
  <workbookPr codeName="ThisWorkbook" defaultThemeVersion="124226"/>
  <mc:AlternateContent xmlns:mc="http://schemas.openxmlformats.org/markup-compatibility/2006">
    <mc:Choice Requires="x15">
      <x15ac:absPath xmlns:x15ac="http://schemas.microsoft.com/office/spreadsheetml/2010/11/ac" url="E:\Pablo\BS\Games\Zombie Arcade\New model\"/>
    </mc:Choice>
  </mc:AlternateContent>
  <xr:revisionPtr revIDLastSave="0" documentId="13_ncr:1_{FA3E4C4D-4B19-452B-A708-6FE3C13F1EEE}" xr6:coauthVersionLast="37" xr6:coauthVersionMax="37" xr10:uidLastSave="{00000000-0000-0000-0000-000000000000}"/>
  <bookViews>
    <workbookView xWindow="480" yWindow="60" windowWidth="22068" windowHeight="9504" firstSheet="2" activeTab="2" xr2:uid="{00000000-000D-0000-FFFF-FFFF00000000}"/>
  </bookViews>
  <sheets>
    <sheet name="Summary" sheetId="6" r:id="rId1"/>
    <sheet name="Special weapon" sheetId="7" r:id="rId2"/>
    <sheet name="Buying Special weapons" sheetId="18" r:id="rId3"/>
    <sheet name="Boss round (1,2,or 3 players)" sheetId="19" r:id="rId4"/>
    <sheet name="Boss round (4 or more players)" sheetId="22" r:id="rId5"/>
    <sheet name="Scarab Black" sheetId="1" r:id="rId6"/>
    <sheet name="Scarab Gold" sheetId="8" r:id="rId7"/>
    <sheet name="Scarab Gem Covered" sheetId="9" r:id="rId8"/>
    <sheet name="Standard Mummy" sheetId="10" r:id="rId9"/>
    <sheet name="Mummy A" sheetId="11" r:id="rId10"/>
    <sheet name="Mummy B" sheetId="12" r:id="rId11"/>
    <sheet name="Mummy C" sheetId="13" r:id="rId12"/>
    <sheet name="Pharaoh A" sheetId="14" r:id="rId13"/>
    <sheet name="Pharaoh B" sheetId="15" r:id="rId14"/>
    <sheet name="HV Scarab" sheetId="16" r:id="rId15"/>
    <sheet name="HV enemy" sheetId="17" r:id="rId16"/>
    <sheet name="Profiles" sheetId="21" r:id="rId17"/>
  </sheet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L8" i="6" l="1"/>
  <c r="J8" i="6"/>
  <c r="J11" i="6" s="1"/>
  <c r="O7" i="6"/>
  <c r="O6" i="6"/>
  <c r="A13" i="6"/>
  <c r="S25" i="18"/>
  <c r="R24" i="18"/>
  <c r="R23" i="18"/>
  <c r="T23" i="18" s="1"/>
  <c r="R22" i="18"/>
  <c r="T22" i="18" s="1"/>
  <c r="R21" i="18"/>
  <c r="T21" i="18" s="1"/>
  <c r="R20" i="18"/>
  <c r="T20" i="18" s="1"/>
  <c r="R19" i="18"/>
  <c r="T19" i="18" s="1"/>
  <c r="R18" i="18"/>
  <c r="R17" i="18"/>
  <c r="T17" i="18" s="1"/>
  <c r="R16" i="18"/>
  <c r="R15" i="18"/>
  <c r="T15" i="18" s="1"/>
  <c r="R14" i="18"/>
  <c r="R13" i="18"/>
  <c r="R12" i="18"/>
  <c r="T12" i="18" s="1"/>
  <c r="R11" i="18"/>
  <c r="R10" i="18"/>
  <c r="L25" i="18"/>
  <c r="K24" i="18"/>
  <c r="M24" i="18" s="1"/>
  <c r="K23" i="18"/>
  <c r="M23" i="18" s="1"/>
  <c r="K22" i="18"/>
  <c r="M22" i="18" s="1"/>
  <c r="K21" i="18"/>
  <c r="M21" i="18" s="1"/>
  <c r="K20" i="18"/>
  <c r="M20" i="18" s="1"/>
  <c r="K19" i="18"/>
  <c r="M19" i="18" s="1"/>
  <c r="K18" i="18"/>
  <c r="M18" i="18" s="1"/>
  <c r="K17" i="18"/>
  <c r="M17" i="18" s="1"/>
  <c r="K16" i="18"/>
  <c r="M16" i="18" s="1"/>
  <c r="K15" i="18"/>
  <c r="M15" i="18" s="1"/>
  <c r="K14" i="18"/>
  <c r="M14" i="18" s="1"/>
  <c r="K13" i="18"/>
  <c r="M13" i="18" s="1"/>
  <c r="K12" i="18"/>
  <c r="M12" i="18" s="1"/>
  <c r="K11" i="18"/>
  <c r="M11" i="18" s="1"/>
  <c r="K10" i="18"/>
  <c r="M10" i="18" s="1"/>
  <c r="B58" i="7"/>
  <c r="B56" i="7"/>
  <c r="B54" i="7"/>
  <c r="B53" i="7"/>
  <c r="B51" i="7"/>
  <c r="B49" i="7"/>
  <c r="B46" i="7"/>
  <c r="B44" i="7"/>
  <c r="B57" i="7"/>
  <c r="B55" i="7"/>
  <c r="B52" i="7"/>
  <c r="B50" i="7"/>
  <c r="B45" i="7"/>
  <c r="B47" i="7"/>
  <c r="A3" i="22"/>
  <c r="A3" i="19"/>
  <c r="B8" i="15"/>
  <c r="L11" i="21" s="1"/>
  <c r="W18" i="22"/>
  <c r="R18" i="22"/>
  <c r="M18" i="22"/>
  <c r="H18" i="22"/>
  <c r="C18" i="22"/>
  <c r="Y17" i="22"/>
  <c r="X17" i="22"/>
  <c r="T17" i="22"/>
  <c r="S17" i="22"/>
  <c r="O17" i="22"/>
  <c r="N17" i="22"/>
  <c r="J17" i="22"/>
  <c r="I17" i="22"/>
  <c r="E17" i="22"/>
  <c r="D17" i="22"/>
  <c r="Y16" i="22"/>
  <c r="X16" i="22"/>
  <c r="T16" i="22"/>
  <c r="S16" i="22"/>
  <c r="O16" i="22"/>
  <c r="N16" i="22"/>
  <c r="J16" i="22"/>
  <c r="I16" i="22"/>
  <c r="E16" i="22"/>
  <c r="D16" i="22"/>
  <c r="Y15" i="22"/>
  <c r="X15" i="22"/>
  <c r="T15" i="22"/>
  <c r="S15" i="22"/>
  <c r="O15" i="22"/>
  <c r="N15" i="22"/>
  <c r="J15" i="22"/>
  <c r="I15" i="22"/>
  <c r="E15" i="22"/>
  <c r="D15" i="22"/>
  <c r="Y14" i="22"/>
  <c r="X14" i="22"/>
  <c r="T14" i="22"/>
  <c r="S14" i="22"/>
  <c r="O14" i="22"/>
  <c r="N14" i="22"/>
  <c r="J14" i="22"/>
  <c r="I14" i="22"/>
  <c r="E14" i="22"/>
  <c r="D14" i="22"/>
  <c r="Y13" i="22"/>
  <c r="X13" i="22"/>
  <c r="T13" i="22"/>
  <c r="S13" i="22"/>
  <c r="O13" i="22"/>
  <c r="N13" i="22"/>
  <c r="J13" i="22"/>
  <c r="I13" i="22"/>
  <c r="E13" i="22"/>
  <c r="D13" i="22"/>
  <c r="Y12" i="22"/>
  <c r="X12" i="22"/>
  <c r="T12" i="22"/>
  <c r="S12" i="22"/>
  <c r="O12" i="22"/>
  <c r="O18" i="22" s="1"/>
  <c r="N12" i="22"/>
  <c r="J12" i="22"/>
  <c r="I12" i="22"/>
  <c r="E12" i="22"/>
  <c r="D12" i="22"/>
  <c r="W18" i="19"/>
  <c r="R18" i="19"/>
  <c r="M18" i="19"/>
  <c r="H18" i="19"/>
  <c r="C18" i="19"/>
  <c r="Y17" i="19"/>
  <c r="X17" i="19"/>
  <c r="T17" i="19"/>
  <c r="S17" i="19"/>
  <c r="O17" i="19"/>
  <c r="N17" i="19"/>
  <c r="J17" i="19"/>
  <c r="I17" i="19"/>
  <c r="E17" i="19"/>
  <c r="D17" i="19"/>
  <c r="Y16" i="19"/>
  <c r="X16" i="19"/>
  <c r="T16" i="19"/>
  <c r="S16" i="19"/>
  <c r="O16" i="19"/>
  <c r="N16" i="19"/>
  <c r="J16" i="19"/>
  <c r="I16" i="19"/>
  <c r="E16" i="19"/>
  <c r="D16" i="19"/>
  <c r="Y15" i="19"/>
  <c r="X15" i="19"/>
  <c r="T15" i="19"/>
  <c r="S15" i="19"/>
  <c r="O15" i="19"/>
  <c r="N15" i="19"/>
  <c r="J15" i="19"/>
  <c r="I15" i="19"/>
  <c r="E15" i="19"/>
  <c r="D15" i="19"/>
  <c r="Y14" i="19"/>
  <c r="X14" i="19"/>
  <c r="T14" i="19"/>
  <c r="S14" i="19"/>
  <c r="O14" i="19"/>
  <c r="N14" i="19"/>
  <c r="J14" i="19"/>
  <c r="I14" i="19"/>
  <c r="E14" i="19"/>
  <c r="D14" i="19"/>
  <c r="Y13" i="19"/>
  <c r="X13" i="19"/>
  <c r="T13" i="19"/>
  <c r="S13" i="19"/>
  <c r="O13" i="19"/>
  <c r="N13" i="19"/>
  <c r="J13" i="19"/>
  <c r="I13" i="19"/>
  <c r="E13" i="19"/>
  <c r="D13" i="19"/>
  <c r="Y12" i="19"/>
  <c r="X12" i="19"/>
  <c r="T12" i="19"/>
  <c r="S12" i="19"/>
  <c r="O12" i="19"/>
  <c r="N12" i="19"/>
  <c r="J12" i="19"/>
  <c r="I12" i="19"/>
  <c r="E12" i="19"/>
  <c r="D12" i="19"/>
  <c r="C38" i="22"/>
  <c r="D37" i="22"/>
  <c r="D36" i="22"/>
  <c r="D35" i="22"/>
  <c r="D34" i="22"/>
  <c r="D33" i="22"/>
  <c r="G32" i="22"/>
  <c r="B23" i="22"/>
  <c r="B23" i="19"/>
  <c r="C43" i="19"/>
  <c r="G32" i="19"/>
  <c r="AC9" i="17"/>
  <c r="V9" i="17"/>
  <c r="O9" i="17"/>
  <c r="AC9" i="16"/>
  <c r="V9" i="16"/>
  <c r="O9" i="16"/>
  <c r="T18" i="22" l="1"/>
  <c r="E18" i="22"/>
  <c r="J18" i="22"/>
  <c r="Y18" i="22"/>
  <c r="D38" i="22"/>
  <c r="C43" i="22" s="1"/>
  <c r="C44" i="22" s="1"/>
  <c r="G33" i="22"/>
  <c r="K15" i="21" s="1"/>
  <c r="R25" i="18"/>
  <c r="P27" i="18" s="1"/>
  <c r="T11" i="18"/>
  <c r="T16" i="18"/>
  <c r="T24" i="18"/>
  <c r="T10" i="18"/>
  <c r="T14" i="18"/>
  <c r="T18" i="18"/>
  <c r="T13" i="18"/>
  <c r="K25" i="18"/>
  <c r="I27" i="18" s="1"/>
  <c r="Y18" i="19"/>
  <c r="T18" i="19"/>
  <c r="O18" i="19"/>
  <c r="J18" i="19"/>
  <c r="E18" i="19"/>
  <c r="G33" i="19"/>
  <c r="C69" i="22"/>
  <c r="E68" i="22"/>
  <c r="F68" i="22" s="1"/>
  <c r="D68" i="22"/>
  <c r="D67" i="22"/>
  <c r="E67" i="22" s="1"/>
  <c r="F67" i="22" s="1"/>
  <c r="D66" i="22"/>
  <c r="E66" i="22" s="1"/>
  <c r="F66" i="22" s="1"/>
  <c r="E65" i="22"/>
  <c r="F65" i="22" s="1"/>
  <c r="D65" i="22"/>
  <c r="D64" i="22"/>
  <c r="E64" i="22" s="1"/>
  <c r="F64" i="22" s="1"/>
  <c r="F69" i="22" s="1"/>
  <c r="C60" i="22"/>
  <c r="D59" i="22"/>
  <c r="E59" i="22" s="1"/>
  <c r="F59" i="22" s="1"/>
  <c r="D58" i="22"/>
  <c r="E58" i="22" s="1"/>
  <c r="F58" i="22" s="1"/>
  <c r="D57" i="22"/>
  <c r="E57" i="22" s="1"/>
  <c r="F57" i="22" s="1"/>
  <c r="D56" i="22"/>
  <c r="E56" i="22" s="1"/>
  <c r="F56" i="22" s="1"/>
  <c r="D55" i="22"/>
  <c r="E55" i="22" s="1"/>
  <c r="E60" i="22" s="1"/>
  <c r="O9" i="12"/>
  <c r="H9" i="8"/>
  <c r="H10" i="8" s="1"/>
  <c r="K44" i="6"/>
  <c r="K45" i="6"/>
  <c r="K46" i="6"/>
  <c r="K47" i="6"/>
  <c r="K48" i="6"/>
  <c r="K49" i="6"/>
  <c r="K43" i="6"/>
  <c r="H44" i="6"/>
  <c r="H45" i="6"/>
  <c r="H46" i="6"/>
  <c r="H47" i="6"/>
  <c r="H48" i="6"/>
  <c r="H49" i="6"/>
  <c r="H43" i="6"/>
  <c r="E44" i="6"/>
  <c r="E45" i="6"/>
  <c r="E46" i="6"/>
  <c r="E47" i="6"/>
  <c r="E48" i="6"/>
  <c r="E49" i="6"/>
  <c r="E43" i="6"/>
  <c r="B44" i="6"/>
  <c r="B45" i="6"/>
  <c r="B46" i="6"/>
  <c r="B47" i="6"/>
  <c r="B48" i="6"/>
  <c r="B49" i="6"/>
  <c r="B43" i="6"/>
  <c r="B32" i="6"/>
  <c r="K33" i="6"/>
  <c r="K34" i="6"/>
  <c r="K35" i="6"/>
  <c r="K36" i="6"/>
  <c r="K37" i="6"/>
  <c r="K38" i="6"/>
  <c r="K32" i="6"/>
  <c r="H33" i="6"/>
  <c r="H34" i="6"/>
  <c r="H35" i="6"/>
  <c r="H36" i="6"/>
  <c r="H37" i="6"/>
  <c r="H38" i="6"/>
  <c r="H32" i="6"/>
  <c r="E33" i="6"/>
  <c r="E34" i="6"/>
  <c r="E35" i="6"/>
  <c r="E36" i="6"/>
  <c r="E37" i="6"/>
  <c r="E38" i="6"/>
  <c r="E32" i="6"/>
  <c r="B33" i="6"/>
  <c r="B34" i="6"/>
  <c r="B35" i="6"/>
  <c r="B36" i="6"/>
  <c r="B37" i="6"/>
  <c r="B38" i="6"/>
  <c r="H22" i="6"/>
  <c r="H23" i="6"/>
  <c r="H24" i="6"/>
  <c r="H25" i="6"/>
  <c r="H26" i="6"/>
  <c r="H27" i="6"/>
  <c r="H21" i="6"/>
  <c r="E22" i="6"/>
  <c r="E23" i="6"/>
  <c r="E24" i="6"/>
  <c r="E25" i="6"/>
  <c r="E26" i="6"/>
  <c r="E27" i="6"/>
  <c r="E21" i="6"/>
  <c r="B22" i="6"/>
  <c r="B23" i="6"/>
  <c r="B24" i="6"/>
  <c r="B25" i="6"/>
  <c r="B26" i="6"/>
  <c r="B27" i="6"/>
  <c r="B21" i="6"/>
  <c r="C69" i="19"/>
  <c r="E68" i="19"/>
  <c r="F68" i="19" s="1"/>
  <c r="D68" i="19"/>
  <c r="D67" i="19"/>
  <c r="E67" i="19" s="1"/>
  <c r="F67" i="19" s="1"/>
  <c r="D66" i="19"/>
  <c r="E66" i="19" s="1"/>
  <c r="F66" i="19" s="1"/>
  <c r="D65" i="19"/>
  <c r="E65" i="19" s="1"/>
  <c r="F65" i="19" s="1"/>
  <c r="D64" i="19"/>
  <c r="E64" i="19" s="1"/>
  <c r="F64" i="19" s="1"/>
  <c r="C60" i="19"/>
  <c r="D59" i="19"/>
  <c r="E59" i="19" s="1"/>
  <c r="F59" i="19" s="1"/>
  <c r="D58" i="19"/>
  <c r="E58" i="19" s="1"/>
  <c r="F58" i="19" s="1"/>
  <c r="D57" i="19"/>
  <c r="E57" i="19" s="1"/>
  <c r="F57" i="19" s="1"/>
  <c r="D56" i="19"/>
  <c r="E56" i="19" s="1"/>
  <c r="F56" i="19" s="1"/>
  <c r="D55" i="19"/>
  <c r="E55" i="19" s="1"/>
  <c r="C44" i="19"/>
  <c r="D43" i="19"/>
  <c r="D44" i="19" s="1"/>
  <c r="C38" i="19"/>
  <c r="D37" i="19"/>
  <c r="D36" i="19"/>
  <c r="D35" i="19"/>
  <c r="D34" i="19"/>
  <c r="D33" i="19"/>
  <c r="E25" i="18"/>
  <c r="D24" i="18"/>
  <c r="F24" i="18" s="1"/>
  <c r="D23" i="18"/>
  <c r="F23" i="18" s="1"/>
  <c r="D22" i="18"/>
  <c r="F22" i="18" s="1"/>
  <c r="D21" i="18"/>
  <c r="F21" i="18" s="1"/>
  <c r="D20" i="18"/>
  <c r="F20" i="18" s="1"/>
  <c r="D19" i="18"/>
  <c r="F19" i="18" s="1"/>
  <c r="D18" i="18"/>
  <c r="F18" i="18" s="1"/>
  <c r="D17" i="18"/>
  <c r="F17" i="18" s="1"/>
  <c r="D16" i="18"/>
  <c r="F16" i="18" s="1"/>
  <c r="D15" i="18"/>
  <c r="F15" i="18" s="1"/>
  <c r="D14" i="18"/>
  <c r="F14" i="18" s="1"/>
  <c r="D13" i="18"/>
  <c r="F13" i="18" s="1"/>
  <c r="D12" i="18"/>
  <c r="F12" i="18" s="1"/>
  <c r="D11" i="18"/>
  <c r="F11" i="18" s="1"/>
  <c r="D10" i="18"/>
  <c r="F10" i="18" s="1"/>
  <c r="B25" i="17"/>
  <c r="B24" i="17"/>
  <c r="AL9" i="17"/>
  <c r="AJ9" i="17"/>
  <c r="AK9" i="17" s="1"/>
  <c r="AE9" i="17"/>
  <c r="AF9" i="17" s="1"/>
  <c r="AD9" i="17"/>
  <c r="X9" i="17"/>
  <c r="Y9" i="17" s="1"/>
  <c r="W9" i="17"/>
  <c r="R9" i="17"/>
  <c r="Q9" i="17"/>
  <c r="P9" i="17"/>
  <c r="H9" i="17"/>
  <c r="I9" i="17" s="1"/>
  <c r="AL8" i="17"/>
  <c r="AM8" i="17" s="1"/>
  <c r="AK8" i="17"/>
  <c r="AE8" i="17"/>
  <c r="AF8" i="17" s="1"/>
  <c r="AD8" i="17"/>
  <c r="X8" i="17"/>
  <c r="Y8" i="17" s="1"/>
  <c r="W8" i="17"/>
  <c r="Q8" i="17"/>
  <c r="R8" i="17" s="1"/>
  <c r="P8" i="17"/>
  <c r="K8" i="17"/>
  <c r="I8" i="17"/>
  <c r="B8" i="17"/>
  <c r="L13" i="21" s="1"/>
  <c r="AL7" i="17"/>
  <c r="AM7" i="17" s="1"/>
  <c r="AK7" i="17"/>
  <c r="AE7" i="17"/>
  <c r="AF7" i="17" s="1"/>
  <c r="AD7" i="17"/>
  <c r="X7" i="17"/>
  <c r="Y7" i="17" s="1"/>
  <c r="W7" i="17"/>
  <c r="Q7" i="17"/>
  <c r="R7" i="17" s="1"/>
  <c r="P7" i="17"/>
  <c r="K7" i="17"/>
  <c r="I7" i="17"/>
  <c r="AL6" i="17"/>
  <c r="AM6" i="17" s="1"/>
  <c r="AK6" i="17"/>
  <c r="AE6" i="17"/>
  <c r="AF6" i="17" s="1"/>
  <c r="AD6" i="17"/>
  <c r="X6" i="17"/>
  <c r="Y6" i="17" s="1"/>
  <c r="W6" i="17"/>
  <c r="Q6" i="17"/>
  <c r="R6" i="17" s="1"/>
  <c r="P6" i="17"/>
  <c r="K6" i="17"/>
  <c r="I6" i="17"/>
  <c r="AL5" i="17"/>
  <c r="AM5" i="17" s="1"/>
  <c r="AK5" i="17"/>
  <c r="AE5" i="17"/>
  <c r="AF5" i="17" s="1"/>
  <c r="AD5" i="17"/>
  <c r="X5" i="17"/>
  <c r="Y5" i="17" s="1"/>
  <c r="W5" i="17"/>
  <c r="Q5" i="17"/>
  <c r="R5" i="17" s="1"/>
  <c r="P5" i="17"/>
  <c r="K5" i="17"/>
  <c r="I5" i="17"/>
  <c r="AL4" i="17"/>
  <c r="AM4" i="17" s="1"/>
  <c r="AK4" i="17"/>
  <c r="AE4" i="17"/>
  <c r="AF4" i="17" s="1"/>
  <c r="AD4" i="17"/>
  <c r="X4" i="17"/>
  <c r="Y4" i="17" s="1"/>
  <c r="W4" i="17"/>
  <c r="Q4" i="17"/>
  <c r="R4" i="17" s="1"/>
  <c r="P4" i="17"/>
  <c r="K4" i="17"/>
  <c r="I4" i="17"/>
  <c r="AL3" i="17"/>
  <c r="AM3" i="17" s="1"/>
  <c r="AK3" i="17"/>
  <c r="AE3" i="17"/>
  <c r="AF3" i="17" s="1"/>
  <c r="AD3" i="17"/>
  <c r="X3" i="17"/>
  <c r="Y3" i="17" s="1"/>
  <c r="W3" i="17"/>
  <c r="Q3" i="17"/>
  <c r="P3" i="17"/>
  <c r="K3" i="17"/>
  <c r="I3" i="17"/>
  <c r="B26" i="16"/>
  <c r="B25" i="16"/>
  <c r="B24" i="16"/>
  <c r="V10" i="16"/>
  <c r="AL9" i="16"/>
  <c r="AJ9" i="16"/>
  <c r="AK9" i="16" s="1"/>
  <c r="AE9" i="16"/>
  <c r="AD9" i="16"/>
  <c r="X9" i="16"/>
  <c r="W9" i="16"/>
  <c r="Q9" i="16"/>
  <c r="P9" i="16"/>
  <c r="H9" i="16"/>
  <c r="H10" i="16" s="1"/>
  <c r="AL8" i="16"/>
  <c r="AM8" i="16" s="1"/>
  <c r="AK8" i="16"/>
  <c r="AE8" i="16"/>
  <c r="AF8" i="16" s="1"/>
  <c r="AD8" i="16"/>
  <c r="X8" i="16"/>
  <c r="Y8" i="16" s="1"/>
  <c r="W8" i="16"/>
  <c r="Q8" i="16"/>
  <c r="R8" i="16" s="1"/>
  <c r="P8" i="16"/>
  <c r="K8" i="16"/>
  <c r="I8" i="16"/>
  <c r="B8" i="16"/>
  <c r="L12" i="21" s="1"/>
  <c r="AL7" i="16"/>
  <c r="AM7" i="16" s="1"/>
  <c r="AK7" i="16"/>
  <c r="AE7" i="16"/>
  <c r="AF7" i="16" s="1"/>
  <c r="AD7" i="16"/>
  <c r="X7" i="16"/>
  <c r="Y7" i="16" s="1"/>
  <c r="W7" i="16"/>
  <c r="R7" i="16"/>
  <c r="Q7" i="16"/>
  <c r="P7" i="16"/>
  <c r="K7" i="16"/>
  <c r="I7" i="16"/>
  <c r="AL6" i="16"/>
  <c r="AM6" i="16" s="1"/>
  <c r="AK6" i="16"/>
  <c r="AE6" i="16"/>
  <c r="AF6" i="16" s="1"/>
  <c r="AD6" i="16"/>
  <c r="X6" i="16"/>
  <c r="Y6" i="16" s="1"/>
  <c r="W6" i="16"/>
  <c r="Q6" i="16"/>
  <c r="R6" i="16" s="1"/>
  <c r="P6" i="16"/>
  <c r="K6" i="16"/>
  <c r="I6" i="16"/>
  <c r="AL5" i="16"/>
  <c r="AM5" i="16" s="1"/>
  <c r="AK5" i="16"/>
  <c r="AE5" i="16"/>
  <c r="AF5" i="16" s="1"/>
  <c r="AD5" i="16"/>
  <c r="X5" i="16"/>
  <c r="Y5" i="16" s="1"/>
  <c r="W5" i="16"/>
  <c r="R5" i="16"/>
  <c r="Q5" i="16"/>
  <c r="P5" i="16"/>
  <c r="K5" i="16"/>
  <c r="I5" i="16"/>
  <c r="AL4" i="16"/>
  <c r="AM4" i="16" s="1"/>
  <c r="AK4" i="16"/>
  <c r="AE4" i="16"/>
  <c r="AF4" i="16" s="1"/>
  <c r="AD4" i="16"/>
  <c r="X4" i="16"/>
  <c r="Y4" i="16" s="1"/>
  <c r="W4" i="16"/>
  <c r="R4" i="16"/>
  <c r="Q4" i="16"/>
  <c r="P4" i="16"/>
  <c r="K4" i="16"/>
  <c r="I4" i="16"/>
  <c r="AL3" i="16"/>
  <c r="AM3" i="16" s="1"/>
  <c r="AK3" i="16"/>
  <c r="AE3" i="16"/>
  <c r="AF3" i="16" s="1"/>
  <c r="AD3" i="16"/>
  <c r="X3" i="16"/>
  <c r="Y3" i="16" s="1"/>
  <c r="W3" i="16"/>
  <c r="R3" i="16"/>
  <c r="Q3" i="16"/>
  <c r="P3" i="16"/>
  <c r="K3" i="16"/>
  <c r="I3" i="16"/>
  <c r="B25" i="15"/>
  <c r="B24" i="15"/>
  <c r="H10" i="15"/>
  <c r="AL9" i="15"/>
  <c r="AJ9" i="15"/>
  <c r="AK9" i="15" s="1"/>
  <c r="AE9" i="15"/>
  <c r="AC9" i="15"/>
  <c r="AD9" i="15" s="1"/>
  <c r="X9" i="15"/>
  <c r="V9" i="15"/>
  <c r="W9" i="15" s="1"/>
  <c r="Q9" i="15"/>
  <c r="O9" i="15"/>
  <c r="P9" i="15" s="1"/>
  <c r="H9" i="15"/>
  <c r="I9" i="15" s="1"/>
  <c r="AM8" i="15"/>
  <c r="AL8" i="15"/>
  <c r="AK8" i="15"/>
  <c r="AE8" i="15"/>
  <c r="AF8" i="15" s="1"/>
  <c r="AD8" i="15"/>
  <c r="Y8" i="15"/>
  <c r="X8" i="15"/>
  <c r="W8" i="15"/>
  <c r="Q8" i="15"/>
  <c r="R8" i="15" s="1"/>
  <c r="P8" i="15"/>
  <c r="K8" i="15"/>
  <c r="I8" i="15"/>
  <c r="AL7" i="15"/>
  <c r="AM7" i="15" s="1"/>
  <c r="AK7" i="15"/>
  <c r="AE7" i="15"/>
  <c r="AF7" i="15" s="1"/>
  <c r="AD7" i="15"/>
  <c r="X7" i="15"/>
  <c r="Y7" i="15" s="1"/>
  <c r="W7" i="15"/>
  <c r="Q7" i="15"/>
  <c r="R7" i="15" s="1"/>
  <c r="P7" i="15"/>
  <c r="K7" i="15"/>
  <c r="I7" i="15"/>
  <c r="AL6" i="15"/>
  <c r="AM6" i="15" s="1"/>
  <c r="AK6" i="15"/>
  <c r="AE6" i="15"/>
  <c r="AF6" i="15" s="1"/>
  <c r="AD6" i="15"/>
  <c r="X6" i="15"/>
  <c r="Y6" i="15" s="1"/>
  <c r="W6" i="15"/>
  <c r="R6" i="15"/>
  <c r="Q6" i="15"/>
  <c r="P6" i="15"/>
  <c r="K6" i="15"/>
  <c r="I6" i="15"/>
  <c r="AL5" i="15"/>
  <c r="AM5" i="15" s="1"/>
  <c r="AK5" i="15"/>
  <c r="AE5" i="15"/>
  <c r="AF5" i="15" s="1"/>
  <c r="AD5" i="15"/>
  <c r="X5" i="15"/>
  <c r="Y5" i="15" s="1"/>
  <c r="W5" i="15"/>
  <c r="Q5" i="15"/>
  <c r="R5" i="15" s="1"/>
  <c r="P5" i="15"/>
  <c r="K5" i="15"/>
  <c r="I5" i="15"/>
  <c r="AL4" i="15"/>
  <c r="AM4" i="15" s="1"/>
  <c r="AK4" i="15"/>
  <c r="AE4" i="15"/>
  <c r="AF4" i="15" s="1"/>
  <c r="AD4" i="15"/>
  <c r="X4" i="15"/>
  <c r="Y4" i="15" s="1"/>
  <c r="W4" i="15"/>
  <c r="Q4" i="15"/>
  <c r="R4" i="15" s="1"/>
  <c r="P4" i="15"/>
  <c r="K4" i="15"/>
  <c r="I4" i="15"/>
  <c r="AL3" i="15"/>
  <c r="AM3" i="15" s="1"/>
  <c r="AK3" i="15"/>
  <c r="AE3" i="15"/>
  <c r="AF3" i="15" s="1"/>
  <c r="AD3" i="15"/>
  <c r="X3" i="15"/>
  <c r="Y3" i="15" s="1"/>
  <c r="W3" i="15"/>
  <c r="Q3" i="15"/>
  <c r="B26" i="15" s="1"/>
  <c r="P3" i="15"/>
  <c r="K3" i="15"/>
  <c r="I3" i="15"/>
  <c r="B25" i="14"/>
  <c r="B24" i="14"/>
  <c r="AL9" i="14"/>
  <c r="AJ9" i="14"/>
  <c r="AK9" i="14" s="1"/>
  <c r="AE9" i="14"/>
  <c r="AC9" i="14"/>
  <c r="AD9" i="14" s="1"/>
  <c r="X9" i="14"/>
  <c r="V9" i="14"/>
  <c r="W9" i="14" s="1"/>
  <c r="Q9" i="14"/>
  <c r="O9" i="14"/>
  <c r="P9" i="14" s="1"/>
  <c r="H9" i="14"/>
  <c r="I9" i="14" s="1"/>
  <c r="AL8" i="14"/>
  <c r="AM8" i="14" s="1"/>
  <c r="AK8" i="14"/>
  <c r="AE8" i="14"/>
  <c r="AF8" i="14" s="1"/>
  <c r="AD8" i="14"/>
  <c r="X8" i="14"/>
  <c r="Y8" i="14" s="1"/>
  <c r="W8" i="14"/>
  <c r="Q8" i="14"/>
  <c r="R8" i="14" s="1"/>
  <c r="P8" i="14"/>
  <c r="K8" i="14"/>
  <c r="I8" i="14"/>
  <c r="B8" i="14"/>
  <c r="L10" i="21" s="1"/>
  <c r="AL7" i="14"/>
  <c r="AM7" i="14" s="1"/>
  <c r="AK7" i="14"/>
  <c r="AE7" i="14"/>
  <c r="AF7" i="14" s="1"/>
  <c r="AD7" i="14"/>
  <c r="X7" i="14"/>
  <c r="Y7" i="14" s="1"/>
  <c r="W7" i="14"/>
  <c r="Q7" i="14"/>
  <c r="R7" i="14" s="1"/>
  <c r="P7" i="14"/>
  <c r="K7" i="14"/>
  <c r="I7" i="14"/>
  <c r="AL6" i="14"/>
  <c r="AM6" i="14" s="1"/>
  <c r="AK6" i="14"/>
  <c r="AE6" i="14"/>
  <c r="AF6" i="14" s="1"/>
  <c r="AD6" i="14"/>
  <c r="X6" i="14"/>
  <c r="Y6" i="14" s="1"/>
  <c r="W6" i="14"/>
  <c r="Q6" i="14"/>
  <c r="R6" i="14" s="1"/>
  <c r="P6" i="14"/>
  <c r="K6" i="14"/>
  <c r="I6" i="14"/>
  <c r="AL5" i="14"/>
  <c r="AM5" i="14" s="1"/>
  <c r="AK5" i="14"/>
  <c r="AE5" i="14"/>
  <c r="AF5" i="14" s="1"/>
  <c r="AD5" i="14"/>
  <c r="X5" i="14"/>
  <c r="Y5" i="14" s="1"/>
  <c r="W5" i="14"/>
  <c r="Q5" i="14"/>
  <c r="R5" i="14" s="1"/>
  <c r="P5" i="14"/>
  <c r="K5" i="14"/>
  <c r="I5" i="14"/>
  <c r="AL4" i="14"/>
  <c r="AM4" i="14" s="1"/>
  <c r="AK4" i="14"/>
  <c r="AE4" i="14"/>
  <c r="AF4" i="14" s="1"/>
  <c r="AD4" i="14"/>
  <c r="X4" i="14"/>
  <c r="Y4" i="14" s="1"/>
  <c r="W4" i="14"/>
  <c r="Q4" i="14"/>
  <c r="R4" i="14" s="1"/>
  <c r="P4" i="14"/>
  <c r="K4" i="14"/>
  <c r="I4" i="14"/>
  <c r="AL3" i="14"/>
  <c r="AM3" i="14" s="1"/>
  <c r="AK3" i="14"/>
  <c r="AE3" i="14"/>
  <c r="AF3" i="14" s="1"/>
  <c r="AD3" i="14"/>
  <c r="X3" i="14"/>
  <c r="Y3" i="14" s="1"/>
  <c r="W3" i="14"/>
  <c r="Q3" i="14"/>
  <c r="R3" i="14" s="1"/>
  <c r="P3" i="14"/>
  <c r="K3" i="14"/>
  <c r="I3" i="14"/>
  <c r="B25" i="13"/>
  <c r="B24" i="13"/>
  <c r="H10" i="13"/>
  <c r="AL9" i="13"/>
  <c r="AJ9" i="13"/>
  <c r="AK9" i="13" s="1"/>
  <c r="AE9" i="13"/>
  <c r="AC9" i="13"/>
  <c r="AD9" i="13" s="1"/>
  <c r="X9" i="13"/>
  <c r="V9" i="13"/>
  <c r="W9" i="13" s="1"/>
  <c r="Q9" i="13"/>
  <c r="O9" i="13"/>
  <c r="P9" i="13" s="1"/>
  <c r="H9" i="13"/>
  <c r="I9" i="13" s="1"/>
  <c r="AL8" i="13"/>
  <c r="AM8" i="13" s="1"/>
  <c r="AK8" i="13"/>
  <c r="AE8" i="13"/>
  <c r="AF8" i="13" s="1"/>
  <c r="AD8" i="13"/>
  <c r="X8" i="13"/>
  <c r="Y8" i="13" s="1"/>
  <c r="W8" i="13"/>
  <c r="Q8" i="13"/>
  <c r="R8" i="13" s="1"/>
  <c r="P8" i="13"/>
  <c r="K8" i="13"/>
  <c r="I8" i="13"/>
  <c r="B8" i="13"/>
  <c r="L9" i="21" s="1"/>
  <c r="AL7" i="13"/>
  <c r="AM7" i="13" s="1"/>
  <c r="AK7" i="13"/>
  <c r="AE7" i="13"/>
  <c r="AF7" i="13" s="1"/>
  <c r="AD7" i="13"/>
  <c r="X7" i="13"/>
  <c r="Y7" i="13" s="1"/>
  <c r="W7" i="13"/>
  <c r="Q7" i="13"/>
  <c r="R7" i="13" s="1"/>
  <c r="P7" i="13"/>
  <c r="K7" i="13"/>
  <c r="I7" i="13"/>
  <c r="AL6" i="13"/>
  <c r="AM6" i="13" s="1"/>
  <c r="AK6" i="13"/>
  <c r="AE6" i="13"/>
  <c r="AF6" i="13" s="1"/>
  <c r="AD6" i="13"/>
  <c r="X6" i="13"/>
  <c r="Y6" i="13" s="1"/>
  <c r="W6" i="13"/>
  <c r="Q6" i="13"/>
  <c r="R6" i="13" s="1"/>
  <c r="P6" i="13"/>
  <c r="K6" i="13"/>
  <c r="I6" i="13"/>
  <c r="AL5" i="13"/>
  <c r="AM5" i="13" s="1"/>
  <c r="AK5" i="13"/>
  <c r="AE5" i="13"/>
  <c r="AF5" i="13" s="1"/>
  <c r="AD5" i="13"/>
  <c r="X5" i="13"/>
  <c r="Y5" i="13" s="1"/>
  <c r="W5" i="13"/>
  <c r="Q5" i="13"/>
  <c r="R5" i="13" s="1"/>
  <c r="P5" i="13"/>
  <c r="K5" i="13"/>
  <c r="I5" i="13"/>
  <c r="AL4" i="13"/>
  <c r="AM4" i="13" s="1"/>
  <c r="AK4" i="13"/>
  <c r="AE4" i="13"/>
  <c r="AF4" i="13" s="1"/>
  <c r="AD4" i="13"/>
  <c r="X4" i="13"/>
  <c r="Y4" i="13" s="1"/>
  <c r="W4" i="13"/>
  <c r="Q4" i="13"/>
  <c r="R4" i="13" s="1"/>
  <c r="P4" i="13"/>
  <c r="K4" i="13"/>
  <c r="I4" i="13"/>
  <c r="AL3" i="13"/>
  <c r="AM3" i="13" s="1"/>
  <c r="AK3" i="13"/>
  <c r="AE3" i="13"/>
  <c r="AF3" i="13" s="1"/>
  <c r="AD3" i="13"/>
  <c r="X3" i="13"/>
  <c r="Y3" i="13" s="1"/>
  <c r="W3" i="13"/>
  <c r="Q3" i="13"/>
  <c r="R3" i="13" s="1"/>
  <c r="P3" i="13"/>
  <c r="K3" i="13"/>
  <c r="I3" i="13"/>
  <c r="B25" i="12"/>
  <c r="B24" i="12"/>
  <c r="V10" i="12"/>
  <c r="H10" i="12"/>
  <c r="AL9" i="12"/>
  <c r="AJ9" i="12"/>
  <c r="AK9" i="12" s="1"/>
  <c r="AE9" i="12"/>
  <c r="AC9" i="12"/>
  <c r="AD9" i="12" s="1"/>
  <c r="X9" i="12"/>
  <c r="V9" i="12"/>
  <c r="W9" i="12" s="1"/>
  <c r="Q9" i="12"/>
  <c r="P9" i="12"/>
  <c r="K9" i="12"/>
  <c r="H9" i="12"/>
  <c r="I9" i="12" s="1"/>
  <c r="AL8" i="12"/>
  <c r="AM8" i="12" s="1"/>
  <c r="AK8" i="12"/>
  <c r="AE8" i="12"/>
  <c r="AF8" i="12" s="1"/>
  <c r="AD8" i="12"/>
  <c r="X8" i="12"/>
  <c r="Y8" i="12" s="1"/>
  <c r="W8" i="12"/>
  <c r="Q8" i="12"/>
  <c r="R8" i="12" s="1"/>
  <c r="P8" i="12"/>
  <c r="K8" i="12"/>
  <c r="I8" i="12"/>
  <c r="B8" i="12"/>
  <c r="L8" i="21" s="1"/>
  <c r="AL7" i="12"/>
  <c r="AM7" i="12" s="1"/>
  <c r="AK7" i="12"/>
  <c r="AE7" i="12"/>
  <c r="AF7" i="12" s="1"/>
  <c r="AD7" i="12"/>
  <c r="X7" i="12"/>
  <c r="Y7" i="12" s="1"/>
  <c r="W7" i="12"/>
  <c r="Q7" i="12"/>
  <c r="R7" i="12" s="1"/>
  <c r="P7" i="12"/>
  <c r="K7" i="12"/>
  <c r="I7" i="12"/>
  <c r="AL6" i="12"/>
  <c r="AM6" i="12" s="1"/>
  <c r="AK6" i="12"/>
  <c r="AE6" i="12"/>
  <c r="AF6" i="12" s="1"/>
  <c r="AD6" i="12"/>
  <c r="X6" i="12"/>
  <c r="Y6" i="12" s="1"/>
  <c r="W6" i="12"/>
  <c r="R6" i="12"/>
  <c r="Q6" i="12"/>
  <c r="P6" i="12"/>
  <c r="K6" i="12"/>
  <c r="I6" i="12"/>
  <c r="AL5" i="12"/>
  <c r="AM5" i="12" s="1"/>
  <c r="AK5" i="12"/>
  <c r="AE5" i="12"/>
  <c r="AF5" i="12" s="1"/>
  <c r="AD5" i="12"/>
  <c r="X5" i="12"/>
  <c r="Y5" i="12" s="1"/>
  <c r="W5" i="12"/>
  <c r="R5" i="12"/>
  <c r="Q5" i="12"/>
  <c r="P5" i="12"/>
  <c r="K5" i="12"/>
  <c r="I5" i="12"/>
  <c r="AL4" i="12"/>
  <c r="AM4" i="12" s="1"/>
  <c r="AK4" i="12"/>
  <c r="AE4" i="12"/>
  <c r="AF4" i="12" s="1"/>
  <c r="AD4" i="12"/>
  <c r="X4" i="12"/>
  <c r="Y4" i="12" s="1"/>
  <c r="W4" i="12"/>
  <c r="Q4" i="12"/>
  <c r="R4" i="12" s="1"/>
  <c r="P4" i="12"/>
  <c r="K4" i="12"/>
  <c r="I4" i="12"/>
  <c r="AL3" i="12"/>
  <c r="AM3" i="12" s="1"/>
  <c r="AK3" i="12"/>
  <c r="AE3" i="12"/>
  <c r="AF3" i="12" s="1"/>
  <c r="AD3" i="12"/>
  <c r="X3" i="12"/>
  <c r="Y3" i="12" s="1"/>
  <c r="W3" i="12"/>
  <c r="R3" i="12"/>
  <c r="Q3" i="12"/>
  <c r="B26" i="12" s="1"/>
  <c r="P3" i="12"/>
  <c r="K3" i="12"/>
  <c r="I3" i="12"/>
  <c r="B25" i="11"/>
  <c r="B24" i="11"/>
  <c r="H10" i="11"/>
  <c r="AL9" i="11"/>
  <c r="AJ9" i="11"/>
  <c r="AK9" i="11" s="1"/>
  <c r="AE9" i="11"/>
  <c r="AC9" i="11"/>
  <c r="AD9" i="11" s="1"/>
  <c r="X9" i="11"/>
  <c r="V9" i="11"/>
  <c r="W9" i="11" s="1"/>
  <c r="Q9" i="11"/>
  <c r="O9" i="11"/>
  <c r="P9" i="11" s="1"/>
  <c r="I9" i="11"/>
  <c r="H9" i="11"/>
  <c r="K9" i="11" s="1"/>
  <c r="AL8" i="11"/>
  <c r="AM8" i="11" s="1"/>
  <c r="AK8" i="11"/>
  <c r="AE8" i="11"/>
  <c r="AF8" i="11" s="1"/>
  <c r="AD8" i="11"/>
  <c r="X8" i="11"/>
  <c r="Y8" i="11" s="1"/>
  <c r="W8" i="11"/>
  <c r="Q8" i="11"/>
  <c r="R8" i="11" s="1"/>
  <c r="P8" i="11"/>
  <c r="K8" i="11"/>
  <c r="I8" i="11"/>
  <c r="B8" i="11"/>
  <c r="L7" i="21" s="1"/>
  <c r="AL7" i="11"/>
  <c r="AM7" i="11" s="1"/>
  <c r="AK7" i="11"/>
  <c r="AE7" i="11"/>
  <c r="AF7" i="11" s="1"/>
  <c r="AD7" i="11"/>
  <c r="X7" i="11"/>
  <c r="Y7" i="11" s="1"/>
  <c r="W7" i="11"/>
  <c r="Q7" i="11"/>
  <c r="R7" i="11" s="1"/>
  <c r="P7" i="11"/>
  <c r="K7" i="11"/>
  <c r="I7" i="11"/>
  <c r="AL6" i="11"/>
  <c r="AM6" i="11" s="1"/>
  <c r="AK6" i="11"/>
  <c r="AE6" i="11"/>
  <c r="AF6" i="11" s="1"/>
  <c r="AD6" i="11"/>
  <c r="X6" i="11"/>
  <c r="Y6" i="11" s="1"/>
  <c r="W6" i="11"/>
  <c r="Q6" i="11"/>
  <c r="R6" i="11" s="1"/>
  <c r="P6" i="11"/>
  <c r="K6" i="11"/>
  <c r="I6" i="11"/>
  <c r="AL5" i="11"/>
  <c r="AM5" i="11" s="1"/>
  <c r="AK5" i="11"/>
  <c r="AE5" i="11"/>
  <c r="AF5" i="11" s="1"/>
  <c r="AD5" i="11"/>
  <c r="X5" i="11"/>
  <c r="Y5" i="11" s="1"/>
  <c r="W5" i="11"/>
  <c r="Q5" i="11"/>
  <c r="R5" i="11" s="1"/>
  <c r="P5" i="11"/>
  <c r="K5" i="11"/>
  <c r="I5" i="11"/>
  <c r="AL4" i="11"/>
  <c r="AM4" i="11" s="1"/>
  <c r="AK4" i="11"/>
  <c r="AE4" i="11"/>
  <c r="AF4" i="11" s="1"/>
  <c r="AD4" i="11"/>
  <c r="X4" i="11"/>
  <c r="Y4" i="11" s="1"/>
  <c r="W4" i="11"/>
  <c r="Q4" i="11"/>
  <c r="R4" i="11" s="1"/>
  <c r="P4" i="11"/>
  <c r="K4" i="11"/>
  <c r="I4" i="11"/>
  <c r="AL3" i="11"/>
  <c r="AM3" i="11" s="1"/>
  <c r="AK3" i="11"/>
  <c r="AE3" i="11"/>
  <c r="AF3" i="11" s="1"/>
  <c r="AD3" i="11"/>
  <c r="X3" i="11"/>
  <c r="Y3" i="11" s="1"/>
  <c r="W3" i="11"/>
  <c r="Q3" i="11"/>
  <c r="P3" i="11"/>
  <c r="K3" i="11"/>
  <c r="I3" i="11"/>
  <c r="B25" i="10"/>
  <c r="B24" i="10"/>
  <c r="AL9" i="10"/>
  <c r="AJ9" i="10"/>
  <c r="AK9" i="10" s="1"/>
  <c r="AE9" i="10"/>
  <c r="AC9" i="10"/>
  <c r="AD9" i="10" s="1"/>
  <c r="X9" i="10"/>
  <c r="V9" i="10"/>
  <c r="W9" i="10" s="1"/>
  <c r="Q9" i="10"/>
  <c r="O9" i="10"/>
  <c r="P9" i="10" s="1"/>
  <c r="H9" i="10"/>
  <c r="I9" i="10" s="1"/>
  <c r="AM8" i="10"/>
  <c r="AL8" i="10"/>
  <c r="AK8" i="10"/>
  <c r="AE8" i="10"/>
  <c r="AF8" i="10" s="1"/>
  <c r="AD8" i="10"/>
  <c r="X8" i="10"/>
  <c r="Y8" i="10" s="1"/>
  <c r="W8" i="10"/>
  <c r="Q8" i="10"/>
  <c r="R8" i="10" s="1"/>
  <c r="P8" i="10"/>
  <c r="K8" i="10"/>
  <c r="I8" i="10"/>
  <c r="B8" i="10"/>
  <c r="L6" i="21" s="1"/>
  <c r="AL7" i="10"/>
  <c r="AM7" i="10" s="1"/>
  <c r="AK7" i="10"/>
  <c r="AE7" i="10"/>
  <c r="AF7" i="10" s="1"/>
  <c r="AD7" i="10"/>
  <c r="X7" i="10"/>
  <c r="Y7" i="10" s="1"/>
  <c r="W7" i="10"/>
  <c r="Q7" i="10"/>
  <c r="R7" i="10" s="1"/>
  <c r="P7" i="10"/>
  <c r="K7" i="10"/>
  <c r="I7" i="10"/>
  <c r="AL6" i="10"/>
  <c r="AM6" i="10" s="1"/>
  <c r="AK6" i="10"/>
  <c r="AE6" i="10"/>
  <c r="AF6" i="10" s="1"/>
  <c r="AD6" i="10"/>
  <c r="X6" i="10"/>
  <c r="Y6" i="10" s="1"/>
  <c r="W6" i="10"/>
  <c r="Q6" i="10"/>
  <c r="R6" i="10" s="1"/>
  <c r="P6" i="10"/>
  <c r="K6" i="10"/>
  <c r="I6" i="10"/>
  <c r="AL5" i="10"/>
  <c r="AM5" i="10" s="1"/>
  <c r="AK5" i="10"/>
  <c r="AE5" i="10"/>
  <c r="AF5" i="10" s="1"/>
  <c r="AD5" i="10"/>
  <c r="X5" i="10"/>
  <c r="Y5" i="10" s="1"/>
  <c r="W5" i="10"/>
  <c r="Q5" i="10"/>
  <c r="R5" i="10" s="1"/>
  <c r="P5" i="10"/>
  <c r="K5" i="10"/>
  <c r="I5" i="10"/>
  <c r="AL4" i="10"/>
  <c r="AM4" i="10" s="1"/>
  <c r="AK4" i="10"/>
  <c r="AE4" i="10"/>
  <c r="AF4" i="10" s="1"/>
  <c r="AD4" i="10"/>
  <c r="X4" i="10"/>
  <c r="Y4" i="10" s="1"/>
  <c r="W4" i="10"/>
  <c r="Q4" i="10"/>
  <c r="R4" i="10" s="1"/>
  <c r="P4" i="10"/>
  <c r="K4" i="10"/>
  <c r="I4" i="10"/>
  <c r="AL3" i="10"/>
  <c r="AM3" i="10" s="1"/>
  <c r="AK3" i="10"/>
  <c r="AE3" i="10"/>
  <c r="AF3" i="10" s="1"/>
  <c r="AD3" i="10"/>
  <c r="X3" i="10"/>
  <c r="Y3" i="10" s="1"/>
  <c r="W3" i="10"/>
  <c r="Q3" i="10"/>
  <c r="R3" i="10" s="1"/>
  <c r="P3" i="10"/>
  <c r="K3" i="10"/>
  <c r="I3" i="10"/>
  <c r="B25" i="9"/>
  <c r="B24" i="9"/>
  <c r="AL9" i="9"/>
  <c r="AJ9" i="9"/>
  <c r="AK9" i="9" s="1"/>
  <c r="AE9" i="9"/>
  <c r="AC9" i="9"/>
  <c r="AD9" i="9" s="1"/>
  <c r="X9" i="9"/>
  <c r="V9" i="9"/>
  <c r="W9" i="9" s="1"/>
  <c r="Q9" i="9"/>
  <c r="O9" i="9"/>
  <c r="P9" i="9" s="1"/>
  <c r="H9" i="9"/>
  <c r="I9" i="9" s="1"/>
  <c r="AL8" i="9"/>
  <c r="AM8" i="9" s="1"/>
  <c r="AK8" i="9"/>
  <c r="AE8" i="9"/>
  <c r="AF8" i="9" s="1"/>
  <c r="AD8" i="9"/>
  <c r="X8" i="9"/>
  <c r="Y8" i="9" s="1"/>
  <c r="W8" i="9"/>
  <c r="Q8" i="9"/>
  <c r="R8" i="9" s="1"/>
  <c r="P8" i="9"/>
  <c r="K8" i="9"/>
  <c r="I8" i="9"/>
  <c r="B8" i="9"/>
  <c r="L5" i="21" s="1"/>
  <c r="AL7" i="9"/>
  <c r="AM7" i="9" s="1"/>
  <c r="AK7" i="9"/>
  <c r="AE7" i="9"/>
  <c r="AF7" i="9" s="1"/>
  <c r="AD7" i="9"/>
  <c r="X7" i="9"/>
  <c r="Y7" i="9" s="1"/>
  <c r="W7" i="9"/>
  <c r="Q7" i="9"/>
  <c r="R7" i="9" s="1"/>
  <c r="P7" i="9"/>
  <c r="K7" i="9"/>
  <c r="I7" i="9"/>
  <c r="AL6" i="9"/>
  <c r="AM6" i="9" s="1"/>
  <c r="AK6" i="9"/>
  <c r="AE6" i="9"/>
  <c r="AF6" i="9" s="1"/>
  <c r="AD6" i="9"/>
  <c r="X6" i="9"/>
  <c r="Y6" i="9" s="1"/>
  <c r="W6" i="9"/>
  <c r="Q6" i="9"/>
  <c r="R6" i="9" s="1"/>
  <c r="P6" i="9"/>
  <c r="K6" i="9"/>
  <c r="I6" i="9"/>
  <c r="AL5" i="9"/>
  <c r="AM5" i="9" s="1"/>
  <c r="AK5" i="9"/>
  <c r="AE5" i="9"/>
  <c r="AF5" i="9" s="1"/>
  <c r="AD5" i="9"/>
  <c r="X5" i="9"/>
  <c r="Y5" i="9" s="1"/>
  <c r="W5" i="9"/>
  <c r="Q5" i="9"/>
  <c r="R5" i="9" s="1"/>
  <c r="P5" i="9"/>
  <c r="K5" i="9"/>
  <c r="I5" i="9"/>
  <c r="AL4" i="9"/>
  <c r="AM4" i="9" s="1"/>
  <c r="AK4" i="9"/>
  <c r="AE4" i="9"/>
  <c r="AF4" i="9" s="1"/>
  <c r="AD4" i="9"/>
  <c r="X4" i="9"/>
  <c r="Y4" i="9" s="1"/>
  <c r="W4" i="9"/>
  <c r="Q4" i="9"/>
  <c r="R4" i="9" s="1"/>
  <c r="P4" i="9"/>
  <c r="K4" i="9"/>
  <c r="I4" i="9"/>
  <c r="AL3" i="9"/>
  <c r="AM3" i="9" s="1"/>
  <c r="AK3" i="9"/>
  <c r="AE3" i="9"/>
  <c r="AF3" i="9" s="1"/>
  <c r="AD3" i="9"/>
  <c r="X3" i="9"/>
  <c r="Y3" i="9" s="1"/>
  <c r="W3" i="9"/>
  <c r="Q3" i="9"/>
  <c r="P3" i="9"/>
  <c r="K3" i="9"/>
  <c r="I3" i="9"/>
  <c r="B25" i="8"/>
  <c r="B24" i="8"/>
  <c r="AL9" i="8"/>
  <c r="AJ9" i="8"/>
  <c r="AK9" i="8" s="1"/>
  <c r="AE9" i="8"/>
  <c r="AC9" i="8"/>
  <c r="AD9" i="8" s="1"/>
  <c r="X9" i="8"/>
  <c r="V9" i="8"/>
  <c r="W9" i="8" s="1"/>
  <c r="Q9" i="8"/>
  <c r="O9" i="8"/>
  <c r="P9" i="8" s="1"/>
  <c r="AL8" i="8"/>
  <c r="AM8" i="8" s="1"/>
  <c r="AK8" i="8"/>
  <c r="AE8" i="8"/>
  <c r="AF8" i="8" s="1"/>
  <c r="AD8" i="8"/>
  <c r="Y8" i="8"/>
  <c r="X8" i="8"/>
  <c r="W8" i="8"/>
  <c r="R8" i="8"/>
  <c r="Q8" i="8"/>
  <c r="P8" i="8"/>
  <c r="K8" i="8"/>
  <c r="I8" i="8"/>
  <c r="B8" i="8"/>
  <c r="L4" i="21" s="1"/>
  <c r="AL7" i="8"/>
  <c r="AM7" i="8" s="1"/>
  <c r="AK7" i="8"/>
  <c r="AE7" i="8"/>
  <c r="AF7" i="8" s="1"/>
  <c r="AD7" i="8"/>
  <c r="X7" i="8"/>
  <c r="Y7" i="8" s="1"/>
  <c r="W7" i="8"/>
  <c r="Q7" i="8"/>
  <c r="R7" i="8" s="1"/>
  <c r="P7" i="8"/>
  <c r="K7" i="8"/>
  <c r="I7" i="8"/>
  <c r="AL6" i="8"/>
  <c r="AM6" i="8" s="1"/>
  <c r="AK6" i="8"/>
  <c r="AE6" i="8"/>
  <c r="AF6" i="8" s="1"/>
  <c r="AD6" i="8"/>
  <c r="X6" i="8"/>
  <c r="Y6" i="8" s="1"/>
  <c r="W6" i="8"/>
  <c r="Q6" i="8"/>
  <c r="R6" i="8" s="1"/>
  <c r="P6" i="8"/>
  <c r="K6" i="8"/>
  <c r="I6" i="8"/>
  <c r="AL5" i="8"/>
  <c r="AM5" i="8" s="1"/>
  <c r="AK5" i="8"/>
  <c r="AE5" i="8"/>
  <c r="AF5" i="8" s="1"/>
  <c r="AD5" i="8"/>
  <c r="X5" i="8"/>
  <c r="Y5" i="8" s="1"/>
  <c r="W5" i="8"/>
  <c r="Q5" i="8"/>
  <c r="R5" i="8" s="1"/>
  <c r="P5" i="8"/>
  <c r="K5" i="8"/>
  <c r="I5" i="8"/>
  <c r="AL4" i="8"/>
  <c r="AM4" i="8" s="1"/>
  <c r="AK4" i="8"/>
  <c r="AE4" i="8"/>
  <c r="AF4" i="8" s="1"/>
  <c r="AD4" i="8"/>
  <c r="X4" i="8"/>
  <c r="Y4" i="8" s="1"/>
  <c r="W4" i="8"/>
  <c r="Q4" i="8"/>
  <c r="R4" i="8" s="1"/>
  <c r="P4" i="8"/>
  <c r="K4" i="8"/>
  <c r="I4" i="8"/>
  <c r="AL3" i="8"/>
  <c r="AM3" i="8" s="1"/>
  <c r="AK3" i="8"/>
  <c r="AF3" i="8"/>
  <c r="AE3" i="8"/>
  <c r="AD3" i="8"/>
  <c r="X3" i="8"/>
  <c r="Y3" i="8" s="1"/>
  <c r="W3" i="8"/>
  <c r="Q3" i="8"/>
  <c r="R3" i="8" s="1"/>
  <c r="P3" i="8"/>
  <c r="K3" i="8"/>
  <c r="I3" i="8"/>
  <c r="B26" i="1"/>
  <c r="B24" i="1"/>
  <c r="B25" i="1"/>
  <c r="E21" i="7"/>
  <c r="A2" i="7"/>
  <c r="E58" i="7"/>
  <c r="D58" i="7"/>
  <c r="E57" i="7"/>
  <c r="D57" i="7"/>
  <c r="E56" i="7"/>
  <c r="D56" i="7"/>
  <c r="E55" i="7"/>
  <c r="D55" i="7"/>
  <c r="E54" i="7"/>
  <c r="D54" i="7"/>
  <c r="E53" i="7"/>
  <c r="D53" i="7"/>
  <c r="E52" i="7"/>
  <c r="D52" i="7"/>
  <c r="E51" i="7"/>
  <c r="D51" i="7"/>
  <c r="E50" i="7"/>
  <c r="D50" i="7"/>
  <c r="E49" i="7"/>
  <c r="D49" i="7"/>
  <c r="E48" i="7"/>
  <c r="D48" i="7"/>
  <c r="E47" i="7"/>
  <c r="D47" i="7"/>
  <c r="E46" i="7"/>
  <c r="D46" i="7"/>
  <c r="E45" i="7"/>
  <c r="D45" i="7"/>
  <c r="E44" i="7"/>
  <c r="D44" i="7"/>
  <c r="D20" i="7"/>
  <c r="D19" i="7"/>
  <c r="D18" i="7"/>
  <c r="D17" i="7"/>
  <c r="D16" i="7"/>
  <c r="D15" i="7"/>
  <c r="D14" i="7"/>
  <c r="D13" i="7"/>
  <c r="D12" i="7"/>
  <c r="D11" i="7"/>
  <c r="D10" i="7"/>
  <c r="D9" i="7"/>
  <c r="D8" i="6"/>
  <c r="B8" i="6"/>
  <c r="D7" i="6"/>
  <c r="B7" i="6"/>
  <c r="G6" i="6"/>
  <c r="K9" i="10" l="1"/>
  <c r="R3" i="15"/>
  <c r="Y9" i="8"/>
  <c r="AF9" i="8"/>
  <c r="K10" i="12"/>
  <c r="D3" i="12" s="1"/>
  <c r="B3" i="12" s="1"/>
  <c r="K9" i="13"/>
  <c r="H10" i="14"/>
  <c r="H10" i="10"/>
  <c r="K9" i="14"/>
  <c r="K10" i="14" s="1"/>
  <c r="D3" i="14" s="1"/>
  <c r="B3" i="14" s="1"/>
  <c r="D43" i="22"/>
  <c r="D44" i="22" s="1"/>
  <c r="G15" i="21"/>
  <c r="I15" i="21"/>
  <c r="H15" i="21"/>
  <c r="J15" i="21"/>
  <c r="D23" i="7"/>
  <c r="D60" i="7"/>
  <c r="H14" i="21"/>
  <c r="K14" i="21"/>
  <c r="I14" i="21"/>
  <c r="J14" i="21"/>
  <c r="G14" i="21"/>
  <c r="AM9" i="17"/>
  <c r="AM10" i="17" s="1"/>
  <c r="D7" i="17" s="1"/>
  <c r="B7" i="17" s="1"/>
  <c r="F13" i="21" s="1"/>
  <c r="K9" i="17"/>
  <c r="K10" i="17" s="1"/>
  <c r="D3" i="17" s="1"/>
  <c r="B3" i="17" s="1"/>
  <c r="H10" i="17"/>
  <c r="I9" i="16"/>
  <c r="K9" i="16"/>
  <c r="K10" i="16" s="1"/>
  <c r="D3" i="16" s="1"/>
  <c r="B3" i="16" s="1"/>
  <c r="B26" i="17"/>
  <c r="AF10" i="17"/>
  <c r="D6" i="17" s="1"/>
  <c r="B6" i="17" s="1"/>
  <c r="E13" i="21" s="1"/>
  <c r="E60" i="19"/>
  <c r="D38" i="19"/>
  <c r="F55" i="22"/>
  <c r="F60" i="22" s="1"/>
  <c r="E69" i="22"/>
  <c r="V10" i="13"/>
  <c r="O10" i="8"/>
  <c r="R9" i="8"/>
  <c r="R10" i="8" s="1"/>
  <c r="D4" i="8" s="1"/>
  <c r="B4" i="8" s="1"/>
  <c r="C4" i="21" s="1"/>
  <c r="I9" i="8"/>
  <c r="K9" i="8"/>
  <c r="K10" i="8" s="1"/>
  <c r="D3" i="8" s="1"/>
  <c r="B3" i="8" s="1"/>
  <c r="B4" i="21" s="1"/>
  <c r="G4" i="21" s="1"/>
  <c r="H10" i="9"/>
  <c r="K9" i="9"/>
  <c r="K10" i="9" s="1"/>
  <c r="D3" i="9" s="1"/>
  <c r="B3" i="9" s="1"/>
  <c r="B5" i="21" s="1"/>
  <c r="G5" i="21" s="1"/>
  <c r="AM9" i="8"/>
  <c r="AM10" i="8" s="1"/>
  <c r="D7" i="8" s="1"/>
  <c r="B7" i="8" s="1"/>
  <c r="F4" i="21" s="1"/>
  <c r="B26" i="14"/>
  <c r="K10" i="13"/>
  <c r="D3" i="13" s="1"/>
  <c r="B3" i="13" s="1"/>
  <c r="B26" i="13"/>
  <c r="B26" i="11"/>
  <c r="R3" i="11"/>
  <c r="K10" i="11"/>
  <c r="D3" i="11" s="1"/>
  <c r="B3" i="11" s="1"/>
  <c r="K10" i="10"/>
  <c r="D3" i="10" s="1"/>
  <c r="B3" i="10" s="1"/>
  <c r="B26" i="10"/>
  <c r="B26" i="9"/>
  <c r="R3" i="9"/>
  <c r="AF10" i="8"/>
  <c r="D6" i="8" s="1"/>
  <c r="B6" i="8" s="1"/>
  <c r="E4" i="21" s="1"/>
  <c r="B26" i="8"/>
  <c r="F69" i="19"/>
  <c r="F55" i="19"/>
  <c r="F60" i="19" s="1"/>
  <c r="E69" i="19"/>
  <c r="D25" i="18"/>
  <c r="B27" i="18" s="1"/>
  <c r="Y10" i="17"/>
  <c r="D5" i="17" s="1"/>
  <c r="B5" i="17" s="1"/>
  <c r="D13" i="21" s="1"/>
  <c r="R3" i="17"/>
  <c r="R10" i="17" s="1"/>
  <c r="D4" i="17" s="1"/>
  <c r="B4" i="17" s="1"/>
  <c r="C13" i="21" s="1"/>
  <c r="V10" i="17"/>
  <c r="AJ10" i="17"/>
  <c r="O10" i="17"/>
  <c r="AC10" i="17"/>
  <c r="R9" i="16"/>
  <c r="R10" i="16" s="1"/>
  <c r="D4" i="16" s="1"/>
  <c r="B4" i="16" s="1"/>
  <c r="C12" i="21" s="1"/>
  <c r="Y9" i="16"/>
  <c r="Y10" i="16" s="1"/>
  <c r="D5" i="16" s="1"/>
  <c r="B5" i="16" s="1"/>
  <c r="D12" i="21" s="1"/>
  <c r="AF9" i="16"/>
  <c r="AF10" i="16" s="1"/>
  <c r="D6" i="16" s="1"/>
  <c r="B6" i="16" s="1"/>
  <c r="E12" i="21" s="1"/>
  <c r="AM9" i="16"/>
  <c r="AM10" i="16" s="1"/>
  <c r="D7" i="16" s="1"/>
  <c r="B7" i="16" s="1"/>
  <c r="F12" i="21" s="1"/>
  <c r="O10" i="16"/>
  <c r="AC10" i="16"/>
  <c r="AJ10" i="16"/>
  <c r="K9" i="15"/>
  <c r="K10" i="15" s="1"/>
  <c r="D3" i="15" s="1"/>
  <c r="B3" i="15" s="1"/>
  <c r="R9" i="15"/>
  <c r="R10" i="15" s="1"/>
  <c r="D4" i="15" s="1"/>
  <c r="B4" i="15" s="1"/>
  <c r="C11" i="21" s="1"/>
  <c r="Y9" i="15"/>
  <c r="Y10" i="15" s="1"/>
  <c r="D5" i="15" s="1"/>
  <c r="B5" i="15" s="1"/>
  <c r="D11" i="21" s="1"/>
  <c r="AF9" i="15"/>
  <c r="AF10" i="15" s="1"/>
  <c r="D6" i="15" s="1"/>
  <c r="B6" i="15" s="1"/>
  <c r="E11" i="21" s="1"/>
  <c r="AM9" i="15"/>
  <c r="AM10" i="15" s="1"/>
  <c r="D7" i="15" s="1"/>
  <c r="B7" i="15" s="1"/>
  <c r="F11" i="21" s="1"/>
  <c r="AJ10" i="15"/>
  <c r="O10" i="15"/>
  <c r="AC10" i="15"/>
  <c r="V10" i="15"/>
  <c r="R9" i="14"/>
  <c r="R10" i="14" s="1"/>
  <c r="D4" i="14" s="1"/>
  <c r="B4" i="14" s="1"/>
  <c r="C10" i="21" s="1"/>
  <c r="Y9" i="14"/>
  <c r="Y10" i="14" s="1"/>
  <c r="D5" i="14" s="1"/>
  <c r="B5" i="14" s="1"/>
  <c r="D10" i="21" s="1"/>
  <c r="AF9" i="14"/>
  <c r="AF10" i="14" s="1"/>
  <c r="D6" i="14" s="1"/>
  <c r="B6" i="14" s="1"/>
  <c r="E10" i="21" s="1"/>
  <c r="AM9" i="14"/>
  <c r="AM10" i="14" s="1"/>
  <c r="D7" i="14" s="1"/>
  <c r="B7" i="14" s="1"/>
  <c r="F10" i="21" s="1"/>
  <c r="AJ10" i="14"/>
  <c r="O10" i="14"/>
  <c r="AC10" i="14"/>
  <c r="V10" i="14"/>
  <c r="R9" i="13"/>
  <c r="R10" i="13" s="1"/>
  <c r="D4" i="13" s="1"/>
  <c r="B4" i="13" s="1"/>
  <c r="C9" i="21" s="1"/>
  <c r="Y9" i="13"/>
  <c r="Y10" i="13" s="1"/>
  <c r="D5" i="13" s="1"/>
  <c r="B5" i="13" s="1"/>
  <c r="D9" i="21" s="1"/>
  <c r="AF9" i="13"/>
  <c r="AF10" i="13" s="1"/>
  <c r="D6" i="13" s="1"/>
  <c r="B6" i="13" s="1"/>
  <c r="E9" i="21" s="1"/>
  <c r="AM9" i="13"/>
  <c r="AM10" i="13" s="1"/>
  <c r="D7" i="13" s="1"/>
  <c r="B7" i="13" s="1"/>
  <c r="F9" i="21" s="1"/>
  <c r="AJ10" i="13"/>
  <c r="O10" i="13"/>
  <c r="AC10" i="13"/>
  <c r="R9" i="12"/>
  <c r="R10" i="12" s="1"/>
  <c r="D4" i="12" s="1"/>
  <c r="B4" i="12" s="1"/>
  <c r="C8" i="21" s="1"/>
  <c r="Y9" i="12"/>
  <c r="Y10" i="12" s="1"/>
  <c r="D5" i="12" s="1"/>
  <c r="B5" i="12" s="1"/>
  <c r="D8" i="21" s="1"/>
  <c r="AF9" i="12"/>
  <c r="AF10" i="12" s="1"/>
  <c r="D6" i="12" s="1"/>
  <c r="B6" i="12" s="1"/>
  <c r="E8" i="21" s="1"/>
  <c r="AM9" i="12"/>
  <c r="AM10" i="12" s="1"/>
  <c r="D7" i="12" s="1"/>
  <c r="B7" i="12" s="1"/>
  <c r="F8" i="21" s="1"/>
  <c r="O10" i="12"/>
  <c r="AC10" i="12"/>
  <c r="AJ10" i="12"/>
  <c r="R9" i="11"/>
  <c r="Y9" i="11"/>
  <c r="Y10" i="11" s="1"/>
  <c r="D5" i="11" s="1"/>
  <c r="B5" i="11" s="1"/>
  <c r="D7" i="21" s="1"/>
  <c r="AF9" i="11"/>
  <c r="AF10" i="11" s="1"/>
  <c r="D6" i="11" s="1"/>
  <c r="B6" i="11" s="1"/>
  <c r="E7" i="21" s="1"/>
  <c r="AM9" i="11"/>
  <c r="AM10" i="11" s="1"/>
  <c r="D7" i="11" s="1"/>
  <c r="B7" i="11" s="1"/>
  <c r="F7" i="21" s="1"/>
  <c r="AJ10" i="11"/>
  <c r="O10" i="11"/>
  <c r="AC10" i="11"/>
  <c r="V10" i="11"/>
  <c r="R9" i="10"/>
  <c r="R10" i="10" s="1"/>
  <c r="D4" i="10" s="1"/>
  <c r="B4" i="10" s="1"/>
  <c r="C6" i="21" s="1"/>
  <c r="Y9" i="10"/>
  <c r="Y10" i="10" s="1"/>
  <c r="D5" i="10" s="1"/>
  <c r="B5" i="10" s="1"/>
  <c r="D6" i="21" s="1"/>
  <c r="AF9" i="10"/>
  <c r="AF10" i="10" s="1"/>
  <c r="D6" i="10" s="1"/>
  <c r="B6" i="10" s="1"/>
  <c r="E6" i="21" s="1"/>
  <c r="AM9" i="10"/>
  <c r="AM10" i="10" s="1"/>
  <c r="D7" i="10" s="1"/>
  <c r="B7" i="10" s="1"/>
  <c r="F6" i="21" s="1"/>
  <c r="AJ10" i="10"/>
  <c r="O10" i="10"/>
  <c r="AC10" i="10"/>
  <c r="V10" i="10"/>
  <c r="R9" i="9"/>
  <c r="Y9" i="9"/>
  <c r="Y10" i="9" s="1"/>
  <c r="D5" i="9" s="1"/>
  <c r="B5" i="9" s="1"/>
  <c r="D5" i="21" s="1"/>
  <c r="AF9" i="9"/>
  <c r="AF10" i="9" s="1"/>
  <c r="D6" i="9" s="1"/>
  <c r="B6" i="9" s="1"/>
  <c r="E5" i="21" s="1"/>
  <c r="AM9" i="9"/>
  <c r="AM10" i="9" s="1"/>
  <c r="D7" i="9" s="1"/>
  <c r="B7" i="9" s="1"/>
  <c r="F5" i="21" s="1"/>
  <c r="AJ10" i="9"/>
  <c r="O10" i="9"/>
  <c r="AC10" i="9"/>
  <c r="V10" i="9"/>
  <c r="Y10" i="8"/>
  <c r="D5" i="8" s="1"/>
  <c r="B5" i="8" s="1"/>
  <c r="D4" i="21" s="1"/>
  <c r="V10" i="8"/>
  <c r="AJ10" i="8"/>
  <c r="AC10" i="8"/>
  <c r="B11" i="6"/>
  <c r="G7" i="6"/>
  <c r="C3" i="14" l="1"/>
  <c r="B10" i="21"/>
  <c r="G10" i="21" s="1"/>
  <c r="C3" i="15"/>
  <c r="B11" i="21"/>
  <c r="G11" i="21" s="1"/>
  <c r="I5" i="21"/>
  <c r="D21" i="21"/>
  <c r="I10" i="21"/>
  <c r="D26" i="21"/>
  <c r="C3" i="11"/>
  <c r="B7" i="21"/>
  <c r="G7" i="21" s="1"/>
  <c r="J7" i="21"/>
  <c r="E23" i="21"/>
  <c r="C26" i="21"/>
  <c r="H10" i="21"/>
  <c r="K10" i="21"/>
  <c r="F26" i="21"/>
  <c r="I7" i="21"/>
  <c r="K9" i="21"/>
  <c r="F25" i="21"/>
  <c r="C24" i="21"/>
  <c r="H8" i="21"/>
  <c r="J10" i="21"/>
  <c r="E26" i="21"/>
  <c r="J9" i="21"/>
  <c r="C3" i="13"/>
  <c r="B9" i="21"/>
  <c r="G9" i="21" s="1"/>
  <c r="D25" i="21"/>
  <c r="I9" i="21"/>
  <c r="C20" i="21"/>
  <c r="H4" i="21"/>
  <c r="I4" i="21"/>
  <c r="D20" i="21"/>
  <c r="K6" i="21"/>
  <c r="F22" i="21"/>
  <c r="J6" i="21"/>
  <c r="H9" i="21"/>
  <c r="C25" i="21"/>
  <c r="C3" i="12"/>
  <c r="B8" i="21"/>
  <c r="G8" i="21" s="1"/>
  <c r="K7" i="21"/>
  <c r="K11" i="21"/>
  <c r="F27" i="21"/>
  <c r="J4" i="21"/>
  <c r="E20" i="21"/>
  <c r="K4" i="21"/>
  <c r="F20" i="21"/>
  <c r="K8" i="21"/>
  <c r="J11" i="21"/>
  <c r="E27" i="21"/>
  <c r="C3" i="10"/>
  <c r="B6" i="21"/>
  <c r="G6" i="21" s="1"/>
  <c r="I6" i="21"/>
  <c r="D22" i="21"/>
  <c r="C22" i="21"/>
  <c r="H6" i="21"/>
  <c r="K5" i="21"/>
  <c r="F21" i="21"/>
  <c r="J8" i="21"/>
  <c r="I11" i="21"/>
  <c r="D27" i="21"/>
  <c r="E21" i="21"/>
  <c r="J5" i="21"/>
  <c r="I8" i="21"/>
  <c r="D24" i="21"/>
  <c r="H11" i="21"/>
  <c r="C27" i="21"/>
  <c r="N8" i="6"/>
  <c r="O8" i="6" s="1"/>
  <c r="O11" i="6" s="1"/>
  <c r="F8" i="6"/>
  <c r="G8" i="6" s="1"/>
  <c r="G11" i="6" s="1"/>
  <c r="K12" i="21"/>
  <c r="I12" i="21"/>
  <c r="J13" i="21"/>
  <c r="H13" i="21"/>
  <c r="K13" i="21"/>
  <c r="H12" i="21"/>
  <c r="J12" i="21"/>
  <c r="I13" i="21"/>
  <c r="B13" i="21"/>
  <c r="G13" i="21" s="1"/>
  <c r="B12" i="21"/>
  <c r="G12" i="21" s="1"/>
  <c r="C3" i="9"/>
  <c r="C3" i="8"/>
  <c r="R10" i="11"/>
  <c r="D4" i="11" s="1"/>
  <c r="B4" i="11" s="1"/>
  <c r="C7" i="21" s="1"/>
  <c r="R10" i="9"/>
  <c r="D4" i="9" s="1"/>
  <c r="B4" i="9" s="1"/>
  <c r="C5" i="21" s="1"/>
  <c r="F23" i="21" l="1"/>
  <c r="D23" i="21"/>
  <c r="C21" i="21"/>
  <c r="H5" i="21"/>
  <c r="E24" i="21"/>
  <c r="F24" i="21"/>
  <c r="E22" i="21"/>
  <c r="E25" i="21"/>
  <c r="H7" i="21"/>
  <c r="C23" i="21"/>
  <c r="E28" i="21"/>
  <c r="F28" i="21"/>
  <c r="F29" i="21"/>
  <c r="E29" i="21"/>
  <c r="D29" i="21"/>
  <c r="C28" i="21"/>
  <c r="C29" i="21"/>
  <c r="D28" i="21"/>
  <c r="B8" i="1" l="1"/>
  <c r="L3" i="21" s="1"/>
  <c r="AC9" i="1"/>
  <c r="AD9" i="1" s="1"/>
  <c r="V9" i="1"/>
  <c r="W9" i="1" s="1"/>
  <c r="I3" i="1"/>
  <c r="I4" i="1"/>
  <c r="AK5" i="1"/>
  <c r="AK4" i="1"/>
  <c r="AK6" i="1"/>
  <c r="AK7" i="1"/>
  <c r="AK8" i="1"/>
  <c r="AK3" i="1"/>
  <c r="AD3" i="1"/>
  <c r="AD4" i="1"/>
  <c r="AD5" i="1"/>
  <c r="AD6" i="1"/>
  <c r="AD7" i="1"/>
  <c r="AD8" i="1"/>
  <c r="W4" i="1"/>
  <c r="W5" i="1"/>
  <c r="W6" i="1"/>
  <c r="W7" i="1"/>
  <c r="W8" i="1"/>
  <c r="W3" i="1"/>
  <c r="P8" i="1"/>
  <c r="P4" i="1"/>
  <c r="P5" i="1"/>
  <c r="P6" i="1"/>
  <c r="P7" i="1"/>
  <c r="P3" i="1"/>
  <c r="AL4" i="1"/>
  <c r="AM4" i="1" s="1"/>
  <c r="AL5" i="1"/>
  <c r="AM5" i="1" s="1"/>
  <c r="AL6" i="1"/>
  <c r="AM6" i="1" s="1"/>
  <c r="AL7" i="1"/>
  <c r="AM7" i="1" s="1"/>
  <c r="AL8" i="1"/>
  <c r="AM8" i="1" s="1"/>
  <c r="AL9" i="1"/>
  <c r="AL3" i="1"/>
  <c r="AM3" i="1" s="1"/>
  <c r="AJ9" i="1"/>
  <c r="AK9" i="1" s="1"/>
  <c r="AE4" i="1"/>
  <c r="AF4" i="1" s="1"/>
  <c r="AE5" i="1"/>
  <c r="AE6" i="1"/>
  <c r="AF6" i="1" s="1"/>
  <c r="AE7" i="1"/>
  <c r="AF7" i="1" s="1"/>
  <c r="AE8" i="1"/>
  <c r="AF8" i="1" s="1"/>
  <c r="AE9" i="1"/>
  <c r="AE3" i="1"/>
  <c r="AF3" i="1" s="1"/>
  <c r="X4" i="1"/>
  <c r="Y4" i="1" s="1"/>
  <c r="X5" i="1"/>
  <c r="Y5" i="1" s="1"/>
  <c r="X6" i="1"/>
  <c r="Y6" i="1" s="1"/>
  <c r="X7" i="1"/>
  <c r="Y7" i="1" s="1"/>
  <c r="X8" i="1"/>
  <c r="X9" i="1"/>
  <c r="X3" i="1"/>
  <c r="Y3" i="1" s="1"/>
  <c r="Q3" i="1"/>
  <c r="R3" i="1" s="1"/>
  <c r="Q4" i="1"/>
  <c r="R4" i="1" s="1"/>
  <c r="Q5" i="1"/>
  <c r="R5" i="1" s="1"/>
  <c r="Q6" i="1"/>
  <c r="R6" i="1" s="1"/>
  <c r="Q7" i="1"/>
  <c r="R7" i="1" s="1"/>
  <c r="Q8" i="1"/>
  <c r="R8" i="1" s="1"/>
  <c r="Q9" i="1"/>
  <c r="AF5" i="1"/>
  <c r="Y8" i="1"/>
  <c r="O9" i="1"/>
  <c r="R9" i="1" l="1"/>
  <c r="R10" i="1" s="1"/>
  <c r="P9" i="1"/>
  <c r="AM9" i="1"/>
  <c r="AM10" i="1" s="1"/>
  <c r="D7" i="1" s="1"/>
  <c r="B7" i="1" s="1"/>
  <c r="F3" i="21" s="1"/>
  <c r="AJ10" i="1"/>
  <c r="AC10" i="1"/>
  <c r="AF9" i="1"/>
  <c r="AF10" i="1" s="1"/>
  <c r="D6" i="1" s="1"/>
  <c r="B6" i="1" s="1"/>
  <c r="E3" i="21" s="1"/>
  <c r="V10" i="1"/>
  <c r="Y9" i="1"/>
  <c r="Y10" i="1" s="1"/>
  <c r="D5" i="1" s="1"/>
  <c r="B5" i="1" s="1"/>
  <c r="D3" i="21" s="1"/>
  <c r="O10" i="1"/>
  <c r="J3" i="21" l="1"/>
  <c r="I3" i="21"/>
  <c r="K3" i="21"/>
  <c r="D4" i="1"/>
  <c r="B4" i="1" s="1"/>
  <c r="C3" i="21" s="1"/>
  <c r="H3" i="21" l="1"/>
  <c r="H9" i="1"/>
  <c r="K9" i="1" s="1"/>
  <c r="I8" i="1"/>
  <c r="K8" i="1"/>
  <c r="K7" i="1"/>
  <c r="K6" i="1"/>
  <c r="K5" i="1"/>
  <c r="K4" i="1"/>
  <c r="H10" i="1" l="1"/>
  <c r="I6" i="1"/>
  <c r="K3" i="1"/>
  <c r="K10" i="1" s="1"/>
  <c r="D3" i="1" s="1"/>
  <c r="B3" i="1" s="1"/>
  <c r="I7" i="1"/>
  <c r="I5" i="1"/>
  <c r="I9" i="1"/>
  <c r="C3" i="1" l="1"/>
  <c r="B3" i="21"/>
  <c r="G3" i="21" l="1"/>
  <c r="E19" i="21"/>
  <c r="F19" i="21"/>
  <c r="D19" i="21"/>
  <c r="C19"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Pablo</author>
  </authors>
  <commentList>
    <comment ref="C2" authorId="0" shapeId="0" xr:uid="{00000000-0006-0000-0500-000001000000}">
      <text>
        <r>
          <rPr>
            <b/>
            <sz val="9"/>
            <color indexed="81"/>
            <rFont val="Tahoma"/>
            <family val="2"/>
          </rPr>
          <t>Only in base round. During boss round this probability is 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Pablo</author>
  </authors>
  <commentList>
    <comment ref="C2" authorId="0" shapeId="0" xr:uid="{00000000-0006-0000-0600-000001000000}">
      <text>
        <r>
          <rPr>
            <b/>
            <sz val="9"/>
            <color indexed="81"/>
            <rFont val="Tahoma"/>
            <family val="2"/>
          </rPr>
          <t>Only in base round. During boss round this probability is 0.</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Pablo</author>
  </authors>
  <commentList>
    <comment ref="C2" authorId="0" shapeId="0" xr:uid="{00000000-0006-0000-0700-000001000000}">
      <text>
        <r>
          <rPr>
            <b/>
            <sz val="9"/>
            <color indexed="81"/>
            <rFont val="Tahoma"/>
            <family val="2"/>
          </rPr>
          <t>Only in base round. During boss round this probability is 0.</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Pablo</author>
  </authors>
  <commentList>
    <comment ref="C2" authorId="0" shapeId="0" xr:uid="{00000000-0006-0000-0800-000001000000}">
      <text>
        <r>
          <rPr>
            <b/>
            <sz val="9"/>
            <color indexed="81"/>
            <rFont val="Tahoma"/>
            <family val="2"/>
          </rPr>
          <t>Only in base round. During boss round this probability is 0.</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Pablo</author>
  </authors>
  <commentList>
    <comment ref="C2" authorId="0" shapeId="0" xr:uid="{00000000-0006-0000-0900-000001000000}">
      <text>
        <r>
          <rPr>
            <b/>
            <sz val="9"/>
            <color indexed="81"/>
            <rFont val="Tahoma"/>
            <family val="2"/>
          </rPr>
          <t>Only in base round. During boss round this probability is 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Pablo</author>
  </authors>
  <commentList>
    <comment ref="C2" authorId="0" shapeId="0" xr:uid="{00000000-0006-0000-0A00-000001000000}">
      <text>
        <r>
          <rPr>
            <b/>
            <sz val="9"/>
            <color indexed="81"/>
            <rFont val="Tahoma"/>
            <family val="2"/>
          </rPr>
          <t>Only in base round. During boss round this probability is 0.</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Pablo</author>
  </authors>
  <commentList>
    <comment ref="C2" authorId="0" shapeId="0" xr:uid="{00000000-0006-0000-0B00-000001000000}">
      <text>
        <r>
          <rPr>
            <b/>
            <sz val="9"/>
            <color indexed="81"/>
            <rFont val="Tahoma"/>
            <family val="2"/>
          </rPr>
          <t>Only in base round. During boss round this probability is 0.</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Pablo</author>
  </authors>
  <commentList>
    <comment ref="C2" authorId="0" shapeId="0" xr:uid="{00000000-0006-0000-0C00-000001000000}">
      <text>
        <r>
          <rPr>
            <b/>
            <sz val="9"/>
            <color indexed="81"/>
            <rFont val="Tahoma"/>
            <family val="2"/>
          </rPr>
          <t>Only in base round. During boss round this probability is 0.</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Pablo</author>
  </authors>
  <commentList>
    <comment ref="C2" authorId="0" shapeId="0" xr:uid="{00000000-0006-0000-0D00-000001000000}">
      <text>
        <r>
          <rPr>
            <b/>
            <sz val="9"/>
            <color indexed="81"/>
            <rFont val="Tahoma"/>
            <family val="2"/>
          </rPr>
          <t>Only in base round. During boss round this probability is 0.</t>
        </r>
        <r>
          <rPr>
            <sz val="9"/>
            <color indexed="81"/>
            <rFont val="Tahoma"/>
            <family val="2"/>
          </rPr>
          <t xml:space="preserve">
</t>
        </r>
      </text>
    </comment>
  </commentList>
</comments>
</file>

<file path=xl/sharedStrings.xml><?xml version="1.0" encoding="utf-8"?>
<sst xmlns="http://schemas.openxmlformats.org/spreadsheetml/2006/main" count="1128" uniqueCount="166">
  <si>
    <t>Range of prizes</t>
  </si>
  <si>
    <t>Prize #</t>
  </si>
  <si>
    <t>Probability</t>
  </si>
  <si>
    <t>Cumulative prob.</t>
  </si>
  <si>
    <t>Award</t>
  </si>
  <si>
    <t>Avg payout</t>
  </si>
  <si>
    <t>Total (*)</t>
  </si>
  <si>
    <t>RTP</t>
  </si>
  <si>
    <t>Freq</t>
  </si>
  <si>
    <t>Count Sim</t>
  </si>
  <si>
    <t>Total shots:</t>
  </si>
  <si>
    <t>Total killed:</t>
  </si>
  <si>
    <t>Hit rate:</t>
  </si>
  <si>
    <t>Regular weapon</t>
  </si>
  <si>
    <t>REGULAR WEAPON</t>
  </si>
  <si>
    <t>Probabilities</t>
  </si>
  <si>
    <t>Shots:</t>
  </si>
  <si>
    <t>Scarab Black summary</t>
  </si>
  <si>
    <t>SPECIAL WEAPON 3</t>
  </si>
  <si>
    <t>SPECIAL WEAPON 2</t>
  </si>
  <si>
    <t>SPECIAL WEAPON 1</t>
  </si>
  <si>
    <t>PLASMA GUN</t>
  </si>
  <si>
    <t>Boss Probability</t>
  </si>
  <si>
    <t>Notes: the number of enemies of each type in each location is irrelevant from the mathematical point of view.</t>
  </si>
  <si>
    <t>If locations act as "levels", it may be interesting to have weak enemies in the first location and add other species in the following locations.</t>
  </si>
  <si>
    <t>Feature</t>
  </si>
  <si>
    <t>Max avg pay</t>
  </si>
  <si>
    <t>Min avg pay</t>
  </si>
  <si>
    <t>Min RTP</t>
  </si>
  <si>
    <t>Base game</t>
  </si>
  <si>
    <t>Boss round</t>
  </si>
  <si>
    <t>Special weapon (*)</t>
  </si>
  <si>
    <t>Leaderboard</t>
  </si>
  <si>
    <t>Jackpot</t>
  </si>
  <si>
    <t>Total</t>
  </si>
  <si>
    <t>There are different kind of enemies. Each enemy has its own prizes. Stronger enemies grant bigger prizes but are more difficult to kill.</t>
  </si>
  <si>
    <t>Scarab black</t>
  </si>
  <si>
    <t>Scarab gold</t>
  </si>
  <si>
    <t>Scarab gem covered</t>
  </si>
  <si>
    <t>Pays</t>
  </si>
  <si>
    <t>Standard Mummy</t>
  </si>
  <si>
    <t>Medium Mummy A</t>
  </si>
  <si>
    <t>Medium Mummy B</t>
  </si>
  <si>
    <t>Medium Mummy C</t>
  </si>
  <si>
    <t>Prize</t>
  </si>
  <si>
    <t>Powerful Pharaoh Mummy A</t>
  </si>
  <si>
    <t>Powerful Pharaoh Mummy B</t>
  </si>
  <si>
    <t>High Volatility enemy</t>
  </si>
  <si>
    <t>High Volatility Scarab</t>
  </si>
  <si>
    <t>Total paid shots:</t>
  </si>
  <si>
    <t>Killing the enemy</t>
  </si>
  <si>
    <t>Killing the enemy (special weapon2)</t>
  </si>
  <si>
    <t>Killing the enemy (special weapon3)</t>
  </si>
  <si>
    <t>Killing the enemy (plasma)</t>
  </si>
  <si>
    <t>Special weapon 1</t>
  </si>
  <si>
    <t>Special weapon 2</t>
  </si>
  <si>
    <t>Special weapon 3</t>
  </si>
  <si>
    <t>Plasma Gun</t>
  </si>
  <si>
    <t>Shots</t>
  </si>
  <si>
    <t>Weapon</t>
  </si>
  <si>
    <r>
      <t xml:space="preserve">For each shot in base game with a regular weapon draw if player gets a special weapon or not. </t>
    </r>
    <r>
      <rPr>
        <b/>
        <sz val="11"/>
        <color rgb="FFFF0000"/>
        <rFont val="Calibri"/>
        <family val="2"/>
        <scheme val="minor"/>
      </rPr>
      <t>Except shots at High Volatility Enemy and High Volatility Scarab.</t>
    </r>
  </si>
  <si>
    <t>If player gets a special weapon then draw which one he gets using the weights in the table below.</t>
  </si>
  <si>
    <t>Special weapons:</t>
  </si>
  <si>
    <t>Avg pay by shot</t>
  </si>
  <si>
    <t>Total avg pay</t>
  </si>
  <si>
    <t>Weights</t>
  </si>
  <si>
    <t>(*) avg pay using best strategy</t>
  </si>
  <si>
    <t>Avg win</t>
  </si>
  <si>
    <t>Each special weapon has its own probabilities of damage for each kind of enemy. Prizes must be multiplied by the stake that triggered the feature.</t>
  </si>
  <si>
    <t>For instance, if player gets a special weapon betting 100 credits, at the moment he decides to use it the prizes must be multiplied by 100. It doesn’t matter if after getting the special weapon he changed the stake.</t>
  </si>
  <si>
    <t>Special weapons description</t>
  </si>
  <si>
    <t>Special weapon 1: double barrelled shotgun</t>
  </si>
  <si>
    <t xml:space="preserve">Special weapon 2: 1 bomb hitting 5 times.  </t>
  </si>
  <si>
    <t xml:space="preserve">When the bomb is thrown hit the nearest enemy (i.e. draw the damage according to tables for special weapon 2), if that enemy is not defeated then hit him one more time, else hit the following nearest enemy. Repeat 3 more times (total: 5 "shots"). </t>
  </si>
  <si>
    <t>Algorithmically is a sequential process but graphically it is shown as everything ocurring at the same moment.</t>
  </si>
  <si>
    <t xml:space="preserve">Alternative: when the bomb is thrown hit the 5 nearest enemies (i.e. draw the damage according to tables for special weapon 2 once for each enemy). </t>
  </si>
  <si>
    <t>Special weapon 3: every time a player gets special weapon 3 choose at random between a Chain gun or Ricochet.</t>
  </si>
  <si>
    <t>Chain Gun:  10 shots but each shot can be shown as a burst of several bullets. For example, each shot can be replaced by one burst of 10 bullets and this corresponds to only one draw using the probabilities of the tables.</t>
  </si>
  <si>
    <t xml:space="preserve">Ricochet: 5 shots but each shot bounces hitting a second enemy. The second enemy is chosen at random and it is not necessary the same kind of enemy that the player aimed. </t>
  </si>
  <si>
    <t>Worst strategy</t>
  </si>
  <si>
    <t>(*) worst strategy is to shoot when there is only one enemy on screen. In this case, for each granade 4 shots are wasted.</t>
  </si>
  <si>
    <t>Special weapon 3 (Chain gun)</t>
  </si>
  <si>
    <t>Special weapon 3 (Ricochet) (**)</t>
  </si>
  <si>
    <t>(**) worst strategy is to shoot when there is only one enemy on screen. In this case every shot wastes the bounce shot.</t>
  </si>
  <si>
    <t>Special weapons can be use anytime.</t>
  </si>
  <si>
    <t>RTP base:</t>
  </si>
  <si>
    <t>RTP special weapon:</t>
  </si>
  <si>
    <t>Scarab Gold summary</t>
  </si>
  <si>
    <t>Scarab Gem Covered summary</t>
  </si>
  <si>
    <t>Standard Mummy summary</t>
  </si>
  <si>
    <t>Mummy A</t>
  </si>
  <si>
    <t>Mummy A Summary</t>
  </si>
  <si>
    <t>Mummy B Summary</t>
  </si>
  <si>
    <t>Mummy C Summary</t>
  </si>
  <si>
    <t>Pharaoh A Summary</t>
  </si>
  <si>
    <t>Pharaoh B Summary</t>
  </si>
  <si>
    <t>(*) Shots using special weapons are not paid. Each special weapon has a limited number of shots and could be used anytime.</t>
  </si>
  <si>
    <t>Crate price (credits)</t>
  </si>
  <si>
    <t>Crate content (random):</t>
  </si>
  <si>
    <t>Weight</t>
  </si>
  <si>
    <t>Avg pay/price</t>
  </si>
  <si>
    <t>Total RTP:</t>
  </si>
  <si>
    <t>Environmental Boss round</t>
  </si>
  <si>
    <t xml:space="preserve">As each shot to boss is a bet, the RTP for this bet should be the same as base game (95.5%) to avoid player's strategies. </t>
  </si>
  <si>
    <t>So, each shot can grant an extra prize (Table 1) and cause a damage. The RTP of these shots will be 95.5% plus the RTP from Boss prize.</t>
  </si>
  <si>
    <t>Extra prizes can be inmediately granted to players or they can be accumulate and granted at the end of the round added to the part of the Boss prize.</t>
  </si>
  <si>
    <t>For each shot, draw an extra prize (Table 1) and boss damage (Table 2 and 3 corrected by player's bet). They are independent events.</t>
  </si>
  <si>
    <t>Extra prize</t>
  </si>
  <si>
    <t>Table 1</t>
  </si>
  <si>
    <t>Boss damage</t>
  </si>
  <si>
    <t>Boss energy:</t>
  </si>
  <si>
    <t>The total Boss prize must return to players. The part of this prize won by bots will be added to Leaderboard prizes.</t>
  </si>
  <si>
    <t>Each energy unit is equivalent to the stake that has triggered the boss round. The boss prize is 100 times the stake that has triggered the boss round (in the same currency).</t>
  </si>
  <si>
    <t>If player A has caused a damage of 15 energy units then player wins a prize of 15 times the triggering stake (it probably needs to be converted to player's currency) plus the extra prizes (in player currency).</t>
  </si>
  <si>
    <t>Players who have bet the most are likely to win the most. So, probabilities are proportional to player's total bet in the base game previous to Boss round.</t>
  </si>
  <si>
    <t>For each player the probabilities in the table below must be multiplied by player's total bet in base game previous to Boss round and divided by total bet in base game previous to Boss round.</t>
  </si>
  <si>
    <t>Probability factor correction (PFC): player's bet divided by total bet</t>
  </si>
  <si>
    <t>Table 2</t>
  </si>
  <si>
    <t>Damage</t>
  </si>
  <si>
    <t>Probability Base line</t>
  </si>
  <si>
    <t>&lt;- this RTP is distributed between players</t>
  </si>
  <si>
    <t>When Boss energy is less than 5 some damage levels are not possible, in that case each player can only cause a damage of 1 unit with this probability:</t>
  </si>
  <si>
    <t>Table 3</t>
  </si>
  <si>
    <t>Example:</t>
  </si>
  <si>
    <t>Player 1 has bet 25 EUR in base game.</t>
  </si>
  <si>
    <t>Player 2 has bet 50 EUR in base game.</t>
  </si>
  <si>
    <t>Total bet: 25+50 = 75</t>
  </si>
  <si>
    <t>If Boss energy is at least 5 units the probabilities of damages are:</t>
  </si>
  <si>
    <t>Player 1</t>
  </si>
  <si>
    <t>PFC= 25/75</t>
  </si>
  <si>
    <t>PFC</t>
  </si>
  <si>
    <t>Player's probabilities</t>
  </si>
  <si>
    <t>Player 2</t>
  </si>
  <si>
    <t>PFC= 50/75</t>
  </si>
  <si>
    <t>With this numbers the RTP for player 1 is 95.5% due "extra prizes" plus 0.1% due Boss damage.</t>
  </si>
  <si>
    <t>RTP for player 2 is 95.5% due "extra prizes" plus 0.05% due Boss damage.</t>
  </si>
  <si>
    <t>RTP for player 2 is greater than RTP for player 1 because player 2 has bet more in base game.</t>
  </si>
  <si>
    <t>Scarab Black</t>
  </si>
  <si>
    <t>Scarab Gold</t>
  </si>
  <si>
    <t>Scarab Gem Covered</t>
  </si>
  <si>
    <t>Mummy B</t>
  </si>
  <si>
    <t>Mummy C</t>
  </si>
  <si>
    <t>Pharaoh A</t>
  </si>
  <si>
    <t>Pharaoh B</t>
  </si>
  <si>
    <t>HV Enemy</t>
  </si>
  <si>
    <t>HV Scarab</t>
  </si>
  <si>
    <t>Killing the enemy (special weapon1)</t>
  </si>
  <si>
    <t xml:space="preserve">Regular </t>
  </si>
  <si>
    <t>Special 1</t>
  </si>
  <si>
    <t>Special 2</t>
  </si>
  <si>
    <t>Special 3</t>
  </si>
  <si>
    <t>Plasma</t>
  </si>
  <si>
    <t>Avg prize</t>
  </si>
  <si>
    <t>Damage probabilities do not depend on the weapon used.</t>
  </si>
  <si>
    <t>Weapons power</t>
  </si>
  <si>
    <t>Average shots to kill</t>
  </si>
  <si>
    <t>Special weapons strength</t>
  </si>
  <si>
    <t>Avg damage:</t>
  </si>
  <si>
    <t>Avg shots to kill boss</t>
  </si>
  <si>
    <t>Boss (1-3 players)</t>
  </si>
  <si>
    <t>Boss (+4 players)</t>
  </si>
  <si>
    <t>Boss Probability (*)</t>
  </si>
  <si>
    <t>Player can buy special weapons, the price for each weapon is the table below.</t>
  </si>
  <si>
    <t>Regular enemies in Boss Round</t>
  </si>
  <si>
    <t>HV Scarab Summary</t>
  </si>
  <si>
    <t>HV Enemy Summary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</si>
</sst>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000000"/>
    <numFmt numFmtId="165" formatCode="0.0000"/>
    <numFmt numFmtId="166" formatCode="0.000"/>
    <numFmt numFmtId="167" formatCode="0.0%"/>
    <numFmt numFmtId="168" formatCode="\x0.00"/>
    <numFmt numFmtId="169" formatCode="0.0"/>
    <numFmt numFmtId="170" formatCode="\x0"/>
  </numFmts>
  <fonts count="1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b/>
      <sz val="11"/>
      <color rgb="FFC00000"/>
      <name val="Calibri"/>
      <family val="2"/>
      <scheme val="minor"/>
    </font>
    <font>
      <sz val="11"/>
      <color rgb="FF000000"/>
      <name val="Calibri"/>
      <family val="2"/>
      <scheme val="minor"/>
    </font>
    <font>
      <b/>
      <sz val="11"/>
      <color rgb="FF000000"/>
      <name val="Calibri"/>
      <family val="2"/>
      <scheme val="minor"/>
    </font>
    <font>
      <sz val="11"/>
      <color rgb="FFFF0000"/>
      <name val="Calibri"/>
      <family val="2"/>
      <scheme val="minor"/>
    </font>
    <font>
      <b/>
      <sz val="11"/>
      <color rgb="FFFF0000"/>
      <name val="Calibri"/>
      <family val="2"/>
      <scheme val="minor"/>
    </font>
    <font>
      <b/>
      <sz val="12"/>
      <color theme="1"/>
      <name val="Calibri"/>
      <family val="2"/>
      <scheme val="minor"/>
    </font>
    <font>
      <b/>
      <sz val="14"/>
      <color theme="0"/>
      <name val="Calibri"/>
      <family val="2"/>
      <scheme val="minor"/>
    </font>
    <font>
      <b/>
      <sz val="14"/>
      <color theme="1"/>
      <name val="Calibri"/>
      <family val="2"/>
      <scheme val="minor"/>
    </font>
    <font>
      <sz val="9"/>
      <color indexed="81"/>
      <name val="Tahoma"/>
      <family val="2"/>
    </font>
    <font>
      <b/>
      <sz val="9"/>
      <color indexed="81"/>
      <name val="Tahoma"/>
      <family val="2"/>
    </font>
  </fonts>
  <fills count="5">
    <fill>
      <patternFill patternType="none"/>
    </fill>
    <fill>
      <patternFill patternType="gray125"/>
    </fill>
    <fill>
      <patternFill patternType="solid">
        <fgColor theme="0" tint="-0.34998626667073579"/>
        <bgColor indexed="64"/>
      </patternFill>
    </fill>
    <fill>
      <patternFill patternType="solid">
        <fgColor theme="8" tint="0.39997558519241921"/>
        <bgColor indexed="64"/>
      </patternFill>
    </fill>
    <fill>
      <patternFill patternType="solid">
        <fgColor rgb="FF0070C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bottom style="thin">
        <color indexed="64"/>
      </bottom>
      <diagonal/>
    </border>
  </borders>
  <cellStyleXfs count="2">
    <xf numFmtId="0" fontId="0" fillId="0" borderId="0"/>
    <xf numFmtId="9" fontId="1" fillId="0" borderId="0" applyFont="0" applyFill="0" applyBorder="0" applyAlignment="0" applyProtection="0"/>
  </cellStyleXfs>
  <cellXfs count="123">
    <xf numFmtId="0" fontId="0" fillId="0" borderId="0" xfId="0"/>
    <xf numFmtId="0" fontId="2" fillId="2" borderId="1" xfId="0" applyFont="1" applyFill="1" applyBorder="1"/>
    <xf numFmtId="0" fontId="0" fillId="0" borderId="1" xfId="0" applyFill="1" applyBorder="1" applyAlignment="1">
      <alignment horizontal="right"/>
    </xf>
    <xf numFmtId="0" fontId="0" fillId="0" borderId="1" xfId="0" applyFill="1" applyBorder="1"/>
    <xf numFmtId="0" fontId="3" fillId="0" borderId="1" xfId="0" applyFont="1" applyBorder="1"/>
    <xf numFmtId="164" fontId="3" fillId="0" borderId="1" xfId="0" applyNumberFormat="1" applyFont="1" applyBorder="1"/>
    <xf numFmtId="164" fontId="0" fillId="0" borderId="1" xfId="0" applyNumberFormat="1" applyFill="1" applyBorder="1"/>
    <xf numFmtId="0" fontId="0" fillId="0" borderId="1" xfId="0" applyBorder="1"/>
    <xf numFmtId="164" fontId="4" fillId="0" borderId="1" xfId="1" applyNumberFormat="1" applyFont="1" applyFill="1" applyBorder="1" applyProtection="1"/>
    <xf numFmtId="164" fontId="4" fillId="0" borderId="1" xfId="1" applyNumberFormat="1" applyFont="1" applyFill="1" applyBorder="1" applyProtection="1">
      <protection locked="0"/>
    </xf>
    <xf numFmtId="0" fontId="0" fillId="0" borderId="1" xfId="0" applyBorder="1" applyAlignment="1">
      <alignment horizontal="center"/>
    </xf>
    <xf numFmtId="0" fontId="5" fillId="0" borderId="1" xfId="0" applyFont="1" applyFill="1" applyBorder="1" applyProtection="1">
      <protection locked="0"/>
    </xf>
    <xf numFmtId="0" fontId="5" fillId="0" borderId="1" xfId="0" applyFont="1" applyBorder="1" applyProtection="1">
      <protection locked="0"/>
    </xf>
    <xf numFmtId="0" fontId="5" fillId="0" borderId="1" xfId="0" applyFont="1" applyBorder="1"/>
    <xf numFmtId="0" fontId="3" fillId="0" borderId="0" xfId="0" applyFont="1" applyProtection="1">
      <protection locked="0"/>
    </xf>
    <xf numFmtId="0" fontId="3" fillId="0" borderId="1" xfId="0" applyFont="1" applyFill="1" applyBorder="1"/>
    <xf numFmtId="166" fontId="0" fillId="0" borderId="1" xfId="0" applyNumberFormat="1" applyBorder="1"/>
    <xf numFmtId="167" fontId="0" fillId="0" borderId="1" xfId="1" applyNumberFormat="1" applyFont="1" applyBorder="1"/>
    <xf numFmtId="167" fontId="4" fillId="0" borderId="1" xfId="1" applyNumberFormat="1" applyFont="1" applyBorder="1"/>
    <xf numFmtId="0" fontId="9" fillId="0" borderId="0" xfId="0" applyFont="1"/>
    <xf numFmtId="2" fontId="0" fillId="0" borderId="1" xfId="0" applyNumberFormat="1" applyBorder="1"/>
    <xf numFmtId="10" fontId="2" fillId="2" borderId="1" xfId="1" applyNumberFormat="1" applyFont="1" applyFill="1" applyBorder="1"/>
    <xf numFmtId="10" fontId="2" fillId="2" borderId="1" xfId="0" applyNumberFormat="1" applyFont="1" applyFill="1" applyBorder="1"/>
    <xf numFmtId="0" fontId="0" fillId="0" borderId="6" xfId="0" applyFill="1" applyBorder="1"/>
    <xf numFmtId="0" fontId="0" fillId="0" borderId="0" xfId="0" applyFill="1" applyBorder="1"/>
    <xf numFmtId="0" fontId="3" fillId="0" borderId="0" xfId="0" applyFont="1"/>
    <xf numFmtId="168" fontId="3" fillId="0" borderId="1" xfId="0" applyNumberFormat="1" applyFont="1" applyBorder="1"/>
    <xf numFmtId="3" fontId="0" fillId="0" borderId="0" xfId="0" applyNumberFormat="1"/>
    <xf numFmtId="0" fontId="3" fillId="3" borderId="8" xfId="0" applyFont="1" applyFill="1" applyBorder="1"/>
    <xf numFmtId="0" fontId="3" fillId="3" borderId="9" xfId="0" applyFont="1" applyFill="1" applyBorder="1"/>
    <xf numFmtId="0" fontId="3" fillId="0" borderId="4" xfId="0" applyFont="1" applyBorder="1"/>
    <xf numFmtId="0" fontId="3" fillId="0" borderId="10" xfId="0" applyFont="1" applyBorder="1"/>
    <xf numFmtId="0" fontId="3" fillId="0" borderId="5" xfId="0" applyFont="1" applyBorder="1"/>
    <xf numFmtId="0" fontId="0" fillId="0" borderId="11" xfId="0" applyBorder="1"/>
    <xf numFmtId="0" fontId="0" fillId="0" borderId="0" xfId="0" applyBorder="1"/>
    <xf numFmtId="0" fontId="0" fillId="0" borderId="13" xfId="0" applyBorder="1"/>
    <xf numFmtId="0" fontId="0" fillId="0" borderId="14" xfId="0" applyBorder="1"/>
    <xf numFmtId="0" fontId="0" fillId="0" borderId="4" xfId="0" applyBorder="1"/>
    <xf numFmtId="2" fontId="0" fillId="0" borderId="5" xfId="0" applyNumberFormat="1" applyBorder="1"/>
    <xf numFmtId="0" fontId="10" fillId="0" borderId="0" xfId="0" applyFont="1"/>
    <xf numFmtId="0" fontId="4" fillId="0" borderId="0" xfId="0" applyFont="1"/>
    <xf numFmtId="0" fontId="0" fillId="0" borderId="0" xfId="0" applyNumberFormat="1"/>
    <xf numFmtId="0" fontId="3" fillId="0" borderId="16" xfId="0" applyFont="1" applyBorder="1"/>
    <xf numFmtId="0" fontId="3" fillId="0" borderId="17" xfId="0" applyFont="1" applyBorder="1"/>
    <xf numFmtId="0" fontId="3" fillId="0" borderId="18" xfId="0" applyFont="1" applyBorder="1"/>
    <xf numFmtId="0" fontId="0" fillId="0" borderId="0" xfId="0" applyFont="1" applyBorder="1"/>
    <xf numFmtId="0" fontId="3" fillId="0" borderId="0" xfId="0" applyFont="1" applyBorder="1"/>
    <xf numFmtId="0" fontId="6" fillId="0" borderId="0" xfId="0" applyFont="1"/>
    <xf numFmtId="0" fontId="3" fillId="0" borderId="0" xfId="0" applyFont="1" applyFill="1" applyBorder="1"/>
    <xf numFmtId="0" fontId="0" fillId="0" borderId="14" xfId="0" applyFont="1" applyBorder="1"/>
    <xf numFmtId="0" fontId="0" fillId="0" borderId="7" xfId="0" applyBorder="1"/>
    <xf numFmtId="0" fontId="3" fillId="0" borderId="8" xfId="0" applyFont="1" applyFill="1" applyBorder="1" applyAlignment="1">
      <alignment horizontal="center"/>
    </xf>
    <xf numFmtId="0" fontId="0" fillId="0" borderId="16" xfId="0" applyBorder="1"/>
    <xf numFmtId="0" fontId="0" fillId="0" borderId="17" xfId="0" applyBorder="1"/>
    <xf numFmtId="0" fontId="0" fillId="0" borderId="18" xfId="0" applyBorder="1"/>
    <xf numFmtId="0" fontId="0" fillId="0" borderId="8" xfId="0" applyBorder="1"/>
    <xf numFmtId="0" fontId="0" fillId="0" borderId="19" xfId="0" applyBorder="1"/>
    <xf numFmtId="0" fontId="0" fillId="0" borderId="15" xfId="0" applyBorder="1"/>
    <xf numFmtId="0" fontId="3" fillId="0" borderId="4" xfId="0" applyFont="1" applyFill="1" applyBorder="1"/>
    <xf numFmtId="165" fontId="3" fillId="0" borderId="10" xfId="1" applyNumberFormat="1" applyFont="1" applyBorder="1"/>
    <xf numFmtId="0" fontId="3" fillId="0" borderId="7" xfId="0" applyFont="1" applyBorder="1"/>
    <xf numFmtId="10" fontId="3" fillId="0" borderId="0" xfId="1" applyNumberFormat="1" applyFont="1"/>
    <xf numFmtId="0" fontId="3" fillId="0" borderId="5" xfId="0" applyFont="1" applyBorder="1" applyAlignment="1">
      <alignment horizontal="center"/>
    </xf>
    <xf numFmtId="0" fontId="3" fillId="0" borderId="0" xfId="0" applyFont="1" applyBorder="1" applyAlignment="1">
      <alignment horizontal="center"/>
    </xf>
    <xf numFmtId="0" fontId="8" fillId="0" borderId="0" xfId="0" applyFont="1"/>
    <xf numFmtId="0" fontId="2" fillId="2" borderId="1" xfId="0" applyFont="1" applyFill="1" applyBorder="1" applyAlignment="1">
      <alignment horizontal="center"/>
    </xf>
    <xf numFmtId="168" fontId="3" fillId="0" borderId="0" xfId="0" applyNumberFormat="1" applyFont="1" applyBorder="1" applyAlignment="1">
      <alignment horizontal="right"/>
    </xf>
    <xf numFmtId="0" fontId="0" fillId="0" borderId="0" xfId="0" applyFill="1"/>
    <xf numFmtId="10" fontId="0" fillId="0" borderId="11" xfId="1" applyNumberFormat="1" applyFont="1" applyBorder="1"/>
    <xf numFmtId="10" fontId="0" fillId="0" borderId="0" xfId="1" applyNumberFormat="1" applyFont="1" applyBorder="1"/>
    <xf numFmtId="10" fontId="0" fillId="0" borderId="12" xfId="1" applyNumberFormat="1" applyFont="1" applyBorder="1"/>
    <xf numFmtId="166" fontId="0" fillId="0" borderId="1" xfId="0" applyNumberFormat="1" applyFont="1" applyBorder="1"/>
    <xf numFmtId="0" fontId="2" fillId="2" borderId="20" xfId="0" applyFont="1" applyFill="1" applyBorder="1"/>
    <xf numFmtId="170" fontId="3" fillId="0" borderId="1" xfId="0" applyNumberFormat="1" applyFont="1" applyBorder="1"/>
    <xf numFmtId="2" fontId="0" fillId="0" borderId="11" xfId="1" applyNumberFormat="1" applyFont="1" applyBorder="1"/>
    <xf numFmtId="2" fontId="0" fillId="0" borderId="0" xfId="1" applyNumberFormat="1" applyFont="1" applyBorder="1"/>
    <xf numFmtId="2" fontId="0" fillId="0" borderId="12" xfId="1" applyNumberFormat="1" applyFont="1" applyBorder="1"/>
    <xf numFmtId="0" fontId="3" fillId="0" borderId="19" xfId="0" applyFont="1" applyBorder="1"/>
    <xf numFmtId="10" fontId="3" fillId="0" borderId="11" xfId="1" applyNumberFormat="1" applyFont="1" applyBorder="1"/>
    <xf numFmtId="10" fontId="3" fillId="0" borderId="0" xfId="1" applyNumberFormat="1" applyFont="1" applyBorder="1"/>
    <xf numFmtId="10" fontId="3" fillId="0" borderId="12" xfId="1" applyNumberFormat="1" applyFont="1" applyBorder="1"/>
    <xf numFmtId="2" fontId="3" fillId="0" borderId="11" xfId="1" applyNumberFormat="1" applyFont="1" applyBorder="1"/>
    <xf numFmtId="2" fontId="3" fillId="0" borderId="0" xfId="1" applyNumberFormat="1" applyFont="1" applyBorder="1"/>
    <xf numFmtId="2" fontId="3" fillId="0" borderId="12" xfId="1" applyNumberFormat="1" applyFont="1" applyBorder="1"/>
    <xf numFmtId="0" fontId="3" fillId="0" borderId="9" xfId="0" applyFont="1" applyBorder="1"/>
    <xf numFmtId="10" fontId="3" fillId="0" borderId="13" xfId="1" applyNumberFormat="1" applyFont="1" applyBorder="1"/>
    <xf numFmtId="10" fontId="3" fillId="0" borderId="14" xfId="1" applyNumberFormat="1" applyFont="1" applyBorder="1"/>
    <xf numFmtId="10" fontId="3" fillId="0" borderId="15" xfId="1" applyNumberFormat="1" applyFont="1" applyBorder="1"/>
    <xf numFmtId="2" fontId="3" fillId="0" borderId="13" xfId="1" applyNumberFormat="1" applyFont="1" applyBorder="1"/>
    <xf numFmtId="2" fontId="3" fillId="0" borderId="14" xfId="1" applyNumberFormat="1" applyFont="1" applyBorder="1"/>
    <xf numFmtId="2" fontId="3" fillId="0" borderId="15" xfId="1" applyNumberFormat="1" applyFont="1" applyBorder="1"/>
    <xf numFmtId="0" fontId="0" fillId="0" borderId="19" xfId="0" applyBorder="1" applyAlignment="1">
      <alignment horizontal="right"/>
    </xf>
    <xf numFmtId="0" fontId="3" fillId="0" borderId="19" xfId="0" applyFont="1" applyBorder="1" applyAlignment="1">
      <alignment horizontal="right"/>
    </xf>
    <xf numFmtId="2" fontId="0" fillId="0" borderId="13" xfId="1" applyNumberFormat="1" applyFont="1" applyBorder="1"/>
    <xf numFmtId="2" fontId="0" fillId="0" borderId="14" xfId="1" applyNumberFormat="1" applyFont="1" applyBorder="1"/>
    <xf numFmtId="2" fontId="0" fillId="0" borderId="15" xfId="1" applyNumberFormat="1" applyFont="1" applyBorder="1"/>
    <xf numFmtId="0" fontId="0" fillId="0" borderId="11" xfId="0" applyFont="1" applyBorder="1"/>
    <xf numFmtId="0" fontId="0" fillId="0" borderId="13" xfId="0" applyFont="1" applyBorder="1"/>
    <xf numFmtId="0" fontId="0" fillId="0" borderId="8" xfId="0" applyFont="1" applyBorder="1"/>
    <xf numFmtId="0" fontId="0" fillId="0" borderId="19" xfId="0" applyFont="1" applyBorder="1"/>
    <xf numFmtId="0" fontId="0" fillId="0" borderId="9" xfId="0" applyFont="1" applyBorder="1"/>
    <xf numFmtId="0" fontId="0" fillId="0" borderId="12" xfId="0" applyFont="1" applyBorder="1"/>
    <xf numFmtId="0" fontId="0" fillId="0" borderId="0" xfId="0" applyFont="1" applyFill="1" applyBorder="1"/>
    <xf numFmtId="0" fontId="0" fillId="0" borderId="15" xfId="0" applyFont="1" applyBorder="1"/>
    <xf numFmtId="0" fontId="0" fillId="0" borderId="18" xfId="0" applyFont="1" applyBorder="1"/>
    <xf numFmtId="0" fontId="0" fillId="0" borderId="0" xfId="0" applyFont="1"/>
    <xf numFmtId="0" fontId="0" fillId="0" borderId="16" xfId="0" applyFont="1" applyBorder="1"/>
    <xf numFmtId="0" fontId="0" fillId="0" borderId="17" xfId="0" applyFont="1" applyBorder="1"/>
    <xf numFmtId="0" fontId="0" fillId="0" borderId="17" xfId="0" applyFont="1" applyFill="1" applyBorder="1"/>
    <xf numFmtId="0" fontId="0" fillId="0" borderId="14" xfId="0" applyFont="1" applyFill="1" applyBorder="1"/>
    <xf numFmtId="169" fontId="1" fillId="0" borderId="8" xfId="1" applyNumberFormat="1" applyFont="1" applyBorder="1"/>
    <xf numFmtId="169" fontId="1" fillId="0" borderId="19" xfId="1" applyNumberFormat="1" applyFont="1" applyBorder="1"/>
    <xf numFmtId="169" fontId="1" fillId="0" borderId="9" xfId="1" applyNumberFormat="1" applyFont="1" applyBorder="1"/>
    <xf numFmtId="0" fontId="2" fillId="2" borderId="4" xfId="0" applyFont="1" applyFill="1" applyBorder="1" applyAlignment="1">
      <alignment horizontal="center"/>
    </xf>
    <xf numFmtId="0" fontId="2" fillId="2" borderId="10" xfId="0" applyFont="1" applyFill="1" applyBorder="1" applyAlignment="1">
      <alignment horizontal="center"/>
    </xf>
    <xf numFmtId="0" fontId="2" fillId="2" borderId="5" xfId="0" applyFont="1" applyFill="1" applyBorder="1" applyAlignment="1">
      <alignment horizontal="center"/>
    </xf>
    <xf numFmtId="0" fontId="11" fillId="4" borderId="0" xfId="0" applyFont="1" applyFill="1" applyAlignment="1">
      <alignment horizontal="center"/>
    </xf>
    <xf numFmtId="0" fontId="12" fillId="3" borderId="0" xfId="0" applyFont="1" applyFill="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3" fillId="0" borderId="4" xfId="0" applyFont="1" applyBorder="1" applyAlignment="1">
      <alignment horizontal="center"/>
    </xf>
    <xf numFmtId="0" fontId="3" fillId="0" borderId="10" xfId="0" applyFont="1" applyBorder="1" applyAlignment="1">
      <alignment horizontal="center"/>
    </xf>
    <xf numFmtId="0" fontId="3" fillId="0" borderId="5" xfId="0" applyFont="1" applyBorder="1" applyAlignment="1">
      <alignment horizontal="center"/>
    </xf>
  </cellXfs>
  <cellStyles count="2">
    <cellStyle name="Normal" xfId="0" builtinId="0"/>
    <cellStyle name="Percent" xfId="1" builtinId="5"/>
  </cellStyles>
  <dxfs count="82">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510540</xdr:colOff>
          <xdr:row>7</xdr:row>
          <xdr:rowOff>99060</xdr:rowOff>
        </xdr:from>
        <xdr:to>
          <xdr:col>5</xdr:col>
          <xdr:colOff>22860</xdr:colOff>
          <xdr:row>10</xdr:row>
          <xdr:rowOff>38100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AF7342C5-655A-4395-B08D-2149ADBC9E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SCARAB BLACK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601980</xdr:colOff>
          <xdr:row>12</xdr:row>
          <xdr:rowOff>60960</xdr:rowOff>
        </xdr:from>
        <xdr:to>
          <xdr:col>1</xdr:col>
          <xdr:colOff>22860</xdr:colOff>
          <xdr:row>14</xdr:row>
          <xdr:rowOff>99060</xdr:rowOff>
        </xdr:to>
        <xdr:sp macro="" textlink="">
          <xdr:nvSpPr>
            <xdr:cNvPr id="1029" name="Button 5" hidden="1">
              <a:extLst>
                <a:ext uri="{63B3BB69-23CF-44E3-9099-C40C66FF867C}">
                  <a14:compatExt spid="_x0000_s1029"/>
                </a:ext>
                <a:ext uri="{FF2B5EF4-FFF2-40B4-BE49-F238E27FC236}">
                  <a16:creationId xmlns:a16="http://schemas.microsoft.com/office/drawing/2014/main" id="{E8839603-A3AC-465A-8AB7-B1BABBAFDFCF}"/>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510540</xdr:colOff>
          <xdr:row>7</xdr:row>
          <xdr:rowOff>99060</xdr:rowOff>
        </xdr:from>
        <xdr:to>
          <xdr:col>5</xdr:col>
          <xdr:colOff>22860</xdr:colOff>
          <xdr:row>10</xdr:row>
          <xdr:rowOff>38100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FA06462C-0A3F-4BE3-8EA0-4C764D23886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SCARAB GOLD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601980</xdr:colOff>
          <xdr:row>12</xdr:row>
          <xdr:rowOff>60960</xdr:rowOff>
        </xdr:from>
        <xdr:to>
          <xdr:col>1</xdr:col>
          <xdr:colOff>22860</xdr:colOff>
          <xdr:row>14</xdr:row>
          <xdr:rowOff>99060</xdr:rowOff>
        </xdr:to>
        <xdr:sp macro="" textlink="">
          <xdr:nvSpPr>
            <xdr:cNvPr id="5122" name="Button 2" hidden="1">
              <a:extLst>
                <a:ext uri="{63B3BB69-23CF-44E3-9099-C40C66FF867C}">
                  <a14:compatExt spid="_x0000_s5122"/>
                </a:ext>
                <a:ext uri="{FF2B5EF4-FFF2-40B4-BE49-F238E27FC236}">
                  <a16:creationId xmlns:a16="http://schemas.microsoft.com/office/drawing/2014/main" id="{471C76A2-0710-4D4B-9A2B-0BC3219484E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510540</xdr:colOff>
          <xdr:row>7</xdr:row>
          <xdr:rowOff>99060</xdr:rowOff>
        </xdr:from>
        <xdr:to>
          <xdr:col>5</xdr:col>
          <xdr:colOff>22860</xdr:colOff>
          <xdr:row>10</xdr:row>
          <xdr:rowOff>38100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F2A97DB2-C9BB-454F-8A91-DBC51BA204D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SCARAB GEM COVERED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601980</xdr:colOff>
          <xdr:row>12</xdr:row>
          <xdr:rowOff>60960</xdr:rowOff>
        </xdr:from>
        <xdr:to>
          <xdr:col>1</xdr:col>
          <xdr:colOff>22860</xdr:colOff>
          <xdr:row>14</xdr:row>
          <xdr:rowOff>99060</xdr:rowOff>
        </xdr:to>
        <xdr:sp macro="" textlink="">
          <xdr:nvSpPr>
            <xdr:cNvPr id="6146" name="Button 2" hidden="1">
              <a:extLst>
                <a:ext uri="{63B3BB69-23CF-44E3-9099-C40C66FF867C}">
                  <a14:compatExt spid="_x0000_s6146"/>
                </a:ext>
                <a:ext uri="{FF2B5EF4-FFF2-40B4-BE49-F238E27FC236}">
                  <a16:creationId xmlns:a16="http://schemas.microsoft.com/office/drawing/2014/main" id="{AE2CBFFC-0725-42E6-8C39-0D64BBAE500C}"/>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510540</xdr:colOff>
          <xdr:row>7</xdr:row>
          <xdr:rowOff>99060</xdr:rowOff>
        </xdr:from>
        <xdr:to>
          <xdr:col>5</xdr:col>
          <xdr:colOff>22860</xdr:colOff>
          <xdr:row>10</xdr:row>
          <xdr:rowOff>38100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50E9CB4A-952D-4D96-8719-9ABB6BFBC4F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STANDARD MUMMY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601980</xdr:colOff>
          <xdr:row>12</xdr:row>
          <xdr:rowOff>60960</xdr:rowOff>
        </xdr:from>
        <xdr:to>
          <xdr:col>1</xdr:col>
          <xdr:colOff>22860</xdr:colOff>
          <xdr:row>14</xdr:row>
          <xdr:rowOff>99060</xdr:rowOff>
        </xdr:to>
        <xdr:sp macro="" textlink="">
          <xdr:nvSpPr>
            <xdr:cNvPr id="7170" name="Button 2" hidden="1">
              <a:extLst>
                <a:ext uri="{63B3BB69-23CF-44E3-9099-C40C66FF867C}">
                  <a14:compatExt spid="_x0000_s7170"/>
                </a:ext>
                <a:ext uri="{FF2B5EF4-FFF2-40B4-BE49-F238E27FC236}">
                  <a16:creationId xmlns:a16="http://schemas.microsoft.com/office/drawing/2014/main" id="{56429974-EC91-4456-8958-967CCE41C9C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510540</xdr:colOff>
          <xdr:row>7</xdr:row>
          <xdr:rowOff>99060</xdr:rowOff>
        </xdr:from>
        <xdr:to>
          <xdr:col>5</xdr:col>
          <xdr:colOff>22860</xdr:colOff>
          <xdr:row>10</xdr:row>
          <xdr:rowOff>38100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80D46201-665F-4627-9088-762929F3618E}"/>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MUMMY 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601980</xdr:colOff>
          <xdr:row>12</xdr:row>
          <xdr:rowOff>60960</xdr:rowOff>
        </xdr:from>
        <xdr:to>
          <xdr:col>1</xdr:col>
          <xdr:colOff>22860</xdr:colOff>
          <xdr:row>14</xdr:row>
          <xdr:rowOff>99060</xdr:rowOff>
        </xdr:to>
        <xdr:sp macro="" textlink="">
          <xdr:nvSpPr>
            <xdr:cNvPr id="8194" name="Button 2" hidden="1">
              <a:extLst>
                <a:ext uri="{63B3BB69-23CF-44E3-9099-C40C66FF867C}">
                  <a14:compatExt spid="_x0000_s8194"/>
                </a:ext>
                <a:ext uri="{FF2B5EF4-FFF2-40B4-BE49-F238E27FC236}">
                  <a16:creationId xmlns:a16="http://schemas.microsoft.com/office/drawing/2014/main" id="{FD4E692F-9EDB-480A-AE86-62D6A460E71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510540</xdr:colOff>
          <xdr:row>7</xdr:row>
          <xdr:rowOff>99060</xdr:rowOff>
        </xdr:from>
        <xdr:to>
          <xdr:col>5</xdr:col>
          <xdr:colOff>22860</xdr:colOff>
          <xdr:row>10</xdr:row>
          <xdr:rowOff>38100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1456009D-1142-4619-98A5-0EE3DEB9357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MUMMY 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601980</xdr:colOff>
          <xdr:row>12</xdr:row>
          <xdr:rowOff>60960</xdr:rowOff>
        </xdr:from>
        <xdr:to>
          <xdr:col>1</xdr:col>
          <xdr:colOff>22860</xdr:colOff>
          <xdr:row>14</xdr:row>
          <xdr:rowOff>99060</xdr:rowOff>
        </xdr:to>
        <xdr:sp macro="" textlink="">
          <xdr:nvSpPr>
            <xdr:cNvPr id="9218" name="Button 2" hidden="1">
              <a:extLst>
                <a:ext uri="{63B3BB69-23CF-44E3-9099-C40C66FF867C}">
                  <a14:compatExt spid="_x0000_s9218"/>
                </a:ext>
                <a:ext uri="{FF2B5EF4-FFF2-40B4-BE49-F238E27FC236}">
                  <a16:creationId xmlns:a16="http://schemas.microsoft.com/office/drawing/2014/main" id="{E626DEAB-5F56-4A05-9BCE-DCD202EBFC6F}"/>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510540</xdr:colOff>
          <xdr:row>7</xdr:row>
          <xdr:rowOff>99060</xdr:rowOff>
        </xdr:from>
        <xdr:to>
          <xdr:col>5</xdr:col>
          <xdr:colOff>22860</xdr:colOff>
          <xdr:row>10</xdr:row>
          <xdr:rowOff>38100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F2C084B2-8D7E-4091-8FDF-CCB57391DAE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MUMMY 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601980</xdr:colOff>
          <xdr:row>12</xdr:row>
          <xdr:rowOff>60960</xdr:rowOff>
        </xdr:from>
        <xdr:to>
          <xdr:col>1</xdr:col>
          <xdr:colOff>22860</xdr:colOff>
          <xdr:row>14</xdr:row>
          <xdr:rowOff>99060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4EC46AD5-786A-4B13-8569-D46A1A44BC9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510540</xdr:colOff>
          <xdr:row>7</xdr:row>
          <xdr:rowOff>99060</xdr:rowOff>
        </xdr:from>
        <xdr:to>
          <xdr:col>5</xdr:col>
          <xdr:colOff>22860</xdr:colOff>
          <xdr:row>10</xdr:row>
          <xdr:rowOff>38100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498F87DE-EC84-406C-8C61-2AF038B6F23E}"/>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PHARAOH 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601980</xdr:colOff>
          <xdr:row>12</xdr:row>
          <xdr:rowOff>60960</xdr:rowOff>
        </xdr:from>
        <xdr:to>
          <xdr:col>1</xdr:col>
          <xdr:colOff>22860</xdr:colOff>
          <xdr:row>14</xdr:row>
          <xdr:rowOff>99060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270A2E08-39B1-4DAE-AA93-BC7C3FCF60B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510540</xdr:colOff>
          <xdr:row>7</xdr:row>
          <xdr:rowOff>99060</xdr:rowOff>
        </xdr:from>
        <xdr:to>
          <xdr:col>5</xdr:col>
          <xdr:colOff>22860</xdr:colOff>
          <xdr:row>10</xdr:row>
          <xdr:rowOff>38100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B3793DB6-140E-4035-889A-023359F57BCC}"/>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PHARAOH 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601980</xdr:colOff>
          <xdr:row>12</xdr:row>
          <xdr:rowOff>60960</xdr:rowOff>
        </xdr:from>
        <xdr:to>
          <xdr:col>1</xdr:col>
          <xdr:colOff>22860</xdr:colOff>
          <xdr:row>14</xdr:row>
          <xdr:rowOff>99060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5AE66B6B-5E3B-45DF-89F9-EC9E4421FC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510540</xdr:colOff>
          <xdr:row>7</xdr:row>
          <xdr:rowOff>99060</xdr:rowOff>
        </xdr:from>
        <xdr:to>
          <xdr:col>5</xdr:col>
          <xdr:colOff>22860</xdr:colOff>
          <xdr:row>10</xdr:row>
          <xdr:rowOff>38100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1B4A5809-7492-4ED2-93EA-92F65C30041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HV SCARAB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601980</xdr:colOff>
          <xdr:row>12</xdr:row>
          <xdr:rowOff>60960</xdr:rowOff>
        </xdr:from>
        <xdr:to>
          <xdr:col>1</xdr:col>
          <xdr:colOff>22860</xdr:colOff>
          <xdr:row>14</xdr:row>
          <xdr:rowOff>99060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9C81D29A-AB13-432A-B4D4-4731FF7847D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510540</xdr:colOff>
          <xdr:row>7</xdr:row>
          <xdr:rowOff>99060</xdr:rowOff>
        </xdr:from>
        <xdr:to>
          <xdr:col>5</xdr:col>
          <xdr:colOff>22860</xdr:colOff>
          <xdr:row>10</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A6E700F8-3221-4DDC-B906-18108F90C52C}"/>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HV ENEMY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601980</xdr:colOff>
          <xdr:row>12</xdr:row>
          <xdr:rowOff>60960</xdr:rowOff>
        </xdr:from>
        <xdr:to>
          <xdr:col>1</xdr:col>
          <xdr:colOff>22860</xdr:colOff>
          <xdr:row>14</xdr:row>
          <xdr:rowOff>99060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125A90F1-FF93-4B3B-B8F8-A7FCE13B50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mments" Target="../comments7.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omments" Target="../comments8.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omments" Target="../comments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3"/>
  <dimension ref="A1:O51"/>
  <sheetViews>
    <sheetView topLeftCell="A25" workbookViewId="0">
      <selection activeCell="J41" sqref="J41"/>
    </sheetView>
  </sheetViews>
  <sheetFormatPr defaultColWidth="11.5546875" defaultRowHeight="14.4" x14ac:dyDescent="0.3"/>
  <cols>
    <col min="1" max="1" width="18" customWidth="1"/>
    <col min="4" max="4" width="15.88671875" customWidth="1"/>
    <col min="5" max="5" width="14.88671875" customWidth="1"/>
    <col min="7" max="7" width="13.5546875" customWidth="1"/>
    <col min="8" max="8" width="15" customWidth="1"/>
    <col min="9" max="9" width="16.33203125" bestFit="1" customWidth="1"/>
    <col min="10" max="10" width="14.109375" customWidth="1"/>
    <col min="11" max="11" width="10.77734375" customWidth="1"/>
    <col min="12" max="12" width="12" customWidth="1"/>
    <col min="13" max="13" width="12" bestFit="1" customWidth="1"/>
  </cols>
  <sheetData>
    <row r="1" spans="1:15" x14ac:dyDescent="0.3">
      <c r="A1" t="s">
        <v>23</v>
      </c>
    </row>
    <row r="2" spans="1:15" x14ac:dyDescent="0.3">
      <c r="A2" t="s">
        <v>24</v>
      </c>
    </row>
    <row r="4" spans="1:15" x14ac:dyDescent="0.3">
      <c r="I4" s="25" t="s">
        <v>163</v>
      </c>
    </row>
    <row r="5" spans="1:15" x14ac:dyDescent="0.3">
      <c r="A5" s="1" t="s">
        <v>25</v>
      </c>
      <c r="B5" s="1" t="s">
        <v>7</v>
      </c>
      <c r="C5" s="1" t="s">
        <v>8</v>
      </c>
      <c r="D5" s="1" t="s">
        <v>2</v>
      </c>
      <c r="E5" s="1" t="s">
        <v>26</v>
      </c>
      <c r="F5" s="1" t="s">
        <v>27</v>
      </c>
      <c r="G5" s="1" t="s">
        <v>28</v>
      </c>
      <c r="I5" s="1" t="s">
        <v>25</v>
      </c>
      <c r="J5" s="1" t="s">
        <v>7</v>
      </c>
      <c r="K5" s="1" t="s">
        <v>8</v>
      </c>
      <c r="L5" s="1" t="s">
        <v>2</v>
      </c>
      <c r="M5" s="1" t="s">
        <v>26</v>
      </c>
      <c r="N5" s="1" t="s">
        <v>27</v>
      </c>
      <c r="O5" s="1" t="s">
        <v>28</v>
      </c>
    </row>
    <row r="6" spans="1:15" x14ac:dyDescent="0.3">
      <c r="A6" s="7" t="s">
        <v>29</v>
      </c>
      <c r="B6" s="17">
        <v>0.65500000000000003</v>
      </c>
      <c r="C6" s="7"/>
      <c r="D6" s="7"/>
      <c r="E6" s="7"/>
      <c r="F6" s="7"/>
      <c r="G6" s="17">
        <f>+B6</f>
        <v>0.65500000000000003</v>
      </c>
      <c r="I6" s="7" t="s">
        <v>29</v>
      </c>
      <c r="J6" s="17">
        <v>0.65500000000000003</v>
      </c>
      <c r="K6" s="7"/>
      <c r="L6" s="7"/>
      <c r="M6" s="7"/>
      <c r="N6" s="7"/>
      <c r="O6" s="17">
        <f>+J6</f>
        <v>0.65500000000000003</v>
      </c>
    </row>
    <row r="7" spans="1:15" x14ac:dyDescent="0.3">
      <c r="A7" s="7" t="s">
        <v>30</v>
      </c>
      <c r="B7" s="18">
        <f>1/C7*E7</f>
        <v>0.1</v>
      </c>
      <c r="C7" s="7">
        <v>1000</v>
      </c>
      <c r="D7" s="7">
        <f>1/C7</f>
        <v>1E-3</v>
      </c>
      <c r="E7" s="7">
        <v>100</v>
      </c>
      <c r="F7" s="7">
        <v>100</v>
      </c>
      <c r="G7" s="18">
        <f>+B7</f>
        <v>0.1</v>
      </c>
      <c r="I7" s="7" t="s">
        <v>30</v>
      </c>
      <c r="J7" s="18">
        <v>0</v>
      </c>
      <c r="K7" s="7">
        <v>0</v>
      </c>
      <c r="L7" s="7">
        <v>0</v>
      </c>
      <c r="M7" s="7">
        <v>0</v>
      </c>
      <c r="N7" s="7">
        <v>0</v>
      </c>
      <c r="O7" s="18">
        <f>+J7</f>
        <v>0</v>
      </c>
    </row>
    <row r="8" spans="1:15" x14ac:dyDescent="0.3">
      <c r="A8" s="7" t="s">
        <v>31</v>
      </c>
      <c r="B8" s="18">
        <f>1/C8*E8</f>
        <v>0.2</v>
      </c>
      <c r="C8" s="7">
        <v>700</v>
      </c>
      <c r="D8" s="7">
        <f t="shared" ref="D8" si="0">1/C8</f>
        <v>1.4285714285714286E-3</v>
      </c>
      <c r="E8" s="20">
        <v>140</v>
      </c>
      <c r="F8" s="20">
        <f>+'Special weapon'!D60</f>
        <v>96.76</v>
      </c>
      <c r="G8" s="18">
        <f>1/C8*F8</f>
        <v>0.13822857142857142</v>
      </c>
      <c r="I8" s="7" t="s">
        <v>31</v>
      </c>
      <c r="J8" s="18">
        <f>1/K8*M8</f>
        <v>0.30000000000000043</v>
      </c>
      <c r="K8" s="7">
        <v>466.666666666666</v>
      </c>
      <c r="L8" s="7">
        <f t="shared" ref="L8" si="1">1/K8</f>
        <v>2.142857142857146E-3</v>
      </c>
      <c r="M8" s="20">
        <v>140</v>
      </c>
      <c r="N8" s="20">
        <f>+'Special weapon'!D60</f>
        <v>96.76</v>
      </c>
      <c r="O8" s="18">
        <f>1/K8*N8</f>
        <v>0.20734285714285747</v>
      </c>
    </row>
    <row r="9" spans="1:15" x14ac:dyDescent="0.3">
      <c r="A9" s="7" t="s">
        <v>32</v>
      </c>
      <c r="B9" s="18">
        <v>0.02</v>
      </c>
      <c r="C9" s="7"/>
      <c r="D9" s="7"/>
      <c r="E9" s="7"/>
      <c r="F9" s="7"/>
      <c r="G9" s="18">
        <v>0.02</v>
      </c>
      <c r="I9" s="7" t="s">
        <v>32</v>
      </c>
      <c r="J9" s="18">
        <v>0.02</v>
      </c>
      <c r="K9" s="7"/>
      <c r="L9" s="7"/>
      <c r="M9" s="7"/>
      <c r="N9" s="7"/>
      <c r="O9" s="18">
        <v>0.02</v>
      </c>
    </row>
    <row r="10" spans="1:15" x14ac:dyDescent="0.3">
      <c r="A10" s="7" t="s">
        <v>33</v>
      </c>
      <c r="B10" s="18">
        <v>0</v>
      </c>
      <c r="C10" s="7"/>
      <c r="D10" s="7"/>
      <c r="E10" s="7"/>
      <c r="F10" s="7"/>
      <c r="G10" s="18">
        <v>0</v>
      </c>
      <c r="I10" s="7" t="s">
        <v>33</v>
      </c>
      <c r="J10" s="18">
        <v>0</v>
      </c>
      <c r="K10" s="7"/>
      <c r="L10" s="7"/>
      <c r="M10" s="7"/>
      <c r="N10" s="7"/>
      <c r="O10" s="18">
        <v>0</v>
      </c>
    </row>
    <row r="11" spans="1:15" x14ac:dyDescent="0.3">
      <c r="A11" s="1" t="s">
        <v>34</v>
      </c>
      <c r="B11" s="21">
        <f>+SUM(B6:B10)</f>
        <v>0.97500000000000009</v>
      </c>
      <c r="C11" s="1"/>
      <c r="D11" s="1"/>
      <c r="E11" s="1"/>
      <c r="F11" s="1"/>
      <c r="G11" s="22">
        <f>+SUM(G6:G10)</f>
        <v>0.9132285714285715</v>
      </c>
      <c r="I11" s="1" t="s">
        <v>34</v>
      </c>
      <c r="J11" s="21">
        <f>+SUM(J6:J10)</f>
        <v>0.97500000000000053</v>
      </c>
      <c r="K11" s="1"/>
      <c r="L11" s="1"/>
      <c r="M11" s="1"/>
      <c r="N11" s="1"/>
      <c r="O11" s="22">
        <f>+SUM(O6:O10)</f>
        <v>0.88234285714285754</v>
      </c>
    </row>
    <row r="12" spans="1:15" x14ac:dyDescent="0.3">
      <c r="A12" s="23" t="s">
        <v>96</v>
      </c>
    </row>
    <row r="13" spans="1:15" x14ac:dyDescent="0.3">
      <c r="A13" s="19" t="str">
        <f>+CONCATENATE("Boss Prize: ", E7, "x to be distributed between players according to total bet during triggering round")</f>
        <v>Boss Prize: 100x to be distributed between players according to total bet during triggering round</v>
      </c>
    </row>
    <row r="14" spans="1:15" x14ac:dyDescent="0.3">
      <c r="A14" s="19"/>
    </row>
    <row r="15" spans="1:15" x14ac:dyDescent="0.3">
      <c r="A15" s="19"/>
    </row>
    <row r="16" spans="1:15" x14ac:dyDescent="0.3">
      <c r="A16" s="24" t="s">
        <v>35</v>
      </c>
    </row>
    <row r="17" spans="1:11" x14ac:dyDescent="0.3">
      <c r="A17" s="24"/>
    </row>
    <row r="18" spans="1:11" s="67" customFormat="1" x14ac:dyDescent="0.3">
      <c r="A18" s="24"/>
    </row>
    <row r="19" spans="1:11" x14ac:dyDescent="0.3">
      <c r="A19" s="25" t="s">
        <v>36</v>
      </c>
      <c r="D19" s="25" t="s">
        <v>37</v>
      </c>
      <c r="G19" s="25" t="s">
        <v>38</v>
      </c>
    </row>
    <row r="20" spans="1:11" x14ac:dyDescent="0.3">
      <c r="A20" s="1" t="s">
        <v>1</v>
      </c>
      <c r="B20" s="1" t="s">
        <v>39</v>
      </c>
      <c r="D20" s="1" t="s">
        <v>1</v>
      </c>
      <c r="E20" s="1" t="s">
        <v>39</v>
      </c>
      <c r="G20" s="1" t="s">
        <v>1</v>
      </c>
      <c r="H20" s="1" t="s">
        <v>39</v>
      </c>
    </row>
    <row r="21" spans="1:11" x14ac:dyDescent="0.3">
      <c r="A21" s="7">
        <v>1</v>
      </c>
      <c r="B21" s="26">
        <f>+'Scarab Black'!$J3</f>
        <v>2</v>
      </c>
      <c r="D21" s="7">
        <v>1</v>
      </c>
      <c r="E21" s="26">
        <f>+'Scarab Gold'!$J3</f>
        <v>2</v>
      </c>
      <c r="G21" s="7">
        <v>1</v>
      </c>
      <c r="H21" s="26">
        <f>+'Scarab Gem Covered'!$J3</f>
        <v>3</v>
      </c>
    </row>
    <row r="22" spans="1:11" x14ac:dyDescent="0.3">
      <c r="A22" s="7">
        <v>2</v>
      </c>
      <c r="B22" s="26">
        <f>+'Scarab Black'!$J4</f>
        <v>3</v>
      </c>
      <c r="D22" s="7">
        <v>2</v>
      </c>
      <c r="E22" s="26">
        <f>+'Scarab Gold'!$J4</f>
        <v>3</v>
      </c>
      <c r="G22" s="7">
        <v>2</v>
      </c>
      <c r="H22" s="26">
        <f>+'Scarab Gem Covered'!$J4</f>
        <v>4</v>
      </c>
    </row>
    <row r="23" spans="1:11" x14ac:dyDescent="0.3">
      <c r="A23" s="7">
        <v>3</v>
      </c>
      <c r="B23" s="26">
        <f>+'Scarab Black'!$J5</f>
        <v>5</v>
      </c>
      <c r="D23" s="7">
        <v>3</v>
      </c>
      <c r="E23" s="26">
        <f>+'Scarab Gold'!$J5</f>
        <v>5</v>
      </c>
      <c r="G23" s="7">
        <v>3</v>
      </c>
      <c r="H23" s="26">
        <f>+'Scarab Gem Covered'!$J5</f>
        <v>6</v>
      </c>
    </row>
    <row r="24" spans="1:11" x14ac:dyDescent="0.3">
      <c r="A24" s="7">
        <v>4</v>
      </c>
      <c r="B24" s="26">
        <f>+'Scarab Black'!$J6</f>
        <v>7</v>
      </c>
      <c r="D24" s="7">
        <v>4</v>
      </c>
      <c r="E24" s="26">
        <f>+'Scarab Gold'!$J6</f>
        <v>7</v>
      </c>
      <c r="G24" s="7">
        <v>4</v>
      </c>
      <c r="H24" s="26">
        <f>+'Scarab Gem Covered'!$J6</f>
        <v>8</v>
      </c>
    </row>
    <row r="25" spans="1:11" x14ac:dyDescent="0.3">
      <c r="A25" s="7">
        <v>5</v>
      </c>
      <c r="B25" s="26">
        <f>+'Scarab Black'!$J7</f>
        <v>10</v>
      </c>
      <c r="D25" s="7">
        <v>5</v>
      </c>
      <c r="E25" s="26">
        <f>+'Scarab Gold'!$J7</f>
        <v>10</v>
      </c>
      <c r="G25" s="7">
        <v>5</v>
      </c>
      <c r="H25" s="26">
        <f>+'Scarab Gem Covered'!$J7</f>
        <v>12</v>
      </c>
    </row>
    <row r="26" spans="1:11" x14ac:dyDescent="0.3">
      <c r="A26" s="7">
        <v>6</v>
      </c>
      <c r="B26" s="26">
        <f>+'Scarab Black'!$J8</f>
        <v>20</v>
      </c>
      <c r="D26" s="7">
        <v>6</v>
      </c>
      <c r="E26" s="26">
        <f>+'Scarab Gold'!$J8</f>
        <v>20</v>
      </c>
      <c r="G26" s="7">
        <v>6</v>
      </c>
      <c r="H26" s="26">
        <f>+'Scarab Gem Covered'!$J8</f>
        <v>25</v>
      </c>
    </row>
    <row r="27" spans="1:11" x14ac:dyDescent="0.3">
      <c r="A27" s="7">
        <v>7</v>
      </c>
      <c r="B27" s="26">
        <f>+'Scarab Black'!$J9</f>
        <v>50</v>
      </c>
      <c r="D27" s="7">
        <v>7</v>
      </c>
      <c r="E27" s="26">
        <f>+'Scarab Gold'!$J9</f>
        <v>50</v>
      </c>
      <c r="G27" s="7">
        <v>7</v>
      </c>
      <c r="H27" s="26">
        <f>+'Scarab Gem Covered'!$J9</f>
        <v>60</v>
      </c>
    </row>
    <row r="28" spans="1:11" x14ac:dyDescent="0.3">
      <c r="A28" s="48"/>
      <c r="B28" s="66"/>
      <c r="D28" s="48"/>
      <c r="E28" s="66"/>
      <c r="G28" s="48"/>
      <c r="H28" s="66"/>
    </row>
    <row r="29" spans="1:11" x14ac:dyDescent="0.3">
      <c r="A29" s="48"/>
      <c r="B29" s="66"/>
      <c r="D29" s="48"/>
      <c r="E29" s="66"/>
      <c r="G29" s="48"/>
      <c r="H29" s="66"/>
    </row>
    <row r="30" spans="1:11" x14ac:dyDescent="0.3">
      <c r="A30" s="25" t="s">
        <v>40</v>
      </c>
      <c r="D30" s="25" t="s">
        <v>41</v>
      </c>
      <c r="G30" s="25" t="s">
        <v>42</v>
      </c>
      <c r="J30" s="25" t="s">
        <v>43</v>
      </c>
    </row>
    <row r="31" spans="1:11" x14ac:dyDescent="0.3">
      <c r="A31" s="1" t="s">
        <v>44</v>
      </c>
      <c r="B31" s="1" t="s">
        <v>39</v>
      </c>
      <c r="D31" s="1" t="s">
        <v>1</v>
      </c>
      <c r="E31" s="1" t="s">
        <v>39</v>
      </c>
      <c r="G31" s="1" t="s">
        <v>1</v>
      </c>
      <c r="H31" s="1" t="s">
        <v>39</v>
      </c>
      <c r="J31" s="1" t="s">
        <v>1</v>
      </c>
      <c r="K31" s="1" t="s">
        <v>39</v>
      </c>
    </row>
    <row r="32" spans="1:11" x14ac:dyDescent="0.3">
      <c r="A32" s="7">
        <v>1</v>
      </c>
      <c r="B32" s="26">
        <f>+'Standard Mummy'!$J3</f>
        <v>5</v>
      </c>
      <c r="D32" s="7">
        <v>1</v>
      </c>
      <c r="E32" s="26">
        <f>+'Mummy A'!$J3</f>
        <v>5</v>
      </c>
      <c r="G32" s="7">
        <v>1</v>
      </c>
      <c r="H32" s="26">
        <f>+'Mummy B'!$J3</f>
        <v>5</v>
      </c>
      <c r="J32" s="7">
        <v>1</v>
      </c>
      <c r="K32" s="26">
        <f>+'Mummy C'!$J3</f>
        <v>7</v>
      </c>
    </row>
    <row r="33" spans="1:11" x14ac:dyDescent="0.3">
      <c r="A33" s="7">
        <v>2</v>
      </c>
      <c r="B33" s="26">
        <f>+'Standard Mummy'!$J4</f>
        <v>7</v>
      </c>
      <c r="D33" s="7">
        <v>2</v>
      </c>
      <c r="E33" s="26">
        <f>+'Mummy A'!$J4</f>
        <v>7</v>
      </c>
      <c r="G33" s="7">
        <v>2</v>
      </c>
      <c r="H33" s="26">
        <f>+'Mummy B'!$J4</f>
        <v>7</v>
      </c>
      <c r="J33" s="7">
        <v>2</v>
      </c>
      <c r="K33" s="26">
        <f>+'Mummy C'!$J4</f>
        <v>10</v>
      </c>
    </row>
    <row r="34" spans="1:11" x14ac:dyDescent="0.3">
      <c r="A34" s="7">
        <v>3</v>
      </c>
      <c r="B34" s="26">
        <f>+'Standard Mummy'!$J5</f>
        <v>10</v>
      </c>
      <c r="D34" s="7">
        <v>3</v>
      </c>
      <c r="E34" s="26">
        <f>+'Mummy A'!$J5</f>
        <v>10</v>
      </c>
      <c r="G34" s="7">
        <v>3</v>
      </c>
      <c r="H34" s="26">
        <f>+'Mummy B'!$J5</f>
        <v>10</v>
      </c>
      <c r="J34" s="7">
        <v>3</v>
      </c>
      <c r="K34" s="26">
        <f>+'Mummy C'!$J5</f>
        <v>15</v>
      </c>
    </row>
    <row r="35" spans="1:11" x14ac:dyDescent="0.3">
      <c r="A35" s="7">
        <v>4</v>
      </c>
      <c r="B35" s="26">
        <f>+'Standard Mummy'!$J6</f>
        <v>15</v>
      </c>
      <c r="D35" s="7">
        <v>4</v>
      </c>
      <c r="E35" s="26">
        <f>+'Mummy A'!$J6</f>
        <v>15</v>
      </c>
      <c r="F35" s="25"/>
      <c r="G35" s="7">
        <v>4</v>
      </c>
      <c r="H35" s="26">
        <f>+'Mummy B'!$J6</f>
        <v>15</v>
      </c>
      <c r="I35" s="25"/>
      <c r="J35" s="7">
        <v>4</v>
      </c>
      <c r="K35" s="26">
        <f>+'Mummy C'!$J6</f>
        <v>20</v>
      </c>
    </row>
    <row r="36" spans="1:11" x14ac:dyDescent="0.3">
      <c r="A36" s="7">
        <v>5</v>
      </c>
      <c r="B36" s="26">
        <f>+'Standard Mummy'!$J7</f>
        <v>25</v>
      </c>
      <c r="D36" s="7">
        <v>5</v>
      </c>
      <c r="E36" s="26">
        <f>+'Mummy A'!$J7</f>
        <v>25</v>
      </c>
      <c r="F36" s="25"/>
      <c r="G36" s="7">
        <v>5</v>
      </c>
      <c r="H36" s="26">
        <f>+'Mummy B'!$J7</f>
        <v>25</v>
      </c>
      <c r="I36" s="25"/>
      <c r="J36" s="7">
        <v>5</v>
      </c>
      <c r="K36" s="26">
        <f>+'Mummy C'!$J7</f>
        <v>40</v>
      </c>
    </row>
    <row r="37" spans="1:11" x14ac:dyDescent="0.3">
      <c r="A37" s="7">
        <v>6</v>
      </c>
      <c r="B37" s="26">
        <f>+'Standard Mummy'!$J8</f>
        <v>50</v>
      </c>
      <c r="D37" s="7">
        <v>6</v>
      </c>
      <c r="E37" s="26">
        <f>+'Mummy A'!$J8</f>
        <v>50</v>
      </c>
      <c r="F37" s="25"/>
      <c r="G37" s="7">
        <v>6</v>
      </c>
      <c r="H37" s="26">
        <f>+'Mummy B'!$J8</f>
        <v>50</v>
      </c>
      <c r="I37" s="25"/>
      <c r="J37" s="7">
        <v>6</v>
      </c>
      <c r="K37" s="26">
        <f>+'Mummy C'!$J8</f>
        <v>75</v>
      </c>
    </row>
    <row r="38" spans="1:11" x14ac:dyDescent="0.3">
      <c r="A38" s="7">
        <v>7</v>
      </c>
      <c r="B38" s="26">
        <f>+'Standard Mummy'!$J9</f>
        <v>100</v>
      </c>
      <c r="D38" s="7">
        <v>7</v>
      </c>
      <c r="E38" s="26">
        <f>+'Mummy A'!$J9</f>
        <v>100</v>
      </c>
      <c r="F38" s="25"/>
      <c r="G38" s="7">
        <v>7</v>
      </c>
      <c r="H38" s="26">
        <f>+'Mummy B'!$J9</f>
        <v>100</v>
      </c>
      <c r="I38" s="25"/>
      <c r="J38" s="7">
        <v>7</v>
      </c>
      <c r="K38" s="26">
        <f>+'Mummy C'!$J9</f>
        <v>150</v>
      </c>
    </row>
    <row r="39" spans="1:11" x14ac:dyDescent="0.3">
      <c r="A39" s="48"/>
      <c r="B39" s="66"/>
      <c r="D39" s="48"/>
      <c r="E39" s="66"/>
      <c r="F39" s="25"/>
    </row>
    <row r="41" spans="1:11" x14ac:dyDescent="0.3">
      <c r="A41" s="25" t="s">
        <v>45</v>
      </c>
      <c r="D41" s="25" t="s">
        <v>46</v>
      </c>
      <c r="G41" s="25" t="s">
        <v>48</v>
      </c>
      <c r="J41" s="25" t="s">
        <v>47</v>
      </c>
    </row>
    <row r="42" spans="1:11" x14ac:dyDescent="0.3">
      <c r="A42" s="1" t="s">
        <v>1</v>
      </c>
      <c r="B42" s="1" t="s">
        <v>39</v>
      </c>
      <c r="D42" s="1" t="s">
        <v>1</v>
      </c>
      <c r="E42" s="1" t="s">
        <v>39</v>
      </c>
      <c r="G42" s="1" t="s">
        <v>1</v>
      </c>
      <c r="H42" s="1" t="s">
        <v>39</v>
      </c>
      <c r="J42" s="1" t="s">
        <v>1</v>
      </c>
      <c r="K42" s="1" t="s">
        <v>39</v>
      </c>
    </row>
    <row r="43" spans="1:11" x14ac:dyDescent="0.3">
      <c r="A43" s="7">
        <v>1</v>
      </c>
      <c r="B43" s="26">
        <f>+'Pharaoh A'!$J3</f>
        <v>10</v>
      </c>
      <c r="D43" s="7">
        <v>1</v>
      </c>
      <c r="E43" s="26">
        <f>+'Pharaoh B'!$J3</f>
        <v>10</v>
      </c>
      <c r="G43" s="7">
        <v>1</v>
      </c>
      <c r="H43" s="26">
        <f>+'HV Scarab'!$J3</f>
        <v>50</v>
      </c>
      <c r="J43" s="7">
        <v>1</v>
      </c>
      <c r="K43" s="26">
        <f>+'HV enemy'!$J3</f>
        <v>75</v>
      </c>
    </row>
    <row r="44" spans="1:11" x14ac:dyDescent="0.3">
      <c r="A44" s="7">
        <v>2</v>
      </c>
      <c r="B44" s="26">
        <f>+'Pharaoh A'!$J4</f>
        <v>15</v>
      </c>
      <c r="D44" s="7">
        <v>2</v>
      </c>
      <c r="E44" s="26">
        <f>+'Pharaoh B'!$J4</f>
        <v>15</v>
      </c>
      <c r="G44" s="7">
        <v>2</v>
      </c>
      <c r="H44" s="26">
        <f>+'HV Scarab'!$J4</f>
        <v>100</v>
      </c>
      <c r="J44" s="7">
        <v>2</v>
      </c>
      <c r="K44" s="26">
        <f>+'HV enemy'!$J4</f>
        <v>150</v>
      </c>
    </row>
    <row r="45" spans="1:11" x14ac:dyDescent="0.3">
      <c r="A45" s="7">
        <v>3</v>
      </c>
      <c r="B45" s="26">
        <f>+'Pharaoh A'!$J5</f>
        <v>20</v>
      </c>
      <c r="D45" s="7">
        <v>3</v>
      </c>
      <c r="E45" s="26">
        <f>+'Pharaoh B'!$J5</f>
        <v>20</v>
      </c>
      <c r="G45" s="7">
        <v>3</v>
      </c>
      <c r="H45" s="26">
        <f>+'HV Scarab'!$J5</f>
        <v>200</v>
      </c>
      <c r="J45" s="7">
        <v>3</v>
      </c>
      <c r="K45" s="26">
        <f>+'HV enemy'!$J5</f>
        <v>300</v>
      </c>
    </row>
    <row r="46" spans="1:11" x14ac:dyDescent="0.3">
      <c r="A46" s="7">
        <v>4</v>
      </c>
      <c r="B46" s="26">
        <f>+'Pharaoh A'!$J6</f>
        <v>40</v>
      </c>
      <c r="D46" s="7">
        <v>4</v>
      </c>
      <c r="E46" s="26">
        <f>+'Pharaoh B'!$J6</f>
        <v>40</v>
      </c>
      <c r="G46" s="7">
        <v>4</v>
      </c>
      <c r="H46" s="26">
        <f>+'HV Scarab'!$J6</f>
        <v>500</v>
      </c>
      <c r="J46" s="7">
        <v>4</v>
      </c>
      <c r="K46" s="26">
        <f>+'HV enemy'!$J6</f>
        <v>500</v>
      </c>
    </row>
    <row r="47" spans="1:11" x14ac:dyDescent="0.3">
      <c r="A47" s="7">
        <v>5</v>
      </c>
      <c r="B47" s="26">
        <f>+'Pharaoh A'!$J7</f>
        <v>75</v>
      </c>
      <c r="D47" s="7">
        <v>5</v>
      </c>
      <c r="E47" s="26">
        <f>+'Pharaoh B'!$J7</f>
        <v>75</v>
      </c>
      <c r="G47" s="7">
        <v>5</v>
      </c>
      <c r="H47" s="26">
        <f>+'HV Scarab'!$J7</f>
        <v>750</v>
      </c>
      <c r="J47" s="7">
        <v>5</v>
      </c>
      <c r="K47" s="26">
        <f>+'HV enemy'!$J7</f>
        <v>1000</v>
      </c>
    </row>
    <row r="48" spans="1:11" x14ac:dyDescent="0.3">
      <c r="A48" s="7">
        <v>6</v>
      </c>
      <c r="B48" s="26">
        <f>+'Pharaoh A'!$J8</f>
        <v>100</v>
      </c>
      <c r="D48" s="7">
        <v>6</v>
      </c>
      <c r="E48" s="26">
        <f>+'Pharaoh B'!$J8</f>
        <v>100</v>
      </c>
      <c r="G48" s="7">
        <v>6</v>
      </c>
      <c r="H48" s="26">
        <f>+'HV Scarab'!$J8</f>
        <v>1000</v>
      </c>
      <c r="J48" s="7">
        <v>6</v>
      </c>
      <c r="K48" s="26">
        <f>+'HV enemy'!$J8</f>
        <v>2000</v>
      </c>
    </row>
    <row r="49" spans="1:11" x14ac:dyDescent="0.3">
      <c r="A49" s="7">
        <v>7</v>
      </c>
      <c r="B49" s="26">
        <f>+'Pharaoh A'!$J9</f>
        <v>200</v>
      </c>
      <c r="D49" s="7">
        <v>7</v>
      </c>
      <c r="E49" s="26">
        <f>+'Pharaoh B'!$J9</f>
        <v>200</v>
      </c>
      <c r="G49" s="7">
        <v>7</v>
      </c>
      <c r="H49" s="26">
        <f>+'HV Scarab'!$J9</f>
        <v>2000</v>
      </c>
      <c r="J49" s="7">
        <v>7</v>
      </c>
      <c r="K49" s="26">
        <f>+'HV enemy'!$J9</f>
        <v>5000</v>
      </c>
    </row>
    <row r="51" spans="1:11" x14ac:dyDescent="0.3">
      <c r="C51" s="27"/>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4"/>
  <dimension ref="A1:F60"/>
  <sheetViews>
    <sheetView workbookViewId="0">
      <selection activeCell="A8" sqref="A8"/>
    </sheetView>
  </sheetViews>
  <sheetFormatPr defaultColWidth="11.5546875" defaultRowHeight="14.4" x14ac:dyDescent="0.3"/>
  <cols>
    <col min="1" max="1" width="28.33203125" customWidth="1"/>
    <col min="3" max="3" width="17" customWidth="1"/>
    <col min="4" max="4" width="13.5546875" bestFit="1" customWidth="1"/>
  </cols>
  <sheetData>
    <row r="1" spans="1:5" x14ac:dyDescent="0.3">
      <c r="A1" t="s">
        <v>60</v>
      </c>
    </row>
    <row r="2" spans="1:5" x14ac:dyDescent="0.3">
      <c r="A2" t="str">
        <f>+CONCATENATE("Probability of getting a special weapon = 1/",Summary!C8)</f>
        <v>Probability of getting a special weapon = 1/700</v>
      </c>
    </row>
    <row r="3" spans="1:5" x14ac:dyDescent="0.3">
      <c r="A3" t="s">
        <v>61</v>
      </c>
    </row>
    <row r="6" spans="1:5" x14ac:dyDescent="0.3">
      <c r="A6" t="s">
        <v>84</v>
      </c>
    </row>
    <row r="7" spans="1:5" ht="15" thickBot="1" x14ac:dyDescent="0.35"/>
    <row r="8" spans="1:5" ht="15" thickBot="1" x14ac:dyDescent="0.35">
      <c r="A8" s="30" t="s">
        <v>62</v>
      </c>
      <c r="B8" s="31" t="s">
        <v>58</v>
      </c>
      <c r="C8" s="31" t="s">
        <v>63</v>
      </c>
      <c r="D8" s="31" t="s">
        <v>64</v>
      </c>
      <c r="E8" s="32" t="s">
        <v>65</v>
      </c>
    </row>
    <row r="9" spans="1:5" x14ac:dyDescent="0.3">
      <c r="A9" s="96" t="s">
        <v>54</v>
      </c>
      <c r="B9" s="45">
        <v>10</v>
      </c>
      <c r="C9" s="45">
        <v>5</v>
      </c>
      <c r="D9" s="45">
        <f>+B9*C9</f>
        <v>50</v>
      </c>
      <c r="E9" s="98">
        <v>46</v>
      </c>
    </row>
    <row r="10" spans="1:5" x14ac:dyDescent="0.3">
      <c r="A10" s="96" t="s">
        <v>55</v>
      </c>
      <c r="B10" s="45">
        <v>15</v>
      </c>
      <c r="C10" s="45">
        <v>8</v>
      </c>
      <c r="D10" s="45">
        <f t="shared" ref="D10:D11" si="0">+B10*C10</f>
        <v>120</v>
      </c>
      <c r="E10" s="99">
        <v>53</v>
      </c>
    </row>
    <row r="11" spans="1:5" x14ac:dyDescent="0.3">
      <c r="A11" s="96" t="s">
        <v>56</v>
      </c>
      <c r="B11" s="45">
        <v>20</v>
      </c>
      <c r="C11" s="45">
        <v>10</v>
      </c>
      <c r="D11" s="45">
        <f t="shared" si="0"/>
        <v>200</v>
      </c>
      <c r="E11" s="99">
        <v>41</v>
      </c>
    </row>
    <row r="12" spans="1:5" ht="15" thickBot="1" x14ac:dyDescent="0.35">
      <c r="A12" s="97" t="s">
        <v>57</v>
      </c>
      <c r="B12" s="49">
        <v>3</v>
      </c>
      <c r="C12" s="49">
        <v>50</v>
      </c>
      <c r="D12" s="49">
        <f>+B12*C12</f>
        <v>150</v>
      </c>
      <c r="E12" s="100">
        <v>38</v>
      </c>
    </row>
    <row r="13" spans="1:5" x14ac:dyDescent="0.3">
      <c r="A13" s="96" t="s">
        <v>54</v>
      </c>
      <c r="B13" s="45">
        <v>14</v>
      </c>
      <c r="C13" s="45">
        <v>5</v>
      </c>
      <c r="D13" s="45">
        <f>+B13*C13</f>
        <v>70</v>
      </c>
      <c r="E13" s="99">
        <v>7</v>
      </c>
    </row>
    <row r="14" spans="1:5" x14ac:dyDescent="0.3">
      <c r="A14" s="96" t="s">
        <v>55</v>
      </c>
      <c r="B14" s="45">
        <v>25</v>
      </c>
      <c r="C14" s="45">
        <v>8</v>
      </c>
      <c r="D14" s="45">
        <f t="shared" ref="D14:D15" si="1">+B14*C14</f>
        <v>200</v>
      </c>
      <c r="E14" s="99">
        <v>4</v>
      </c>
    </row>
    <row r="15" spans="1:5" x14ac:dyDescent="0.3">
      <c r="A15" s="96" t="s">
        <v>56</v>
      </c>
      <c r="B15" s="45">
        <v>40</v>
      </c>
      <c r="C15" s="45">
        <v>10</v>
      </c>
      <c r="D15" s="45">
        <f t="shared" si="1"/>
        <v>400</v>
      </c>
      <c r="E15" s="99">
        <v>3</v>
      </c>
    </row>
    <row r="16" spans="1:5" ht="15" thickBot="1" x14ac:dyDescent="0.35">
      <c r="A16" s="97" t="s">
        <v>57</v>
      </c>
      <c r="B16" s="49">
        <v>5</v>
      </c>
      <c r="C16" s="49">
        <v>50</v>
      </c>
      <c r="D16" s="49">
        <f>+B16*C16</f>
        <v>250</v>
      </c>
      <c r="E16" s="100">
        <v>3</v>
      </c>
    </row>
    <row r="17" spans="1:5" x14ac:dyDescent="0.3">
      <c r="A17" s="96" t="s">
        <v>54</v>
      </c>
      <c r="B17" s="45">
        <v>30</v>
      </c>
      <c r="C17" s="45">
        <v>5</v>
      </c>
      <c r="D17" s="45">
        <f>+B17*C17</f>
        <v>150</v>
      </c>
      <c r="E17" s="99">
        <v>2</v>
      </c>
    </row>
    <row r="18" spans="1:5" x14ac:dyDescent="0.3">
      <c r="A18" s="96" t="s">
        <v>55</v>
      </c>
      <c r="B18" s="45">
        <v>50</v>
      </c>
      <c r="C18" s="45">
        <v>8</v>
      </c>
      <c r="D18" s="45">
        <f t="shared" ref="D18:D19" si="2">+B18*C18</f>
        <v>400</v>
      </c>
      <c r="E18" s="99">
        <v>1</v>
      </c>
    </row>
    <row r="19" spans="1:5" x14ac:dyDescent="0.3">
      <c r="A19" s="96" t="s">
        <v>56</v>
      </c>
      <c r="B19" s="45">
        <v>100</v>
      </c>
      <c r="C19" s="45">
        <v>10</v>
      </c>
      <c r="D19" s="45">
        <f t="shared" si="2"/>
        <v>1000</v>
      </c>
      <c r="E19" s="99">
        <v>1</v>
      </c>
    </row>
    <row r="20" spans="1:5" ht="15" thickBot="1" x14ac:dyDescent="0.35">
      <c r="A20" s="97" t="s">
        <v>57</v>
      </c>
      <c r="B20" s="49">
        <v>10</v>
      </c>
      <c r="C20" s="49">
        <v>50</v>
      </c>
      <c r="D20" s="49">
        <f>+B20*C20</f>
        <v>500</v>
      </c>
      <c r="E20" s="100">
        <v>1</v>
      </c>
    </row>
    <row r="21" spans="1:5" ht="15" thickBot="1" x14ac:dyDescent="0.35">
      <c r="A21" s="24" t="s">
        <v>66</v>
      </c>
      <c r="E21" s="50">
        <f>+SUM(E9:E20)</f>
        <v>200</v>
      </c>
    </row>
    <row r="22" spans="1:5" ht="15" thickBot="1" x14ac:dyDescent="0.35">
      <c r="A22" s="24"/>
    </row>
    <row r="23" spans="1:5" ht="15" thickBot="1" x14ac:dyDescent="0.35">
      <c r="C23" s="37" t="s">
        <v>67</v>
      </c>
      <c r="D23" s="38">
        <f>+SUMPRODUCT(D9:D20,E9:E20)/SUM(E9:E20)</f>
        <v>140</v>
      </c>
    </row>
    <row r="25" spans="1:5" x14ac:dyDescent="0.3">
      <c r="A25" t="s">
        <v>68</v>
      </c>
    </row>
    <row r="26" spans="1:5" x14ac:dyDescent="0.3">
      <c r="A26" t="s">
        <v>69</v>
      </c>
    </row>
    <row r="29" spans="1:5" ht="15.6" x14ac:dyDescent="0.3">
      <c r="A29" s="39" t="s">
        <v>70</v>
      </c>
    </row>
    <row r="30" spans="1:5" x14ac:dyDescent="0.3">
      <c r="A30" s="40" t="s">
        <v>71</v>
      </c>
    </row>
    <row r="32" spans="1:5" x14ac:dyDescent="0.3">
      <c r="A32" t="s">
        <v>72</v>
      </c>
    </row>
    <row r="33" spans="1:6" x14ac:dyDescent="0.3">
      <c r="A33" s="41" t="s">
        <v>73</v>
      </c>
    </row>
    <row r="34" spans="1:6" x14ac:dyDescent="0.3">
      <c r="A34" t="s">
        <v>74</v>
      </c>
    </row>
    <row r="35" spans="1:6" x14ac:dyDescent="0.3">
      <c r="A35" t="s">
        <v>75</v>
      </c>
    </row>
    <row r="37" spans="1:6" x14ac:dyDescent="0.3">
      <c r="A37" t="s">
        <v>76</v>
      </c>
    </row>
    <row r="38" spans="1:6" x14ac:dyDescent="0.3">
      <c r="A38" t="s">
        <v>77</v>
      </c>
    </row>
    <row r="39" spans="1:6" x14ac:dyDescent="0.3">
      <c r="A39" t="s">
        <v>78</v>
      </c>
    </row>
    <row r="42" spans="1:6" ht="15" thickBot="1" x14ac:dyDescent="0.35">
      <c r="A42" s="25" t="s">
        <v>79</v>
      </c>
    </row>
    <row r="43" spans="1:6" x14ac:dyDescent="0.3">
      <c r="A43" s="42" t="s">
        <v>62</v>
      </c>
      <c r="B43" s="43" t="s">
        <v>58</v>
      </c>
      <c r="C43" s="43" t="s">
        <v>63</v>
      </c>
      <c r="D43" s="43" t="s">
        <v>64</v>
      </c>
      <c r="E43" s="44" t="s">
        <v>2</v>
      </c>
    </row>
    <row r="44" spans="1:6" x14ac:dyDescent="0.3">
      <c r="A44" s="96" t="s">
        <v>54</v>
      </c>
      <c r="B44" s="45">
        <f>+B9</f>
        <v>10</v>
      </c>
      <c r="C44" s="45">
        <v>5</v>
      </c>
      <c r="D44" s="45">
        <f t="shared" ref="D44:D58" si="3">+B44*C44</f>
        <v>50</v>
      </c>
      <c r="E44" s="101">
        <f>+E9/SUM($E$9:$E$20)</f>
        <v>0.23</v>
      </c>
    </row>
    <row r="45" spans="1:6" x14ac:dyDescent="0.3">
      <c r="A45" s="96" t="s">
        <v>55</v>
      </c>
      <c r="B45" s="45">
        <f>+B10/5</f>
        <v>3</v>
      </c>
      <c r="C45" s="45">
        <v>8</v>
      </c>
      <c r="D45" s="45">
        <f t="shared" si="3"/>
        <v>24</v>
      </c>
      <c r="E45" s="101">
        <f>+E10/SUM($E$9:$E$20)</f>
        <v>0.26500000000000001</v>
      </c>
      <c r="F45" s="47" t="s">
        <v>80</v>
      </c>
    </row>
    <row r="46" spans="1:6" x14ac:dyDescent="0.3">
      <c r="A46" s="96" t="s">
        <v>81</v>
      </c>
      <c r="B46" s="45">
        <f>+B11</f>
        <v>20</v>
      </c>
      <c r="C46" s="45">
        <v>10</v>
      </c>
      <c r="D46" s="45">
        <f t="shared" si="3"/>
        <v>200</v>
      </c>
      <c r="E46" s="101">
        <f>+E11/SUM($E$9:$E$20)*1/2</f>
        <v>0.10249999999999999</v>
      </c>
      <c r="F46" s="47"/>
    </row>
    <row r="47" spans="1:6" x14ac:dyDescent="0.3">
      <c r="A47" s="96" t="s">
        <v>82</v>
      </c>
      <c r="B47" s="102">
        <f>+B11/2</f>
        <v>10</v>
      </c>
      <c r="C47" s="102">
        <v>10</v>
      </c>
      <c r="D47" s="45">
        <f t="shared" si="3"/>
        <v>100</v>
      </c>
      <c r="E47" s="101">
        <f>+E11/SUM($E$9:$E$20)*1/2</f>
        <v>0.10249999999999999</v>
      </c>
      <c r="F47" s="47" t="s">
        <v>83</v>
      </c>
    </row>
    <row r="48" spans="1:6" ht="15" thickBot="1" x14ac:dyDescent="0.35">
      <c r="A48" s="97" t="s">
        <v>57</v>
      </c>
      <c r="B48" s="49">
        <v>3</v>
      </c>
      <c r="C48" s="49">
        <v>50</v>
      </c>
      <c r="D48" s="49">
        <f t="shared" si="3"/>
        <v>150</v>
      </c>
      <c r="E48" s="103">
        <f>+E12/SUM($E$9:$E$20)</f>
        <v>0.19</v>
      </c>
    </row>
    <row r="49" spans="1:6" x14ac:dyDescent="0.3">
      <c r="A49" s="96" t="s">
        <v>54</v>
      </c>
      <c r="B49" s="45">
        <f>+B13</f>
        <v>14</v>
      </c>
      <c r="C49" s="45">
        <v>5</v>
      </c>
      <c r="D49" s="45">
        <f t="shared" si="3"/>
        <v>70</v>
      </c>
      <c r="E49" s="101">
        <f>+E13/SUM($E$9:$E$20)</f>
        <v>3.5000000000000003E-2</v>
      </c>
    </row>
    <row r="50" spans="1:6" x14ac:dyDescent="0.3">
      <c r="A50" s="96" t="s">
        <v>55</v>
      </c>
      <c r="B50" s="45">
        <f>+B14/5</f>
        <v>5</v>
      </c>
      <c r="C50" s="45">
        <v>8</v>
      </c>
      <c r="D50" s="45">
        <f t="shared" si="3"/>
        <v>40</v>
      </c>
      <c r="E50" s="101">
        <f>+E14/SUM($E$9:$E$20)</f>
        <v>0.02</v>
      </c>
      <c r="F50" s="47" t="s">
        <v>80</v>
      </c>
    </row>
    <row r="51" spans="1:6" x14ac:dyDescent="0.3">
      <c r="A51" s="96" t="s">
        <v>81</v>
      </c>
      <c r="B51" s="45">
        <f>+B15</f>
        <v>40</v>
      </c>
      <c r="C51" s="45">
        <v>10</v>
      </c>
      <c r="D51" s="45">
        <f t="shared" si="3"/>
        <v>400</v>
      </c>
      <c r="E51" s="101">
        <f>+E15/SUM($E$9:$E$20)*1/2</f>
        <v>7.4999999999999997E-3</v>
      </c>
      <c r="F51" s="47"/>
    </row>
    <row r="52" spans="1:6" x14ac:dyDescent="0.3">
      <c r="A52" s="96" t="s">
        <v>82</v>
      </c>
      <c r="B52" s="102">
        <f>+B15/2</f>
        <v>20</v>
      </c>
      <c r="C52" s="102">
        <v>10</v>
      </c>
      <c r="D52" s="45">
        <f t="shared" si="3"/>
        <v>200</v>
      </c>
      <c r="E52" s="101">
        <f>+E15/SUM($E$9:$E$20)*1/2</f>
        <v>7.4999999999999997E-3</v>
      </c>
      <c r="F52" s="47" t="s">
        <v>83</v>
      </c>
    </row>
    <row r="53" spans="1:6" ht="15" thickBot="1" x14ac:dyDescent="0.35">
      <c r="A53" s="97" t="s">
        <v>57</v>
      </c>
      <c r="B53" s="49">
        <f>+B16</f>
        <v>5</v>
      </c>
      <c r="C53" s="49">
        <v>50</v>
      </c>
      <c r="D53" s="49">
        <f t="shared" si="3"/>
        <v>250</v>
      </c>
      <c r="E53" s="103">
        <f>+E16/SUM($E$9:$E$20)</f>
        <v>1.4999999999999999E-2</v>
      </c>
    </row>
    <row r="54" spans="1:6" x14ac:dyDescent="0.3">
      <c r="A54" s="96" t="s">
        <v>54</v>
      </c>
      <c r="B54" s="45">
        <f>+B17</f>
        <v>30</v>
      </c>
      <c r="C54" s="45">
        <v>5</v>
      </c>
      <c r="D54" s="45">
        <f t="shared" si="3"/>
        <v>150</v>
      </c>
      <c r="E54" s="101">
        <f>+E17/SUM($E$9:$E$20)</f>
        <v>0.01</v>
      </c>
      <c r="F54" s="47"/>
    </row>
    <row r="55" spans="1:6" x14ac:dyDescent="0.3">
      <c r="A55" s="96" t="s">
        <v>55</v>
      </c>
      <c r="B55" s="45">
        <f>+B18/5</f>
        <v>10</v>
      </c>
      <c r="C55" s="45">
        <v>8</v>
      </c>
      <c r="D55" s="45">
        <f t="shared" si="3"/>
        <v>80</v>
      </c>
      <c r="E55" s="101">
        <f t="shared" ref="E55" si="4">+E18/SUM($E$9:$E$20)</f>
        <v>5.0000000000000001E-3</v>
      </c>
      <c r="F55" s="47" t="s">
        <v>80</v>
      </c>
    </row>
    <row r="56" spans="1:6" x14ac:dyDescent="0.3">
      <c r="A56" s="96" t="s">
        <v>81</v>
      </c>
      <c r="B56" s="45">
        <f>+B19</f>
        <v>100</v>
      </c>
      <c r="C56" s="45">
        <v>10</v>
      </c>
      <c r="D56" s="45">
        <f t="shared" si="3"/>
        <v>1000</v>
      </c>
      <c r="E56" s="101">
        <f>+E19/SUM($E$9:$E$20)*1/2</f>
        <v>2.5000000000000001E-3</v>
      </c>
      <c r="F56" s="47"/>
    </row>
    <row r="57" spans="1:6" x14ac:dyDescent="0.3">
      <c r="A57" s="96" t="s">
        <v>82</v>
      </c>
      <c r="B57" s="102">
        <f>+B19/2</f>
        <v>50</v>
      </c>
      <c r="C57" s="102">
        <v>10</v>
      </c>
      <c r="D57" s="45">
        <f t="shared" si="3"/>
        <v>500</v>
      </c>
      <c r="E57" s="101">
        <f>+E19/SUM($E$9:$E$20)*1/2</f>
        <v>2.5000000000000001E-3</v>
      </c>
      <c r="F57" s="47" t="s">
        <v>83</v>
      </c>
    </row>
    <row r="58" spans="1:6" ht="15" thickBot="1" x14ac:dyDescent="0.35">
      <c r="A58" s="97" t="s">
        <v>57</v>
      </c>
      <c r="B58" s="49">
        <f>+B20</f>
        <v>10</v>
      </c>
      <c r="C58" s="49">
        <v>50</v>
      </c>
      <c r="D58" s="49">
        <f t="shared" si="3"/>
        <v>500</v>
      </c>
      <c r="E58" s="103">
        <f>+E20/SUM($E$9:$E$20)</f>
        <v>5.0000000000000001E-3</v>
      </c>
      <c r="F58" s="47"/>
    </row>
    <row r="59" spans="1:6" ht="15" thickBot="1" x14ac:dyDescent="0.35">
      <c r="A59" s="24"/>
    </row>
    <row r="60" spans="1:6" ht="15" thickBot="1" x14ac:dyDescent="0.35">
      <c r="C60" s="37" t="s">
        <v>67</v>
      </c>
      <c r="D60" s="38">
        <f>+SUMPRODUCT(D44:D58,E44:E58)</f>
        <v>96.76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4"/>
  <dimension ref="A1:T27"/>
  <sheetViews>
    <sheetView tabSelected="1" workbookViewId="0">
      <selection activeCell="A4" sqref="A4"/>
    </sheetView>
  </sheetViews>
  <sheetFormatPr defaultColWidth="11.5546875" defaultRowHeight="14.4" x14ac:dyDescent="0.3"/>
  <cols>
    <col min="1" max="1" width="19.5546875" customWidth="1"/>
    <col min="3" max="3" width="17" customWidth="1"/>
    <col min="4" max="4" width="13.5546875" bestFit="1" customWidth="1"/>
    <col min="6" max="6" width="14" customWidth="1"/>
    <col min="8" max="8" width="20.88671875" customWidth="1"/>
    <col min="13" max="13" width="12.77734375" bestFit="1" customWidth="1"/>
    <col min="15" max="15" width="21.109375" customWidth="1"/>
    <col min="17" max="17" width="14.44140625" bestFit="1" customWidth="1"/>
    <col min="18" max="18" width="12.21875" bestFit="1" customWidth="1"/>
    <col min="20" max="20" width="12.77734375" bestFit="1" customWidth="1"/>
  </cols>
  <sheetData>
    <row r="1" spans="1:20" x14ac:dyDescent="0.3">
      <c r="A1" t="s">
        <v>162</v>
      </c>
    </row>
    <row r="2" spans="1:20" x14ac:dyDescent="0.3">
      <c r="A2" t="s">
        <v>84</v>
      </c>
    </row>
    <row r="3" spans="1:20" ht="15" thickBot="1" x14ac:dyDescent="0.35"/>
    <row r="4" spans="1:20" ht="15" thickBot="1" x14ac:dyDescent="0.35">
      <c r="A4" s="31" t="s">
        <v>97</v>
      </c>
      <c r="B4" s="32">
        <v>400</v>
      </c>
      <c r="H4" s="30" t="s">
        <v>97</v>
      </c>
      <c r="I4" s="32">
        <v>200</v>
      </c>
      <c r="O4" s="30" t="s">
        <v>97</v>
      </c>
      <c r="P4" s="32">
        <v>100</v>
      </c>
    </row>
    <row r="6" spans="1:20" x14ac:dyDescent="0.3">
      <c r="A6" t="s">
        <v>98</v>
      </c>
      <c r="H6" t="s">
        <v>98</v>
      </c>
      <c r="O6" t="s">
        <v>98</v>
      </c>
    </row>
    <row r="8" spans="1:20" ht="15" thickBot="1" x14ac:dyDescent="0.35"/>
    <row r="9" spans="1:20" ht="15" thickBot="1" x14ac:dyDescent="0.35">
      <c r="A9" s="42" t="s">
        <v>62</v>
      </c>
      <c r="B9" s="43" t="s">
        <v>58</v>
      </c>
      <c r="C9" s="43" t="s">
        <v>63</v>
      </c>
      <c r="D9" s="44" t="s">
        <v>64</v>
      </c>
      <c r="E9" s="51" t="s">
        <v>99</v>
      </c>
      <c r="F9" s="51" t="s">
        <v>100</v>
      </c>
      <c r="H9" s="42" t="s">
        <v>62</v>
      </c>
      <c r="I9" s="43" t="s">
        <v>58</v>
      </c>
      <c r="J9" s="43" t="s">
        <v>63</v>
      </c>
      <c r="K9" s="44" t="s">
        <v>64</v>
      </c>
      <c r="L9" s="51" t="s">
        <v>99</v>
      </c>
      <c r="M9" s="51" t="s">
        <v>100</v>
      </c>
      <c r="O9" s="42" t="s">
        <v>62</v>
      </c>
      <c r="P9" s="43" t="s">
        <v>58</v>
      </c>
      <c r="Q9" s="43" t="s">
        <v>63</v>
      </c>
      <c r="R9" s="44" t="s">
        <v>64</v>
      </c>
      <c r="S9" s="51" t="s">
        <v>99</v>
      </c>
      <c r="T9" s="51" t="s">
        <v>100</v>
      </c>
    </row>
    <row r="10" spans="1:20" x14ac:dyDescent="0.3">
      <c r="A10" s="52" t="s">
        <v>54</v>
      </c>
      <c r="B10" s="53">
        <v>40</v>
      </c>
      <c r="C10" s="107">
        <v>5</v>
      </c>
      <c r="D10" s="104">
        <f>+B10*C10</f>
        <v>200</v>
      </c>
      <c r="E10" s="98">
        <v>9</v>
      </c>
      <c r="F10" s="110">
        <f t="shared" ref="F10:F23" si="0">+D10/$B$4</f>
        <v>0.5</v>
      </c>
      <c r="G10" s="105"/>
      <c r="H10" s="106" t="s">
        <v>54</v>
      </c>
      <c r="I10" s="107">
        <v>24</v>
      </c>
      <c r="J10" s="107">
        <v>5</v>
      </c>
      <c r="K10" s="104">
        <f>+I10*J10</f>
        <v>120</v>
      </c>
      <c r="L10" s="98">
        <v>14</v>
      </c>
      <c r="M10" s="110">
        <f t="shared" ref="M10:M24" si="1">+K10/$I$4</f>
        <v>0.6</v>
      </c>
      <c r="N10" s="105"/>
      <c r="O10" s="106" t="s">
        <v>54</v>
      </c>
      <c r="P10" s="107">
        <v>8</v>
      </c>
      <c r="Q10" s="107">
        <v>5</v>
      </c>
      <c r="R10" s="104">
        <f>+P10*Q10</f>
        <v>40</v>
      </c>
      <c r="S10" s="98">
        <v>12</v>
      </c>
      <c r="T10" s="110">
        <f t="shared" ref="T10:T24" si="2">+R10/$P$4</f>
        <v>0.4</v>
      </c>
    </row>
    <row r="11" spans="1:20" x14ac:dyDescent="0.3">
      <c r="A11" s="33" t="s">
        <v>54</v>
      </c>
      <c r="B11" s="34">
        <v>44</v>
      </c>
      <c r="C11" s="45">
        <v>5</v>
      </c>
      <c r="D11" s="101">
        <f t="shared" ref="D11:D24" si="3">+B11*C11</f>
        <v>220</v>
      </c>
      <c r="E11" s="99">
        <v>8</v>
      </c>
      <c r="F11" s="111">
        <f>+D11/$B$4</f>
        <v>0.55000000000000004</v>
      </c>
      <c r="G11" s="105"/>
      <c r="H11" s="96" t="s">
        <v>54</v>
      </c>
      <c r="I11" s="45">
        <v>26</v>
      </c>
      <c r="J11" s="45">
        <v>5</v>
      </c>
      <c r="K11" s="101">
        <f t="shared" ref="K11:K21" si="4">+I11*J11</f>
        <v>130</v>
      </c>
      <c r="L11" s="99">
        <v>10</v>
      </c>
      <c r="M11" s="111">
        <f t="shared" si="1"/>
        <v>0.65</v>
      </c>
      <c r="N11" s="105"/>
      <c r="O11" s="96" t="s">
        <v>54</v>
      </c>
      <c r="P11" s="45">
        <v>10</v>
      </c>
      <c r="Q11" s="45">
        <v>5</v>
      </c>
      <c r="R11" s="101">
        <f t="shared" ref="R11:R21" si="5">+P11*Q11</f>
        <v>50</v>
      </c>
      <c r="S11" s="99">
        <v>10</v>
      </c>
      <c r="T11" s="111">
        <f t="shared" si="2"/>
        <v>0.5</v>
      </c>
    </row>
    <row r="12" spans="1:20" x14ac:dyDescent="0.3">
      <c r="A12" s="33" t="s">
        <v>54</v>
      </c>
      <c r="B12" s="34">
        <v>48</v>
      </c>
      <c r="C12" s="45">
        <v>5</v>
      </c>
      <c r="D12" s="101">
        <f t="shared" si="3"/>
        <v>240</v>
      </c>
      <c r="E12" s="99">
        <v>9</v>
      </c>
      <c r="F12" s="111">
        <f>+D12/$B$4</f>
        <v>0.6</v>
      </c>
      <c r="G12" s="105"/>
      <c r="H12" s="96" t="s">
        <v>54</v>
      </c>
      <c r="I12" s="45">
        <v>28</v>
      </c>
      <c r="J12" s="45">
        <v>5</v>
      </c>
      <c r="K12" s="101">
        <f t="shared" si="4"/>
        <v>140</v>
      </c>
      <c r="L12" s="99">
        <v>8</v>
      </c>
      <c r="M12" s="111">
        <f t="shared" si="1"/>
        <v>0.7</v>
      </c>
      <c r="N12" s="105"/>
      <c r="O12" s="96" t="s">
        <v>54</v>
      </c>
      <c r="P12" s="45">
        <v>14</v>
      </c>
      <c r="Q12" s="45">
        <v>5</v>
      </c>
      <c r="R12" s="101">
        <f t="shared" si="5"/>
        <v>70</v>
      </c>
      <c r="S12" s="99">
        <v>6</v>
      </c>
      <c r="T12" s="111">
        <f t="shared" si="2"/>
        <v>0.7</v>
      </c>
    </row>
    <row r="13" spans="1:20" x14ac:dyDescent="0.3">
      <c r="A13" s="33" t="s">
        <v>54</v>
      </c>
      <c r="B13" s="34">
        <v>50</v>
      </c>
      <c r="C13" s="45">
        <v>5</v>
      </c>
      <c r="D13" s="101">
        <f t="shared" si="3"/>
        <v>250</v>
      </c>
      <c r="E13" s="99">
        <v>9</v>
      </c>
      <c r="F13" s="111">
        <f t="shared" si="0"/>
        <v>0.625</v>
      </c>
      <c r="G13" s="105"/>
      <c r="H13" s="96" t="s">
        <v>54</v>
      </c>
      <c r="I13" s="45">
        <v>32</v>
      </c>
      <c r="J13" s="45">
        <v>5</v>
      </c>
      <c r="K13" s="101">
        <f t="shared" si="4"/>
        <v>160</v>
      </c>
      <c r="L13" s="99">
        <v>3</v>
      </c>
      <c r="M13" s="111">
        <f t="shared" si="1"/>
        <v>0.8</v>
      </c>
      <c r="N13" s="105"/>
      <c r="O13" s="96" t="s">
        <v>54</v>
      </c>
      <c r="P13" s="45">
        <v>20</v>
      </c>
      <c r="Q13" s="45">
        <v>5</v>
      </c>
      <c r="R13" s="101">
        <f t="shared" si="5"/>
        <v>100</v>
      </c>
      <c r="S13" s="99">
        <v>3</v>
      </c>
      <c r="T13" s="111">
        <f t="shared" si="2"/>
        <v>1</v>
      </c>
    </row>
    <row r="14" spans="1:20" ht="15" thickBot="1" x14ac:dyDescent="0.35">
      <c r="A14" s="35" t="s">
        <v>54</v>
      </c>
      <c r="B14" s="36">
        <v>60</v>
      </c>
      <c r="C14" s="49">
        <v>5</v>
      </c>
      <c r="D14" s="103">
        <f t="shared" si="3"/>
        <v>300</v>
      </c>
      <c r="E14" s="100">
        <v>3</v>
      </c>
      <c r="F14" s="112">
        <f t="shared" si="0"/>
        <v>0.75</v>
      </c>
      <c r="G14" s="105"/>
      <c r="H14" s="97" t="s">
        <v>54</v>
      </c>
      <c r="I14" s="49">
        <v>36</v>
      </c>
      <c r="J14" s="49">
        <v>5</v>
      </c>
      <c r="K14" s="103">
        <f t="shared" si="4"/>
        <v>180</v>
      </c>
      <c r="L14" s="100">
        <v>2</v>
      </c>
      <c r="M14" s="112">
        <f t="shared" si="1"/>
        <v>0.9</v>
      </c>
      <c r="N14" s="105"/>
      <c r="O14" s="97" t="s">
        <v>54</v>
      </c>
      <c r="P14" s="49">
        <v>22</v>
      </c>
      <c r="Q14" s="49">
        <v>5</v>
      </c>
      <c r="R14" s="103">
        <f t="shared" si="5"/>
        <v>110</v>
      </c>
      <c r="S14" s="100">
        <v>4</v>
      </c>
      <c r="T14" s="112">
        <f t="shared" si="2"/>
        <v>1.1000000000000001</v>
      </c>
    </row>
    <row r="15" spans="1:20" x14ac:dyDescent="0.3">
      <c r="A15" s="52" t="s">
        <v>55</v>
      </c>
      <c r="B15" s="53">
        <v>35</v>
      </c>
      <c r="C15" s="108">
        <v>8</v>
      </c>
      <c r="D15" s="104">
        <f t="shared" si="3"/>
        <v>280</v>
      </c>
      <c r="E15" s="98">
        <v>22</v>
      </c>
      <c r="F15" s="110">
        <f t="shared" si="0"/>
        <v>0.7</v>
      </c>
      <c r="G15" s="105"/>
      <c r="H15" s="106" t="s">
        <v>55</v>
      </c>
      <c r="I15" s="107">
        <v>20</v>
      </c>
      <c r="J15" s="108">
        <v>8</v>
      </c>
      <c r="K15" s="104">
        <f t="shared" si="4"/>
        <v>160</v>
      </c>
      <c r="L15" s="98">
        <v>19</v>
      </c>
      <c r="M15" s="110">
        <f t="shared" si="1"/>
        <v>0.8</v>
      </c>
      <c r="N15" s="105"/>
      <c r="O15" s="106" t="s">
        <v>55</v>
      </c>
      <c r="P15" s="107">
        <v>5</v>
      </c>
      <c r="Q15" s="108">
        <v>8</v>
      </c>
      <c r="R15" s="104">
        <f t="shared" si="5"/>
        <v>40</v>
      </c>
      <c r="S15" s="98">
        <v>14</v>
      </c>
      <c r="T15" s="110">
        <f t="shared" si="2"/>
        <v>0.4</v>
      </c>
    </row>
    <row r="16" spans="1:20" x14ac:dyDescent="0.3">
      <c r="A16" s="33" t="s">
        <v>55</v>
      </c>
      <c r="B16" s="34">
        <v>40</v>
      </c>
      <c r="C16" s="102">
        <v>8</v>
      </c>
      <c r="D16" s="101">
        <f t="shared" si="3"/>
        <v>320</v>
      </c>
      <c r="E16" s="99">
        <v>11</v>
      </c>
      <c r="F16" s="111">
        <f t="shared" si="0"/>
        <v>0.8</v>
      </c>
      <c r="G16" s="105"/>
      <c r="H16" s="96" t="s">
        <v>55</v>
      </c>
      <c r="I16" s="45">
        <v>25</v>
      </c>
      <c r="J16" s="102">
        <v>8</v>
      </c>
      <c r="K16" s="101">
        <f t="shared" si="4"/>
        <v>200</v>
      </c>
      <c r="L16" s="99">
        <v>11</v>
      </c>
      <c r="M16" s="111">
        <f t="shared" si="1"/>
        <v>1</v>
      </c>
      <c r="N16" s="105"/>
      <c r="O16" s="96" t="s">
        <v>55</v>
      </c>
      <c r="P16" s="45">
        <v>10</v>
      </c>
      <c r="Q16" s="102">
        <v>8</v>
      </c>
      <c r="R16" s="101">
        <f t="shared" si="5"/>
        <v>80</v>
      </c>
      <c r="S16" s="99">
        <v>9</v>
      </c>
      <c r="T16" s="111">
        <f t="shared" si="2"/>
        <v>0.8</v>
      </c>
    </row>
    <row r="17" spans="1:20" ht="15" thickBot="1" x14ac:dyDescent="0.35">
      <c r="A17" s="35" t="s">
        <v>55</v>
      </c>
      <c r="B17" s="36">
        <v>50</v>
      </c>
      <c r="C17" s="109">
        <v>8</v>
      </c>
      <c r="D17" s="103">
        <f t="shared" si="3"/>
        <v>400</v>
      </c>
      <c r="E17" s="100">
        <v>4</v>
      </c>
      <c r="F17" s="112">
        <f t="shared" si="0"/>
        <v>1</v>
      </c>
      <c r="G17" s="105"/>
      <c r="H17" s="97" t="s">
        <v>55</v>
      </c>
      <c r="I17" s="49">
        <v>30</v>
      </c>
      <c r="J17" s="109">
        <v>8</v>
      </c>
      <c r="K17" s="103">
        <f t="shared" si="4"/>
        <v>240</v>
      </c>
      <c r="L17" s="100">
        <v>1</v>
      </c>
      <c r="M17" s="112">
        <f t="shared" si="1"/>
        <v>1.2</v>
      </c>
      <c r="N17" s="105"/>
      <c r="O17" s="97" t="s">
        <v>55</v>
      </c>
      <c r="P17" s="49">
        <v>15</v>
      </c>
      <c r="Q17" s="109">
        <v>8</v>
      </c>
      <c r="R17" s="103">
        <f t="shared" si="5"/>
        <v>120</v>
      </c>
      <c r="S17" s="100">
        <v>7</v>
      </c>
      <c r="T17" s="112">
        <f t="shared" si="2"/>
        <v>1.2</v>
      </c>
    </row>
    <row r="18" spans="1:20" x14ac:dyDescent="0.3">
      <c r="A18" s="33" t="s">
        <v>56</v>
      </c>
      <c r="B18" s="34">
        <v>45</v>
      </c>
      <c r="C18" s="102">
        <v>10</v>
      </c>
      <c r="D18" s="101">
        <f t="shared" si="3"/>
        <v>450</v>
      </c>
      <c r="E18" s="99">
        <v>16</v>
      </c>
      <c r="F18" s="111">
        <f t="shared" si="0"/>
        <v>1.125</v>
      </c>
      <c r="G18" s="105"/>
      <c r="H18" s="96" t="s">
        <v>56</v>
      </c>
      <c r="I18" s="45">
        <v>25</v>
      </c>
      <c r="J18" s="102">
        <v>10</v>
      </c>
      <c r="K18" s="101">
        <f t="shared" si="4"/>
        <v>250</v>
      </c>
      <c r="L18" s="99">
        <v>16</v>
      </c>
      <c r="M18" s="111">
        <f t="shared" si="1"/>
        <v>1.25</v>
      </c>
      <c r="N18" s="105"/>
      <c r="O18" s="96" t="s">
        <v>56</v>
      </c>
      <c r="P18" s="45">
        <v>10</v>
      </c>
      <c r="Q18" s="102">
        <v>10</v>
      </c>
      <c r="R18" s="101">
        <f t="shared" si="5"/>
        <v>100</v>
      </c>
      <c r="S18" s="99">
        <v>5</v>
      </c>
      <c r="T18" s="111">
        <f t="shared" si="2"/>
        <v>1</v>
      </c>
    </row>
    <row r="19" spans="1:20" x14ac:dyDescent="0.3">
      <c r="A19" s="33" t="s">
        <v>56</v>
      </c>
      <c r="B19" s="34">
        <v>50</v>
      </c>
      <c r="C19" s="102">
        <v>10</v>
      </c>
      <c r="D19" s="101">
        <f t="shared" si="3"/>
        <v>500</v>
      </c>
      <c r="E19" s="99">
        <v>12</v>
      </c>
      <c r="F19" s="111">
        <f t="shared" si="0"/>
        <v>1.25</v>
      </c>
      <c r="G19" s="105"/>
      <c r="H19" s="96" t="s">
        <v>56</v>
      </c>
      <c r="I19" s="45">
        <v>30</v>
      </c>
      <c r="J19" s="102">
        <v>10</v>
      </c>
      <c r="K19" s="101">
        <f t="shared" si="4"/>
        <v>300</v>
      </c>
      <c r="L19" s="99">
        <v>7</v>
      </c>
      <c r="M19" s="111">
        <f t="shared" si="1"/>
        <v>1.5</v>
      </c>
      <c r="N19" s="105"/>
      <c r="O19" s="96" t="s">
        <v>56</v>
      </c>
      <c r="P19" s="45">
        <v>10</v>
      </c>
      <c r="Q19" s="102">
        <v>10</v>
      </c>
      <c r="R19" s="101">
        <f t="shared" si="5"/>
        <v>100</v>
      </c>
      <c r="S19" s="99">
        <v>5</v>
      </c>
      <c r="T19" s="111">
        <f t="shared" si="2"/>
        <v>1</v>
      </c>
    </row>
    <row r="20" spans="1:20" x14ac:dyDescent="0.3">
      <c r="A20" s="33" t="s">
        <v>56</v>
      </c>
      <c r="B20" s="34">
        <v>55</v>
      </c>
      <c r="C20" s="102">
        <v>10</v>
      </c>
      <c r="D20" s="101">
        <f t="shared" si="3"/>
        <v>550</v>
      </c>
      <c r="E20" s="99">
        <v>6</v>
      </c>
      <c r="F20" s="111">
        <f t="shared" si="0"/>
        <v>1.375</v>
      </c>
      <c r="G20" s="105"/>
      <c r="H20" s="96" t="s">
        <v>56</v>
      </c>
      <c r="I20" s="45">
        <v>35</v>
      </c>
      <c r="J20" s="102">
        <v>10</v>
      </c>
      <c r="K20" s="101">
        <f t="shared" si="4"/>
        <v>350</v>
      </c>
      <c r="L20" s="99">
        <v>1</v>
      </c>
      <c r="M20" s="111">
        <f t="shared" si="1"/>
        <v>1.75</v>
      </c>
      <c r="N20" s="105"/>
      <c r="O20" s="96" t="s">
        <v>56</v>
      </c>
      <c r="P20" s="45">
        <v>15</v>
      </c>
      <c r="Q20" s="102">
        <v>10</v>
      </c>
      <c r="R20" s="101">
        <f t="shared" si="5"/>
        <v>150</v>
      </c>
      <c r="S20" s="99">
        <v>10</v>
      </c>
      <c r="T20" s="111">
        <f t="shared" si="2"/>
        <v>1.5</v>
      </c>
    </row>
    <row r="21" spans="1:20" ht="15" thickBot="1" x14ac:dyDescent="0.35">
      <c r="A21" s="35" t="s">
        <v>56</v>
      </c>
      <c r="B21" s="36">
        <v>60</v>
      </c>
      <c r="C21" s="109">
        <v>10</v>
      </c>
      <c r="D21" s="103">
        <f t="shared" si="3"/>
        <v>600</v>
      </c>
      <c r="E21" s="100">
        <v>2</v>
      </c>
      <c r="F21" s="112">
        <f t="shared" si="0"/>
        <v>1.5</v>
      </c>
      <c r="G21" s="105"/>
      <c r="H21" s="97" t="s">
        <v>56</v>
      </c>
      <c r="I21" s="49">
        <v>40</v>
      </c>
      <c r="J21" s="109">
        <v>10</v>
      </c>
      <c r="K21" s="103">
        <f t="shared" si="4"/>
        <v>400</v>
      </c>
      <c r="L21" s="100">
        <v>1</v>
      </c>
      <c r="M21" s="112">
        <f t="shared" si="1"/>
        <v>2</v>
      </c>
      <c r="N21" s="105"/>
      <c r="O21" s="97" t="s">
        <v>56</v>
      </c>
      <c r="P21" s="49">
        <v>20</v>
      </c>
      <c r="Q21" s="109">
        <v>10</v>
      </c>
      <c r="R21" s="103">
        <f t="shared" si="5"/>
        <v>200</v>
      </c>
      <c r="S21" s="100">
        <v>9</v>
      </c>
      <c r="T21" s="112">
        <f t="shared" si="2"/>
        <v>2</v>
      </c>
    </row>
    <row r="22" spans="1:20" x14ac:dyDescent="0.3">
      <c r="A22" s="33" t="s">
        <v>57</v>
      </c>
      <c r="B22" s="24">
        <v>15</v>
      </c>
      <c r="C22" s="102">
        <v>50</v>
      </c>
      <c r="D22" s="101">
        <f>+B22*C22</f>
        <v>750</v>
      </c>
      <c r="E22" s="99">
        <v>5</v>
      </c>
      <c r="F22" s="111">
        <f t="shared" si="0"/>
        <v>1.875</v>
      </c>
      <c r="G22" s="105"/>
      <c r="H22" s="96" t="s">
        <v>57</v>
      </c>
      <c r="I22" s="102">
        <v>6</v>
      </c>
      <c r="J22" s="102">
        <v>50</v>
      </c>
      <c r="K22" s="101">
        <f>+I22*J22</f>
        <v>300</v>
      </c>
      <c r="L22" s="99">
        <v>5</v>
      </c>
      <c r="M22" s="111">
        <f t="shared" si="1"/>
        <v>1.5</v>
      </c>
      <c r="N22" s="105"/>
      <c r="O22" s="96" t="s">
        <v>57</v>
      </c>
      <c r="P22" s="102">
        <v>3</v>
      </c>
      <c r="Q22" s="102">
        <v>50</v>
      </c>
      <c r="R22" s="101">
        <f>+P22*Q22</f>
        <v>150</v>
      </c>
      <c r="S22" s="99">
        <v>2</v>
      </c>
      <c r="T22" s="111">
        <f t="shared" si="2"/>
        <v>1.5</v>
      </c>
    </row>
    <row r="23" spans="1:20" x14ac:dyDescent="0.3">
      <c r="A23" s="33" t="s">
        <v>57</v>
      </c>
      <c r="B23" s="24">
        <v>25</v>
      </c>
      <c r="C23" s="102">
        <v>50</v>
      </c>
      <c r="D23" s="101">
        <f t="shared" si="3"/>
        <v>1250</v>
      </c>
      <c r="E23" s="99">
        <v>3</v>
      </c>
      <c r="F23" s="111">
        <f t="shared" si="0"/>
        <v>3.125</v>
      </c>
      <c r="G23" s="105"/>
      <c r="H23" s="96" t="s">
        <v>57</v>
      </c>
      <c r="I23" s="102">
        <v>7</v>
      </c>
      <c r="J23" s="102">
        <v>50</v>
      </c>
      <c r="K23" s="101">
        <f t="shared" ref="K23:K24" si="6">+I23*J23</f>
        <v>350</v>
      </c>
      <c r="L23" s="99">
        <v>1</v>
      </c>
      <c r="M23" s="111">
        <f t="shared" si="1"/>
        <v>1.75</v>
      </c>
      <c r="N23" s="105"/>
      <c r="O23" s="96" t="s">
        <v>57</v>
      </c>
      <c r="P23" s="102">
        <v>4</v>
      </c>
      <c r="Q23" s="102">
        <v>50</v>
      </c>
      <c r="R23" s="101">
        <f t="shared" ref="R23:R24" si="7">+P23*Q23</f>
        <v>200</v>
      </c>
      <c r="S23" s="99">
        <v>2</v>
      </c>
      <c r="T23" s="111">
        <f t="shared" si="2"/>
        <v>2</v>
      </c>
    </row>
    <row r="24" spans="1:20" ht="15" thickBot="1" x14ac:dyDescent="0.35">
      <c r="A24" s="33" t="s">
        <v>57</v>
      </c>
      <c r="B24" s="36">
        <v>30</v>
      </c>
      <c r="C24" s="109">
        <v>50</v>
      </c>
      <c r="D24" s="103">
        <f t="shared" si="3"/>
        <v>1500</v>
      </c>
      <c r="E24" s="100">
        <v>1</v>
      </c>
      <c r="F24" s="112">
        <f>+D24/$B$4</f>
        <v>3.75</v>
      </c>
      <c r="G24" s="105"/>
      <c r="H24" s="96" t="s">
        <v>57</v>
      </c>
      <c r="I24" s="49">
        <v>8</v>
      </c>
      <c r="J24" s="109">
        <v>50</v>
      </c>
      <c r="K24" s="103">
        <f t="shared" si="6"/>
        <v>400</v>
      </c>
      <c r="L24" s="100">
        <v>1</v>
      </c>
      <c r="M24" s="112">
        <f t="shared" si="1"/>
        <v>2</v>
      </c>
      <c r="N24" s="105"/>
      <c r="O24" s="96" t="s">
        <v>57</v>
      </c>
      <c r="P24" s="49">
        <v>5</v>
      </c>
      <c r="Q24" s="109">
        <v>50</v>
      </c>
      <c r="R24" s="103">
        <f t="shared" si="7"/>
        <v>250</v>
      </c>
      <c r="S24" s="100">
        <v>2</v>
      </c>
      <c r="T24" s="112">
        <f t="shared" si="2"/>
        <v>2.5</v>
      </c>
    </row>
    <row r="25" spans="1:20" ht="15" thickBot="1" x14ac:dyDescent="0.35">
      <c r="A25" s="58" t="s">
        <v>34</v>
      </c>
      <c r="B25" s="31"/>
      <c r="C25" s="31"/>
      <c r="D25" s="59">
        <f>+SUMPRODUCT(D10:D24,E10:E24)/SUM(E10:E24)</f>
        <v>390.41666666666669</v>
      </c>
      <c r="E25" s="60">
        <f>+SUM(E10:E24)</f>
        <v>120</v>
      </c>
      <c r="H25" s="58" t="s">
        <v>34</v>
      </c>
      <c r="I25" s="31"/>
      <c r="J25" s="31"/>
      <c r="K25" s="59">
        <f>+SUMPRODUCT(K10:K24,L10:L24)/SUM(L10:L24)</f>
        <v>195.2</v>
      </c>
      <c r="L25" s="60">
        <f>+SUM(L10:L24)</f>
        <v>100</v>
      </c>
      <c r="O25" s="58" t="s">
        <v>34</v>
      </c>
      <c r="P25" s="31"/>
      <c r="Q25" s="31"/>
      <c r="R25" s="59">
        <f>+SUMPRODUCT(R10:R24,S10:S24)/SUM(S10:S24)</f>
        <v>97.6</v>
      </c>
      <c r="S25" s="60">
        <f>+SUM(S10:S24)</f>
        <v>100</v>
      </c>
    </row>
    <row r="27" spans="1:20" x14ac:dyDescent="0.3">
      <c r="A27" s="48" t="s">
        <v>101</v>
      </c>
      <c r="B27" s="61">
        <f>+D25/B4</f>
        <v>0.9760416666666667</v>
      </c>
      <c r="H27" s="48" t="s">
        <v>101</v>
      </c>
      <c r="I27" s="61">
        <f>+K25/I4</f>
        <v>0.97599999999999998</v>
      </c>
      <c r="O27" s="48" t="s">
        <v>101</v>
      </c>
      <c r="P27" s="61">
        <f>+R25/P4</f>
        <v>0.97599999999999998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5"/>
  <dimension ref="A1:Y74"/>
  <sheetViews>
    <sheetView workbookViewId="0">
      <selection activeCell="A21" sqref="A21:E21"/>
    </sheetView>
  </sheetViews>
  <sheetFormatPr defaultColWidth="11.5546875" defaultRowHeight="14.4" x14ac:dyDescent="0.3"/>
  <cols>
    <col min="1" max="1" width="13.109375" customWidth="1"/>
    <col min="2" max="2" width="14.109375" customWidth="1"/>
    <col min="3" max="3" width="18.77734375" bestFit="1" customWidth="1"/>
    <col min="4" max="4" width="15.5546875" bestFit="1" customWidth="1"/>
    <col min="5" max="5" width="19.33203125" customWidth="1"/>
    <col min="6" max="6" width="17.77734375" bestFit="1" customWidth="1"/>
    <col min="9" max="9" width="15.5546875" bestFit="1" customWidth="1"/>
    <col min="14" max="14" width="15.5546875" bestFit="1" customWidth="1"/>
    <col min="19" max="19" width="15.5546875" bestFit="1" customWidth="1"/>
    <col min="24" max="24" width="15.5546875" bestFit="1" customWidth="1"/>
  </cols>
  <sheetData>
    <row r="1" spans="1:25" ht="18" x14ac:dyDescent="0.35">
      <c r="A1" s="116" t="s">
        <v>102</v>
      </c>
      <c r="B1" s="116"/>
      <c r="C1" s="116"/>
      <c r="D1" s="116"/>
      <c r="E1" s="116"/>
    </row>
    <row r="2" spans="1:25" x14ac:dyDescent="0.3">
      <c r="A2" t="s">
        <v>103</v>
      </c>
    </row>
    <row r="3" spans="1:25" x14ac:dyDescent="0.3">
      <c r="A3" t="str">
        <f>+CONCATENATE("But players are also competing by the Boss prize (",Summary!E7,"x) which will be distributed according to damage done by each player (or bot).")</f>
        <v>But players are also competing by the Boss prize (100x) which will be distributed according to damage done by each player (or bot).</v>
      </c>
    </row>
    <row r="4" spans="1:25" x14ac:dyDescent="0.3">
      <c r="A4" t="s">
        <v>104</v>
      </c>
    </row>
    <row r="5" spans="1:25" x14ac:dyDescent="0.3">
      <c r="A5" t="s">
        <v>105</v>
      </c>
    </row>
    <row r="6" spans="1:25" x14ac:dyDescent="0.3">
      <c r="A6" s="25" t="s">
        <v>106</v>
      </c>
    </row>
    <row r="8" spans="1:25" ht="18" x14ac:dyDescent="0.35">
      <c r="A8" s="117" t="s">
        <v>107</v>
      </c>
      <c r="B8" s="117"/>
      <c r="C8" s="117"/>
      <c r="D8" s="117"/>
      <c r="E8" s="117"/>
    </row>
    <row r="9" spans="1:25" ht="15" thickBot="1" x14ac:dyDescent="0.35"/>
    <row r="10" spans="1:25" ht="15" thickBot="1" x14ac:dyDescent="0.35">
      <c r="B10" s="113" t="s">
        <v>13</v>
      </c>
      <c r="C10" s="114"/>
      <c r="D10" s="114"/>
      <c r="E10" s="115"/>
      <c r="G10" s="113" t="s">
        <v>54</v>
      </c>
      <c r="H10" s="114"/>
      <c r="I10" s="114"/>
      <c r="J10" s="115"/>
      <c r="L10" s="113" t="s">
        <v>55</v>
      </c>
      <c r="M10" s="114"/>
      <c r="N10" s="114"/>
      <c r="O10" s="115"/>
      <c r="Q10" s="113" t="s">
        <v>56</v>
      </c>
      <c r="R10" s="114"/>
      <c r="S10" s="114"/>
      <c r="T10" s="115"/>
      <c r="V10" s="113" t="s">
        <v>57</v>
      </c>
      <c r="W10" s="114"/>
      <c r="X10" s="114"/>
      <c r="Y10" s="115"/>
    </row>
    <row r="11" spans="1:25" x14ac:dyDescent="0.3">
      <c r="A11" s="25" t="s">
        <v>108</v>
      </c>
      <c r="B11" s="72" t="s">
        <v>44</v>
      </c>
      <c r="C11" s="72" t="s">
        <v>2</v>
      </c>
      <c r="D11" s="72" t="s">
        <v>3</v>
      </c>
      <c r="E11" s="72" t="s">
        <v>7</v>
      </c>
      <c r="G11" s="1" t="s">
        <v>44</v>
      </c>
      <c r="H11" s="1" t="s">
        <v>2</v>
      </c>
      <c r="I11" s="1" t="s">
        <v>3</v>
      </c>
      <c r="J11" s="1" t="s">
        <v>152</v>
      </c>
      <c r="L11" s="1" t="s">
        <v>44</v>
      </c>
      <c r="M11" s="1" t="s">
        <v>2</v>
      </c>
      <c r="N11" s="1" t="s">
        <v>3</v>
      </c>
      <c r="O11" s="1" t="s">
        <v>152</v>
      </c>
      <c r="Q11" s="1" t="s">
        <v>44</v>
      </c>
      <c r="R11" s="1" t="s">
        <v>2</v>
      </c>
      <c r="S11" s="1" t="s">
        <v>3</v>
      </c>
      <c r="T11" s="1" t="s">
        <v>152</v>
      </c>
      <c r="V11" s="1" t="s">
        <v>44</v>
      </c>
      <c r="W11" s="1" t="s">
        <v>2</v>
      </c>
      <c r="X11" s="1" t="s">
        <v>3</v>
      </c>
      <c r="Y11" s="1" t="s">
        <v>152</v>
      </c>
    </row>
    <row r="12" spans="1:25" x14ac:dyDescent="0.3">
      <c r="B12" s="73">
        <v>5</v>
      </c>
      <c r="C12" s="7">
        <v>8.3000000000000004E-2</v>
      </c>
      <c r="D12" s="7">
        <f>+SUM(C$11:$C12)</f>
        <v>8.3000000000000004E-2</v>
      </c>
      <c r="E12" s="7">
        <f t="shared" ref="E12:E17" si="0">+B12*C12</f>
        <v>0.41500000000000004</v>
      </c>
      <c r="G12" s="73">
        <v>20</v>
      </c>
      <c r="H12" s="7">
        <v>7.0000000000000007E-2</v>
      </c>
      <c r="I12" s="7">
        <f>+SUM($H$12:H12)</f>
        <v>7.0000000000000007E-2</v>
      </c>
      <c r="J12" s="7">
        <f t="shared" ref="J12:J17" si="1">+G12*H12</f>
        <v>1.4000000000000001</v>
      </c>
      <c r="L12" s="73">
        <v>25</v>
      </c>
      <c r="M12" s="7">
        <v>0.06</v>
      </c>
      <c r="N12" s="7">
        <f>+SUM($M$12:M12)</f>
        <v>0.06</v>
      </c>
      <c r="O12" s="7">
        <f t="shared" ref="O12:O17" si="2">+L12*M12</f>
        <v>1.5</v>
      </c>
      <c r="Q12" s="73">
        <v>30</v>
      </c>
      <c r="R12" s="7">
        <v>0.06</v>
      </c>
      <c r="S12" s="7">
        <f>+SUM($R$11:R12)</f>
        <v>0.06</v>
      </c>
      <c r="T12" s="7">
        <f t="shared" ref="T12:T17" si="3">+Q12*R12</f>
        <v>1.7999999999999998</v>
      </c>
      <c r="V12" s="73">
        <v>50</v>
      </c>
      <c r="W12" s="7">
        <v>0.15</v>
      </c>
      <c r="X12" s="7">
        <f>+SUM($W$12:W12)</f>
        <v>0.15</v>
      </c>
      <c r="Y12" s="7">
        <f t="shared" ref="Y12:Y17" si="4">+V12*W12</f>
        <v>7.5</v>
      </c>
    </row>
    <row r="13" spans="1:25" x14ac:dyDescent="0.3">
      <c r="B13" s="73">
        <v>10</v>
      </c>
      <c r="C13" s="7">
        <v>3.15E-2</v>
      </c>
      <c r="D13" s="7">
        <f>+SUM(C$11:$C13)</f>
        <v>0.1145</v>
      </c>
      <c r="E13" s="7">
        <f t="shared" si="0"/>
        <v>0.315</v>
      </c>
      <c r="G13" s="73">
        <v>30</v>
      </c>
      <c r="H13" s="7">
        <v>0.05</v>
      </c>
      <c r="I13" s="7">
        <f>+SUM($H$12:H13)</f>
        <v>0.12000000000000001</v>
      </c>
      <c r="J13" s="7">
        <f t="shared" si="1"/>
        <v>1.5</v>
      </c>
      <c r="L13" s="73">
        <v>35</v>
      </c>
      <c r="M13" s="7">
        <v>0.04</v>
      </c>
      <c r="N13" s="7">
        <f>+SUM($M$12:M13)</f>
        <v>0.1</v>
      </c>
      <c r="O13" s="7">
        <f t="shared" si="2"/>
        <v>1.4000000000000001</v>
      </c>
      <c r="Q13" s="73">
        <v>50</v>
      </c>
      <c r="R13" s="7">
        <v>3.1E-2</v>
      </c>
      <c r="S13" s="7">
        <f>+SUM($R$11:R13)</f>
        <v>9.0999999999999998E-2</v>
      </c>
      <c r="T13" s="7">
        <f t="shared" si="3"/>
        <v>1.55</v>
      </c>
      <c r="V13" s="73">
        <v>75</v>
      </c>
      <c r="W13" s="7">
        <v>0.1</v>
      </c>
      <c r="X13" s="7">
        <f>+SUM($W$12:W13)</f>
        <v>0.25</v>
      </c>
      <c r="Y13" s="7">
        <f t="shared" si="4"/>
        <v>7.5</v>
      </c>
    </row>
    <row r="14" spans="1:25" x14ac:dyDescent="0.3">
      <c r="B14" s="73">
        <v>15</v>
      </c>
      <c r="C14" s="7">
        <v>8.0000000000000002E-3</v>
      </c>
      <c r="D14" s="7">
        <f>+SUM(C$11:$C14)</f>
        <v>0.1225</v>
      </c>
      <c r="E14" s="7">
        <f t="shared" si="0"/>
        <v>0.12</v>
      </c>
      <c r="G14" s="73">
        <v>40</v>
      </c>
      <c r="H14" s="7">
        <v>0.04</v>
      </c>
      <c r="I14" s="7">
        <f>+SUM($H$12:H14)</f>
        <v>0.16</v>
      </c>
      <c r="J14" s="7">
        <f t="shared" si="1"/>
        <v>1.6</v>
      </c>
      <c r="L14" s="73">
        <v>50</v>
      </c>
      <c r="M14" s="7">
        <v>3.3000000000000002E-2</v>
      </c>
      <c r="N14" s="7">
        <f>+SUM($M$12:M14)</f>
        <v>0.13300000000000001</v>
      </c>
      <c r="O14" s="7">
        <f t="shared" si="2"/>
        <v>1.6500000000000001</v>
      </c>
      <c r="Q14" s="73">
        <v>75</v>
      </c>
      <c r="R14" s="7">
        <v>1.7999999999999999E-2</v>
      </c>
      <c r="S14" s="7">
        <f>+SUM($R$11:R14)</f>
        <v>0.109</v>
      </c>
      <c r="T14" s="7">
        <f t="shared" si="3"/>
        <v>1.3499999999999999</v>
      </c>
      <c r="V14" s="73">
        <v>100</v>
      </c>
      <c r="W14" s="7">
        <v>0.1</v>
      </c>
      <c r="X14" s="7">
        <f>+SUM($W$12:W14)</f>
        <v>0.35</v>
      </c>
      <c r="Y14" s="7">
        <f t="shared" si="4"/>
        <v>10</v>
      </c>
    </row>
    <row r="15" spans="1:25" x14ac:dyDescent="0.3">
      <c r="B15" s="73">
        <v>20</v>
      </c>
      <c r="C15" s="7">
        <v>1E-3</v>
      </c>
      <c r="D15" s="7">
        <f>+SUM(C$11:$C15)</f>
        <v>0.1235</v>
      </c>
      <c r="E15" s="7">
        <f t="shared" si="0"/>
        <v>0.02</v>
      </c>
      <c r="G15" s="73">
        <v>75</v>
      </c>
      <c r="H15" s="7">
        <v>0.03</v>
      </c>
      <c r="I15" s="7">
        <f>+SUM($H$12:H15)</f>
        <v>0.19</v>
      </c>
      <c r="J15" s="7">
        <f t="shared" si="1"/>
        <v>2.25</v>
      </c>
      <c r="L15" s="73">
        <v>80</v>
      </c>
      <c r="M15" s="7">
        <v>1.4999999999999999E-2</v>
      </c>
      <c r="N15" s="7">
        <f>+SUM($M$12:M15)</f>
        <v>0.14800000000000002</v>
      </c>
      <c r="O15" s="7">
        <f t="shared" si="2"/>
        <v>1.2</v>
      </c>
      <c r="Q15" s="73">
        <v>100</v>
      </c>
      <c r="R15" s="7">
        <v>1E-3</v>
      </c>
      <c r="S15" s="7">
        <f>+SUM($R$11:R15)</f>
        <v>0.11</v>
      </c>
      <c r="T15" s="7">
        <f t="shared" si="3"/>
        <v>0.1</v>
      </c>
      <c r="V15" s="73">
        <v>200</v>
      </c>
      <c r="W15" s="7">
        <v>0.05</v>
      </c>
      <c r="X15" s="7">
        <f>+SUM($W$12:W15)</f>
        <v>0.39999999999999997</v>
      </c>
      <c r="Y15" s="7">
        <f t="shared" si="4"/>
        <v>10</v>
      </c>
    </row>
    <row r="16" spans="1:25" x14ac:dyDescent="0.3">
      <c r="B16" s="73">
        <v>35</v>
      </c>
      <c r="C16" s="7">
        <v>1E-3</v>
      </c>
      <c r="D16" s="7">
        <f>+SUM(C$11:$C16)</f>
        <v>0.1245</v>
      </c>
      <c r="E16" s="7">
        <f t="shared" si="0"/>
        <v>3.5000000000000003E-2</v>
      </c>
      <c r="G16" s="73">
        <v>125</v>
      </c>
      <c r="H16" s="7">
        <v>0.01</v>
      </c>
      <c r="I16" s="7">
        <f>+SUM($H$12:H16)</f>
        <v>0.2</v>
      </c>
      <c r="J16" s="7">
        <f t="shared" si="1"/>
        <v>1.25</v>
      </c>
      <c r="L16" s="73">
        <v>150</v>
      </c>
      <c r="M16" s="7">
        <v>5.0000000000000001E-3</v>
      </c>
      <c r="N16" s="7">
        <f>+SUM($M$12:M16)</f>
        <v>0.15300000000000002</v>
      </c>
      <c r="O16" s="7">
        <f t="shared" si="2"/>
        <v>0.75</v>
      </c>
      <c r="Q16" s="73">
        <v>200</v>
      </c>
      <c r="R16" s="7">
        <v>5.0000000000000001E-4</v>
      </c>
      <c r="S16" s="7">
        <f>+SUM($R$11:R16)</f>
        <v>0.1105</v>
      </c>
      <c r="T16" s="7">
        <f t="shared" si="3"/>
        <v>0.1</v>
      </c>
      <c r="V16" s="73">
        <v>500</v>
      </c>
      <c r="W16" s="7">
        <v>0.02</v>
      </c>
      <c r="X16" s="7">
        <f>+SUM($W$12:W16)</f>
        <v>0.42</v>
      </c>
      <c r="Y16" s="7">
        <f t="shared" si="4"/>
        <v>10</v>
      </c>
    </row>
    <row r="17" spans="1:25" x14ac:dyDescent="0.3">
      <c r="B17" s="73">
        <v>50</v>
      </c>
      <c r="C17" s="7">
        <v>1E-3</v>
      </c>
      <c r="D17" s="7">
        <f>+SUM(C$11:$C17)</f>
        <v>0.1255</v>
      </c>
      <c r="E17" s="7">
        <f t="shared" si="0"/>
        <v>0.05</v>
      </c>
      <c r="G17" s="73">
        <v>200</v>
      </c>
      <c r="H17" s="7">
        <v>0.01</v>
      </c>
      <c r="I17" s="7">
        <f>+SUM($H$12:H17)</f>
        <v>0.21000000000000002</v>
      </c>
      <c r="J17" s="7">
        <f t="shared" si="1"/>
        <v>2</v>
      </c>
      <c r="L17" s="73">
        <v>300</v>
      </c>
      <c r="M17" s="7">
        <v>5.0000000000000001E-3</v>
      </c>
      <c r="N17" s="7">
        <f>+SUM($M$12:M17)</f>
        <v>0.15800000000000003</v>
      </c>
      <c r="O17" s="7">
        <f t="shared" si="2"/>
        <v>1.5</v>
      </c>
      <c r="Q17" s="73">
        <v>500</v>
      </c>
      <c r="R17" s="7">
        <v>2.0000000000000001E-4</v>
      </c>
      <c r="S17" s="7">
        <f>+SUM($R$11:R17)</f>
        <v>0.11070000000000001</v>
      </c>
      <c r="T17" s="7">
        <f t="shared" si="3"/>
        <v>0.1</v>
      </c>
      <c r="V17" s="73">
        <v>1000</v>
      </c>
      <c r="W17" s="7">
        <v>5.0000000000000001E-3</v>
      </c>
      <c r="X17" s="7">
        <f>+SUM($W$12:W17)</f>
        <v>0.42499999999999999</v>
      </c>
      <c r="Y17" s="7">
        <f t="shared" si="4"/>
        <v>5</v>
      </c>
    </row>
    <row r="18" spans="1:25" x14ac:dyDescent="0.3">
      <c r="B18" s="4" t="s">
        <v>6</v>
      </c>
      <c r="C18" s="4">
        <f>+SUM(C12:C17)</f>
        <v>0.1255</v>
      </c>
      <c r="D18" s="4"/>
      <c r="E18" s="5">
        <f>+SUM(E12:E17)</f>
        <v>0.95500000000000007</v>
      </c>
      <c r="G18" s="4" t="s">
        <v>6</v>
      </c>
      <c r="H18" s="4">
        <f>+SUM(H12:H17)</f>
        <v>0.21000000000000002</v>
      </c>
      <c r="I18" s="4"/>
      <c r="J18" s="5">
        <f>+SUM(J12:J17)</f>
        <v>10</v>
      </c>
      <c r="L18" s="4" t="s">
        <v>6</v>
      </c>
      <c r="M18" s="4">
        <f>+SUM(M12:M17)</f>
        <v>0.15800000000000003</v>
      </c>
      <c r="N18" s="4"/>
      <c r="O18" s="5">
        <f>+SUM(O12:O17)</f>
        <v>8</v>
      </c>
      <c r="Q18" s="4" t="s">
        <v>6</v>
      </c>
      <c r="R18" s="4">
        <f>+SUM(R12:R17)</f>
        <v>0.11070000000000001</v>
      </c>
      <c r="S18" s="4"/>
      <c r="T18" s="5">
        <f>+SUM(T12:T17)</f>
        <v>4.9999999999999982</v>
      </c>
      <c r="V18" s="4" t="s">
        <v>6</v>
      </c>
      <c r="W18" s="4">
        <f>+SUM(W12:W17)</f>
        <v>0.42499999999999999</v>
      </c>
      <c r="X18" s="4"/>
      <c r="Y18" s="5">
        <f>+SUM(Y12:Y17)</f>
        <v>50</v>
      </c>
    </row>
    <row r="19" spans="1:25" x14ac:dyDescent="0.3">
      <c r="B19" s="24"/>
    </row>
    <row r="21" spans="1:25" ht="18" x14ac:dyDescent="0.35">
      <c r="A21" s="117" t="s">
        <v>109</v>
      </c>
      <c r="B21" s="117"/>
      <c r="C21" s="117"/>
      <c r="D21" s="117"/>
      <c r="E21" s="117"/>
    </row>
    <row r="22" spans="1:25" ht="15" thickBot="1" x14ac:dyDescent="0.35"/>
    <row r="23" spans="1:25" ht="15" thickBot="1" x14ac:dyDescent="0.35">
      <c r="A23" s="30" t="s">
        <v>110</v>
      </c>
      <c r="B23" s="62">
        <f>+Summary!E7</f>
        <v>100</v>
      </c>
    </row>
    <row r="24" spans="1:25" x14ac:dyDescent="0.3">
      <c r="A24" s="46" t="s">
        <v>111</v>
      </c>
      <c r="B24" s="63"/>
    </row>
    <row r="25" spans="1:25" x14ac:dyDescent="0.3">
      <c r="A25" s="64" t="s">
        <v>112</v>
      </c>
    </row>
    <row r="26" spans="1:25" x14ac:dyDescent="0.3">
      <c r="A26" s="64" t="s">
        <v>113</v>
      </c>
    </row>
    <row r="27" spans="1:25" x14ac:dyDescent="0.3">
      <c r="A27" t="s">
        <v>114</v>
      </c>
    </row>
    <row r="28" spans="1:25" x14ac:dyDescent="0.3">
      <c r="A28" s="24" t="s">
        <v>115</v>
      </c>
    </row>
    <row r="29" spans="1:25" x14ac:dyDescent="0.3">
      <c r="A29" s="24" t="s">
        <v>116</v>
      </c>
    </row>
    <row r="30" spans="1:25" x14ac:dyDescent="0.3">
      <c r="A30" s="48" t="s">
        <v>153</v>
      </c>
    </row>
    <row r="31" spans="1:25" ht="15" thickBot="1" x14ac:dyDescent="0.35"/>
    <row r="32" spans="1:25" x14ac:dyDescent="0.3">
      <c r="A32" s="25" t="s">
        <v>117</v>
      </c>
      <c r="B32" s="1" t="s">
        <v>118</v>
      </c>
      <c r="C32" s="1" t="s">
        <v>119</v>
      </c>
      <c r="D32" s="1" t="s">
        <v>7</v>
      </c>
      <c r="F32" s="52" t="s">
        <v>157</v>
      </c>
      <c r="G32" s="54">
        <f>+SUMPRODUCT(B33:B37,C33:C37)</f>
        <v>0.14499999999999999</v>
      </c>
    </row>
    <row r="33" spans="1:7" ht="15" thickBot="1" x14ac:dyDescent="0.35">
      <c r="B33" s="7">
        <v>1</v>
      </c>
      <c r="C33" s="7">
        <v>0.01</v>
      </c>
      <c r="D33" s="7">
        <f>+B33*C33</f>
        <v>0.01</v>
      </c>
      <c r="F33" s="35" t="s">
        <v>158</v>
      </c>
      <c r="G33" s="57">
        <f>+B23/G32</f>
        <v>689.65517241379314</v>
      </c>
    </row>
    <row r="34" spans="1:7" x14ac:dyDescent="0.3">
      <c r="B34" s="7">
        <v>2</v>
      </c>
      <c r="C34" s="7">
        <v>0.02</v>
      </c>
      <c r="D34" s="7">
        <f t="shared" ref="D34:D36" si="5">+B34*C34</f>
        <v>0.04</v>
      </c>
    </row>
    <row r="35" spans="1:7" x14ac:dyDescent="0.3">
      <c r="B35" s="7">
        <v>3</v>
      </c>
      <c r="C35" s="7">
        <v>0.01</v>
      </c>
      <c r="D35" s="7">
        <f t="shared" si="5"/>
        <v>0.03</v>
      </c>
    </row>
    <row r="36" spans="1:7" x14ac:dyDescent="0.3">
      <c r="B36" s="7">
        <v>4</v>
      </c>
      <c r="C36" s="7">
        <v>0.01</v>
      </c>
      <c r="D36" s="7">
        <f t="shared" si="5"/>
        <v>0.04</v>
      </c>
    </row>
    <row r="37" spans="1:7" x14ac:dyDescent="0.3">
      <c r="B37" s="7">
        <v>5</v>
      </c>
      <c r="C37" s="7">
        <v>5.0000000000000001E-3</v>
      </c>
      <c r="D37" s="7">
        <f>+B37*C37</f>
        <v>2.5000000000000001E-2</v>
      </c>
    </row>
    <row r="38" spans="1:7" x14ac:dyDescent="0.3">
      <c r="B38" s="4" t="s">
        <v>34</v>
      </c>
      <c r="C38" s="4">
        <f>+SUM(C33:C37)</f>
        <v>5.5E-2</v>
      </c>
      <c r="D38" s="4">
        <f>+SUM(D33:D37)</f>
        <v>0.14499999999999999</v>
      </c>
      <c r="E38" t="s">
        <v>120</v>
      </c>
    </row>
    <row r="40" spans="1:7" x14ac:dyDescent="0.3">
      <c r="A40" t="s">
        <v>121</v>
      </c>
    </row>
    <row r="42" spans="1:7" x14ac:dyDescent="0.3">
      <c r="A42" s="25" t="s">
        <v>122</v>
      </c>
      <c r="B42" s="1" t="s">
        <v>118</v>
      </c>
      <c r="C42" s="1" t="s">
        <v>119</v>
      </c>
      <c r="D42" s="1" t="s">
        <v>7</v>
      </c>
    </row>
    <row r="43" spans="1:7" x14ac:dyDescent="0.3">
      <c r="B43" s="7">
        <v>1</v>
      </c>
      <c r="C43" s="7">
        <f>+SUMPRODUCT(B33:B37,C33:C37)</f>
        <v>0.14499999999999999</v>
      </c>
      <c r="D43" s="7">
        <f>+C43*B43</f>
        <v>0.14499999999999999</v>
      </c>
    </row>
    <row r="44" spans="1:7" x14ac:dyDescent="0.3">
      <c r="B44" s="4" t="s">
        <v>34</v>
      </c>
      <c r="C44" s="4">
        <f>+SUM(C43)</f>
        <v>0.14499999999999999</v>
      </c>
      <c r="D44" s="4">
        <f>+D43</f>
        <v>0.14499999999999999</v>
      </c>
    </row>
    <row r="46" spans="1:7" x14ac:dyDescent="0.3">
      <c r="A46" s="25" t="s">
        <v>123</v>
      </c>
    </row>
    <row r="47" spans="1:7" x14ac:dyDescent="0.3">
      <c r="A47" t="s">
        <v>124</v>
      </c>
    </row>
    <row r="48" spans="1:7" x14ac:dyDescent="0.3">
      <c r="A48" t="s">
        <v>125</v>
      </c>
    </row>
    <row r="49" spans="1:6" x14ac:dyDescent="0.3">
      <c r="A49" s="24" t="s">
        <v>126</v>
      </c>
    </row>
    <row r="51" spans="1:6" x14ac:dyDescent="0.3">
      <c r="A51" t="s">
        <v>127</v>
      </c>
    </row>
    <row r="53" spans="1:6" x14ac:dyDescent="0.3">
      <c r="B53" s="25" t="s">
        <v>128</v>
      </c>
      <c r="C53" s="25" t="s">
        <v>129</v>
      </c>
    </row>
    <row r="54" spans="1:6" x14ac:dyDescent="0.3">
      <c r="B54" s="1" t="s">
        <v>118</v>
      </c>
      <c r="C54" s="1" t="s">
        <v>119</v>
      </c>
      <c r="D54" s="65" t="s">
        <v>130</v>
      </c>
      <c r="E54" s="1" t="s">
        <v>131</v>
      </c>
      <c r="F54" s="1" t="s">
        <v>7</v>
      </c>
    </row>
    <row r="55" spans="1:6" x14ac:dyDescent="0.3">
      <c r="B55" s="7">
        <v>1</v>
      </c>
      <c r="C55" s="7">
        <v>0.01</v>
      </c>
      <c r="D55" s="7">
        <f>25/75</f>
        <v>0.33333333333333331</v>
      </c>
      <c r="E55" s="7">
        <f>+C55*D55</f>
        <v>3.3333333333333331E-3</v>
      </c>
      <c r="F55" s="7">
        <f>+E55*B55</f>
        <v>3.3333333333333331E-3</v>
      </c>
    </row>
    <row r="56" spans="1:6" x14ac:dyDescent="0.3">
      <c r="B56" s="7">
        <v>2</v>
      </c>
      <c r="C56" s="7">
        <v>0.01</v>
      </c>
      <c r="D56" s="7">
        <f t="shared" ref="D56:D59" si="6">25/75</f>
        <v>0.33333333333333331</v>
      </c>
      <c r="E56" s="7">
        <f t="shared" ref="E56:E59" si="7">+C56*D56</f>
        <v>3.3333333333333331E-3</v>
      </c>
      <c r="F56" s="7">
        <f t="shared" ref="F56:F59" si="8">+E56*B56</f>
        <v>6.6666666666666662E-3</v>
      </c>
    </row>
    <row r="57" spans="1:6" x14ac:dyDescent="0.3">
      <c r="B57" s="7">
        <v>3</v>
      </c>
      <c r="C57" s="7">
        <v>0.01</v>
      </c>
      <c r="D57" s="7">
        <f t="shared" si="6"/>
        <v>0.33333333333333331</v>
      </c>
      <c r="E57" s="7">
        <f t="shared" si="7"/>
        <v>3.3333333333333331E-3</v>
      </c>
      <c r="F57" s="7">
        <f t="shared" si="8"/>
        <v>9.9999999999999985E-3</v>
      </c>
    </row>
    <row r="58" spans="1:6" x14ac:dyDescent="0.3">
      <c r="B58" s="7">
        <v>4</v>
      </c>
      <c r="C58" s="7">
        <v>0.01</v>
      </c>
      <c r="D58" s="7">
        <f t="shared" si="6"/>
        <v>0.33333333333333331</v>
      </c>
      <c r="E58" s="7">
        <f t="shared" si="7"/>
        <v>3.3333333333333331E-3</v>
      </c>
      <c r="F58" s="7">
        <f t="shared" si="8"/>
        <v>1.3333333333333332E-2</v>
      </c>
    </row>
    <row r="59" spans="1:6" x14ac:dyDescent="0.3">
      <c r="B59" s="7">
        <v>5</v>
      </c>
      <c r="C59" s="7">
        <v>0.01</v>
      </c>
      <c r="D59" s="7">
        <f t="shared" si="6"/>
        <v>0.33333333333333331</v>
      </c>
      <c r="E59" s="7">
        <f t="shared" si="7"/>
        <v>3.3333333333333331E-3</v>
      </c>
      <c r="F59" s="7">
        <f t="shared" si="8"/>
        <v>1.6666666666666666E-2</v>
      </c>
    </row>
    <row r="60" spans="1:6" x14ac:dyDescent="0.3">
      <c r="B60" s="4" t="s">
        <v>34</v>
      </c>
      <c r="C60" s="4">
        <f>+SUM(C55:C59)</f>
        <v>0.05</v>
      </c>
      <c r="D60" s="4"/>
      <c r="E60" s="4">
        <f>+SUM(E55:E59)</f>
        <v>1.6666666666666666E-2</v>
      </c>
      <c r="F60" s="4">
        <f>+SUM(F55:F59)</f>
        <v>4.9999999999999989E-2</v>
      </c>
    </row>
    <row r="61" spans="1:6" x14ac:dyDescent="0.3">
      <c r="B61" s="46"/>
      <c r="C61" s="46"/>
      <c r="D61" s="46"/>
      <c r="E61" s="46"/>
      <c r="F61" s="46"/>
    </row>
    <row r="62" spans="1:6" x14ac:dyDescent="0.3">
      <c r="B62" s="25" t="s">
        <v>132</v>
      </c>
      <c r="C62" s="25" t="s">
        <v>133</v>
      </c>
    </row>
    <row r="63" spans="1:6" x14ac:dyDescent="0.3">
      <c r="B63" s="1" t="s">
        <v>118</v>
      </c>
      <c r="C63" s="1" t="s">
        <v>119</v>
      </c>
      <c r="D63" s="65" t="s">
        <v>130</v>
      </c>
      <c r="E63" s="1" t="s">
        <v>131</v>
      </c>
      <c r="F63" s="1" t="s">
        <v>7</v>
      </c>
    </row>
    <row r="64" spans="1:6" x14ac:dyDescent="0.3">
      <c r="B64" s="7">
        <v>1</v>
      </c>
      <c r="C64" s="7">
        <v>0.01</v>
      </c>
      <c r="D64" s="7">
        <f>50/75</f>
        <v>0.66666666666666663</v>
      </c>
      <c r="E64" s="7">
        <f>+C64*D64</f>
        <v>6.6666666666666662E-3</v>
      </c>
      <c r="F64" s="7">
        <f>+E64*B64</f>
        <v>6.6666666666666662E-3</v>
      </c>
    </row>
    <row r="65" spans="1:6" x14ac:dyDescent="0.3">
      <c r="B65" s="7">
        <v>2</v>
      </c>
      <c r="C65" s="7">
        <v>0.01</v>
      </c>
      <c r="D65" s="7">
        <f t="shared" ref="D65:D68" si="9">50/75</f>
        <v>0.66666666666666663</v>
      </c>
      <c r="E65" s="7">
        <f t="shared" ref="E65:E68" si="10">+C65*D65</f>
        <v>6.6666666666666662E-3</v>
      </c>
      <c r="F65" s="7">
        <f t="shared" ref="F65:F68" si="11">+E65*B65</f>
        <v>1.3333333333333332E-2</v>
      </c>
    </row>
    <row r="66" spans="1:6" x14ac:dyDescent="0.3">
      <c r="B66" s="7">
        <v>3</v>
      </c>
      <c r="C66" s="7">
        <v>0.01</v>
      </c>
      <c r="D66" s="7">
        <f t="shared" si="9"/>
        <v>0.66666666666666663</v>
      </c>
      <c r="E66" s="7">
        <f t="shared" si="10"/>
        <v>6.6666666666666662E-3</v>
      </c>
      <c r="F66" s="7">
        <f t="shared" si="11"/>
        <v>1.9999999999999997E-2</v>
      </c>
    </row>
    <row r="67" spans="1:6" x14ac:dyDescent="0.3">
      <c r="B67" s="7">
        <v>4</v>
      </c>
      <c r="C67" s="7">
        <v>0.01</v>
      </c>
      <c r="D67" s="7">
        <f t="shared" si="9"/>
        <v>0.66666666666666663</v>
      </c>
      <c r="E67" s="7">
        <f t="shared" si="10"/>
        <v>6.6666666666666662E-3</v>
      </c>
      <c r="F67" s="7">
        <f t="shared" si="11"/>
        <v>2.6666666666666665E-2</v>
      </c>
    </row>
    <row r="68" spans="1:6" x14ac:dyDescent="0.3">
      <c r="B68" s="7">
        <v>5</v>
      </c>
      <c r="C68" s="7">
        <v>0.01</v>
      </c>
      <c r="D68" s="7">
        <f t="shared" si="9"/>
        <v>0.66666666666666663</v>
      </c>
      <c r="E68" s="7">
        <f t="shared" si="10"/>
        <v>6.6666666666666662E-3</v>
      </c>
      <c r="F68" s="7">
        <f t="shared" si="11"/>
        <v>3.3333333333333333E-2</v>
      </c>
    </row>
    <row r="69" spans="1:6" x14ac:dyDescent="0.3">
      <c r="B69" s="4" t="s">
        <v>34</v>
      </c>
      <c r="C69" s="4">
        <f>+SUM(C64:C68)</f>
        <v>0.05</v>
      </c>
      <c r="D69" s="4"/>
      <c r="E69" s="4">
        <f>+SUM(E64:E68)</f>
        <v>3.3333333333333333E-2</v>
      </c>
      <c r="F69" s="4">
        <f>+SUM(F64:F68)</f>
        <v>9.9999999999999978E-2</v>
      </c>
    </row>
    <row r="72" spans="1:6" x14ac:dyDescent="0.3">
      <c r="A72" t="s">
        <v>134</v>
      </c>
    </row>
    <row r="73" spans="1:6" x14ac:dyDescent="0.3">
      <c r="A73" t="s">
        <v>135</v>
      </c>
    </row>
    <row r="74" spans="1:6" x14ac:dyDescent="0.3">
      <c r="A74" t="s">
        <v>136</v>
      </c>
    </row>
  </sheetData>
  <mergeCells count="8">
    <mergeCell ref="V10:Y10"/>
    <mergeCell ref="A1:E1"/>
    <mergeCell ref="A8:E8"/>
    <mergeCell ref="A21:E21"/>
    <mergeCell ref="B10:E10"/>
    <mergeCell ref="G10:J10"/>
    <mergeCell ref="L10:O10"/>
    <mergeCell ref="Q10:T1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6"/>
  <dimension ref="A1:Y74"/>
  <sheetViews>
    <sheetView workbookViewId="0">
      <selection sqref="A1:E1"/>
    </sheetView>
  </sheetViews>
  <sheetFormatPr defaultColWidth="11.5546875" defaultRowHeight="14.4" x14ac:dyDescent="0.3"/>
  <cols>
    <col min="1" max="1" width="13.109375" customWidth="1"/>
    <col min="2" max="2" width="14.109375" customWidth="1"/>
    <col min="3" max="3" width="18.77734375" bestFit="1" customWidth="1"/>
    <col min="4" max="4" width="15.5546875" bestFit="1" customWidth="1"/>
    <col min="5" max="5" width="19.33203125" customWidth="1"/>
    <col min="6" max="6" width="17.77734375" bestFit="1" customWidth="1"/>
    <col min="9" max="9" width="15.5546875" bestFit="1" customWidth="1"/>
    <col min="14" max="14" width="15.5546875" bestFit="1" customWidth="1"/>
    <col min="19" max="19" width="15.5546875" bestFit="1" customWidth="1"/>
    <col min="24" max="24" width="15.5546875" bestFit="1" customWidth="1"/>
  </cols>
  <sheetData>
    <row r="1" spans="1:25" ht="18" x14ac:dyDescent="0.35">
      <c r="A1" s="116" t="s">
        <v>102</v>
      </c>
      <c r="B1" s="116"/>
      <c r="C1" s="116"/>
      <c r="D1" s="116"/>
      <c r="E1" s="116"/>
    </row>
    <row r="2" spans="1:25" x14ac:dyDescent="0.3">
      <c r="A2" t="s">
        <v>103</v>
      </c>
    </row>
    <row r="3" spans="1:25" x14ac:dyDescent="0.3">
      <c r="A3" t="str">
        <f>+CONCATENATE("But players are also competing by the Boss prize (",Summary!E7,"x) which will be distributed according to damage done by each player (or bot).")</f>
        <v>But players are also competing by the Boss prize (100x) which will be distributed according to damage done by each player (or bot).</v>
      </c>
    </row>
    <row r="4" spans="1:25" x14ac:dyDescent="0.3">
      <c r="A4" t="s">
        <v>104</v>
      </c>
    </row>
    <row r="5" spans="1:25" x14ac:dyDescent="0.3">
      <c r="A5" t="s">
        <v>105</v>
      </c>
    </row>
    <row r="6" spans="1:25" x14ac:dyDescent="0.3">
      <c r="A6" s="25" t="s">
        <v>106</v>
      </c>
    </row>
    <row r="8" spans="1:25" ht="18" x14ac:dyDescent="0.35">
      <c r="A8" s="117" t="s">
        <v>107</v>
      </c>
      <c r="B8" s="117"/>
      <c r="C8" s="117"/>
      <c r="D8" s="117"/>
      <c r="E8" s="117"/>
    </row>
    <row r="9" spans="1:25" ht="15" thickBot="1" x14ac:dyDescent="0.35"/>
    <row r="10" spans="1:25" ht="15" thickBot="1" x14ac:dyDescent="0.35">
      <c r="B10" s="113" t="s">
        <v>13</v>
      </c>
      <c r="C10" s="114"/>
      <c r="D10" s="114"/>
      <c r="E10" s="115"/>
      <c r="G10" s="113" t="s">
        <v>54</v>
      </c>
      <c r="H10" s="114"/>
      <c r="I10" s="114"/>
      <c r="J10" s="115"/>
      <c r="L10" s="113" t="s">
        <v>55</v>
      </c>
      <c r="M10" s="114"/>
      <c r="N10" s="114"/>
      <c r="O10" s="115"/>
      <c r="Q10" s="113" t="s">
        <v>56</v>
      </c>
      <c r="R10" s="114"/>
      <c r="S10" s="114"/>
      <c r="T10" s="115"/>
      <c r="V10" s="113" t="s">
        <v>57</v>
      </c>
      <c r="W10" s="114"/>
      <c r="X10" s="114"/>
      <c r="Y10" s="115"/>
    </row>
    <row r="11" spans="1:25" x14ac:dyDescent="0.3">
      <c r="A11" s="25" t="s">
        <v>108</v>
      </c>
      <c r="B11" s="72" t="s">
        <v>44</v>
      </c>
      <c r="C11" s="72" t="s">
        <v>2</v>
      </c>
      <c r="D11" s="72" t="s">
        <v>3</v>
      </c>
      <c r="E11" s="72" t="s">
        <v>7</v>
      </c>
      <c r="G11" s="1" t="s">
        <v>44</v>
      </c>
      <c r="H11" s="1" t="s">
        <v>2</v>
      </c>
      <c r="I11" s="1" t="s">
        <v>3</v>
      </c>
      <c r="J11" s="1" t="s">
        <v>152</v>
      </c>
      <c r="L11" s="1" t="s">
        <v>44</v>
      </c>
      <c r="M11" s="1" t="s">
        <v>2</v>
      </c>
      <c r="N11" s="1" t="s">
        <v>3</v>
      </c>
      <c r="O11" s="1" t="s">
        <v>152</v>
      </c>
      <c r="Q11" s="1" t="s">
        <v>44</v>
      </c>
      <c r="R11" s="1" t="s">
        <v>2</v>
      </c>
      <c r="S11" s="1" t="s">
        <v>3</v>
      </c>
      <c r="T11" s="1" t="s">
        <v>152</v>
      </c>
      <c r="V11" s="1" t="s">
        <v>44</v>
      </c>
      <c r="W11" s="1" t="s">
        <v>2</v>
      </c>
      <c r="X11" s="1" t="s">
        <v>3</v>
      </c>
      <c r="Y11" s="1" t="s">
        <v>152</v>
      </c>
    </row>
    <row r="12" spans="1:25" x14ac:dyDescent="0.3">
      <c r="B12" s="73">
        <v>5</v>
      </c>
      <c r="C12" s="7">
        <v>8.3000000000000004E-2</v>
      </c>
      <c r="D12" s="7">
        <f>+SUM(C$11:$C12)</f>
        <v>8.3000000000000004E-2</v>
      </c>
      <c r="E12" s="7">
        <f t="shared" ref="E12:E17" si="0">+B12*C12</f>
        <v>0.41500000000000004</v>
      </c>
      <c r="G12" s="73">
        <v>20</v>
      </c>
      <c r="H12" s="7">
        <v>7.0000000000000007E-2</v>
      </c>
      <c r="I12" s="7">
        <f>+SUM($H$12:H12)</f>
        <v>7.0000000000000007E-2</v>
      </c>
      <c r="J12" s="7">
        <f t="shared" ref="J12:J17" si="1">+G12*H12</f>
        <v>1.4000000000000001</v>
      </c>
      <c r="L12" s="73">
        <v>25</v>
      </c>
      <c r="M12" s="7">
        <v>0.06</v>
      </c>
      <c r="N12" s="7">
        <f>+SUM($M$12:M12)</f>
        <v>0.06</v>
      </c>
      <c r="O12" s="7">
        <f t="shared" ref="O12:O17" si="2">+L12*M12</f>
        <v>1.5</v>
      </c>
      <c r="Q12" s="73">
        <v>30</v>
      </c>
      <c r="R12" s="7">
        <v>0.06</v>
      </c>
      <c r="S12" s="7">
        <f>+SUM($R$11:R12)</f>
        <v>0.06</v>
      </c>
      <c r="T12" s="7">
        <f t="shared" ref="T12:T17" si="3">+Q12*R12</f>
        <v>1.7999999999999998</v>
      </c>
      <c r="V12" s="73">
        <v>50</v>
      </c>
      <c r="W12" s="7">
        <v>0.15</v>
      </c>
      <c r="X12" s="7">
        <f>+SUM($W$12:W12)</f>
        <v>0.15</v>
      </c>
      <c r="Y12" s="7">
        <f t="shared" ref="Y12:Y17" si="4">+V12*W12</f>
        <v>7.5</v>
      </c>
    </row>
    <row r="13" spans="1:25" x14ac:dyDescent="0.3">
      <c r="B13" s="73">
        <v>10</v>
      </c>
      <c r="C13" s="7">
        <v>3.15E-2</v>
      </c>
      <c r="D13" s="7">
        <f>+SUM(C$11:$C13)</f>
        <v>0.1145</v>
      </c>
      <c r="E13" s="7">
        <f t="shared" si="0"/>
        <v>0.315</v>
      </c>
      <c r="G13" s="73">
        <v>30</v>
      </c>
      <c r="H13" s="7">
        <v>0.05</v>
      </c>
      <c r="I13" s="7">
        <f>+SUM($H$12:H13)</f>
        <v>0.12000000000000001</v>
      </c>
      <c r="J13" s="7">
        <f t="shared" si="1"/>
        <v>1.5</v>
      </c>
      <c r="L13" s="73">
        <v>35</v>
      </c>
      <c r="M13" s="7">
        <v>0.04</v>
      </c>
      <c r="N13" s="7">
        <f>+SUM($M$12:M13)</f>
        <v>0.1</v>
      </c>
      <c r="O13" s="7">
        <f t="shared" si="2"/>
        <v>1.4000000000000001</v>
      </c>
      <c r="Q13" s="73">
        <v>50</v>
      </c>
      <c r="R13" s="7">
        <v>3.1E-2</v>
      </c>
      <c r="S13" s="7">
        <f>+SUM($R$11:R13)</f>
        <v>9.0999999999999998E-2</v>
      </c>
      <c r="T13" s="7">
        <f t="shared" si="3"/>
        <v>1.55</v>
      </c>
      <c r="V13" s="73">
        <v>75</v>
      </c>
      <c r="W13" s="7">
        <v>0.1</v>
      </c>
      <c r="X13" s="7">
        <f>+SUM($W$12:W13)</f>
        <v>0.25</v>
      </c>
      <c r="Y13" s="7">
        <f t="shared" si="4"/>
        <v>7.5</v>
      </c>
    </row>
    <row r="14" spans="1:25" x14ac:dyDescent="0.3">
      <c r="B14" s="73">
        <v>15</v>
      </c>
      <c r="C14" s="7">
        <v>8.0000000000000002E-3</v>
      </c>
      <c r="D14" s="7">
        <f>+SUM(C$11:$C14)</f>
        <v>0.1225</v>
      </c>
      <c r="E14" s="7">
        <f t="shared" si="0"/>
        <v>0.12</v>
      </c>
      <c r="G14" s="73">
        <v>40</v>
      </c>
      <c r="H14" s="7">
        <v>0.04</v>
      </c>
      <c r="I14" s="7">
        <f>+SUM($H$12:H14)</f>
        <v>0.16</v>
      </c>
      <c r="J14" s="7">
        <f t="shared" si="1"/>
        <v>1.6</v>
      </c>
      <c r="L14" s="73">
        <v>50</v>
      </c>
      <c r="M14" s="7">
        <v>3.3000000000000002E-2</v>
      </c>
      <c r="N14" s="7">
        <f>+SUM($M$12:M14)</f>
        <v>0.13300000000000001</v>
      </c>
      <c r="O14" s="7">
        <f t="shared" si="2"/>
        <v>1.6500000000000001</v>
      </c>
      <c r="Q14" s="73">
        <v>75</v>
      </c>
      <c r="R14" s="7">
        <v>1.7999999999999999E-2</v>
      </c>
      <c r="S14" s="7">
        <f>+SUM($R$11:R14)</f>
        <v>0.109</v>
      </c>
      <c r="T14" s="7">
        <f t="shared" si="3"/>
        <v>1.3499999999999999</v>
      </c>
      <c r="V14" s="73">
        <v>100</v>
      </c>
      <c r="W14" s="7">
        <v>0.1</v>
      </c>
      <c r="X14" s="7">
        <f>+SUM($W$12:W14)</f>
        <v>0.35</v>
      </c>
      <c r="Y14" s="7">
        <f t="shared" si="4"/>
        <v>10</v>
      </c>
    </row>
    <row r="15" spans="1:25" x14ac:dyDescent="0.3">
      <c r="B15" s="73">
        <v>20</v>
      </c>
      <c r="C15" s="7">
        <v>1E-3</v>
      </c>
      <c r="D15" s="7">
        <f>+SUM(C$11:$C15)</f>
        <v>0.1235</v>
      </c>
      <c r="E15" s="7">
        <f t="shared" si="0"/>
        <v>0.02</v>
      </c>
      <c r="G15" s="73">
        <v>75</v>
      </c>
      <c r="H15" s="7">
        <v>0.03</v>
      </c>
      <c r="I15" s="7">
        <f>+SUM($H$12:H15)</f>
        <v>0.19</v>
      </c>
      <c r="J15" s="7">
        <f t="shared" si="1"/>
        <v>2.25</v>
      </c>
      <c r="L15" s="73">
        <v>80</v>
      </c>
      <c r="M15" s="7">
        <v>1.4999999999999999E-2</v>
      </c>
      <c r="N15" s="7">
        <f>+SUM($M$12:M15)</f>
        <v>0.14800000000000002</v>
      </c>
      <c r="O15" s="7">
        <f t="shared" si="2"/>
        <v>1.2</v>
      </c>
      <c r="Q15" s="73">
        <v>100</v>
      </c>
      <c r="R15" s="7">
        <v>1E-3</v>
      </c>
      <c r="S15" s="7">
        <f>+SUM($R$11:R15)</f>
        <v>0.11</v>
      </c>
      <c r="T15" s="7">
        <f t="shared" si="3"/>
        <v>0.1</v>
      </c>
      <c r="V15" s="73">
        <v>200</v>
      </c>
      <c r="W15" s="7">
        <v>0.05</v>
      </c>
      <c r="X15" s="7">
        <f>+SUM($W$12:W15)</f>
        <v>0.39999999999999997</v>
      </c>
      <c r="Y15" s="7">
        <f t="shared" si="4"/>
        <v>10</v>
      </c>
    </row>
    <row r="16" spans="1:25" x14ac:dyDescent="0.3">
      <c r="B16" s="73">
        <v>35</v>
      </c>
      <c r="C16" s="7">
        <v>1E-3</v>
      </c>
      <c r="D16" s="7">
        <f>+SUM(C$11:$C16)</f>
        <v>0.1245</v>
      </c>
      <c r="E16" s="7">
        <f t="shared" si="0"/>
        <v>3.5000000000000003E-2</v>
      </c>
      <c r="G16" s="73">
        <v>125</v>
      </c>
      <c r="H16" s="7">
        <v>0.01</v>
      </c>
      <c r="I16" s="7">
        <f>+SUM($H$12:H16)</f>
        <v>0.2</v>
      </c>
      <c r="J16" s="7">
        <f t="shared" si="1"/>
        <v>1.25</v>
      </c>
      <c r="L16" s="73">
        <v>150</v>
      </c>
      <c r="M16" s="7">
        <v>5.0000000000000001E-3</v>
      </c>
      <c r="N16" s="7">
        <f>+SUM($M$12:M16)</f>
        <v>0.15300000000000002</v>
      </c>
      <c r="O16" s="7">
        <f t="shared" si="2"/>
        <v>0.75</v>
      </c>
      <c r="Q16" s="73">
        <v>200</v>
      </c>
      <c r="R16" s="7">
        <v>5.0000000000000001E-4</v>
      </c>
      <c r="S16" s="7">
        <f>+SUM($R$11:R16)</f>
        <v>0.1105</v>
      </c>
      <c r="T16" s="7">
        <f t="shared" si="3"/>
        <v>0.1</v>
      </c>
      <c r="V16" s="73">
        <v>500</v>
      </c>
      <c r="W16" s="7">
        <v>0.02</v>
      </c>
      <c r="X16" s="7">
        <f>+SUM($W$12:W16)</f>
        <v>0.42</v>
      </c>
      <c r="Y16" s="7">
        <f t="shared" si="4"/>
        <v>10</v>
      </c>
    </row>
    <row r="17" spans="1:25" x14ac:dyDescent="0.3">
      <c r="B17" s="73">
        <v>50</v>
      </c>
      <c r="C17" s="7">
        <v>1E-3</v>
      </c>
      <c r="D17" s="7">
        <f>+SUM(C$11:$C17)</f>
        <v>0.1255</v>
      </c>
      <c r="E17" s="7">
        <f t="shared" si="0"/>
        <v>0.05</v>
      </c>
      <c r="G17" s="73">
        <v>200</v>
      </c>
      <c r="H17" s="7">
        <v>0.01</v>
      </c>
      <c r="I17" s="7">
        <f>+SUM($H$12:H17)</f>
        <v>0.21000000000000002</v>
      </c>
      <c r="J17" s="7">
        <f t="shared" si="1"/>
        <v>2</v>
      </c>
      <c r="L17" s="73">
        <v>300</v>
      </c>
      <c r="M17" s="7">
        <v>5.0000000000000001E-3</v>
      </c>
      <c r="N17" s="7">
        <f>+SUM($M$12:M17)</f>
        <v>0.15800000000000003</v>
      </c>
      <c r="O17" s="7">
        <f t="shared" si="2"/>
        <v>1.5</v>
      </c>
      <c r="Q17" s="73">
        <v>500</v>
      </c>
      <c r="R17" s="7">
        <v>2.0000000000000001E-4</v>
      </c>
      <c r="S17" s="7">
        <f>+SUM($R$11:R17)</f>
        <v>0.11070000000000001</v>
      </c>
      <c r="T17" s="7">
        <f t="shared" si="3"/>
        <v>0.1</v>
      </c>
      <c r="V17" s="73">
        <v>1000</v>
      </c>
      <c r="W17" s="7">
        <v>5.0000000000000001E-3</v>
      </c>
      <c r="X17" s="7">
        <f>+SUM($W$12:W17)</f>
        <v>0.42499999999999999</v>
      </c>
      <c r="Y17" s="7">
        <f t="shared" si="4"/>
        <v>5</v>
      </c>
    </row>
    <row r="18" spans="1:25" x14ac:dyDescent="0.3">
      <c r="B18" s="4" t="s">
        <v>6</v>
      </c>
      <c r="C18" s="4">
        <f>+SUM(C12:C17)</f>
        <v>0.1255</v>
      </c>
      <c r="D18" s="4"/>
      <c r="E18" s="5">
        <f>+SUM(E12:E17)</f>
        <v>0.95500000000000007</v>
      </c>
      <c r="G18" s="4" t="s">
        <v>6</v>
      </c>
      <c r="H18" s="4">
        <f>+SUM(H12:H17)</f>
        <v>0.21000000000000002</v>
      </c>
      <c r="I18" s="4"/>
      <c r="J18" s="5">
        <f>+SUM(J12:J17)</f>
        <v>10</v>
      </c>
      <c r="L18" s="4" t="s">
        <v>6</v>
      </c>
      <c r="M18" s="4">
        <f>+SUM(M12:M17)</f>
        <v>0.15800000000000003</v>
      </c>
      <c r="N18" s="4"/>
      <c r="O18" s="5">
        <f>+SUM(O12:O17)</f>
        <v>8</v>
      </c>
      <c r="Q18" s="4" t="s">
        <v>6</v>
      </c>
      <c r="R18" s="4">
        <f>+SUM(R12:R17)</f>
        <v>0.11070000000000001</v>
      </c>
      <c r="S18" s="4"/>
      <c r="T18" s="5">
        <f>+SUM(T12:T17)</f>
        <v>4.9999999999999982</v>
      </c>
      <c r="V18" s="4" t="s">
        <v>6</v>
      </c>
      <c r="W18" s="4">
        <f>+SUM(W12:W17)</f>
        <v>0.42499999999999999</v>
      </c>
      <c r="X18" s="4"/>
      <c r="Y18" s="5">
        <f>+SUM(Y12:Y17)</f>
        <v>50</v>
      </c>
    </row>
    <row r="19" spans="1:25" x14ac:dyDescent="0.3">
      <c r="B19" s="24"/>
    </row>
    <row r="21" spans="1:25" ht="18" x14ac:dyDescent="0.35">
      <c r="A21" s="117" t="s">
        <v>109</v>
      </c>
      <c r="B21" s="117"/>
      <c r="C21" s="117"/>
      <c r="D21" s="117"/>
      <c r="E21" s="117"/>
    </row>
    <row r="22" spans="1:25" ht="15" thickBot="1" x14ac:dyDescent="0.35"/>
    <row r="23" spans="1:25" ht="15" thickBot="1" x14ac:dyDescent="0.35">
      <c r="A23" s="30" t="s">
        <v>110</v>
      </c>
      <c r="B23" s="62">
        <f>+Summary!E7</f>
        <v>100</v>
      </c>
    </row>
    <row r="24" spans="1:25" x14ac:dyDescent="0.3">
      <c r="A24" s="46" t="s">
        <v>111</v>
      </c>
      <c r="B24" s="63"/>
    </row>
    <row r="25" spans="1:25" x14ac:dyDescent="0.3">
      <c r="A25" s="64" t="s">
        <v>112</v>
      </c>
    </row>
    <row r="26" spans="1:25" x14ac:dyDescent="0.3">
      <c r="A26" s="64" t="s">
        <v>113</v>
      </c>
    </row>
    <row r="27" spans="1:25" x14ac:dyDescent="0.3">
      <c r="A27" t="s">
        <v>114</v>
      </c>
    </row>
    <row r="28" spans="1:25" x14ac:dyDescent="0.3">
      <c r="A28" s="24" t="s">
        <v>115</v>
      </c>
    </row>
    <row r="29" spans="1:25" x14ac:dyDescent="0.3">
      <c r="A29" s="24" t="s">
        <v>116</v>
      </c>
    </row>
    <row r="30" spans="1:25" x14ac:dyDescent="0.3">
      <c r="A30" s="48" t="s">
        <v>153</v>
      </c>
    </row>
    <row r="31" spans="1:25" ht="15" thickBot="1" x14ac:dyDescent="0.35"/>
    <row r="32" spans="1:25" x14ac:dyDescent="0.3">
      <c r="A32" s="25" t="s">
        <v>117</v>
      </c>
      <c r="B32" s="1" t="s">
        <v>118</v>
      </c>
      <c r="C32" s="1" t="s">
        <v>119</v>
      </c>
      <c r="D32" s="1" t="s">
        <v>7</v>
      </c>
      <c r="F32" s="52" t="s">
        <v>157</v>
      </c>
      <c r="G32" s="54">
        <f>+SUMPRODUCT(B33:B37,C33:C37)</f>
        <v>0.1</v>
      </c>
    </row>
    <row r="33" spans="1:7" ht="15" thickBot="1" x14ac:dyDescent="0.35">
      <c r="B33" s="7">
        <v>1</v>
      </c>
      <c r="C33" s="7">
        <v>0.01</v>
      </c>
      <c r="D33" s="7">
        <f>+B33*C33</f>
        <v>0.01</v>
      </c>
      <c r="F33" s="35" t="s">
        <v>158</v>
      </c>
      <c r="G33" s="57">
        <f>+B23/G32</f>
        <v>1000</v>
      </c>
    </row>
    <row r="34" spans="1:7" x14ac:dyDescent="0.3">
      <c r="B34" s="7">
        <v>2</v>
      </c>
      <c r="C34" s="7">
        <v>1.4999999999999999E-2</v>
      </c>
      <c r="D34" s="7">
        <f t="shared" ref="D34:D36" si="5">+B34*C34</f>
        <v>0.03</v>
      </c>
    </row>
    <row r="35" spans="1:7" x14ac:dyDescent="0.3">
      <c r="B35" s="7">
        <v>3</v>
      </c>
      <c r="C35" s="7">
        <v>5.0000000000000001E-3</v>
      </c>
      <c r="D35" s="7">
        <f t="shared" si="5"/>
        <v>1.4999999999999999E-2</v>
      </c>
    </row>
    <row r="36" spans="1:7" x14ac:dyDescent="0.3">
      <c r="B36" s="7">
        <v>4</v>
      </c>
      <c r="C36" s="7">
        <v>5.0000000000000001E-3</v>
      </c>
      <c r="D36" s="7">
        <f t="shared" si="5"/>
        <v>0.02</v>
      </c>
    </row>
    <row r="37" spans="1:7" x14ac:dyDescent="0.3">
      <c r="B37" s="7">
        <v>5</v>
      </c>
      <c r="C37" s="7">
        <v>5.0000000000000001E-3</v>
      </c>
      <c r="D37" s="7">
        <f>+B37*C37</f>
        <v>2.5000000000000001E-2</v>
      </c>
    </row>
    <row r="38" spans="1:7" x14ac:dyDescent="0.3">
      <c r="B38" s="4" t="s">
        <v>34</v>
      </c>
      <c r="C38" s="4">
        <f>+SUM(C33:C37)</f>
        <v>0.04</v>
      </c>
      <c r="D38" s="4">
        <f>+SUM(D33:D37)</f>
        <v>0.1</v>
      </c>
      <c r="E38" t="s">
        <v>120</v>
      </c>
    </row>
    <row r="40" spans="1:7" x14ac:dyDescent="0.3">
      <c r="A40" t="s">
        <v>121</v>
      </c>
    </row>
    <row r="42" spans="1:7" x14ac:dyDescent="0.3">
      <c r="A42" s="25" t="s">
        <v>122</v>
      </c>
      <c r="B42" s="1" t="s">
        <v>118</v>
      </c>
      <c r="C42" s="1" t="s">
        <v>119</v>
      </c>
      <c r="D42" s="1" t="s">
        <v>7</v>
      </c>
    </row>
    <row r="43" spans="1:7" x14ac:dyDescent="0.3">
      <c r="B43" s="7">
        <v>1</v>
      </c>
      <c r="C43" s="7">
        <f>+D38</f>
        <v>0.1</v>
      </c>
      <c r="D43" s="7">
        <f>+C43*B43</f>
        <v>0.1</v>
      </c>
    </row>
    <row r="44" spans="1:7" x14ac:dyDescent="0.3">
      <c r="B44" s="4" t="s">
        <v>34</v>
      </c>
      <c r="C44" s="4">
        <f>+SUM(C43)</f>
        <v>0.1</v>
      </c>
      <c r="D44" s="4">
        <f>+D43</f>
        <v>0.1</v>
      </c>
    </row>
    <row r="46" spans="1:7" x14ac:dyDescent="0.3">
      <c r="A46" s="25" t="s">
        <v>123</v>
      </c>
    </row>
    <row r="47" spans="1:7" x14ac:dyDescent="0.3">
      <c r="A47" t="s">
        <v>124</v>
      </c>
    </row>
    <row r="48" spans="1:7" x14ac:dyDescent="0.3">
      <c r="A48" t="s">
        <v>125</v>
      </c>
    </row>
    <row r="49" spans="1:6" x14ac:dyDescent="0.3">
      <c r="A49" s="24" t="s">
        <v>126</v>
      </c>
    </row>
    <row r="51" spans="1:6" x14ac:dyDescent="0.3">
      <c r="A51" t="s">
        <v>127</v>
      </c>
    </row>
    <row r="53" spans="1:6" x14ac:dyDescent="0.3">
      <c r="B53" s="25" t="s">
        <v>128</v>
      </c>
      <c r="C53" s="25" t="s">
        <v>129</v>
      </c>
    </row>
    <row r="54" spans="1:6" x14ac:dyDescent="0.3">
      <c r="B54" s="1" t="s">
        <v>118</v>
      </c>
      <c r="C54" s="1" t="s">
        <v>119</v>
      </c>
      <c r="D54" s="65" t="s">
        <v>130</v>
      </c>
      <c r="E54" s="1" t="s">
        <v>131</v>
      </c>
      <c r="F54" s="1" t="s">
        <v>7</v>
      </c>
    </row>
    <row r="55" spans="1:6" x14ac:dyDescent="0.3">
      <c r="B55" s="7">
        <v>1</v>
      </c>
      <c r="C55" s="7">
        <v>0.01</v>
      </c>
      <c r="D55" s="7">
        <f>25/75</f>
        <v>0.33333333333333331</v>
      </c>
      <c r="E55" s="7">
        <f>+C55*D55</f>
        <v>3.3333333333333331E-3</v>
      </c>
      <c r="F55" s="7">
        <f>+E55*B55</f>
        <v>3.3333333333333331E-3</v>
      </c>
    </row>
    <row r="56" spans="1:6" x14ac:dyDescent="0.3">
      <c r="B56" s="7">
        <v>2</v>
      </c>
      <c r="C56" s="7">
        <v>0.01</v>
      </c>
      <c r="D56" s="7">
        <f t="shared" ref="D56:D59" si="6">25/75</f>
        <v>0.33333333333333331</v>
      </c>
      <c r="E56" s="7">
        <f t="shared" ref="E56:E59" si="7">+C56*D56</f>
        <v>3.3333333333333331E-3</v>
      </c>
      <c r="F56" s="7">
        <f t="shared" ref="F56:F59" si="8">+E56*B56</f>
        <v>6.6666666666666662E-3</v>
      </c>
    </row>
    <row r="57" spans="1:6" x14ac:dyDescent="0.3">
      <c r="B57" s="7">
        <v>3</v>
      </c>
      <c r="C57" s="7">
        <v>0.01</v>
      </c>
      <c r="D57" s="7">
        <f t="shared" si="6"/>
        <v>0.33333333333333331</v>
      </c>
      <c r="E57" s="7">
        <f t="shared" si="7"/>
        <v>3.3333333333333331E-3</v>
      </c>
      <c r="F57" s="7">
        <f t="shared" si="8"/>
        <v>9.9999999999999985E-3</v>
      </c>
    </row>
    <row r="58" spans="1:6" x14ac:dyDescent="0.3">
      <c r="B58" s="7">
        <v>4</v>
      </c>
      <c r="C58" s="7">
        <v>0.01</v>
      </c>
      <c r="D58" s="7">
        <f t="shared" si="6"/>
        <v>0.33333333333333331</v>
      </c>
      <c r="E58" s="7">
        <f t="shared" si="7"/>
        <v>3.3333333333333331E-3</v>
      </c>
      <c r="F58" s="7">
        <f t="shared" si="8"/>
        <v>1.3333333333333332E-2</v>
      </c>
    </row>
    <row r="59" spans="1:6" x14ac:dyDescent="0.3">
      <c r="B59" s="7">
        <v>5</v>
      </c>
      <c r="C59" s="7">
        <v>0.01</v>
      </c>
      <c r="D59" s="7">
        <f t="shared" si="6"/>
        <v>0.33333333333333331</v>
      </c>
      <c r="E59" s="7">
        <f t="shared" si="7"/>
        <v>3.3333333333333331E-3</v>
      </c>
      <c r="F59" s="7">
        <f t="shared" si="8"/>
        <v>1.6666666666666666E-2</v>
      </c>
    </row>
    <row r="60" spans="1:6" x14ac:dyDescent="0.3">
      <c r="B60" s="4" t="s">
        <v>34</v>
      </c>
      <c r="C60" s="4">
        <f>+SUM(C55:C59)</f>
        <v>0.05</v>
      </c>
      <c r="D60" s="4"/>
      <c r="E60" s="4">
        <f>+SUM(E55:E59)</f>
        <v>1.6666666666666666E-2</v>
      </c>
      <c r="F60" s="4">
        <f>+SUM(F55:F59)</f>
        <v>4.9999999999999989E-2</v>
      </c>
    </row>
    <row r="61" spans="1:6" x14ac:dyDescent="0.3">
      <c r="B61" s="46"/>
      <c r="C61" s="46"/>
      <c r="D61" s="46"/>
      <c r="E61" s="46"/>
      <c r="F61" s="46"/>
    </row>
    <row r="62" spans="1:6" x14ac:dyDescent="0.3">
      <c r="B62" s="25" t="s">
        <v>132</v>
      </c>
      <c r="C62" s="25" t="s">
        <v>133</v>
      </c>
    </row>
    <row r="63" spans="1:6" x14ac:dyDescent="0.3">
      <c r="B63" s="1" t="s">
        <v>118</v>
      </c>
      <c r="C63" s="1" t="s">
        <v>119</v>
      </c>
      <c r="D63" s="65" t="s">
        <v>130</v>
      </c>
      <c r="E63" s="1" t="s">
        <v>131</v>
      </c>
      <c r="F63" s="1" t="s">
        <v>7</v>
      </c>
    </row>
    <row r="64" spans="1:6" x14ac:dyDescent="0.3">
      <c r="B64" s="7">
        <v>1</v>
      </c>
      <c r="C64" s="7">
        <v>0.01</v>
      </c>
      <c r="D64" s="7">
        <f>50/75</f>
        <v>0.66666666666666663</v>
      </c>
      <c r="E64" s="7">
        <f>+C64*D64</f>
        <v>6.6666666666666662E-3</v>
      </c>
      <c r="F64" s="7">
        <f>+E64*B64</f>
        <v>6.6666666666666662E-3</v>
      </c>
    </row>
    <row r="65" spans="1:6" x14ac:dyDescent="0.3">
      <c r="B65" s="7">
        <v>2</v>
      </c>
      <c r="C65" s="7">
        <v>0.01</v>
      </c>
      <c r="D65" s="7">
        <f t="shared" ref="D65:D68" si="9">50/75</f>
        <v>0.66666666666666663</v>
      </c>
      <c r="E65" s="7">
        <f t="shared" ref="E65:E68" si="10">+C65*D65</f>
        <v>6.6666666666666662E-3</v>
      </c>
      <c r="F65" s="7">
        <f t="shared" ref="F65:F68" si="11">+E65*B65</f>
        <v>1.3333333333333332E-2</v>
      </c>
    </row>
    <row r="66" spans="1:6" x14ac:dyDescent="0.3">
      <c r="B66" s="7">
        <v>3</v>
      </c>
      <c r="C66" s="7">
        <v>0.01</v>
      </c>
      <c r="D66" s="7">
        <f t="shared" si="9"/>
        <v>0.66666666666666663</v>
      </c>
      <c r="E66" s="7">
        <f t="shared" si="10"/>
        <v>6.6666666666666662E-3</v>
      </c>
      <c r="F66" s="7">
        <f t="shared" si="11"/>
        <v>1.9999999999999997E-2</v>
      </c>
    </row>
    <row r="67" spans="1:6" x14ac:dyDescent="0.3">
      <c r="B67" s="7">
        <v>4</v>
      </c>
      <c r="C67" s="7">
        <v>0.01</v>
      </c>
      <c r="D67" s="7">
        <f t="shared" si="9"/>
        <v>0.66666666666666663</v>
      </c>
      <c r="E67" s="7">
        <f t="shared" si="10"/>
        <v>6.6666666666666662E-3</v>
      </c>
      <c r="F67" s="7">
        <f t="shared" si="11"/>
        <v>2.6666666666666665E-2</v>
      </c>
    </row>
    <row r="68" spans="1:6" x14ac:dyDescent="0.3">
      <c r="B68" s="7">
        <v>5</v>
      </c>
      <c r="C68" s="7">
        <v>0.01</v>
      </c>
      <c r="D68" s="7">
        <f t="shared" si="9"/>
        <v>0.66666666666666663</v>
      </c>
      <c r="E68" s="7">
        <f t="shared" si="10"/>
        <v>6.6666666666666662E-3</v>
      </c>
      <c r="F68" s="7">
        <f t="shared" si="11"/>
        <v>3.3333333333333333E-2</v>
      </c>
    </row>
    <row r="69" spans="1:6" x14ac:dyDescent="0.3">
      <c r="B69" s="4" t="s">
        <v>34</v>
      </c>
      <c r="C69" s="4">
        <f>+SUM(C64:C68)</f>
        <v>0.05</v>
      </c>
      <c r="D69" s="4"/>
      <c r="E69" s="4">
        <f>+SUM(E64:E68)</f>
        <v>3.3333333333333333E-2</v>
      </c>
      <c r="F69" s="4">
        <f>+SUM(F64:F68)</f>
        <v>9.9999999999999978E-2</v>
      </c>
    </row>
    <row r="72" spans="1:6" x14ac:dyDescent="0.3">
      <c r="A72" t="s">
        <v>134</v>
      </c>
    </row>
    <row r="73" spans="1:6" x14ac:dyDescent="0.3">
      <c r="A73" t="s">
        <v>135</v>
      </c>
    </row>
    <row r="74" spans="1:6" x14ac:dyDescent="0.3">
      <c r="A74" t="s">
        <v>136</v>
      </c>
    </row>
  </sheetData>
  <mergeCells count="8">
    <mergeCell ref="Q10:T10"/>
    <mergeCell ref="V10:Y10"/>
    <mergeCell ref="A1:E1"/>
    <mergeCell ref="A8:E8"/>
    <mergeCell ref="A21:E21"/>
    <mergeCell ref="B10:E10"/>
    <mergeCell ref="G10:J10"/>
    <mergeCell ref="L10:O10"/>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
  <dimension ref="A1:AN26"/>
  <sheetViews>
    <sheetView workbookViewId="0">
      <pane xSplit="6" ySplit="1" topLeftCell="G2" activePane="bottomRight" state="frozen"/>
      <selection pane="topRight" activeCell="G1" sqref="G1"/>
      <selection pane="bottomLeft" activeCell="A2" sqref="A2"/>
      <selection pane="bottomRight" activeCell="A10" sqref="A10"/>
    </sheetView>
  </sheetViews>
  <sheetFormatPr defaultColWidth="11.5546875" defaultRowHeight="14.4" x14ac:dyDescent="0.3"/>
  <cols>
    <col min="1" max="1" width="31.6640625" customWidth="1"/>
    <col min="3" max="3" width="17.21875" bestFit="1" customWidth="1"/>
    <col min="4" max="4" width="9.21875" customWidth="1"/>
    <col min="5" max="5" width="7.21875" customWidth="1"/>
    <col min="6" max="6" width="14.33203125" customWidth="1"/>
    <col min="9" max="9" width="16.21875" customWidth="1"/>
  </cols>
  <sheetData>
    <row r="1" spans="1:40" x14ac:dyDescent="0.3">
      <c r="A1" s="1" t="s">
        <v>17</v>
      </c>
      <c r="G1" s="118" t="s">
        <v>14</v>
      </c>
      <c r="H1" s="119"/>
      <c r="I1" s="119"/>
      <c r="J1" s="119"/>
      <c r="K1" s="119"/>
      <c r="L1" s="119"/>
      <c r="N1" s="118" t="s">
        <v>20</v>
      </c>
      <c r="O1" s="119"/>
      <c r="P1" s="119"/>
      <c r="Q1" s="119"/>
      <c r="R1" s="119"/>
      <c r="S1" s="119"/>
      <c r="U1" s="118" t="s">
        <v>19</v>
      </c>
      <c r="V1" s="119"/>
      <c r="W1" s="119"/>
      <c r="X1" s="119"/>
      <c r="Y1" s="119"/>
      <c r="Z1" s="119"/>
      <c r="AB1" s="118" t="s">
        <v>18</v>
      </c>
      <c r="AC1" s="119"/>
      <c r="AD1" s="119"/>
      <c r="AE1" s="119"/>
      <c r="AF1" s="119"/>
      <c r="AG1" s="119"/>
      <c r="AI1" s="118" t="s">
        <v>21</v>
      </c>
      <c r="AJ1" s="119"/>
      <c r="AK1" s="119"/>
      <c r="AL1" s="119"/>
      <c r="AM1" s="119"/>
      <c r="AN1" s="119"/>
    </row>
    <row r="2" spans="1:40" x14ac:dyDescent="0.3">
      <c r="A2" s="1"/>
      <c r="B2" s="1" t="s">
        <v>15</v>
      </c>
      <c r="C2" s="1" t="s">
        <v>161</v>
      </c>
      <c r="D2" s="1" t="s">
        <v>5</v>
      </c>
      <c r="E2" s="1" t="s">
        <v>7</v>
      </c>
      <c r="G2" s="1" t="s">
        <v>1</v>
      </c>
      <c r="H2" s="1" t="s">
        <v>2</v>
      </c>
      <c r="I2" s="1" t="s">
        <v>3</v>
      </c>
      <c r="J2" s="1" t="s">
        <v>4</v>
      </c>
      <c r="K2" s="1" t="s">
        <v>5</v>
      </c>
      <c r="L2" s="1" t="s">
        <v>9</v>
      </c>
      <c r="N2" s="1" t="s">
        <v>1</v>
      </c>
      <c r="O2" s="1" t="s">
        <v>2</v>
      </c>
      <c r="P2" s="1" t="s">
        <v>3</v>
      </c>
      <c r="Q2" s="1" t="s">
        <v>4</v>
      </c>
      <c r="R2" s="1" t="s">
        <v>5</v>
      </c>
      <c r="S2" s="1" t="s">
        <v>9</v>
      </c>
      <c r="U2" s="1" t="s">
        <v>1</v>
      </c>
      <c r="V2" s="1" t="s">
        <v>2</v>
      </c>
      <c r="W2" s="1" t="s">
        <v>3</v>
      </c>
      <c r="X2" s="1" t="s">
        <v>4</v>
      </c>
      <c r="Y2" s="1" t="s">
        <v>5</v>
      </c>
      <c r="Z2" s="1" t="s">
        <v>9</v>
      </c>
      <c r="AB2" s="1" t="s">
        <v>1</v>
      </c>
      <c r="AC2" s="1" t="s">
        <v>2</v>
      </c>
      <c r="AD2" s="1" t="s">
        <v>3</v>
      </c>
      <c r="AE2" s="1" t="s">
        <v>4</v>
      </c>
      <c r="AF2" s="1" t="s">
        <v>5</v>
      </c>
      <c r="AG2" s="1" t="s">
        <v>9</v>
      </c>
      <c r="AI2" s="1" t="s">
        <v>1</v>
      </c>
      <c r="AJ2" s="1" t="s">
        <v>2</v>
      </c>
      <c r="AK2" s="1" t="s">
        <v>3</v>
      </c>
      <c r="AL2" s="1" t="s">
        <v>4</v>
      </c>
      <c r="AM2" s="1" t="s">
        <v>5</v>
      </c>
      <c r="AN2" s="1" t="s">
        <v>9</v>
      </c>
    </row>
    <row r="3" spans="1:40" x14ac:dyDescent="0.3">
      <c r="A3" s="7" t="s">
        <v>50</v>
      </c>
      <c r="B3" s="7">
        <f>+E3/D3</f>
        <v>0.21300813008130121</v>
      </c>
      <c r="C3" s="7">
        <f>1/B3/Summary!$C$7</f>
        <v>4.6946564885496098E-3</v>
      </c>
      <c r="D3" s="71">
        <f>+K10</f>
        <v>3.0749999999999944</v>
      </c>
      <c r="E3" s="7">
        <v>0.65500000000000003</v>
      </c>
      <c r="G3" s="2">
        <v>1</v>
      </c>
      <c r="H3" s="9">
        <v>0.5</v>
      </c>
      <c r="I3" s="6">
        <f>+SUM($H3:H3)</f>
        <v>0.5</v>
      </c>
      <c r="J3" s="15">
        <v>2</v>
      </c>
      <c r="K3" s="3">
        <f>+H3*J3</f>
        <v>1</v>
      </c>
      <c r="L3" s="11">
        <v>0</v>
      </c>
      <c r="N3" s="2">
        <v>1</v>
      </c>
      <c r="O3" s="9">
        <v>0.2</v>
      </c>
      <c r="P3" s="6">
        <f>+SUM($O3:O$3)</f>
        <v>0.2</v>
      </c>
      <c r="Q3" s="3">
        <f>+J3</f>
        <v>2</v>
      </c>
      <c r="R3" s="3">
        <f>+O3*Q3</f>
        <v>0.4</v>
      </c>
      <c r="S3" s="11">
        <v>0</v>
      </c>
      <c r="U3" s="2">
        <v>1</v>
      </c>
      <c r="V3" s="9">
        <v>0.15</v>
      </c>
      <c r="W3" s="6">
        <f>+SUM($V3:V$3)</f>
        <v>0.15</v>
      </c>
      <c r="X3" s="3">
        <f>+J3</f>
        <v>2</v>
      </c>
      <c r="Y3" s="3">
        <f>+V3*X3</f>
        <v>0.3</v>
      </c>
      <c r="Z3" s="11">
        <v>0</v>
      </c>
      <c r="AB3" s="2">
        <v>1</v>
      </c>
      <c r="AC3" s="9">
        <v>0</v>
      </c>
      <c r="AD3" s="6">
        <f>+SUM($AC$3:AC3)</f>
        <v>0</v>
      </c>
      <c r="AE3" s="3">
        <f>+J3</f>
        <v>2</v>
      </c>
      <c r="AF3" s="3">
        <f>+AC3*AE3</f>
        <v>0</v>
      </c>
      <c r="AG3" s="11">
        <v>0</v>
      </c>
      <c r="AI3" s="2">
        <v>1</v>
      </c>
      <c r="AJ3" s="9">
        <v>0</v>
      </c>
      <c r="AK3" s="6">
        <f>+SUM($AJ$3:AJ3)</f>
        <v>0</v>
      </c>
      <c r="AL3" s="3">
        <f>+J3</f>
        <v>2</v>
      </c>
      <c r="AM3" s="3">
        <f>+AJ3*AL3</f>
        <v>0</v>
      </c>
      <c r="AN3" s="11">
        <v>0</v>
      </c>
    </row>
    <row r="4" spans="1:40" x14ac:dyDescent="0.3">
      <c r="A4" s="7" t="s">
        <v>146</v>
      </c>
      <c r="B4" s="7">
        <f>+E4/D4</f>
        <v>0.6535947712418303</v>
      </c>
      <c r="C4" s="7">
        <v>0</v>
      </c>
      <c r="D4" s="16">
        <f>+R10</f>
        <v>7.6499999999999977</v>
      </c>
      <c r="E4" s="7">
        <v>5</v>
      </c>
      <c r="G4" s="2">
        <v>2</v>
      </c>
      <c r="H4" s="9">
        <v>0.32</v>
      </c>
      <c r="I4" s="6">
        <f>+SUM($H$3:H4)</f>
        <v>0.82000000000000006</v>
      </c>
      <c r="J4" s="15">
        <v>3</v>
      </c>
      <c r="K4" s="3">
        <f t="shared" ref="K4:K9" si="0">+H4*J4</f>
        <v>0.96</v>
      </c>
      <c r="L4" s="11">
        <v>0</v>
      </c>
      <c r="N4" s="2">
        <v>2</v>
      </c>
      <c r="O4" s="9">
        <v>0.25</v>
      </c>
      <c r="P4" s="6">
        <f>+SUM($O$3:O4)</f>
        <v>0.45</v>
      </c>
      <c r="Q4" s="3">
        <f t="shared" ref="Q4:Q9" si="1">+J4</f>
        <v>3</v>
      </c>
      <c r="R4" s="3">
        <f t="shared" ref="R4:R9" si="2">+O4*Q4</f>
        <v>0.75</v>
      </c>
      <c r="S4" s="11">
        <v>0</v>
      </c>
      <c r="U4" s="2">
        <v>2</v>
      </c>
      <c r="V4" s="9">
        <v>0.28000000000000003</v>
      </c>
      <c r="W4" s="6">
        <f>+SUM($V$3:V4)</f>
        <v>0.43000000000000005</v>
      </c>
      <c r="X4" s="3">
        <f t="shared" ref="X4:X9" si="3">+J4</f>
        <v>3</v>
      </c>
      <c r="Y4" s="3">
        <f t="shared" ref="Y4:Y9" si="4">+V4*X4</f>
        <v>0.84000000000000008</v>
      </c>
      <c r="Z4" s="11">
        <v>0</v>
      </c>
      <c r="AB4" s="2">
        <v>2</v>
      </c>
      <c r="AC4" s="9">
        <v>0</v>
      </c>
      <c r="AD4" s="6">
        <f>+SUM($AC$3:AC4)</f>
        <v>0</v>
      </c>
      <c r="AE4" s="3">
        <f t="shared" ref="AE4:AE9" si="5">+J4</f>
        <v>3</v>
      </c>
      <c r="AF4" s="3">
        <f t="shared" ref="AF4:AF9" si="6">+AC4*AE4</f>
        <v>0</v>
      </c>
      <c r="AG4" s="11">
        <v>0</v>
      </c>
      <c r="AI4" s="2">
        <v>2</v>
      </c>
      <c r="AJ4" s="9">
        <v>0</v>
      </c>
      <c r="AK4" s="6">
        <f>+SUM($AJ$3:AJ4)</f>
        <v>0</v>
      </c>
      <c r="AL4" s="3">
        <f t="shared" ref="AL4:AL9" si="7">+J4</f>
        <v>3</v>
      </c>
      <c r="AM4" s="3">
        <f t="shared" ref="AM4:AM9" si="8">+AJ4*AL4</f>
        <v>0</v>
      </c>
      <c r="AN4" s="11">
        <v>0</v>
      </c>
    </row>
    <row r="5" spans="1:40" x14ac:dyDescent="0.3">
      <c r="A5" s="7" t="s">
        <v>51</v>
      </c>
      <c r="B5" s="7">
        <f>+E5/D5</f>
        <v>0.85653104925053569</v>
      </c>
      <c r="C5" s="7">
        <v>0</v>
      </c>
      <c r="D5" s="16">
        <f>+Y10</f>
        <v>9.3399999999999963</v>
      </c>
      <c r="E5" s="7">
        <v>8</v>
      </c>
      <c r="G5" s="2">
        <v>3</v>
      </c>
      <c r="H5" s="9">
        <v>0.105</v>
      </c>
      <c r="I5" s="6">
        <f>+SUM($H$3:H5)</f>
        <v>0.92500000000000004</v>
      </c>
      <c r="J5" s="15">
        <v>5</v>
      </c>
      <c r="K5" s="3">
        <f t="shared" si="0"/>
        <v>0.52500000000000002</v>
      </c>
      <c r="L5" s="11">
        <v>0</v>
      </c>
      <c r="N5" s="2">
        <v>3</v>
      </c>
      <c r="O5" s="9">
        <v>0.18</v>
      </c>
      <c r="P5" s="6">
        <f>+SUM($O$3:O5)</f>
        <v>0.63</v>
      </c>
      <c r="Q5" s="3">
        <f t="shared" si="1"/>
        <v>5</v>
      </c>
      <c r="R5" s="3">
        <f t="shared" si="2"/>
        <v>0.89999999999999991</v>
      </c>
      <c r="S5" s="11">
        <v>0</v>
      </c>
      <c r="U5" s="2">
        <v>3</v>
      </c>
      <c r="V5" s="9">
        <v>0.2</v>
      </c>
      <c r="W5" s="6">
        <f>+SUM($V$3:V5)</f>
        <v>0.63000000000000012</v>
      </c>
      <c r="X5" s="3">
        <f t="shared" si="3"/>
        <v>5</v>
      </c>
      <c r="Y5" s="3">
        <f t="shared" si="4"/>
        <v>1</v>
      </c>
      <c r="Z5" s="11">
        <v>0</v>
      </c>
      <c r="AB5" s="2">
        <v>3</v>
      </c>
      <c r="AC5" s="9">
        <v>0.03</v>
      </c>
      <c r="AD5" s="6">
        <f>+SUM($AC$3:AC5)</f>
        <v>0.03</v>
      </c>
      <c r="AE5" s="3">
        <f t="shared" si="5"/>
        <v>5</v>
      </c>
      <c r="AF5" s="3">
        <f t="shared" si="6"/>
        <v>0.15</v>
      </c>
      <c r="AG5" s="11">
        <v>0</v>
      </c>
      <c r="AI5" s="2">
        <v>3</v>
      </c>
      <c r="AJ5" s="9">
        <v>0</v>
      </c>
      <c r="AK5" s="6">
        <f>+SUM($AJ$3:AJ5)</f>
        <v>0</v>
      </c>
      <c r="AL5" s="3">
        <f t="shared" si="7"/>
        <v>5</v>
      </c>
      <c r="AM5" s="3">
        <f t="shared" si="8"/>
        <v>0</v>
      </c>
      <c r="AN5" s="11">
        <v>0</v>
      </c>
    </row>
    <row r="6" spans="1:40" x14ac:dyDescent="0.3">
      <c r="A6" s="7" t="s">
        <v>52</v>
      </c>
      <c r="B6" s="7">
        <f>+E6/D6</f>
        <v>0.95510983763132773</v>
      </c>
      <c r="C6" s="7">
        <v>0</v>
      </c>
      <c r="D6" s="16">
        <f>+AF10</f>
        <v>10.469999999999999</v>
      </c>
      <c r="E6" s="7">
        <v>10</v>
      </c>
      <c r="G6" s="2">
        <v>4</v>
      </c>
      <c r="H6" s="9">
        <v>7.0000000000000007E-2</v>
      </c>
      <c r="I6" s="6">
        <f>+SUM($H$3:H6)</f>
        <v>0.99500000000000011</v>
      </c>
      <c r="J6" s="15">
        <v>7</v>
      </c>
      <c r="K6" s="3">
        <f t="shared" si="0"/>
        <v>0.49000000000000005</v>
      </c>
      <c r="L6" s="11">
        <v>0</v>
      </c>
      <c r="N6" s="2">
        <v>4</v>
      </c>
      <c r="O6" s="9">
        <v>0.2</v>
      </c>
      <c r="P6" s="6">
        <f>+SUM($O$3:O6)</f>
        <v>0.83000000000000007</v>
      </c>
      <c r="Q6" s="3">
        <f t="shared" si="1"/>
        <v>7</v>
      </c>
      <c r="R6" s="3">
        <f t="shared" si="2"/>
        <v>1.4000000000000001</v>
      </c>
      <c r="S6" s="11">
        <v>0</v>
      </c>
      <c r="U6" s="2">
        <v>4</v>
      </c>
      <c r="V6" s="9">
        <v>0.1</v>
      </c>
      <c r="W6" s="6">
        <f>+SUM($V$3:V6)</f>
        <v>0.73000000000000009</v>
      </c>
      <c r="X6" s="3">
        <f t="shared" si="3"/>
        <v>7</v>
      </c>
      <c r="Y6" s="3">
        <f t="shared" si="4"/>
        <v>0.70000000000000007</v>
      </c>
      <c r="Z6" s="11">
        <v>0</v>
      </c>
      <c r="AB6" s="2">
        <v>4</v>
      </c>
      <c r="AC6" s="9">
        <v>0.26</v>
      </c>
      <c r="AD6" s="6">
        <f>+SUM($AC$3:AC6)</f>
        <v>0.29000000000000004</v>
      </c>
      <c r="AE6" s="3">
        <f t="shared" si="5"/>
        <v>7</v>
      </c>
      <c r="AF6" s="3">
        <f t="shared" si="6"/>
        <v>1.82</v>
      </c>
      <c r="AG6" s="11">
        <v>0</v>
      </c>
      <c r="AI6" s="2">
        <v>4</v>
      </c>
      <c r="AJ6" s="9">
        <v>0</v>
      </c>
      <c r="AK6" s="6">
        <f>+SUM($AJ$3:AJ6)</f>
        <v>0</v>
      </c>
      <c r="AL6" s="3">
        <f t="shared" si="7"/>
        <v>7</v>
      </c>
      <c r="AM6" s="3">
        <f t="shared" si="8"/>
        <v>0</v>
      </c>
      <c r="AN6" s="11">
        <v>0</v>
      </c>
    </row>
    <row r="7" spans="1:40" x14ac:dyDescent="0.3">
      <c r="A7" s="7" t="s">
        <v>53</v>
      </c>
      <c r="B7" s="7">
        <f>+E7/D7</f>
        <v>1</v>
      </c>
      <c r="C7" s="7">
        <v>0</v>
      </c>
      <c r="D7" s="16">
        <f>+AM10</f>
        <v>50</v>
      </c>
      <c r="E7" s="7">
        <v>50</v>
      </c>
      <c r="G7" s="2">
        <v>5</v>
      </c>
      <c r="H7" s="9">
        <v>3.0000000000000001E-3</v>
      </c>
      <c r="I7" s="6">
        <f>+SUM($H$3:H7)</f>
        <v>0.99800000000000011</v>
      </c>
      <c r="J7" s="15">
        <v>10</v>
      </c>
      <c r="K7" s="3">
        <f t="shared" si="0"/>
        <v>0.03</v>
      </c>
      <c r="L7" s="11">
        <v>0</v>
      </c>
      <c r="N7" s="2">
        <v>5</v>
      </c>
      <c r="O7" s="9">
        <v>0.1</v>
      </c>
      <c r="P7" s="6">
        <f>+SUM($O$3:O7)</f>
        <v>0.93</v>
      </c>
      <c r="Q7" s="3">
        <f t="shared" si="1"/>
        <v>10</v>
      </c>
      <c r="R7" s="3">
        <f t="shared" si="2"/>
        <v>1</v>
      </c>
      <c r="S7" s="11">
        <v>0</v>
      </c>
      <c r="U7" s="2">
        <v>5</v>
      </c>
      <c r="V7" s="9">
        <v>0.1</v>
      </c>
      <c r="W7" s="6">
        <f>+SUM($V$3:V7)</f>
        <v>0.83000000000000007</v>
      </c>
      <c r="X7" s="3">
        <f t="shared" si="3"/>
        <v>10</v>
      </c>
      <c r="Y7" s="3">
        <f t="shared" si="4"/>
        <v>1</v>
      </c>
      <c r="Z7" s="11">
        <v>0</v>
      </c>
      <c r="AB7" s="2">
        <v>5</v>
      </c>
      <c r="AC7" s="9">
        <v>0.6</v>
      </c>
      <c r="AD7" s="6">
        <f>+SUM($AC$3:AC7)</f>
        <v>0.89</v>
      </c>
      <c r="AE7" s="3">
        <f t="shared" si="5"/>
        <v>10</v>
      </c>
      <c r="AF7" s="3">
        <f t="shared" si="6"/>
        <v>6</v>
      </c>
      <c r="AG7" s="11">
        <v>0</v>
      </c>
      <c r="AI7" s="2">
        <v>5</v>
      </c>
      <c r="AJ7" s="9">
        <v>0</v>
      </c>
      <c r="AK7" s="6">
        <f>+SUM($AJ$3:AJ7)</f>
        <v>0</v>
      </c>
      <c r="AL7" s="3">
        <f t="shared" si="7"/>
        <v>10</v>
      </c>
      <c r="AM7" s="3">
        <f t="shared" si="8"/>
        <v>0</v>
      </c>
      <c r="AN7" s="11">
        <v>0</v>
      </c>
    </row>
    <row r="8" spans="1:40" x14ac:dyDescent="0.3">
      <c r="A8" s="7" t="s">
        <v>0</v>
      </c>
      <c r="B8" s="10" t="str">
        <f>+CONCATENATE("x",J3," - x",J9)</f>
        <v>x2 - x50</v>
      </c>
      <c r="G8" s="2">
        <v>6</v>
      </c>
      <c r="H8" s="9">
        <v>1E-3</v>
      </c>
      <c r="I8" s="6">
        <f>+SUM($H$3:H8)</f>
        <v>0.99900000000000011</v>
      </c>
      <c r="J8" s="15">
        <v>20</v>
      </c>
      <c r="K8" s="3">
        <f t="shared" si="0"/>
        <v>0.02</v>
      </c>
      <c r="L8" s="11">
        <v>0</v>
      </c>
      <c r="N8" s="2">
        <v>6</v>
      </c>
      <c r="O8" s="9">
        <v>0.01</v>
      </c>
      <c r="P8" s="6">
        <f>+SUM($O$3:O8)</f>
        <v>0.94000000000000006</v>
      </c>
      <c r="Q8" s="3">
        <f t="shared" si="1"/>
        <v>20</v>
      </c>
      <c r="R8" s="3">
        <f t="shared" si="2"/>
        <v>0.2</v>
      </c>
      <c r="S8" s="11">
        <v>0</v>
      </c>
      <c r="U8" s="2">
        <v>6</v>
      </c>
      <c r="V8" s="9">
        <v>0.1</v>
      </c>
      <c r="W8" s="6">
        <f>+SUM($V$3:V8)</f>
        <v>0.93</v>
      </c>
      <c r="X8" s="3">
        <f t="shared" si="3"/>
        <v>20</v>
      </c>
      <c r="Y8" s="3">
        <f t="shared" si="4"/>
        <v>2</v>
      </c>
      <c r="Z8" s="11">
        <v>0</v>
      </c>
      <c r="AB8" s="2">
        <v>6</v>
      </c>
      <c r="AC8" s="9">
        <v>0.1</v>
      </c>
      <c r="AD8" s="6">
        <f>+SUM($AC$3:AC8)</f>
        <v>0.99</v>
      </c>
      <c r="AE8" s="3">
        <f t="shared" si="5"/>
        <v>20</v>
      </c>
      <c r="AF8" s="3">
        <f t="shared" si="6"/>
        <v>2</v>
      </c>
      <c r="AG8" s="11">
        <v>0</v>
      </c>
      <c r="AI8" s="2">
        <v>6</v>
      </c>
      <c r="AJ8" s="9">
        <v>0</v>
      </c>
      <c r="AK8" s="6">
        <f>+SUM($AJ$3:AJ8)</f>
        <v>0</v>
      </c>
      <c r="AL8" s="3">
        <f t="shared" si="7"/>
        <v>20</v>
      </c>
      <c r="AM8" s="3">
        <f t="shared" si="8"/>
        <v>0</v>
      </c>
      <c r="AN8" s="11">
        <v>0</v>
      </c>
    </row>
    <row r="9" spans="1:40" x14ac:dyDescent="0.3">
      <c r="G9" s="2">
        <v>7</v>
      </c>
      <c r="H9" s="8">
        <f>1-SUM(H3:H8)</f>
        <v>9.9999999999988987E-4</v>
      </c>
      <c r="I9" s="6">
        <f>+SUM($H$3:H9)</f>
        <v>1</v>
      </c>
      <c r="J9" s="15">
        <v>50</v>
      </c>
      <c r="K9" s="3">
        <f t="shared" si="0"/>
        <v>4.9999999999994493E-2</v>
      </c>
      <c r="L9" s="11">
        <v>0</v>
      </c>
      <c r="N9" s="2">
        <v>7</v>
      </c>
      <c r="O9" s="8">
        <f>1-SUM(O3:O8)</f>
        <v>5.9999999999999942E-2</v>
      </c>
      <c r="P9" s="6">
        <f>+SUM($O$3:O9)</f>
        <v>1</v>
      </c>
      <c r="Q9" s="3">
        <f t="shared" si="1"/>
        <v>50</v>
      </c>
      <c r="R9" s="3">
        <f t="shared" si="2"/>
        <v>2.9999999999999973</v>
      </c>
      <c r="S9" s="11">
        <v>0</v>
      </c>
      <c r="U9" s="2">
        <v>7</v>
      </c>
      <c r="V9" s="8">
        <f>1-SUM(V3:V8)</f>
        <v>6.9999999999999951E-2</v>
      </c>
      <c r="W9" s="6">
        <f>+SUM($V$3:V9)</f>
        <v>1</v>
      </c>
      <c r="X9" s="3">
        <f t="shared" si="3"/>
        <v>50</v>
      </c>
      <c r="Y9" s="3">
        <f t="shared" si="4"/>
        <v>3.4999999999999973</v>
      </c>
      <c r="Z9" s="11">
        <v>0</v>
      </c>
      <c r="AB9" s="2">
        <v>7</v>
      </c>
      <c r="AC9" s="8">
        <f>1-SUM(AC3:AC8)</f>
        <v>1.0000000000000009E-2</v>
      </c>
      <c r="AD9" s="6">
        <f>+SUM($AC$3:AC9)</f>
        <v>1</v>
      </c>
      <c r="AE9" s="3">
        <f t="shared" si="5"/>
        <v>50</v>
      </c>
      <c r="AF9" s="3">
        <f t="shared" si="6"/>
        <v>0.50000000000000044</v>
      </c>
      <c r="AG9" s="11">
        <v>0</v>
      </c>
      <c r="AI9" s="2">
        <v>7</v>
      </c>
      <c r="AJ9" s="8">
        <f>1-SUM(AJ3:AJ8)</f>
        <v>1</v>
      </c>
      <c r="AK9" s="6">
        <f>+SUM($AJ$3:AJ9)</f>
        <v>1</v>
      </c>
      <c r="AL9" s="3">
        <f t="shared" si="7"/>
        <v>50</v>
      </c>
      <c r="AM9" s="3">
        <f t="shared" si="8"/>
        <v>50</v>
      </c>
      <c r="AN9" s="11">
        <v>0</v>
      </c>
    </row>
    <row r="10" spans="1:40" x14ac:dyDescent="0.3">
      <c r="A10" s="14" t="s">
        <v>13</v>
      </c>
      <c r="G10" s="4" t="s">
        <v>6</v>
      </c>
      <c r="H10" s="4">
        <f>+SUM(H3:H9)</f>
        <v>1</v>
      </c>
      <c r="I10" s="4"/>
      <c r="J10" s="4"/>
      <c r="K10" s="5">
        <f>+SUM(K3:K9)</f>
        <v>3.0749999999999944</v>
      </c>
      <c r="L10" s="5"/>
      <c r="N10" s="4" t="s">
        <v>6</v>
      </c>
      <c r="O10" s="4">
        <f>+SUM(O3:O9)</f>
        <v>1</v>
      </c>
      <c r="P10" s="4"/>
      <c r="Q10" s="4"/>
      <c r="R10" s="5">
        <f>+SUM(R3:R9)</f>
        <v>7.6499999999999977</v>
      </c>
      <c r="S10" s="5"/>
      <c r="U10" s="4" t="s">
        <v>6</v>
      </c>
      <c r="V10" s="4">
        <f>+SUM(V3:V9)</f>
        <v>1</v>
      </c>
      <c r="W10" s="4"/>
      <c r="X10" s="4"/>
      <c r="Y10" s="5">
        <f>+SUM(Y3:Y9)</f>
        <v>9.3399999999999963</v>
      </c>
      <c r="Z10" s="5"/>
      <c r="AB10" s="4" t="s">
        <v>6</v>
      </c>
      <c r="AC10" s="4">
        <f>+SUM(AC3:AC9)</f>
        <v>1</v>
      </c>
      <c r="AD10" s="4"/>
      <c r="AE10" s="4"/>
      <c r="AF10" s="5">
        <f>+SUM(AF3:AF9)</f>
        <v>10.469999999999999</v>
      </c>
      <c r="AG10" s="5"/>
      <c r="AI10" s="4" t="s">
        <v>6</v>
      </c>
      <c r="AJ10" s="4">
        <f>+SUM(AJ3:AJ9)</f>
        <v>1</v>
      </c>
      <c r="AK10" s="4"/>
      <c r="AL10" s="4"/>
      <c r="AM10" s="5">
        <f>+SUM(AM3:AM9)</f>
        <v>50</v>
      </c>
      <c r="AN10" s="5"/>
    </row>
    <row r="12" spans="1:40" x14ac:dyDescent="0.3">
      <c r="C12" s="1" t="s">
        <v>49</v>
      </c>
      <c r="D12" s="12">
        <v>0</v>
      </c>
    </row>
    <row r="13" spans="1:40" x14ac:dyDescent="0.3">
      <c r="C13" s="1" t="s">
        <v>10</v>
      </c>
      <c r="D13" s="12">
        <v>0</v>
      </c>
    </row>
    <row r="14" spans="1:40" x14ac:dyDescent="0.3">
      <c r="C14" s="1" t="s">
        <v>11</v>
      </c>
      <c r="D14" s="12">
        <v>0</v>
      </c>
    </row>
    <row r="17" spans="1:4" ht="15" thickBot="1" x14ac:dyDescent="0.35"/>
    <row r="18" spans="1:4" x14ac:dyDescent="0.3">
      <c r="A18" s="1" t="s">
        <v>59</v>
      </c>
      <c r="B18" s="1" t="s">
        <v>58</v>
      </c>
      <c r="D18" s="28" t="s">
        <v>16</v>
      </c>
    </row>
    <row r="19" spans="1:4" ht="15" thickBot="1" x14ac:dyDescent="0.35">
      <c r="A19" s="7" t="s">
        <v>54</v>
      </c>
      <c r="B19" s="12">
        <v>0</v>
      </c>
      <c r="D19" s="29">
        <v>1</v>
      </c>
    </row>
    <row r="20" spans="1:4" x14ac:dyDescent="0.3">
      <c r="A20" s="7" t="s">
        <v>55</v>
      </c>
      <c r="B20" s="12">
        <v>0</v>
      </c>
    </row>
    <row r="21" spans="1:4" x14ac:dyDescent="0.3">
      <c r="A21" s="7" t="s">
        <v>56</v>
      </c>
      <c r="B21" s="12">
        <v>0</v>
      </c>
    </row>
    <row r="22" spans="1:4" x14ac:dyDescent="0.3">
      <c r="A22" s="7" t="s">
        <v>57</v>
      </c>
      <c r="B22" s="12">
        <v>0</v>
      </c>
    </row>
    <row r="24" spans="1:4" x14ac:dyDescent="0.3">
      <c r="A24" s="1" t="s">
        <v>12</v>
      </c>
      <c r="B24" s="13">
        <f>IF(D13=0,0,+D14/D13)</f>
        <v>0</v>
      </c>
    </row>
    <row r="25" spans="1:4" x14ac:dyDescent="0.3">
      <c r="A25" s="1" t="s">
        <v>85</v>
      </c>
      <c r="B25" s="13">
        <f>IF(D12=0,0,+(SUMPRODUCT(L3:L9,J3:J9))/D12)</f>
        <v>0</v>
      </c>
    </row>
    <row r="26" spans="1:4" x14ac:dyDescent="0.3">
      <c r="A26" s="1" t="s">
        <v>86</v>
      </c>
      <c r="B26" s="13">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dxfId="81" priority="17" operator="lessThan">
      <formula>0</formula>
    </cfRule>
    <cfRule type="cellIs" dxfId="80" priority="18" operator="greaterThan">
      <formula>1</formula>
    </cfRule>
  </conditionalFormatting>
  <conditionalFormatting sqref="H3:H9 O3:O9 AJ3:AJ9 V3:V9 AC3:AC9">
    <cfRule type="cellIs" dxfId="79" priority="16" operator="equal">
      <formula>0</formula>
    </cfRule>
  </conditionalFormatting>
  <conditionalFormatting sqref="B3:B7">
    <cfRule type="cellIs" dxfId="78" priority="1" operator="greaterThan">
      <formula>1</formula>
    </cfRule>
    <cfRule type="cellIs" dxfId="77" priority="2" operator="lessThan">
      <formula>0</formula>
    </cfRule>
  </conditionalFormatting>
  <dataValidations count="1">
    <dataValidation type="list" allowBlank="1" showInputMessage="1" showErrorMessage="1" sqref="A10" xr:uid="{00000000-0002-0000-0500-000000000000}">
      <formula1>"Regular weapon,Special weapon 1,Special weapon 2,Special weapon 3,Plasma Gun"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shoot_enemy">
                <anchor moveWithCells="1" sizeWithCells="1">
                  <from>
                    <xdr:col>2</xdr:col>
                    <xdr:colOff>510540</xdr:colOff>
                    <xdr:row>7</xdr:row>
                    <xdr:rowOff>99060</xdr:rowOff>
                  </from>
                  <to>
                    <xdr:col>5</xdr:col>
                    <xdr:colOff>22860</xdr:colOff>
                    <xdr:row>10</xdr:row>
                    <xdr:rowOff>38100</xdr:rowOff>
                  </to>
                </anchor>
              </controlPr>
            </control>
          </mc:Choice>
        </mc:AlternateContent>
        <mc:AlternateContent xmlns:mc="http://schemas.openxmlformats.org/markup-compatibility/2006">
          <mc:Choice Requires="x14">
            <control shapeId="1029" r:id="rId5" name="Button 5">
              <controlPr defaultSize="0" print="0" autoFill="0" autoPict="0" macro="[0]!reset_sim_values">
                <anchor moveWithCells="1" sizeWithCells="1">
                  <from>
                    <xdr:col>0</xdr:col>
                    <xdr:colOff>601980</xdr:colOff>
                    <xdr:row>12</xdr:row>
                    <xdr:rowOff>60960</xdr:rowOff>
                  </from>
                  <to>
                    <xdr:col>1</xdr:col>
                    <xdr:colOff>22860</xdr:colOff>
                    <xdr:row>14</xdr:row>
                    <xdr:rowOff>99060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2"/>
  <dimension ref="A1:AN26"/>
  <sheetViews>
    <sheetView workbookViewId="0">
      <pane xSplit="6" ySplit="1" topLeftCell="G2" activePane="bottomRight" state="frozen"/>
      <selection pane="topRight" activeCell="G1" sqref="G1"/>
      <selection pane="bottomLeft" activeCell="A2" sqref="A2"/>
      <selection pane="bottomRight" activeCell="C2" sqref="C2"/>
    </sheetView>
  </sheetViews>
  <sheetFormatPr defaultColWidth="11.5546875" defaultRowHeight="14.4" x14ac:dyDescent="0.3"/>
  <cols>
    <col min="1" max="1" width="31.6640625" customWidth="1"/>
    <col min="3" max="3" width="17.21875" bestFit="1" customWidth="1"/>
    <col min="4" max="4" width="9.21875" customWidth="1"/>
    <col min="5" max="5" width="7.21875" customWidth="1"/>
    <col min="6" max="6" width="14.33203125" customWidth="1"/>
    <col min="9" max="9" width="16.21875" customWidth="1"/>
  </cols>
  <sheetData>
    <row r="1" spans="1:40" x14ac:dyDescent="0.3">
      <c r="A1" s="1" t="s">
        <v>87</v>
      </c>
      <c r="G1" s="118" t="s">
        <v>14</v>
      </c>
      <c r="H1" s="119"/>
      <c r="I1" s="119"/>
      <c r="J1" s="119"/>
      <c r="K1" s="119"/>
      <c r="L1" s="119"/>
      <c r="N1" s="118" t="s">
        <v>20</v>
      </c>
      <c r="O1" s="119"/>
      <c r="P1" s="119"/>
      <c r="Q1" s="119"/>
      <c r="R1" s="119"/>
      <c r="S1" s="119"/>
      <c r="U1" s="118" t="s">
        <v>19</v>
      </c>
      <c r="V1" s="119"/>
      <c r="W1" s="119"/>
      <c r="X1" s="119"/>
      <c r="Y1" s="119"/>
      <c r="Z1" s="119"/>
      <c r="AB1" s="118" t="s">
        <v>18</v>
      </c>
      <c r="AC1" s="119"/>
      <c r="AD1" s="119"/>
      <c r="AE1" s="119"/>
      <c r="AF1" s="119"/>
      <c r="AG1" s="119"/>
      <c r="AI1" s="118" t="s">
        <v>21</v>
      </c>
      <c r="AJ1" s="119"/>
      <c r="AK1" s="119"/>
      <c r="AL1" s="119"/>
      <c r="AM1" s="119"/>
      <c r="AN1" s="119"/>
    </row>
    <row r="2" spans="1:40" x14ac:dyDescent="0.3">
      <c r="A2" s="1"/>
      <c r="B2" s="1" t="s">
        <v>15</v>
      </c>
      <c r="C2" s="1" t="s">
        <v>161</v>
      </c>
      <c r="D2" s="1" t="s">
        <v>5</v>
      </c>
      <c r="E2" s="1" t="s">
        <v>7</v>
      </c>
      <c r="G2" s="1" t="s">
        <v>1</v>
      </c>
      <c r="H2" s="1" t="s">
        <v>2</v>
      </c>
      <c r="I2" s="1" t="s">
        <v>3</v>
      </c>
      <c r="J2" s="1" t="s">
        <v>4</v>
      </c>
      <c r="K2" s="1" t="s">
        <v>5</v>
      </c>
      <c r="L2" s="1" t="s">
        <v>9</v>
      </c>
      <c r="N2" s="1" t="s">
        <v>1</v>
      </c>
      <c r="O2" s="1" t="s">
        <v>2</v>
      </c>
      <c r="P2" s="1" t="s">
        <v>3</v>
      </c>
      <c r="Q2" s="1" t="s">
        <v>4</v>
      </c>
      <c r="R2" s="1" t="s">
        <v>5</v>
      </c>
      <c r="S2" s="1" t="s">
        <v>9</v>
      </c>
      <c r="U2" s="1" t="s">
        <v>1</v>
      </c>
      <c r="V2" s="1" t="s">
        <v>2</v>
      </c>
      <c r="W2" s="1" t="s">
        <v>3</v>
      </c>
      <c r="X2" s="1" t="s">
        <v>4</v>
      </c>
      <c r="Y2" s="1" t="s">
        <v>5</v>
      </c>
      <c r="Z2" s="1" t="s">
        <v>9</v>
      </c>
      <c r="AB2" s="1" t="s">
        <v>1</v>
      </c>
      <c r="AC2" s="1" t="s">
        <v>2</v>
      </c>
      <c r="AD2" s="1" t="s">
        <v>3</v>
      </c>
      <c r="AE2" s="1" t="s">
        <v>4</v>
      </c>
      <c r="AF2" s="1" t="s">
        <v>5</v>
      </c>
      <c r="AG2" s="1" t="s">
        <v>9</v>
      </c>
      <c r="AI2" s="1" t="s">
        <v>1</v>
      </c>
      <c r="AJ2" s="1" t="s">
        <v>2</v>
      </c>
      <c r="AK2" s="1" t="s">
        <v>3</v>
      </c>
      <c r="AL2" s="1" t="s">
        <v>4</v>
      </c>
      <c r="AM2" s="1" t="s">
        <v>5</v>
      </c>
      <c r="AN2" s="1" t="s">
        <v>9</v>
      </c>
    </row>
    <row r="3" spans="1:40" x14ac:dyDescent="0.3">
      <c r="A3" s="7" t="s">
        <v>50</v>
      </c>
      <c r="B3" s="7">
        <f>+E3/D3</f>
        <v>0.19758672699849203</v>
      </c>
      <c r="C3" s="7">
        <f>1/B3/Summary!$C$7</f>
        <v>5.0610687022900683E-3</v>
      </c>
      <c r="D3" s="71">
        <f>+K10</f>
        <v>3.3149999999999946</v>
      </c>
      <c r="E3" s="7">
        <v>0.65500000000000003</v>
      </c>
      <c r="G3" s="2">
        <v>1</v>
      </c>
      <c r="H3" s="9">
        <v>0.3</v>
      </c>
      <c r="I3" s="6">
        <f>+SUM($H3:H3)</f>
        <v>0.3</v>
      </c>
      <c r="J3" s="15">
        <v>2</v>
      </c>
      <c r="K3" s="3">
        <f>+H3*J3</f>
        <v>0.6</v>
      </c>
      <c r="L3" s="11">
        <v>0</v>
      </c>
      <c r="N3" s="2">
        <v>1</v>
      </c>
      <c r="O3" s="9">
        <v>0.1</v>
      </c>
      <c r="P3" s="6">
        <f>+SUM($O3:O$3)</f>
        <v>0.1</v>
      </c>
      <c r="Q3" s="3">
        <f>+J3</f>
        <v>2</v>
      </c>
      <c r="R3" s="3">
        <f>+O3*Q3</f>
        <v>0.2</v>
      </c>
      <c r="S3" s="11">
        <v>0</v>
      </c>
      <c r="U3" s="2">
        <v>1</v>
      </c>
      <c r="V3" s="9">
        <v>0.1</v>
      </c>
      <c r="W3" s="6">
        <f>+SUM($V3:V$3)</f>
        <v>0.1</v>
      </c>
      <c r="X3" s="3">
        <f>+J3</f>
        <v>2</v>
      </c>
      <c r="Y3" s="3">
        <f>+V3*X3</f>
        <v>0.2</v>
      </c>
      <c r="Z3" s="11">
        <v>0</v>
      </c>
      <c r="AB3" s="2">
        <v>1</v>
      </c>
      <c r="AC3" s="9">
        <v>0</v>
      </c>
      <c r="AD3" s="6">
        <f>+SUM($AC$3:AC3)</f>
        <v>0</v>
      </c>
      <c r="AE3" s="3">
        <f>+J3</f>
        <v>2</v>
      </c>
      <c r="AF3" s="3">
        <f>+AC3*AE3</f>
        <v>0</v>
      </c>
      <c r="AG3" s="11">
        <v>0</v>
      </c>
      <c r="AI3" s="2">
        <v>1</v>
      </c>
      <c r="AJ3" s="9">
        <v>0</v>
      </c>
      <c r="AK3" s="6">
        <f>+SUM($AJ$3:AJ3)</f>
        <v>0</v>
      </c>
      <c r="AL3" s="3">
        <f>+J3</f>
        <v>2</v>
      </c>
      <c r="AM3" s="3">
        <f>+AJ3*AL3</f>
        <v>0</v>
      </c>
      <c r="AN3" s="11">
        <v>0</v>
      </c>
    </row>
    <row r="4" spans="1:40" x14ac:dyDescent="0.3">
      <c r="A4" s="7" t="s">
        <v>146</v>
      </c>
      <c r="B4" s="7">
        <f>+E4/D4</f>
        <v>0.60679611650485443</v>
      </c>
      <c r="C4" s="7">
        <v>0</v>
      </c>
      <c r="D4" s="16">
        <f>+R10</f>
        <v>8.2399999999999984</v>
      </c>
      <c r="E4" s="7">
        <v>5</v>
      </c>
      <c r="G4" s="2">
        <v>2</v>
      </c>
      <c r="H4" s="9">
        <v>0.5</v>
      </c>
      <c r="I4" s="6">
        <f>+SUM($H$3:H4)</f>
        <v>0.8</v>
      </c>
      <c r="J4" s="15">
        <v>3</v>
      </c>
      <c r="K4" s="3">
        <f t="shared" ref="K4:K9" si="0">+H4*J4</f>
        <v>1.5</v>
      </c>
      <c r="L4" s="11">
        <v>0</v>
      </c>
      <c r="N4" s="2">
        <v>2</v>
      </c>
      <c r="O4" s="9">
        <v>0.23</v>
      </c>
      <c r="P4" s="6">
        <f>+SUM($O$3:O4)</f>
        <v>0.33</v>
      </c>
      <c r="Q4" s="3">
        <f t="shared" ref="Q4:Q9" si="1">+J4</f>
        <v>3</v>
      </c>
      <c r="R4" s="3">
        <f t="shared" ref="R4:R9" si="2">+O4*Q4</f>
        <v>0.69000000000000006</v>
      </c>
      <c r="S4" s="11">
        <v>0</v>
      </c>
      <c r="U4" s="2">
        <v>2</v>
      </c>
      <c r="V4" s="9">
        <v>0.25</v>
      </c>
      <c r="W4" s="6">
        <f>+SUM($V$3:V4)</f>
        <v>0.35</v>
      </c>
      <c r="X4" s="3">
        <f t="shared" ref="X4:X9" si="3">+J4</f>
        <v>3</v>
      </c>
      <c r="Y4" s="3">
        <f t="shared" ref="Y4:Y9" si="4">+V4*X4</f>
        <v>0.75</v>
      </c>
      <c r="Z4" s="11">
        <v>0</v>
      </c>
      <c r="AB4" s="2">
        <v>2</v>
      </c>
      <c r="AC4" s="9">
        <v>0</v>
      </c>
      <c r="AD4" s="6">
        <f>+SUM($AC$3:AC4)</f>
        <v>0</v>
      </c>
      <c r="AE4" s="3">
        <f t="shared" ref="AE4:AE9" si="5">+J4</f>
        <v>3</v>
      </c>
      <c r="AF4" s="3">
        <f t="shared" ref="AF4:AF9" si="6">+AC4*AE4</f>
        <v>0</v>
      </c>
      <c r="AG4" s="11">
        <v>0</v>
      </c>
      <c r="AI4" s="2">
        <v>2</v>
      </c>
      <c r="AJ4" s="9">
        <v>0</v>
      </c>
      <c r="AK4" s="6">
        <f>+SUM($AJ$3:AJ4)</f>
        <v>0</v>
      </c>
      <c r="AL4" s="3">
        <f t="shared" ref="AL4:AL9" si="7">+J4</f>
        <v>3</v>
      </c>
      <c r="AM4" s="3">
        <f t="shared" ref="AM4:AM9" si="8">+AJ4*AL4</f>
        <v>0</v>
      </c>
      <c r="AN4" s="11">
        <v>0</v>
      </c>
    </row>
    <row r="5" spans="1:40" x14ac:dyDescent="0.3">
      <c r="A5" s="7" t="s">
        <v>51</v>
      </c>
      <c r="B5" s="7">
        <f>+E5/D5</f>
        <v>0.79601990049751215</v>
      </c>
      <c r="C5" s="7">
        <v>0</v>
      </c>
      <c r="D5" s="16">
        <f>+Y10</f>
        <v>10.050000000000004</v>
      </c>
      <c r="E5" s="7">
        <v>8</v>
      </c>
      <c r="G5" s="2">
        <v>3</v>
      </c>
      <c r="H5" s="9">
        <v>0.125</v>
      </c>
      <c r="I5" s="6">
        <f>+SUM($H$3:H5)</f>
        <v>0.92500000000000004</v>
      </c>
      <c r="J5" s="15">
        <v>5</v>
      </c>
      <c r="K5" s="3">
        <f t="shared" si="0"/>
        <v>0.625</v>
      </c>
      <c r="L5" s="11">
        <v>0</v>
      </c>
      <c r="N5" s="2">
        <v>3</v>
      </c>
      <c r="O5" s="9">
        <v>0.25</v>
      </c>
      <c r="P5" s="6">
        <f>+SUM($O$3:O5)</f>
        <v>0.58000000000000007</v>
      </c>
      <c r="Q5" s="3">
        <f t="shared" si="1"/>
        <v>5</v>
      </c>
      <c r="R5" s="3">
        <f t="shared" si="2"/>
        <v>1.25</v>
      </c>
      <c r="S5" s="11">
        <v>0</v>
      </c>
      <c r="U5" s="2">
        <v>3</v>
      </c>
      <c r="V5" s="9">
        <v>0.18</v>
      </c>
      <c r="W5" s="6">
        <f>+SUM($V$3:V5)</f>
        <v>0.53</v>
      </c>
      <c r="X5" s="3">
        <f t="shared" si="3"/>
        <v>5</v>
      </c>
      <c r="Y5" s="3">
        <f t="shared" si="4"/>
        <v>0.89999999999999991</v>
      </c>
      <c r="Z5" s="11">
        <v>0</v>
      </c>
      <c r="AB5" s="2">
        <v>3</v>
      </c>
      <c r="AC5" s="9">
        <v>0.03</v>
      </c>
      <c r="AD5" s="6">
        <f>+SUM($AC$3:AC5)</f>
        <v>0.03</v>
      </c>
      <c r="AE5" s="3">
        <f t="shared" si="5"/>
        <v>5</v>
      </c>
      <c r="AF5" s="3">
        <f t="shared" si="6"/>
        <v>0.15</v>
      </c>
      <c r="AG5" s="11">
        <v>0</v>
      </c>
      <c r="AI5" s="2">
        <v>3</v>
      </c>
      <c r="AJ5" s="9">
        <v>0</v>
      </c>
      <c r="AK5" s="6">
        <f>+SUM($AJ$3:AJ5)</f>
        <v>0</v>
      </c>
      <c r="AL5" s="3">
        <f t="shared" si="7"/>
        <v>5</v>
      </c>
      <c r="AM5" s="3">
        <f t="shared" si="8"/>
        <v>0</v>
      </c>
      <c r="AN5" s="11">
        <v>0</v>
      </c>
    </row>
    <row r="6" spans="1:40" x14ac:dyDescent="0.3">
      <c r="A6" s="7" t="s">
        <v>52</v>
      </c>
      <c r="B6" s="7">
        <f>+E6/D6</f>
        <v>0.88731144631765757</v>
      </c>
      <c r="C6" s="7">
        <v>0</v>
      </c>
      <c r="D6" s="16">
        <f>+AF10</f>
        <v>11.27</v>
      </c>
      <c r="E6" s="7">
        <v>10</v>
      </c>
      <c r="G6" s="2">
        <v>4</v>
      </c>
      <c r="H6" s="9">
        <v>7.0000000000000007E-2</v>
      </c>
      <c r="I6" s="6">
        <f>+SUM($H$3:H6)</f>
        <v>0.99500000000000011</v>
      </c>
      <c r="J6" s="15">
        <v>7</v>
      </c>
      <c r="K6" s="3">
        <f t="shared" si="0"/>
        <v>0.49000000000000005</v>
      </c>
      <c r="L6" s="11">
        <v>0</v>
      </c>
      <c r="N6" s="2">
        <v>4</v>
      </c>
      <c r="O6" s="9">
        <v>0.2</v>
      </c>
      <c r="P6" s="6">
        <f>+SUM($O$3:O6)</f>
        <v>0.78</v>
      </c>
      <c r="Q6" s="3">
        <f t="shared" si="1"/>
        <v>7</v>
      </c>
      <c r="R6" s="3">
        <f t="shared" si="2"/>
        <v>1.4000000000000001</v>
      </c>
      <c r="S6" s="11">
        <v>0</v>
      </c>
      <c r="U6" s="2">
        <v>4</v>
      </c>
      <c r="V6" s="9">
        <v>0.2</v>
      </c>
      <c r="W6" s="6">
        <f>+SUM($V$3:V6)</f>
        <v>0.73</v>
      </c>
      <c r="X6" s="3">
        <f t="shared" si="3"/>
        <v>7</v>
      </c>
      <c r="Y6" s="3">
        <f t="shared" si="4"/>
        <v>1.4000000000000001</v>
      </c>
      <c r="Z6" s="11">
        <v>0</v>
      </c>
      <c r="AB6" s="2">
        <v>4</v>
      </c>
      <c r="AC6" s="9">
        <v>0.26</v>
      </c>
      <c r="AD6" s="6">
        <f>+SUM($AC$3:AC6)</f>
        <v>0.29000000000000004</v>
      </c>
      <c r="AE6" s="3">
        <f t="shared" si="5"/>
        <v>7</v>
      </c>
      <c r="AF6" s="3">
        <f t="shared" si="6"/>
        <v>1.82</v>
      </c>
      <c r="AG6" s="11">
        <v>0</v>
      </c>
      <c r="AI6" s="2">
        <v>4</v>
      </c>
      <c r="AJ6" s="9">
        <v>0</v>
      </c>
      <c r="AK6" s="6">
        <f>+SUM($AJ$3:AJ6)</f>
        <v>0</v>
      </c>
      <c r="AL6" s="3">
        <f t="shared" si="7"/>
        <v>7</v>
      </c>
      <c r="AM6" s="3">
        <f t="shared" si="8"/>
        <v>0</v>
      </c>
      <c r="AN6" s="11">
        <v>0</v>
      </c>
    </row>
    <row r="7" spans="1:40" x14ac:dyDescent="0.3">
      <c r="A7" s="7" t="s">
        <v>53</v>
      </c>
      <c r="B7" s="7">
        <f>+E7/D7</f>
        <v>1</v>
      </c>
      <c r="C7" s="7">
        <v>0</v>
      </c>
      <c r="D7" s="16">
        <f>+AM10</f>
        <v>50</v>
      </c>
      <c r="E7" s="7">
        <v>50</v>
      </c>
      <c r="G7" s="2">
        <v>5</v>
      </c>
      <c r="H7" s="9">
        <v>3.0000000000000001E-3</v>
      </c>
      <c r="I7" s="6">
        <f>+SUM($H$3:H7)</f>
        <v>0.99800000000000011</v>
      </c>
      <c r="J7" s="15">
        <v>10</v>
      </c>
      <c r="K7" s="3">
        <f t="shared" si="0"/>
        <v>0.03</v>
      </c>
      <c r="L7" s="11">
        <v>0</v>
      </c>
      <c r="N7" s="2">
        <v>5</v>
      </c>
      <c r="O7" s="9">
        <v>0.15</v>
      </c>
      <c r="P7" s="6">
        <f>+SUM($O$3:O7)</f>
        <v>0.93</v>
      </c>
      <c r="Q7" s="3">
        <f t="shared" si="1"/>
        <v>10</v>
      </c>
      <c r="R7" s="3">
        <f t="shared" si="2"/>
        <v>1.5</v>
      </c>
      <c r="S7" s="11">
        <v>0</v>
      </c>
      <c r="U7" s="2">
        <v>5</v>
      </c>
      <c r="V7" s="9">
        <v>0.1</v>
      </c>
      <c r="W7" s="6">
        <f>+SUM($V$3:V7)</f>
        <v>0.83</v>
      </c>
      <c r="X7" s="3">
        <f t="shared" si="3"/>
        <v>10</v>
      </c>
      <c r="Y7" s="3">
        <f t="shared" si="4"/>
        <v>1</v>
      </c>
      <c r="Z7" s="11">
        <v>0</v>
      </c>
      <c r="AB7" s="2">
        <v>5</v>
      </c>
      <c r="AC7" s="9">
        <v>0.52</v>
      </c>
      <c r="AD7" s="6">
        <f>+SUM($AC$3:AC7)</f>
        <v>0.81</v>
      </c>
      <c r="AE7" s="3">
        <f t="shared" si="5"/>
        <v>10</v>
      </c>
      <c r="AF7" s="3">
        <f t="shared" si="6"/>
        <v>5.2</v>
      </c>
      <c r="AG7" s="11">
        <v>0</v>
      </c>
      <c r="AI7" s="2">
        <v>5</v>
      </c>
      <c r="AJ7" s="9">
        <v>0</v>
      </c>
      <c r="AK7" s="6">
        <f>+SUM($AJ$3:AJ7)</f>
        <v>0</v>
      </c>
      <c r="AL7" s="3">
        <f t="shared" si="7"/>
        <v>10</v>
      </c>
      <c r="AM7" s="3">
        <f t="shared" si="8"/>
        <v>0</v>
      </c>
      <c r="AN7" s="11">
        <v>0</v>
      </c>
    </row>
    <row r="8" spans="1:40" x14ac:dyDescent="0.3">
      <c r="A8" s="7" t="s">
        <v>0</v>
      </c>
      <c r="B8" s="10" t="str">
        <f>+CONCATENATE("x",J3," - x",J9)</f>
        <v>x2 - x50</v>
      </c>
      <c r="G8" s="2">
        <v>6</v>
      </c>
      <c r="H8" s="9">
        <v>1E-3</v>
      </c>
      <c r="I8" s="6">
        <f>+SUM($H$3:H8)</f>
        <v>0.99900000000000011</v>
      </c>
      <c r="J8" s="15">
        <v>20</v>
      </c>
      <c r="K8" s="3">
        <f t="shared" si="0"/>
        <v>0.02</v>
      </c>
      <c r="L8" s="11">
        <v>0</v>
      </c>
      <c r="N8" s="2">
        <v>6</v>
      </c>
      <c r="O8" s="9">
        <v>0.01</v>
      </c>
      <c r="P8" s="6">
        <f>+SUM($O$3:O8)</f>
        <v>0.94000000000000006</v>
      </c>
      <c r="Q8" s="3">
        <f t="shared" si="1"/>
        <v>20</v>
      </c>
      <c r="R8" s="3">
        <f t="shared" si="2"/>
        <v>0.2</v>
      </c>
      <c r="S8" s="11">
        <v>0</v>
      </c>
      <c r="U8" s="2">
        <v>6</v>
      </c>
      <c r="V8" s="9">
        <v>0.09</v>
      </c>
      <c r="W8" s="6">
        <f>+SUM($V$3:V8)</f>
        <v>0.91999999999999993</v>
      </c>
      <c r="X8" s="3">
        <f t="shared" si="3"/>
        <v>20</v>
      </c>
      <c r="Y8" s="3">
        <f t="shared" si="4"/>
        <v>1.7999999999999998</v>
      </c>
      <c r="Z8" s="11">
        <v>0</v>
      </c>
      <c r="AB8" s="2">
        <v>6</v>
      </c>
      <c r="AC8" s="9">
        <v>0.18</v>
      </c>
      <c r="AD8" s="6">
        <f>+SUM($AC$3:AC8)</f>
        <v>0.99</v>
      </c>
      <c r="AE8" s="3">
        <f t="shared" si="5"/>
        <v>20</v>
      </c>
      <c r="AF8" s="3">
        <f t="shared" si="6"/>
        <v>3.5999999999999996</v>
      </c>
      <c r="AG8" s="11">
        <v>0</v>
      </c>
      <c r="AI8" s="2">
        <v>6</v>
      </c>
      <c r="AJ8" s="9">
        <v>0</v>
      </c>
      <c r="AK8" s="6">
        <f>+SUM($AJ$3:AJ8)</f>
        <v>0</v>
      </c>
      <c r="AL8" s="3">
        <f t="shared" si="7"/>
        <v>20</v>
      </c>
      <c r="AM8" s="3">
        <f t="shared" si="8"/>
        <v>0</v>
      </c>
      <c r="AN8" s="11">
        <v>0</v>
      </c>
    </row>
    <row r="9" spans="1:40" x14ac:dyDescent="0.3">
      <c r="G9" s="2">
        <v>7</v>
      </c>
      <c r="H9" s="8">
        <f>1-SUM(H3:H8)</f>
        <v>9.9999999999988987E-4</v>
      </c>
      <c r="I9" s="6">
        <f>+SUM($H$3:H9)</f>
        <v>1</v>
      </c>
      <c r="J9" s="15">
        <v>50</v>
      </c>
      <c r="K9" s="3">
        <f t="shared" si="0"/>
        <v>4.9999999999994493E-2</v>
      </c>
      <c r="L9" s="11">
        <v>0</v>
      </c>
      <c r="N9" s="2">
        <v>7</v>
      </c>
      <c r="O9" s="8">
        <f>1-SUM(O3:O8)</f>
        <v>5.9999999999999942E-2</v>
      </c>
      <c r="P9" s="6">
        <f>+SUM($O$3:O9)</f>
        <v>1</v>
      </c>
      <c r="Q9" s="3">
        <f t="shared" si="1"/>
        <v>50</v>
      </c>
      <c r="R9" s="3">
        <f t="shared" si="2"/>
        <v>2.9999999999999973</v>
      </c>
      <c r="S9" s="11">
        <v>0</v>
      </c>
      <c r="U9" s="2">
        <v>7</v>
      </c>
      <c r="V9" s="8">
        <f>1-SUM(V3:V8)</f>
        <v>8.0000000000000071E-2</v>
      </c>
      <c r="W9" s="6">
        <f>+SUM($V$3:V9)</f>
        <v>1</v>
      </c>
      <c r="X9" s="3">
        <f t="shared" si="3"/>
        <v>50</v>
      </c>
      <c r="Y9" s="3">
        <f t="shared" si="4"/>
        <v>4.0000000000000036</v>
      </c>
      <c r="Z9" s="11">
        <v>0</v>
      </c>
      <c r="AB9" s="2">
        <v>7</v>
      </c>
      <c r="AC9" s="8">
        <f>1-SUM(AC3:AC8)</f>
        <v>1.0000000000000009E-2</v>
      </c>
      <c r="AD9" s="6">
        <f>+SUM($AC$3:AC9)</f>
        <v>1</v>
      </c>
      <c r="AE9" s="3">
        <f t="shared" si="5"/>
        <v>50</v>
      </c>
      <c r="AF9" s="3">
        <f t="shared" si="6"/>
        <v>0.50000000000000044</v>
      </c>
      <c r="AG9" s="11">
        <v>0</v>
      </c>
      <c r="AI9" s="2">
        <v>7</v>
      </c>
      <c r="AJ9" s="8">
        <f>1-SUM(AJ3:AJ8)</f>
        <v>1</v>
      </c>
      <c r="AK9" s="6">
        <f>+SUM($AJ$3:AJ9)</f>
        <v>1</v>
      </c>
      <c r="AL9" s="3">
        <f t="shared" si="7"/>
        <v>50</v>
      </c>
      <c r="AM9" s="3">
        <f t="shared" si="8"/>
        <v>50</v>
      </c>
      <c r="AN9" s="11">
        <v>0</v>
      </c>
    </row>
    <row r="10" spans="1:40" x14ac:dyDescent="0.3">
      <c r="A10" s="14" t="s">
        <v>13</v>
      </c>
      <c r="G10" s="4" t="s">
        <v>6</v>
      </c>
      <c r="H10" s="4">
        <f>+SUM(H3:H9)</f>
        <v>1</v>
      </c>
      <c r="I10" s="4"/>
      <c r="J10" s="4"/>
      <c r="K10" s="5">
        <f>+SUM(K3:K9)</f>
        <v>3.3149999999999946</v>
      </c>
      <c r="L10" s="5"/>
      <c r="N10" s="4" t="s">
        <v>6</v>
      </c>
      <c r="O10" s="4">
        <f>+SUM(O3:O9)</f>
        <v>1</v>
      </c>
      <c r="P10" s="4"/>
      <c r="Q10" s="4"/>
      <c r="R10" s="5">
        <f>+SUM(R3:R9)</f>
        <v>8.2399999999999984</v>
      </c>
      <c r="S10" s="5"/>
      <c r="U10" s="4" t="s">
        <v>6</v>
      </c>
      <c r="V10" s="4">
        <f>+SUM(V3:V9)</f>
        <v>1</v>
      </c>
      <c r="W10" s="4"/>
      <c r="X10" s="4"/>
      <c r="Y10" s="5">
        <f>+SUM(Y3:Y9)</f>
        <v>10.050000000000004</v>
      </c>
      <c r="Z10" s="5"/>
      <c r="AB10" s="4" t="s">
        <v>6</v>
      </c>
      <c r="AC10" s="4">
        <f>+SUM(AC3:AC9)</f>
        <v>1</v>
      </c>
      <c r="AD10" s="4"/>
      <c r="AE10" s="4"/>
      <c r="AF10" s="5">
        <f>+SUM(AF3:AF9)</f>
        <v>11.27</v>
      </c>
      <c r="AG10" s="5"/>
      <c r="AI10" s="4" t="s">
        <v>6</v>
      </c>
      <c r="AJ10" s="4">
        <f>+SUM(AJ3:AJ9)</f>
        <v>1</v>
      </c>
      <c r="AK10" s="4"/>
      <c r="AL10" s="4"/>
      <c r="AM10" s="5">
        <f>+SUM(AM3:AM9)</f>
        <v>50</v>
      </c>
      <c r="AN10" s="5"/>
    </row>
    <row r="12" spans="1:40" x14ac:dyDescent="0.3">
      <c r="C12" s="1" t="s">
        <v>49</v>
      </c>
      <c r="D12" s="12">
        <v>0</v>
      </c>
    </row>
    <row r="13" spans="1:40" x14ac:dyDescent="0.3">
      <c r="C13" s="1" t="s">
        <v>10</v>
      </c>
      <c r="D13" s="12">
        <v>0</v>
      </c>
    </row>
    <row r="14" spans="1:40" x14ac:dyDescent="0.3">
      <c r="C14" s="1" t="s">
        <v>11</v>
      </c>
      <c r="D14" s="12">
        <v>0</v>
      </c>
    </row>
    <row r="17" spans="1:4" ht="15" thickBot="1" x14ac:dyDescent="0.35"/>
    <row r="18" spans="1:4" x14ac:dyDescent="0.3">
      <c r="A18" s="1" t="s">
        <v>59</v>
      </c>
      <c r="B18" s="1" t="s">
        <v>58</v>
      </c>
      <c r="D18" s="28" t="s">
        <v>16</v>
      </c>
    </row>
    <row r="19" spans="1:4" ht="15" thickBot="1" x14ac:dyDescent="0.35">
      <c r="A19" s="7" t="s">
        <v>54</v>
      </c>
      <c r="B19" s="12">
        <v>0</v>
      </c>
      <c r="D19" s="29">
        <v>1</v>
      </c>
    </row>
    <row r="20" spans="1:4" x14ac:dyDescent="0.3">
      <c r="A20" s="7" t="s">
        <v>55</v>
      </c>
      <c r="B20" s="12">
        <v>0</v>
      </c>
    </row>
    <row r="21" spans="1:4" x14ac:dyDescent="0.3">
      <c r="A21" s="7" t="s">
        <v>56</v>
      </c>
      <c r="B21" s="12">
        <v>0</v>
      </c>
    </row>
    <row r="22" spans="1:4" x14ac:dyDescent="0.3">
      <c r="A22" s="7" t="s">
        <v>57</v>
      </c>
      <c r="B22" s="12">
        <v>0</v>
      </c>
    </row>
    <row r="24" spans="1:4" x14ac:dyDescent="0.3">
      <c r="A24" s="1" t="s">
        <v>12</v>
      </c>
      <c r="B24" s="13">
        <f>IF(D13=0,0,+D14/D13)</f>
        <v>0</v>
      </c>
    </row>
    <row r="25" spans="1:4" x14ac:dyDescent="0.3">
      <c r="A25" s="1" t="s">
        <v>85</v>
      </c>
      <c r="B25" s="13">
        <f>IF(D12=0,0,+(SUMPRODUCT(L3:L9,J3:J9))/D12)</f>
        <v>0</v>
      </c>
    </row>
    <row r="26" spans="1:4" x14ac:dyDescent="0.3">
      <c r="A26" s="1" t="s">
        <v>86</v>
      </c>
      <c r="B26" s="13">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dxfId="76" priority="10" operator="lessThan">
      <formula>0</formula>
    </cfRule>
    <cfRule type="cellIs" dxfId="75" priority="11" operator="greaterThan">
      <formula>1</formula>
    </cfRule>
  </conditionalFormatting>
  <conditionalFormatting sqref="H3:H9 O3:O9 AJ3:AJ9 V3:V9 AC3:AC9">
    <cfRule type="cellIs" dxfId="74" priority="9" operator="equal">
      <formula>0</formula>
    </cfRule>
  </conditionalFormatting>
  <conditionalFormatting sqref="B3:B7">
    <cfRule type="cellIs" dxfId="73" priority="7" operator="greaterThan">
      <formula>1</formula>
    </cfRule>
    <cfRule type="cellIs" dxfId="72" priority="8" operator="lessThan">
      <formula>0</formula>
    </cfRule>
  </conditionalFormatting>
  <conditionalFormatting sqref="H3:H9">
    <cfRule type="cellIs" dxfId="71" priority="5" operator="lessThan">
      <formula>0</formula>
    </cfRule>
    <cfRule type="cellIs" dxfId="70" priority="6" operator="greaterThan">
      <formula>1</formula>
    </cfRule>
  </conditionalFormatting>
  <conditionalFormatting sqref="H3:H9">
    <cfRule type="cellIs" dxfId="69" priority="4" operator="equal">
      <formula>0</formula>
    </cfRule>
  </conditionalFormatting>
  <conditionalFormatting sqref="H3:H9">
    <cfRule type="cellIs" dxfId="68" priority="2" operator="lessThan">
      <formula>0</formula>
    </cfRule>
    <cfRule type="cellIs" dxfId="67" priority="3" operator="greaterThan">
      <formula>1</formula>
    </cfRule>
  </conditionalFormatting>
  <conditionalFormatting sqref="H3:H9">
    <cfRule type="cellIs" dxfId="66" priority="1" operator="equal">
      <formula>0</formula>
    </cfRule>
  </conditionalFormatting>
  <dataValidations count="1">
    <dataValidation type="list" allowBlank="1" showInputMessage="1" showErrorMessage="1" sqref="A10" xr:uid="{00000000-0002-0000-0600-000000000000}">
      <formula1>"Regular weapon,Special weapon 1,Special weapon 2,Special weapon 3,Plasma Gun"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hoot_enemy">
                <anchor moveWithCells="1" sizeWithCells="1">
                  <from>
                    <xdr:col>2</xdr:col>
                    <xdr:colOff>510540</xdr:colOff>
                    <xdr:row>7</xdr:row>
                    <xdr:rowOff>99060</xdr:rowOff>
                  </from>
                  <to>
                    <xdr:col>5</xdr:col>
                    <xdr:colOff>22860</xdr:colOff>
                    <xdr:row>10</xdr:row>
                    <xdr:rowOff>38100</xdr:rowOff>
                  </to>
                </anchor>
              </controlPr>
            </control>
          </mc:Choice>
        </mc:AlternateContent>
        <mc:AlternateContent xmlns:mc="http://schemas.openxmlformats.org/markup-compatibility/2006">
          <mc:Choice Requires="x14">
            <control shapeId="5122" r:id="rId5" name="Button 2">
              <controlPr defaultSize="0" print="0" autoFill="0" autoPict="0" macro="[0]!reset_sim_values">
                <anchor moveWithCells="1" sizeWithCells="1">
                  <from>
                    <xdr:col>0</xdr:col>
                    <xdr:colOff>601980</xdr:colOff>
                    <xdr:row>12</xdr:row>
                    <xdr:rowOff>60960</xdr:rowOff>
                  </from>
                  <to>
                    <xdr:col>1</xdr:col>
                    <xdr:colOff>22860</xdr:colOff>
                    <xdr:row>14</xdr:row>
                    <xdr:rowOff>99060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5"/>
  <dimension ref="A1:AN26"/>
  <sheetViews>
    <sheetView workbookViewId="0">
      <pane xSplit="6" ySplit="1" topLeftCell="G2" activePane="bottomRight" state="frozen"/>
      <selection pane="topRight" activeCell="G1" sqref="G1"/>
      <selection pane="bottomLeft" activeCell="A2" sqref="A2"/>
      <selection pane="bottomRight" activeCell="C2" sqref="C2"/>
    </sheetView>
  </sheetViews>
  <sheetFormatPr defaultColWidth="11.5546875" defaultRowHeight="14.4" x14ac:dyDescent="0.3"/>
  <cols>
    <col min="1" max="1" width="31.6640625" customWidth="1"/>
    <col min="3" max="3" width="17.21875" bestFit="1" customWidth="1"/>
    <col min="4" max="4" width="9.21875" customWidth="1"/>
    <col min="5" max="5" width="7.21875" customWidth="1"/>
    <col min="6" max="6" width="14.33203125" customWidth="1"/>
    <col min="9" max="9" width="16.21875" customWidth="1"/>
  </cols>
  <sheetData>
    <row r="1" spans="1:40" x14ac:dyDescent="0.3">
      <c r="A1" s="1" t="s">
        <v>88</v>
      </c>
      <c r="G1" s="118" t="s">
        <v>14</v>
      </c>
      <c r="H1" s="119"/>
      <c r="I1" s="119"/>
      <c r="J1" s="119"/>
      <c r="K1" s="119"/>
      <c r="L1" s="119"/>
      <c r="N1" s="118" t="s">
        <v>20</v>
      </c>
      <c r="O1" s="119"/>
      <c r="P1" s="119"/>
      <c r="Q1" s="119"/>
      <c r="R1" s="119"/>
      <c r="S1" s="119"/>
      <c r="U1" s="118" t="s">
        <v>19</v>
      </c>
      <c r="V1" s="119"/>
      <c r="W1" s="119"/>
      <c r="X1" s="119"/>
      <c r="Y1" s="119"/>
      <c r="Z1" s="119"/>
      <c r="AB1" s="118" t="s">
        <v>18</v>
      </c>
      <c r="AC1" s="119"/>
      <c r="AD1" s="119"/>
      <c r="AE1" s="119"/>
      <c r="AF1" s="119"/>
      <c r="AG1" s="119"/>
      <c r="AI1" s="118" t="s">
        <v>21</v>
      </c>
      <c r="AJ1" s="119"/>
      <c r="AK1" s="119"/>
      <c r="AL1" s="119"/>
      <c r="AM1" s="119"/>
      <c r="AN1" s="119"/>
    </row>
    <row r="2" spans="1:40" x14ac:dyDescent="0.3">
      <c r="A2" s="1"/>
      <c r="B2" s="1" t="s">
        <v>15</v>
      </c>
      <c r="C2" s="1" t="s">
        <v>161</v>
      </c>
      <c r="D2" s="1" t="s">
        <v>5</v>
      </c>
      <c r="E2" s="1" t="s">
        <v>7</v>
      </c>
      <c r="G2" s="1" t="s">
        <v>1</v>
      </c>
      <c r="H2" s="1" t="s">
        <v>2</v>
      </c>
      <c r="I2" s="1" t="s">
        <v>3</v>
      </c>
      <c r="J2" s="1" t="s">
        <v>4</v>
      </c>
      <c r="K2" s="1" t="s">
        <v>5</v>
      </c>
      <c r="L2" s="1" t="s">
        <v>9</v>
      </c>
      <c r="N2" s="1" t="s">
        <v>1</v>
      </c>
      <c r="O2" s="1" t="s">
        <v>2</v>
      </c>
      <c r="P2" s="1" t="s">
        <v>3</v>
      </c>
      <c r="Q2" s="1" t="s">
        <v>4</v>
      </c>
      <c r="R2" s="1" t="s">
        <v>5</v>
      </c>
      <c r="S2" s="1" t="s">
        <v>9</v>
      </c>
      <c r="U2" s="1" t="s">
        <v>1</v>
      </c>
      <c r="V2" s="1" t="s">
        <v>2</v>
      </c>
      <c r="W2" s="1" t="s">
        <v>3</v>
      </c>
      <c r="X2" s="1" t="s">
        <v>4</v>
      </c>
      <c r="Y2" s="1" t="s">
        <v>5</v>
      </c>
      <c r="Z2" s="1" t="s">
        <v>9</v>
      </c>
      <c r="AB2" s="1" t="s">
        <v>1</v>
      </c>
      <c r="AC2" s="1" t="s">
        <v>2</v>
      </c>
      <c r="AD2" s="1" t="s">
        <v>3</v>
      </c>
      <c r="AE2" s="1" t="s">
        <v>4</v>
      </c>
      <c r="AF2" s="1" t="s">
        <v>5</v>
      </c>
      <c r="AG2" s="1" t="s">
        <v>9</v>
      </c>
      <c r="AI2" s="1" t="s">
        <v>1</v>
      </c>
      <c r="AJ2" s="1" t="s">
        <v>2</v>
      </c>
      <c r="AK2" s="1" t="s">
        <v>3</v>
      </c>
      <c r="AL2" s="1" t="s">
        <v>4</v>
      </c>
      <c r="AM2" s="1" t="s">
        <v>5</v>
      </c>
      <c r="AN2" s="1" t="s">
        <v>9</v>
      </c>
    </row>
    <row r="3" spans="1:40" x14ac:dyDescent="0.3">
      <c r="A3" s="7" t="s">
        <v>50</v>
      </c>
      <c r="B3" s="7">
        <f>+E3/D3</f>
        <v>0.16637033274066576</v>
      </c>
      <c r="C3" s="7">
        <f>1/B3/Summary!$C$7</f>
        <v>6.0106870229007531E-3</v>
      </c>
      <c r="D3" s="71">
        <f>+K10</f>
        <v>3.9369999999999936</v>
      </c>
      <c r="E3" s="7">
        <v>0.65500000000000003</v>
      </c>
      <c r="G3" s="2">
        <v>1</v>
      </c>
      <c r="H3" s="9">
        <v>0.55600000000000005</v>
      </c>
      <c r="I3" s="6">
        <f>+SUM($H3:H3)</f>
        <v>0.55600000000000005</v>
      </c>
      <c r="J3" s="15">
        <v>3</v>
      </c>
      <c r="K3" s="3">
        <f>+H3*J3</f>
        <v>1.6680000000000001</v>
      </c>
      <c r="L3" s="11">
        <v>0</v>
      </c>
      <c r="N3" s="2">
        <v>1</v>
      </c>
      <c r="O3" s="9">
        <v>0.1</v>
      </c>
      <c r="P3" s="6">
        <f>+SUM($O3:O$3)</f>
        <v>0.1</v>
      </c>
      <c r="Q3" s="3">
        <f>+J3</f>
        <v>3</v>
      </c>
      <c r="R3" s="3">
        <f>+O3*Q3</f>
        <v>0.30000000000000004</v>
      </c>
      <c r="S3" s="11">
        <v>0</v>
      </c>
      <c r="U3" s="2">
        <v>1</v>
      </c>
      <c r="V3" s="9">
        <v>0.1</v>
      </c>
      <c r="W3" s="6">
        <f>+SUM($V3:V$3)</f>
        <v>0.1</v>
      </c>
      <c r="X3" s="3">
        <f>+J3</f>
        <v>3</v>
      </c>
      <c r="Y3" s="3">
        <f>+V3*X3</f>
        <v>0.30000000000000004</v>
      </c>
      <c r="Z3" s="11">
        <v>0</v>
      </c>
      <c r="AB3" s="2">
        <v>1</v>
      </c>
      <c r="AC3" s="9">
        <v>0</v>
      </c>
      <c r="AD3" s="6">
        <f>+SUM($AC$3:AC3)</f>
        <v>0</v>
      </c>
      <c r="AE3" s="3">
        <f>+J3</f>
        <v>3</v>
      </c>
      <c r="AF3" s="3">
        <f>+AC3*AE3</f>
        <v>0</v>
      </c>
      <c r="AG3" s="11">
        <v>0</v>
      </c>
      <c r="AI3" s="2">
        <v>1</v>
      </c>
      <c r="AJ3" s="9">
        <v>0</v>
      </c>
      <c r="AK3" s="6">
        <f>+SUM($AJ$3:AJ3)</f>
        <v>0</v>
      </c>
      <c r="AL3" s="3">
        <f>+J3</f>
        <v>3</v>
      </c>
      <c r="AM3" s="3">
        <f>+AJ3*AL3</f>
        <v>0</v>
      </c>
      <c r="AN3" s="11">
        <v>0</v>
      </c>
    </row>
    <row r="4" spans="1:40" x14ac:dyDescent="0.3">
      <c r="A4" s="7" t="s">
        <v>146</v>
      </c>
      <c r="B4" s="7">
        <f>+E4/D4</f>
        <v>0.50864699898270616</v>
      </c>
      <c r="C4" s="7">
        <v>0</v>
      </c>
      <c r="D4" s="16">
        <f>+R10</f>
        <v>9.8299999999999965</v>
      </c>
      <c r="E4" s="7">
        <v>5</v>
      </c>
      <c r="G4" s="2">
        <v>2</v>
      </c>
      <c r="H4" s="9">
        <v>0.28999999999999998</v>
      </c>
      <c r="I4" s="6">
        <f>+SUM($H$3:H4)</f>
        <v>0.84600000000000009</v>
      </c>
      <c r="J4" s="15">
        <v>4</v>
      </c>
      <c r="K4" s="3">
        <f t="shared" ref="K4:K9" si="0">+H4*J4</f>
        <v>1.1599999999999999</v>
      </c>
      <c r="L4" s="11">
        <v>0</v>
      </c>
      <c r="N4" s="2">
        <v>2</v>
      </c>
      <c r="O4" s="9">
        <v>0.2</v>
      </c>
      <c r="P4" s="6">
        <f>+SUM($O$3:O4)</f>
        <v>0.30000000000000004</v>
      </c>
      <c r="Q4" s="3">
        <f t="shared" ref="Q4:Q9" si="1">+J4</f>
        <v>4</v>
      </c>
      <c r="R4" s="3">
        <f t="shared" ref="R4:R9" si="2">+O4*Q4</f>
        <v>0.8</v>
      </c>
      <c r="S4" s="11">
        <v>0</v>
      </c>
      <c r="U4" s="2">
        <v>2</v>
      </c>
      <c r="V4" s="9">
        <v>0.25</v>
      </c>
      <c r="W4" s="6">
        <f>+SUM($V$3:V4)</f>
        <v>0.35</v>
      </c>
      <c r="X4" s="3">
        <f t="shared" ref="X4:X9" si="3">+J4</f>
        <v>4</v>
      </c>
      <c r="Y4" s="3">
        <f t="shared" ref="Y4:Y9" si="4">+V4*X4</f>
        <v>1</v>
      </c>
      <c r="Z4" s="11">
        <v>0</v>
      </c>
      <c r="AB4" s="2">
        <v>2</v>
      </c>
      <c r="AC4" s="9">
        <v>0</v>
      </c>
      <c r="AD4" s="6">
        <f>+SUM($AC$3:AC4)</f>
        <v>0</v>
      </c>
      <c r="AE4" s="3">
        <f t="shared" ref="AE4:AE9" si="5">+J4</f>
        <v>4</v>
      </c>
      <c r="AF4" s="3">
        <f t="shared" ref="AF4:AF9" si="6">+AC4*AE4</f>
        <v>0</v>
      </c>
      <c r="AG4" s="11">
        <v>0</v>
      </c>
      <c r="AI4" s="2">
        <v>2</v>
      </c>
      <c r="AJ4" s="9">
        <v>0</v>
      </c>
      <c r="AK4" s="6">
        <f>+SUM($AJ$3:AJ4)</f>
        <v>0</v>
      </c>
      <c r="AL4" s="3">
        <f t="shared" ref="AL4:AL9" si="7">+J4</f>
        <v>4</v>
      </c>
      <c r="AM4" s="3">
        <f t="shared" ref="AM4:AM9" si="8">+AJ4*AL4</f>
        <v>0</v>
      </c>
      <c r="AN4" s="11">
        <v>0</v>
      </c>
    </row>
    <row r="5" spans="1:40" x14ac:dyDescent="0.3">
      <c r="A5" s="7" t="s">
        <v>51</v>
      </c>
      <c r="B5" s="7">
        <f>+E5/D5</f>
        <v>0.66390041493775909</v>
      </c>
      <c r="C5" s="7">
        <v>0</v>
      </c>
      <c r="D5" s="16">
        <f>+Y10</f>
        <v>12.050000000000004</v>
      </c>
      <c r="E5" s="7">
        <v>8</v>
      </c>
      <c r="G5" s="2">
        <v>3</v>
      </c>
      <c r="H5" s="9">
        <v>0.1</v>
      </c>
      <c r="I5" s="6">
        <f>+SUM($H$3:H5)</f>
        <v>0.94600000000000006</v>
      </c>
      <c r="J5" s="15">
        <v>6</v>
      </c>
      <c r="K5" s="3">
        <f t="shared" si="0"/>
        <v>0.60000000000000009</v>
      </c>
      <c r="L5" s="11">
        <v>0</v>
      </c>
      <c r="N5" s="2">
        <v>3</v>
      </c>
      <c r="O5" s="9">
        <v>0.28000000000000003</v>
      </c>
      <c r="P5" s="6">
        <f>+SUM($O$3:O5)</f>
        <v>0.58000000000000007</v>
      </c>
      <c r="Q5" s="3">
        <f t="shared" si="1"/>
        <v>6</v>
      </c>
      <c r="R5" s="3">
        <f t="shared" si="2"/>
        <v>1.6800000000000002</v>
      </c>
      <c r="S5" s="11">
        <v>0</v>
      </c>
      <c r="U5" s="2">
        <v>3</v>
      </c>
      <c r="V5" s="9">
        <v>0.23</v>
      </c>
      <c r="W5" s="6">
        <f>+SUM($V$3:V5)</f>
        <v>0.57999999999999996</v>
      </c>
      <c r="X5" s="3">
        <f t="shared" si="3"/>
        <v>6</v>
      </c>
      <c r="Y5" s="3">
        <f t="shared" si="4"/>
        <v>1.3800000000000001</v>
      </c>
      <c r="Z5" s="11">
        <v>0</v>
      </c>
      <c r="AB5" s="2">
        <v>3</v>
      </c>
      <c r="AC5" s="9">
        <v>0.03</v>
      </c>
      <c r="AD5" s="6">
        <f>+SUM($AC$3:AC5)</f>
        <v>0.03</v>
      </c>
      <c r="AE5" s="3">
        <f t="shared" si="5"/>
        <v>6</v>
      </c>
      <c r="AF5" s="3">
        <f t="shared" si="6"/>
        <v>0.18</v>
      </c>
      <c r="AG5" s="11">
        <v>0</v>
      </c>
      <c r="AI5" s="2">
        <v>3</v>
      </c>
      <c r="AJ5" s="9">
        <v>0</v>
      </c>
      <c r="AK5" s="6">
        <f>+SUM($AJ$3:AJ5)</f>
        <v>0</v>
      </c>
      <c r="AL5" s="3">
        <f t="shared" si="7"/>
        <v>6</v>
      </c>
      <c r="AM5" s="3">
        <f t="shared" si="8"/>
        <v>0</v>
      </c>
      <c r="AN5" s="11">
        <v>0</v>
      </c>
    </row>
    <row r="6" spans="1:40" x14ac:dyDescent="0.3">
      <c r="A6" s="7" t="s">
        <v>52</v>
      </c>
      <c r="B6" s="7">
        <f>+E6/D6</f>
        <v>0.75700227100681328</v>
      </c>
      <c r="C6" s="7">
        <v>0</v>
      </c>
      <c r="D6" s="16">
        <f>+AF10</f>
        <v>13.209999999999996</v>
      </c>
      <c r="E6" s="7">
        <v>10</v>
      </c>
      <c r="G6" s="2">
        <v>4</v>
      </c>
      <c r="H6" s="9">
        <v>0.05</v>
      </c>
      <c r="I6" s="6">
        <f>+SUM($H$3:H6)</f>
        <v>0.99600000000000011</v>
      </c>
      <c r="J6" s="15">
        <v>8</v>
      </c>
      <c r="K6" s="3">
        <f t="shared" si="0"/>
        <v>0.4</v>
      </c>
      <c r="L6" s="11">
        <v>0</v>
      </c>
      <c r="N6" s="2">
        <v>4</v>
      </c>
      <c r="O6" s="9">
        <v>0.25</v>
      </c>
      <c r="P6" s="6">
        <f>+SUM($O$3:O6)</f>
        <v>0.83000000000000007</v>
      </c>
      <c r="Q6" s="3">
        <f t="shared" si="1"/>
        <v>8</v>
      </c>
      <c r="R6" s="3">
        <f t="shared" si="2"/>
        <v>2</v>
      </c>
      <c r="S6" s="11">
        <v>0</v>
      </c>
      <c r="U6" s="2">
        <v>4</v>
      </c>
      <c r="V6" s="9">
        <v>0.17</v>
      </c>
      <c r="W6" s="6">
        <f>+SUM($V$3:V6)</f>
        <v>0.75</v>
      </c>
      <c r="X6" s="3">
        <f t="shared" si="3"/>
        <v>8</v>
      </c>
      <c r="Y6" s="3">
        <f t="shared" si="4"/>
        <v>1.36</v>
      </c>
      <c r="Z6" s="11">
        <v>0</v>
      </c>
      <c r="AB6" s="2">
        <v>4</v>
      </c>
      <c r="AC6" s="9">
        <v>0.26</v>
      </c>
      <c r="AD6" s="6">
        <f>+SUM($AC$3:AC6)</f>
        <v>0.29000000000000004</v>
      </c>
      <c r="AE6" s="3">
        <f t="shared" si="5"/>
        <v>8</v>
      </c>
      <c r="AF6" s="3">
        <f t="shared" si="6"/>
        <v>2.08</v>
      </c>
      <c r="AG6" s="11">
        <v>0</v>
      </c>
      <c r="AI6" s="2">
        <v>4</v>
      </c>
      <c r="AJ6" s="9">
        <v>0</v>
      </c>
      <c r="AK6" s="6">
        <f>+SUM($AJ$3:AJ6)</f>
        <v>0</v>
      </c>
      <c r="AL6" s="3">
        <f t="shared" si="7"/>
        <v>8</v>
      </c>
      <c r="AM6" s="3">
        <f t="shared" si="8"/>
        <v>0</v>
      </c>
      <c r="AN6" s="11">
        <v>0</v>
      </c>
    </row>
    <row r="7" spans="1:40" x14ac:dyDescent="0.3">
      <c r="A7" s="7" t="s">
        <v>53</v>
      </c>
      <c r="B7" s="7">
        <f>+E7/D7</f>
        <v>0.94250706880301593</v>
      </c>
      <c r="C7" s="7">
        <v>0</v>
      </c>
      <c r="D7" s="16">
        <f>+AM10</f>
        <v>53.050000000000004</v>
      </c>
      <c r="E7" s="7">
        <v>50</v>
      </c>
      <c r="G7" s="2">
        <v>5</v>
      </c>
      <c r="H7" s="9">
        <v>2E-3</v>
      </c>
      <c r="I7" s="6">
        <f>+SUM($H$3:H7)</f>
        <v>0.99800000000000011</v>
      </c>
      <c r="J7" s="15">
        <v>12</v>
      </c>
      <c r="K7" s="3">
        <f t="shared" si="0"/>
        <v>2.4E-2</v>
      </c>
      <c r="L7" s="11">
        <v>0</v>
      </c>
      <c r="N7" s="2">
        <v>5</v>
      </c>
      <c r="O7" s="9">
        <v>0.1</v>
      </c>
      <c r="P7" s="6">
        <f>+SUM($O$3:O7)</f>
        <v>0.93</v>
      </c>
      <c r="Q7" s="3">
        <f t="shared" si="1"/>
        <v>12</v>
      </c>
      <c r="R7" s="3">
        <f t="shared" si="2"/>
        <v>1.2000000000000002</v>
      </c>
      <c r="S7" s="11">
        <v>0</v>
      </c>
      <c r="U7" s="2">
        <v>5</v>
      </c>
      <c r="V7" s="9">
        <v>0.08</v>
      </c>
      <c r="W7" s="6">
        <f>+SUM($V$3:V7)</f>
        <v>0.83</v>
      </c>
      <c r="X7" s="3">
        <f t="shared" si="3"/>
        <v>12</v>
      </c>
      <c r="Y7" s="3">
        <f t="shared" si="4"/>
        <v>0.96</v>
      </c>
      <c r="Z7" s="11">
        <v>0</v>
      </c>
      <c r="AB7" s="2">
        <v>5</v>
      </c>
      <c r="AC7" s="9">
        <v>0.55000000000000004</v>
      </c>
      <c r="AD7" s="6">
        <f>+SUM($AC$3:AC7)</f>
        <v>0.84000000000000008</v>
      </c>
      <c r="AE7" s="3">
        <f t="shared" si="5"/>
        <v>12</v>
      </c>
      <c r="AF7" s="3">
        <f t="shared" si="6"/>
        <v>6.6000000000000005</v>
      </c>
      <c r="AG7" s="11">
        <v>0</v>
      </c>
      <c r="AI7" s="2">
        <v>5</v>
      </c>
      <c r="AJ7" s="9">
        <v>0.05</v>
      </c>
      <c r="AK7" s="6">
        <f>+SUM($AJ$3:AJ7)</f>
        <v>0.05</v>
      </c>
      <c r="AL7" s="3">
        <f t="shared" si="7"/>
        <v>12</v>
      </c>
      <c r="AM7" s="3">
        <f t="shared" si="8"/>
        <v>0.60000000000000009</v>
      </c>
      <c r="AN7" s="11">
        <v>0</v>
      </c>
    </row>
    <row r="8" spans="1:40" x14ac:dyDescent="0.3">
      <c r="A8" s="7" t="s">
        <v>0</v>
      </c>
      <c r="B8" s="10" t="str">
        <f>+CONCATENATE("x",J3," - x",J9)</f>
        <v>x3 - x60</v>
      </c>
      <c r="G8" s="2">
        <v>6</v>
      </c>
      <c r="H8" s="9">
        <v>1E-3</v>
      </c>
      <c r="I8" s="6">
        <f>+SUM($H$3:H8)</f>
        <v>0.99900000000000011</v>
      </c>
      <c r="J8" s="15">
        <v>25</v>
      </c>
      <c r="K8" s="3">
        <f t="shared" si="0"/>
        <v>2.5000000000000001E-2</v>
      </c>
      <c r="L8" s="11">
        <v>0</v>
      </c>
      <c r="N8" s="2">
        <v>6</v>
      </c>
      <c r="O8" s="9">
        <v>0.01</v>
      </c>
      <c r="P8" s="6">
        <f>+SUM($O$3:O8)</f>
        <v>0.94000000000000006</v>
      </c>
      <c r="Q8" s="3">
        <f t="shared" si="1"/>
        <v>25</v>
      </c>
      <c r="R8" s="3">
        <f t="shared" si="2"/>
        <v>0.25</v>
      </c>
      <c r="S8" s="11">
        <v>0</v>
      </c>
      <c r="U8" s="2">
        <v>6</v>
      </c>
      <c r="V8" s="9">
        <v>0.09</v>
      </c>
      <c r="W8" s="6">
        <f>+SUM($V$3:V8)</f>
        <v>0.91999999999999993</v>
      </c>
      <c r="X8" s="3">
        <f t="shared" si="3"/>
        <v>25</v>
      </c>
      <c r="Y8" s="3">
        <f t="shared" si="4"/>
        <v>2.25</v>
      </c>
      <c r="Z8" s="11">
        <v>0</v>
      </c>
      <c r="AB8" s="2">
        <v>6</v>
      </c>
      <c r="AC8" s="9">
        <v>0.15</v>
      </c>
      <c r="AD8" s="6">
        <f>+SUM($AC$3:AC8)</f>
        <v>0.9900000000000001</v>
      </c>
      <c r="AE8" s="3">
        <f t="shared" si="5"/>
        <v>25</v>
      </c>
      <c r="AF8" s="3">
        <f t="shared" si="6"/>
        <v>3.75</v>
      </c>
      <c r="AG8" s="11">
        <v>0</v>
      </c>
      <c r="AI8" s="2">
        <v>6</v>
      </c>
      <c r="AJ8" s="9">
        <v>0.13</v>
      </c>
      <c r="AK8" s="6">
        <f>+SUM($AJ$3:AJ8)</f>
        <v>0.18</v>
      </c>
      <c r="AL8" s="3">
        <f t="shared" si="7"/>
        <v>25</v>
      </c>
      <c r="AM8" s="3">
        <f t="shared" si="8"/>
        <v>3.25</v>
      </c>
      <c r="AN8" s="11">
        <v>0</v>
      </c>
    </row>
    <row r="9" spans="1:40" x14ac:dyDescent="0.3">
      <c r="G9" s="2">
        <v>7</v>
      </c>
      <c r="H9" s="8">
        <f>1-SUM(H3:H8)</f>
        <v>9.9999999999988987E-4</v>
      </c>
      <c r="I9" s="6">
        <f>+SUM($H$3:H9)</f>
        <v>1</v>
      </c>
      <c r="J9" s="15">
        <v>60</v>
      </c>
      <c r="K9" s="3">
        <f t="shared" si="0"/>
        <v>5.9999999999993392E-2</v>
      </c>
      <c r="L9" s="11">
        <v>0</v>
      </c>
      <c r="N9" s="2">
        <v>7</v>
      </c>
      <c r="O9" s="8">
        <f>1-SUM(O3:O8)</f>
        <v>5.9999999999999942E-2</v>
      </c>
      <c r="P9" s="6">
        <f>+SUM($O$3:O9)</f>
        <v>1</v>
      </c>
      <c r="Q9" s="3">
        <f t="shared" si="1"/>
        <v>60</v>
      </c>
      <c r="R9" s="3">
        <f t="shared" si="2"/>
        <v>3.5999999999999965</v>
      </c>
      <c r="S9" s="11">
        <v>0</v>
      </c>
      <c r="U9" s="2">
        <v>7</v>
      </c>
      <c r="V9" s="8">
        <f>1-SUM(V3:V8)</f>
        <v>8.0000000000000071E-2</v>
      </c>
      <c r="W9" s="6">
        <f>+SUM($V$3:V9)</f>
        <v>1</v>
      </c>
      <c r="X9" s="3">
        <f t="shared" si="3"/>
        <v>60</v>
      </c>
      <c r="Y9" s="3">
        <f t="shared" si="4"/>
        <v>4.8000000000000043</v>
      </c>
      <c r="Z9" s="11">
        <v>0</v>
      </c>
      <c r="AB9" s="2">
        <v>7</v>
      </c>
      <c r="AC9" s="8">
        <f>1-SUM(AC3:AC8)</f>
        <v>9.9999999999998979E-3</v>
      </c>
      <c r="AD9" s="6">
        <f>+SUM($AC$3:AC9)</f>
        <v>1</v>
      </c>
      <c r="AE9" s="3">
        <f t="shared" si="5"/>
        <v>60</v>
      </c>
      <c r="AF9" s="3">
        <f t="shared" si="6"/>
        <v>0.59999999999999387</v>
      </c>
      <c r="AG9" s="11">
        <v>0</v>
      </c>
      <c r="AI9" s="2">
        <v>7</v>
      </c>
      <c r="AJ9" s="8">
        <f>1-SUM(AJ3:AJ8)</f>
        <v>0.82000000000000006</v>
      </c>
      <c r="AK9" s="6">
        <f>+SUM($AJ$3:AJ9)</f>
        <v>1</v>
      </c>
      <c r="AL9" s="3">
        <f t="shared" si="7"/>
        <v>60</v>
      </c>
      <c r="AM9" s="3">
        <f t="shared" si="8"/>
        <v>49.2</v>
      </c>
      <c r="AN9" s="11">
        <v>0</v>
      </c>
    </row>
    <row r="10" spans="1:40" x14ac:dyDescent="0.3">
      <c r="A10" s="14" t="s">
        <v>13</v>
      </c>
      <c r="G10" s="4" t="s">
        <v>6</v>
      </c>
      <c r="H10" s="4">
        <f>+SUM(H3:H9)</f>
        <v>1</v>
      </c>
      <c r="I10" s="4"/>
      <c r="J10" s="4"/>
      <c r="K10" s="5">
        <f>+SUM(K3:K9)</f>
        <v>3.9369999999999936</v>
      </c>
      <c r="L10" s="5"/>
      <c r="N10" s="4" t="s">
        <v>6</v>
      </c>
      <c r="O10" s="4">
        <f>+SUM(O3:O9)</f>
        <v>1</v>
      </c>
      <c r="P10" s="4"/>
      <c r="Q10" s="4"/>
      <c r="R10" s="5">
        <f>+SUM(R3:R9)</f>
        <v>9.8299999999999965</v>
      </c>
      <c r="S10" s="5"/>
      <c r="U10" s="4" t="s">
        <v>6</v>
      </c>
      <c r="V10" s="4">
        <f>+SUM(V3:V9)</f>
        <v>1</v>
      </c>
      <c r="W10" s="4"/>
      <c r="X10" s="4"/>
      <c r="Y10" s="5">
        <f>+SUM(Y3:Y9)</f>
        <v>12.050000000000004</v>
      </c>
      <c r="Z10" s="5"/>
      <c r="AB10" s="4" t="s">
        <v>6</v>
      </c>
      <c r="AC10" s="4">
        <f>+SUM(AC3:AC9)</f>
        <v>1</v>
      </c>
      <c r="AD10" s="4"/>
      <c r="AE10" s="4"/>
      <c r="AF10" s="5">
        <f>+SUM(AF3:AF9)</f>
        <v>13.209999999999996</v>
      </c>
      <c r="AG10" s="5"/>
      <c r="AI10" s="4" t="s">
        <v>6</v>
      </c>
      <c r="AJ10" s="4">
        <f>+SUM(AJ3:AJ9)</f>
        <v>1</v>
      </c>
      <c r="AK10" s="4"/>
      <c r="AL10" s="4"/>
      <c r="AM10" s="5">
        <f>+SUM(AM3:AM9)</f>
        <v>53.050000000000004</v>
      </c>
      <c r="AN10" s="5"/>
    </row>
    <row r="12" spans="1:40" x14ac:dyDescent="0.3">
      <c r="C12" s="1" t="s">
        <v>49</v>
      </c>
      <c r="D12" s="12">
        <v>0</v>
      </c>
    </row>
    <row r="13" spans="1:40" x14ac:dyDescent="0.3">
      <c r="C13" s="1" t="s">
        <v>10</v>
      </c>
      <c r="D13" s="12">
        <v>0</v>
      </c>
    </row>
    <row r="14" spans="1:40" x14ac:dyDescent="0.3">
      <c r="C14" s="1" t="s">
        <v>11</v>
      </c>
      <c r="D14" s="12">
        <v>0</v>
      </c>
    </row>
    <row r="17" spans="1:4" ht="15" thickBot="1" x14ac:dyDescent="0.35"/>
    <row r="18" spans="1:4" x14ac:dyDescent="0.3">
      <c r="A18" s="1" t="s">
        <v>59</v>
      </c>
      <c r="B18" s="1" t="s">
        <v>58</v>
      </c>
      <c r="D18" s="28" t="s">
        <v>16</v>
      </c>
    </row>
    <row r="19" spans="1:4" ht="15" thickBot="1" x14ac:dyDescent="0.35">
      <c r="A19" s="7" t="s">
        <v>54</v>
      </c>
      <c r="B19" s="12">
        <v>0</v>
      </c>
      <c r="D19" s="29">
        <v>1</v>
      </c>
    </row>
    <row r="20" spans="1:4" x14ac:dyDescent="0.3">
      <c r="A20" s="7" t="s">
        <v>55</v>
      </c>
      <c r="B20" s="12">
        <v>0</v>
      </c>
    </row>
    <row r="21" spans="1:4" x14ac:dyDescent="0.3">
      <c r="A21" s="7" t="s">
        <v>56</v>
      </c>
      <c r="B21" s="12">
        <v>0</v>
      </c>
    </row>
    <row r="22" spans="1:4" x14ac:dyDescent="0.3">
      <c r="A22" s="7" t="s">
        <v>57</v>
      </c>
      <c r="B22" s="12">
        <v>0</v>
      </c>
    </row>
    <row r="24" spans="1:4" x14ac:dyDescent="0.3">
      <c r="A24" s="1" t="s">
        <v>12</v>
      </c>
      <c r="B24" s="13">
        <f>IF(D13=0,0,+D14/D13)</f>
        <v>0</v>
      </c>
    </row>
    <row r="25" spans="1:4" x14ac:dyDescent="0.3">
      <c r="A25" s="1" t="s">
        <v>85</v>
      </c>
      <c r="B25" s="13">
        <f>IF(D12=0,0,+(SUMPRODUCT(L3:L9,J3:J9))/D12)</f>
        <v>0</v>
      </c>
    </row>
    <row r="26" spans="1:4" x14ac:dyDescent="0.3">
      <c r="A26" s="1" t="s">
        <v>86</v>
      </c>
      <c r="B26" s="13">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dxfId="65" priority="4" operator="lessThan">
      <formula>0</formula>
    </cfRule>
    <cfRule type="cellIs" dxfId="64" priority="5" operator="greaterThan">
      <formula>1</formula>
    </cfRule>
  </conditionalFormatting>
  <conditionalFormatting sqref="H3:H9 O3:O9 AJ3:AJ9 V3:V9 AC3:AC9">
    <cfRule type="cellIs" dxfId="63" priority="3" operator="equal">
      <formula>0</formula>
    </cfRule>
  </conditionalFormatting>
  <conditionalFormatting sqref="B3:B7">
    <cfRule type="cellIs" dxfId="62" priority="1" operator="greaterThan">
      <formula>1</formula>
    </cfRule>
    <cfRule type="cellIs" dxfId="61" priority="2" operator="lessThan">
      <formula>0</formula>
    </cfRule>
  </conditionalFormatting>
  <dataValidations count="1">
    <dataValidation type="list" allowBlank="1" showInputMessage="1" showErrorMessage="1" sqref="A10" xr:uid="{00000000-0002-0000-0700-000000000000}">
      <formula1>"Regular weapon,Special weapon 1,Special weapon 2,Special weapon 3,Plasma Gun"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hoot_enemy">
                <anchor moveWithCells="1" sizeWithCells="1">
                  <from>
                    <xdr:col>2</xdr:col>
                    <xdr:colOff>510540</xdr:colOff>
                    <xdr:row>7</xdr:row>
                    <xdr:rowOff>99060</xdr:rowOff>
                  </from>
                  <to>
                    <xdr:col>5</xdr:col>
                    <xdr:colOff>22860</xdr:colOff>
                    <xdr:row>10</xdr:row>
                    <xdr:rowOff>38100</xdr:rowOff>
                  </to>
                </anchor>
              </controlPr>
            </control>
          </mc:Choice>
        </mc:AlternateContent>
        <mc:AlternateContent xmlns:mc="http://schemas.openxmlformats.org/markup-compatibility/2006">
          <mc:Choice Requires="x14">
            <control shapeId="6146" r:id="rId5" name="Button 2">
              <controlPr defaultSize="0" print="0" autoFill="0" autoPict="0" macro="[0]!reset_sim_values">
                <anchor moveWithCells="1" sizeWithCells="1">
                  <from>
                    <xdr:col>0</xdr:col>
                    <xdr:colOff>601980</xdr:colOff>
                    <xdr:row>12</xdr:row>
                    <xdr:rowOff>60960</xdr:rowOff>
                  </from>
                  <to>
                    <xdr:col>1</xdr:col>
                    <xdr:colOff>22860</xdr:colOff>
                    <xdr:row>14</xdr:row>
                    <xdr:rowOff>99060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6"/>
  <dimension ref="A1:AN26"/>
  <sheetViews>
    <sheetView workbookViewId="0">
      <pane xSplit="6" ySplit="1" topLeftCell="AE2" activePane="bottomRight" state="frozen"/>
      <selection pane="topRight" activeCell="G1" sqref="G1"/>
      <selection pane="bottomLeft" activeCell="A2" sqref="A2"/>
      <selection pane="bottomRight" activeCell="C2" sqref="C2"/>
    </sheetView>
  </sheetViews>
  <sheetFormatPr defaultColWidth="11.5546875" defaultRowHeight="14.4" x14ac:dyDescent="0.3"/>
  <cols>
    <col min="1" max="1" width="31.6640625" customWidth="1"/>
    <col min="3" max="3" width="17.21875" bestFit="1" customWidth="1"/>
    <col min="4" max="4" width="9.21875" customWidth="1"/>
    <col min="5" max="5" width="7.21875" customWidth="1"/>
    <col min="6" max="6" width="14.33203125" customWidth="1"/>
    <col min="9" max="9" width="16.21875" customWidth="1"/>
  </cols>
  <sheetData>
    <row r="1" spans="1:40" x14ac:dyDescent="0.3">
      <c r="A1" s="1" t="s">
        <v>89</v>
      </c>
      <c r="G1" s="118" t="s">
        <v>14</v>
      </c>
      <c r="H1" s="119"/>
      <c r="I1" s="119"/>
      <c r="J1" s="119"/>
      <c r="K1" s="119"/>
      <c r="L1" s="119"/>
      <c r="N1" s="118" t="s">
        <v>20</v>
      </c>
      <c r="O1" s="119"/>
      <c r="P1" s="119"/>
      <c r="Q1" s="119"/>
      <c r="R1" s="119"/>
      <c r="S1" s="119"/>
      <c r="U1" s="118" t="s">
        <v>19</v>
      </c>
      <c r="V1" s="119"/>
      <c r="W1" s="119"/>
      <c r="X1" s="119"/>
      <c r="Y1" s="119"/>
      <c r="Z1" s="119"/>
      <c r="AB1" s="118" t="s">
        <v>18</v>
      </c>
      <c r="AC1" s="119"/>
      <c r="AD1" s="119"/>
      <c r="AE1" s="119"/>
      <c r="AF1" s="119"/>
      <c r="AG1" s="119"/>
      <c r="AI1" s="118" t="s">
        <v>21</v>
      </c>
      <c r="AJ1" s="119"/>
      <c r="AK1" s="119"/>
      <c r="AL1" s="119"/>
      <c r="AM1" s="119"/>
      <c r="AN1" s="119"/>
    </row>
    <row r="2" spans="1:40" x14ac:dyDescent="0.3">
      <c r="A2" s="1"/>
      <c r="B2" s="1" t="s">
        <v>15</v>
      </c>
      <c r="C2" s="1" t="s">
        <v>161</v>
      </c>
      <c r="D2" s="1" t="s">
        <v>5</v>
      </c>
      <c r="E2" s="1" t="s">
        <v>7</v>
      </c>
      <c r="G2" s="1" t="s">
        <v>1</v>
      </c>
      <c r="H2" s="1" t="s">
        <v>2</v>
      </c>
      <c r="I2" s="1" t="s">
        <v>3</v>
      </c>
      <c r="J2" s="1" t="s">
        <v>4</v>
      </c>
      <c r="K2" s="1" t="s">
        <v>5</v>
      </c>
      <c r="L2" s="1" t="s">
        <v>9</v>
      </c>
      <c r="N2" s="1" t="s">
        <v>1</v>
      </c>
      <c r="O2" s="1" t="s">
        <v>2</v>
      </c>
      <c r="P2" s="1" t="s">
        <v>3</v>
      </c>
      <c r="Q2" s="1" t="s">
        <v>4</v>
      </c>
      <c r="R2" s="1" t="s">
        <v>5</v>
      </c>
      <c r="S2" s="1" t="s">
        <v>9</v>
      </c>
      <c r="U2" s="1" t="s">
        <v>1</v>
      </c>
      <c r="V2" s="1" t="s">
        <v>2</v>
      </c>
      <c r="W2" s="1" t="s">
        <v>3</v>
      </c>
      <c r="X2" s="1" t="s">
        <v>4</v>
      </c>
      <c r="Y2" s="1" t="s">
        <v>5</v>
      </c>
      <c r="Z2" s="1" t="s">
        <v>9</v>
      </c>
      <c r="AB2" s="1" t="s">
        <v>1</v>
      </c>
      <c r="AC2" s="1" t="s">
        <v>2</v>
      </c>
      <c r="AD2" s="1" t="s">
        <v>3</v>
      </c>
      <c r="AE2" s="1" t="s">
        <v>4</v>
      </c>
      <c r="AF2" s="1" t="s">
        <v>5</v>
      </c>
      <c r="AG2" s="1" t="s">
        <v>9</v>
      </c>
      <c r="AI2" s="1" t="s">
        <v>1</v>
      </c>
      <c r="AJ2" s="1" t="s">
        <v>2</v>
      </c>
      <c r="AK2" s="1" t="s">
        <v>3</v>
      </c>
      <c r="AL2" s="1" t="s">
        <v>4</v>
      </c>
      <c r="AM2" s="1" t="s">
        <v>5</v>
      </c>
      <c r="AN2" s="1" t="s">
        <v>9</v>
      </c>
    </row>
    <row r="3" spans="1:40" x14ac:dyDescent="0.3">
      <c r="A3" s="7" t="s">
        <v>50</v>
      </c>
      <c r="B3" s="7">
        <f>+E3/D3</f>
        <v>9.2710544939844458E-2</v>
      </c>
      <c r="C3" s="7">
        <f>1/B3/Summary!$C$7</f>
        <v>1.0786259541984713E-2</v>
      </c>
      <c r="D3" s="71">
        <f>+K10</f>
        <v>7.0649999999999888</v>
      </c>
      <c r="E3" s="7">
        <v>0.65500000000000003</v>
      </c>
      <c r="G3" s="2">
        <v>1</v>
      </c>
      <c r="H3" s="9">
        <v>0.5</v>
      </c>
      <c r="I3" s="6">
        <f>+SUM($H3:H3)</f>
        <v>0.5</v>
      </c>
      <c r="J3" s="15">
        <v>5</v>
      </c>
      <c r="K3" s="3">
        <f>+H3*J3</f>
        <v>2.5</v>
      </c>
      <c r="L3" s="11">
        <v>0</v>
      </c>
      <c r="N3" s="2">
        <v>1</v>
      </c>
      <c r="O3" s="9">
        <v>0.1</v>
      </c>
      <c r="P3" s="6">
        <f>+SUM($O3:O$3)</f>
        <v>0.1</v>
      </c>
      <c r="Q3" s="3">
        <f>+J3</f>
        <v>5</v>
      </c>
      <c r="R3" s="3">
        <f>+O3*Q3</f>
        <v>0.5</v>
      </c>
      <c r="S3" s="11">
        <v>0</v>
      </c>
      <c r="U3" s="2">
        <v>1</v>
      </c>
      <c r="V3" s="9">
        <v>0.1</v>
      </c>
      <c r="W3" s="6">
        <f>+SUM($V3:V$3)</f>
        <v>0.1</v>
      </c>
      <c r="X3" s="3">
        <f>+J3</f>
        <v>5</v>
      </c>
      <c r="Y3" s="3">
        <f>+V3*X3</f>
        <v>0.5</v>
      </c>
      <c r="Z3" s="11">
        <v>0</v>
      </c>
      <c r="AB3" s="2">
        <v>1</v>
      </c>
      <c r="AC3" s="9">
        <v>0.05</v>
      </c>
      <c r="AD3" s="6">
        <f>+SUM($AC$3:AC3)</f>
        <v>0.05</v>
      </c>
      <c r="AE3" s="3">
        <f>+J3</f>
        <v>5</v>
      </c>
      <c r="AF3" s="3">
        <f>+AC3*AE3</f>
        <v>0.25</v>
      </c>
      <c r="AG3" s="11">
        <v>0</v>
      </c>
      <c r="AI3" s="2">
        <v>1</v>
      </c>
      <c r="AJ3" s="9">
        <v>0</v>
      </c>
      <c r="AK3" s="6">
        <f>+SUM($AJ$3:AJ3)</f>
        <v>0</v>
      </c>
      <c r="AL3" s="3">
        <f>+J3</f>
        <v>5</v>
      </c>
      <c r="AM3" s="3">
        <f>+AJ3*AL3</f>
        <v>0</v>
      </c>
      <c r="AN3" s="11">
        <v>0</v>
      </c>
    </row>
    <row r="4" spans="1:40" x14ac:dyDescent="0.3">
      <c r="A4" s="7" t="s">
        <v>146</v>
      </c>
      <c r="B4" s="7">
        <f>+E4/D4</f>
        <v>0.27762354247640209</v>
      </c>
      <c r="C4" s="7">
        <v>0</v>
      </c>
      <c r="D4" s="16">
        <f>+R10</f>
        <v>18.009999999999994</v>
      </c>
      <c r="E4" s="7">
        <v>5</v>
      </c>
      <c r="G4" s="2">
        <v>2</v>
      </c>
      <c r="H4" s="9">
        <v>0.32</v>
      </c>
      <c r="I4" s="6">
        <f>+SUM($H$3:H4)</f>
        <v>0.82000000000000006</v>
      </c>
      <c r="J4" s="15">
        <v>7</v>
      </c>
      <c r="K4" s="3">
        <f t="shared" ref="K4:K9" si="0">+H4*J4</f>
        <v>2.2400000000000002</v>
      </c>
      <c r="L4" s="11">
        <v>0</v>
      </c>
      <c r="N4" s="2">
        <v>2</v>
      </c>
      <c r="O4" s="9">
        <v>0.18</v>
      </c>
      <c r="P4" s="6">
        <f>+SUM($O$3:O4)</f>
        <v>0.28000000000000003</v>
      </c>
      <c r="Q4" s="3">
        <f t="shared" ref="Q4:Q9" si="1">+J4</f>
        <v>7</v>
      </c>
      <c r="R4" s="3">
        <f t="shared" ref="R4:R9" si="2">+O4*Q4</f>
        <v>1.26</v>
      </c>
      <c r="S4" s="11">
        <v>0</v>
      </c>
      <c r="U4" s="2">
        <v>2</v>
      </c>
      <c r="V4" s="9">
        <v>0.25</v>
      </c>
      <c r="W4" s="6">
        <f>+SUM($V$3:V4)</f>
        <v>0.35</v>
      </c>
      <c r="X4" s="3">
        <f t="shared" ref="X4:X9" si="3">+J4</f>
        <v>7</v>
      </c>
      <c r="Y4" s="3">
        <f t="shared" ref="Y4:Y9" si="4">+V4*X4</f>
        <v>1.75</v>
      </c>
      <c r="Z4" s="11">
        <v>0</v>
      </c>
      <c r="AB4" s="2">
        <v>2</v>
      </c>
      <c r="AC4" s="9">
        <v>0.05</v>
      </c>
      <c r="AD4" s="6">
        <f>+SUM($AC$3:AC4)</f>
        <v>0.1</v>
      </c>
      <c r="AE4" s="3">
        <f t="shared" ref="AE4:AE9" si="5">+J4</f>
        <v>7</v>
      </c>
      <c r="AF4" s="3">
        <f t="shared" ref="AF4:AF9" si="6">+AC4*AE4</f>
        <v>0.35000000000000003</v>
      </c>
      <c r="AG4" s="11">
        <v>0</v>
      </c>
      <c r="AI4" s="2">
        <v>2</v>
      </c>
      <c r="AJ4" s="9">
        <v>0</v>
      </c>
      <c r="AK4" s="6">
        <f>+SUM($AJ$3:AJ4)</f>
        <v>0</v>
      </c>
      <c r="AL4" s="3">
        <f t="shared" ref="AL4:AL9" si="7">+J4</f>
        <v>7</v>
      </c>
      <c r="AM4" s="3">
        <f t="shared" ref="AM4:AM9" si="8">+AJ4*AL4</f>
        <v>0</v>
      </c>
      <c r="AN4" s="11">
        <v>0</v>
      </c>
    </row>
    <row r="5" spans="1:40" x14ac:dyDescent="0.3">
      <c r="A5" s="7" t="s">
        <v>51</v>
      </c>
      <c r="B5" s="7">
        <f>+E5/D5</f>
        <v>0.36281179138321984</v>
      </c>
      <c r="C5" s="7">
        <v>0</v>
      </c>
      <c r="D5" s="16">
        <f>+Y10</f>
        <v>22.050000000000008</v>
      </c>
      <c r="E5" s="7">
        <v>8</v>
      </c>
      <c r="G5" s="2">
        <v>3</v>
      </c>
      <c r="H5" s="9">
        <v>0.105</v>
      </c>
      <c r="I5" s="6">
        <f>+SUM($H$3:H5)</f>
        <v>0.92500000000000004</v>
      </c>
      <c r="J5" s="15">
        <v>10</v>
      </c>
      <c r="K5" s="3">
        <f t="shared" si="0"/>
        <v>1.05</v>
      </c>
      <c r="L5" s="11">
        <v>0</v>
      </c>
      <c r="N5" s="2">
        <v>3</v>
      </c>
      <c r="O5" s="9">
        <v>0.2</v>
      </c>
      <c r="P5" s="6">
        <f>+SUM($O$3:O5)</f>
        <v>0.48000000000000004</v>
      </c>
      <c r="Q5" s="3">
        <f t="shared" si="1"/>
        <v>10</v>
      </c>
      <c r="R5" s="3">
        <f t="shared" si="2"/>
        <v>2</v>
      </c>
      <c r="S5" s="11">
        <v>0</v>
      </c>
      <c r="U5" s="2">
        <v>3</v>
      </c>
      <c r="V5" s="9">
        <v>0.18</v>
      </c>
      <c r="W5" s="6">
        <f>+SUM($V$3:V5)</f>
        <v>0.53</v>
      </c>
      <c r="X5" s="3">
        <f t="shared" si="3"/>
        <v>10</v>
      </c>
      <c r="Y5" s="3">
        <f t="shared" si="4"/>
        <v>1.7999999999999998</v>
      </c>
      <c r="Z5" s="11">
        <v>0</v>
      </c>
      <c r="AB5" s="2">
        <v>3</v>
      </c>
      <c r="AC5" s="9">
        <v>0.01</v>
      </c>
      <c r="AD5" s="6">
        <f>+SUM($AC$3:AC5)</f>
        <v>0.11</v>
      </c>
      <c r="AE5" s="3">
        <f t="shared" si="5"/>
        <v>10</v>
      </c>
      <c r="AF5" s="3">
        <f t="shared" si="6"/>
        <v>0.1</v>
      </c>
      <c r="AG5" s="11">
        <v>0</v>
      </c>
      <c r="AI5" s="2">
        <v>3</v>
      </c>
      <c r="AJ5" s="9">
        <v>0</v>
      </c>
      <c r="AK5" s="6">
        <f>+SUM($AJ$3:AJ5)</f>
        <v>0</v>
      </c>
      <c r="AL5" s="3">
        <f t="shared" si="7"/>
        <v>10</v>
      </c>
      <c r="AM5" s="3">
        <f t="shared" si="8"/>
        <v>0</v>
      </c>
      <c r="AN5" s="11">
        <v>0</v>
      </c>
    </row>
    <row r="6" spans="1:40" x14ac:dyDescent="0.3">
      <c r="A6" s="7" t="s">
        <v>52</v>
      </c>
      <c r="B6" s="7">
        <f>+E6/D6</f>
        <v>0.41753653444676408</v>
      </c>
      <c r="C6" s="7">
        <v>0</v>
      </c>
      <c r="D6" s="16">
        <f>+AF10</f>
        <v>23.95</v>
      </c>
      <c r="E6" s="7">
        <v>10</v>
      </c>
      <c r="G6" s="2">
        <v>4</v>
      </c>
      <c r="H6" s="9">
        <v>7.0000000000000007E-2</v>
      </c>
      <c r="I6" s="6">
        <f>+SUM($H$3:H6)</f>
        <v>0.99500000000000011</v>
      </c>
      <c r="J6" s="15">
        <v>15</v>
      </c>
      <c r="K6" s="3">
        <f t="shared" si="0"/>
        <v>1.05</v>
      </c>
      <c r="L6" s="11">
        <v>0</v>
      </c>
      <c r="N6" s="2">
        <v>4</v>
      </c>
      <c r="O6" s="9">
        <v>0.35</v>
      </c>
      <c r="P6" s="6">
        <f>+SUM($O$3:O6)</f>
        <v>0.83000000000000007</v>
      </c>
      <c r="Q6" s="3">
        <f t="shared" si="1"/>
        <v>15</v>
      </c>
      <c r="R6" s="3">
        <f t="shared" si="2"/>
        <v>5.25</v>
      </c>
      <c r="S6" s="11">
        <v>0</v>
      </c>
      <c r="U6" s="2">
        <v>4</v>
      </c>
      <c r="V6" s="9">
        <v>0.2</v>
      </c>
      <c r="W6" s="6">
        <f>+SUM($V$3:V6)</f>
        <v>0.73</v>
      </c>
      <c r="X6" s="3">
        <f t="shared" si="3"/>
        <v>15</v>
      </c>
      <c r="Y6" s="3">
        <f t="shared" si="4"/>
        <v>3</v>
      </c>
      <c r="Z6" s="11">
        <v>0</v>
      </c>
      <c r="AB6" s="2">
        <v>4</v>
      </c>
      <c r="AC6" s="9">
        <v>0.3</v>
      </c>
      <c r="AD6" s="6">
        <f>+SUM($AC$3:AC6)</f>
        <v>0.41</v>
      </c>
      <c r="AE6" s="3">
        <f t="shared" si="5"/>
        <v>15</v>
      </c>
      <c r="AF6" s="3">
        <f t="shared" si="6"/>
        <v>4.5</v>
      </c>
      <c r="AG6" s="11">
        <v>0</v>
      </c>
      <c r="AI6" s="2">
        <v>4</v>
      </c>
      <c r="AJ6" s="9">
        <v>0</v>
      </c>
      <c r="AK6" s="6">
        <f>+SUM($AJ$3:AJ6)</f>
        <v>0</v>
      </c>
      <c r="AL6" s="3">
        <f t="shared" si="7"/>
        <v>15</v>
      </c>
      <c r="AM6" s="3">
        <f t="shared" si="8"/>
        <v>0</v>
      </c>
      <c r="AN6" s="11">
        <v>0</v>
      </c>
    </row>
    <row r="7" spans="1:40" x14ac:dyDescent="0.3">
      <c r="A7" s="7" t="s">
        <v>53</v>
      </c>
      <c r="B7" s="7">
        <f>+E7/D7</f>
        <v>0.78431372549019607</v>
      </c>
      <c r="C7" s="7">
        <v>0</v>
      </c>
      <c r="D7" s="16">
        <f>+AM10</f>
        <v>63.75</v>
      </c>
      <c r="E7" s="7">
        <v>50</v>
      </c>
      <c r="G7" s="2">
        <v>5</v>
      </c>
      <c r="H7" s="9">
        <v>3.0000000000000001E-3</v>
      </c>
      <c r="I7" s="6">
        <f>+SUM($H$3:H7)</f>
        <v>0.99800000000000011</v>
      </c>
      <c r="J7" s="15">
        <v>25</v>
      </c>
      <c r="K7" s="3">
        <f t="shared" si="0"/>
        <v>7.4999999999999997E-2</v>
      </c>
      <c r="L7" s="11">
        <v>0</v>
      </c>
      <c r="N7" s="2">
        <v>5</v>
      </c>
      <c r="O7" s="9">
        <v>0.1</v>
      </c>
      <c r="P7" s="6">
        <f>+SUM($O$3:O7)</f>
        <v>0.93</v>
      </c>
      <c r="Q7" s="3">
        <f t="shared" si="1"/>
        <v>25</v>
      </c>
      <c r="R7" s="3">
        <f t="shared" si="2"/>
        <v>2.5</v>
      </c>
      <c r="S7" s="11">
        <v>0</v>
      </c>
      <c r="U7" s="2">
        <v>5</v>
      </c>
      <c r="V7" s="9">
        <v>0.1</v>
      </c>
      <c r="W7" s="6">
        <f>+SUM($V$3:V7)</f>
        <v>0.83</v>
      </c>
      <c r="X7" s="3">
        <f t="shared" si="3"/>
        <v>25</v>
      </c>
      <c r="Y7" s="3">
        <f t="shared" si="4"/>
        <v>2.5</v>
      </c>
      <c r="Z7" s="11">
        <v>0</v>
      </c>
      <c r="AB7" s="2">
        <v>5</v>
      </c>
      <c r="AC7" s="9">
        <v>0.45</v>
      </c>
      <c r="AD7" s="6">
        <f>+SUM($AC$3:AC7)</f>
        <v>0.86</v>
      </c>
      <c r="AE7" s="3">
        <f t="shared" si="5"/>
        <v>25</v>
      </c>
      <c r="AF7" s="3">
        <f t="shared" si="6"/>
        <v>11.25</v>
      </c>
      <c r="AG7" s="11">
        <v>0</v>
      </c>
      <c r="AI7" s="2">
        <v>5</v>
      </c>
      <c r="AJ7" s="9">
        <v>0.15</v>
      </c>
      <c r="AK7" s="6">
        <f>+SUM($AJ$3:AJ7)</f>
        <v>0.15</v>
      </c>
      <c r="AL7" s="3">
        <f t="shared" si="7"/>
        <v>25</v>
      </c>
      <c r="AM7" s="3">
        <f t="shared" si="8"/>
        <v>3.75</v>
      </c>
      <c r="AN7" s="11">
        <v>0</v>
      </c>
    </row>
    <row r="8" spans="1:40" x14ac:dyDescent="0.3">
      <c r="A8" s="7" t="s">
        <v>0</v>
      </c>
      <c r="B8" s="10" t="str">
        <f>+CONCATENATE("x",J3," - x",J9)</f>
        <v>x5 - x100</v>
      </c>
      <c r="G8" s="2">
        <v>6</v>
      </c>
      <c r="H8" s="9">
        <v>1E-3</v>
      </c>
      <c r="I8" s="6">
        <f>+SUM($H$3:H8)</f>
        <v>0.99900000000000011</v>
      </c>
      <c r="J8" s="15">
        <v>50</v>
      </c>
      <c r="K8" s="3">
        <f t="shared" si="0"/>
        <v>0.05</v>
      </c>
      <c r="L8" s="11">
        <v>0</v>
      </c>
      <c r="N8" s="2">
        <v>6</v>
      </c>
      <c r="O8" s="9">
        <v>0.01</v>
      </c>
      <c r="P8" s="6">
        <f>+SUM($O$3:O8)</f>
        <v>0.94000000000000006</v>
      </c>
      <c r="Q8" s="3">
        <f t="shared" si="1"/>
        <v>50</v>
      </c>
      <c r="R8" s="3">
        <f t="shared" si="2"/>
        <v>0.5</v>
      </c>
      <c r="S8" s="11">
        <v>0</v>
      </c>
      <c r="U8" s="2">
        <v>6</v>
      </c>
      <c r="V8" s="9">
        <v>0.09</v>
      </c>
      <c r="W8" s="6">
        <f>+SUM($V$3:V8)</f>
        <v>0.91999999999999993</v>
      </c>
      <c r="X8" s="3">
        <f t="shared" si="3"/>
        <v>50</v>
      </c>
      <c r="Y8" s="3">
        <f t="shared" si="4"/>
        <v>4.5</v>
      </c>
      <c r="Z8" s="11">
        <v>0</v>
      </c>
      <c r="AB8" s="2">
        <v>6</v>
      </c>
      <c r="AC8" s="9">
        <v>0.13</v>
      </c>
      <c r="AD8" s="6">
        <f>+SUM($AC$3:AC8)</f>
        <v>0.99</v>
      </c>
      <c r="AE8" s="3">
        <f t="shared" si="5"/>
        <v>50</v>
      </c>
      <c r="AF8" s="3">
        <f t="shared" si="6"/>
        <v>6.5</v>
      </c>
      <c r="AG8" s="11">
        <v>0</v>
      </c>
      <c r="AI8" s="2">
        <v>6</v>
      </c>
      <c r="AJ8" s="9">
        <v>0.5</v>
      </c>
      <c r="AK8" s="6">
        <f>+SUM($AJ$3:AJ8)</f>
        <v>0.65</v>
      </c>
      <c r="AL8" s="3">
        <f t="shared" si="7"/>
        <v>50</v>
      </c>
      <c r="AM8" s="3">
        <f t="shared" si="8"/>
        <v>25</v>
      </c>
      <c r="AN8" s="11">
        <v>0</v>
      </c>
    </row>
    <row r="9" spans="1:40" x14ac:dyDescent="0.3">
      <c r="G9" s="2">
        <v>7</v>
      </c>
      <c r="H9" s="8">
        <f>1-SUM(H3:H8)</f>
        <v>9.9999999999988987E-4</v>
      </c>
      <c r="I9" s="6">
        <f>+SUM($H$3:H9)</f>
        <v>1</v>
      </c>
      <c r="J9" s="15">
        <v>100</v>
      </c>
      <c r="K9" s="3">
        <f t="shared" si="0"/>
        <v>9.9999999999988987E-2</v>
      </c>
      <c r="L9" s="11">
        <v>0</v>
      </c>
      <c r="N9" s="2">
        <v>7</v>
      </c>
      <c r="O9" s="8">
        <f>1-SUM(O3:O8)</f>
        <v>5.9999999999999942E-2</v>
      </c>
      <c r="P9" s="6">
        <f>+SUM($O$3:O9)</f>
        <v>1</v>
      </c>
      <c r="Q9" s="3">
        <f t="shared" si="1"/>
        <v>100</v>
      </c>
      <c r="R9" s="3">
        <f t="shared" si="2"/>
        <v>5.9999999999999947</v>
      </c>
      <c r="S9" s="11">
        <v>0</v>
      </c>
      <c r="U9" s="2">
        <v>7</v>
      </c>
      <c r="V9" s="8">
        <f>1-SUM(V3:V8)</f>
        <v>8.0000000000000071E-2</v>
      </c>
      <c r="W9" s="6">
        <f>+SUM($V$3:V9)</f>
        <v>1</v>
      </c>
      <c r="X9" s="3">
        <f t="shared" si="3"/>
        <v>100</v>
      </c>
      <c r="Y9" s="3">
        <f t="shared" si="4"/>
        <v>8.0000000000000071</v>
      </c>
      <c r="Z9" s="11">
        <v>0</v>
      </c>
      <c r="AB9" s="2">
        <v>7</v>
      </c>
      <c r="AC9" s="8">
        <f>1-SUM(AC3:AC8)</f>
        <v>1.0000000000000009E-2</v>
      </c>
      <c r="AD9" s="6">
        <f>+SUM($AC$3:AC9)</f>
        <v>1</v>
      </c>
      <c r="AE9" s="3">
        <f t="shared" si="5"/>
        <v>100</v>
      </c>
      <c r="AF9" s="3">
        <f t="shared" si="6"/>
        <v>1.0000000000000009</v>
      </c>
      <c r="AG9" s="11">
        <v>0</v>
      </c>
      <c r="AI9" s="2">
        <v>7</v>
      </c>
      <c r="AJ9" s="8">
        <f>1-SUM(AJ3:AJ8)</f>
        <v>0.35</v>
      </c>
      <c r="AK9" s="6">
        <f>+SUM($AJ$3:AJ9)</f>
        <v>1</v>
      </c>
      <c r="AL9" s="3">
        <f t="shared" si="7"/>
        <v>100</v>
      </c>
      <c r="AM9" s="3">
        <f t="shared" si="8"/>
        <v>35</v>
      </c>
      <c r="AN9" s="11">
        <v>0</v>
      </c>
    </row>
    <row r="10" spans="1:40" x14ac:dyDescent="0.3">
      <c r="A10" s="14" t="s">
        <v>57</v>
      </c>
      <c r="G10" s="4" t="s">
        <v>6</v>
      </c>
      <c r="H10" s="4">
        <f>+SUM(H3:H9)</f>
        <v>1</v>
      </c>
      <c r="I10" s="4"/>
      <c r="J10" s="4"/>
      <c r="K10" s="5">
        <f>+SUM(K3:K9)</f>
        <v>7.0649999999999888</v>
      </c>
      <c r="L10" s="5"/>
      <c r="N10" s="4" t="s">
        <v>6</v>
      </c>
      <c r="O10" s="4">
        <f>+SUM(O3:O9)</f>
        <v>1</v>
      </c>
      <c r="P10" s="4"/>
      <c r="Q10" s="4"/>
      <c r="R10" s="5">
        <f>+SUM(R3:R9)</f>
        <v>18.009999999999994</v>
      </c>
      <c r="S10" s="5"/>
      <c r="U10" s="4" t="s">
        <v>6</v>
      </c>
      <c r="V10" s="4">
        <f>+SUM(V3:V9)</f>
        <v>1</v>
      </c>
      <c r="W10" s="4"/>
      <c r="X10" s="4"/>
      <c r="Y10" s="5">
        <f>+SUM(Y3:Y9)</f>
        <v>22.050000000000008</v>
      </c>
      <c r="Z10" s="5"/>
      <c r="AB10" s="4" t="s">
        <v>6</v>
      </c>
      <c r="AC10" s="4">
        <f>+SUM(AC3:AC9)</f>
        <v>1</v>
      </c>
      <c r="AD10" s="4"/>
      <c r="AE10" s="4"/>
      <c r="AF10" s="5">
        <f>+SUM(AF3:AF9)</f>
        <v>23.95</v>
      </c>
      <c r="AG10" s="5"/>
      <c r="AI10" s="4" t="s">
        <v>6</v>
      </c>
      <c r="AJ10" s="4">
        <f>+SUM(AJ3:AJ9)</f>
        <v>1</v>
      </c>
      <c r="AK10" s="4"/>
      <c r="AL10" s="4"/>
      <c r="AM10" s="5">
        <f>+SUM(AM3:AM9)</f>
        <v>63.75</v>
      </c>
      <c r="AN10" s="5"/>
    </row>
    <row r="12" spans="1:40" x14ac:dyDescent="0.3">
      <c r="C12" s="1" t="s">
        <v>49</v>
      </c>
      <c r="D12" s="12">
        <v>0</v>
      </c>
    </row>
    <row r="13" spans="1:40" x14ac:dyDescent="0.3">
      <c r="C13" s="1" t="s">
        <v>10</v>
      </c>
      <c r="D13" s="12">
        <v>0</v>
      </c>
    </row>
    <row r="14" spans="1:40" x14ac:dyDescent="0.3">
      <c r="C14" s="1" t="s">
        <v>11</v>
      </c>
      <c r="D14" s="12">
        <v>0</v>
      </c>
    </row>
    <row r="17" spans="1:4" ht="15" thickBot="1" x14ac:dyDescent="0.35"/>
    <row r="18" spans="1:4" x14ac:dyDescent="0.3">
      <c r="A18" s="1" t="s">
        <v>59</v>
      </c>
      <c r="B18" s="1" t="s">
        <v>58</v>
      </c>
      <c r="D18" s="28" t="s">
        <v>16</v>
      </c>
    </row>
    <row r="19" spans="1:4" ht="15" thickBot="1" x14ac:dyDescent="0.35">
      <c r="A19" s="7" t="s">
        <v>54</v>
      </c>
      <c r="B19" s="12">
        <v>0</v>
      </c>
      <c r="D19" s="29">
        <v>10000</v>
      </c>
    </row>
    <row r="20" spans="1:4" x14ac:dyDescent="0.3">
      <c r="A20" s="7" t="s">
        <v>55</v>
      </c>
      <c r="B20" s="12">
        <v>0</v>
      </c>
    </row>
    <row r="21" spans="1:4" x14ac:dyDescent="0.3">
      <c r="A21" s="7" t="s">
        <v>56</v>
      </c>
      <c r="B21" s="12">
        <v>0</v>
      </c>
    </row>
    <row r="22" spans="1:4" x14ac:dyDescent="0.3">
      <c r="A22" s="7" t="s">
        <v>57</v>
      </c>
      <c r="B22" s="12">
        <v>0</v>
      </c>
    </row>
    <row r="24" spans="1:4" x14ac:dyDescent="0.3">
      <c r="A24" s="1" t="s">
        <v>12</v>
      </c>
      <c r="B24" s="13">
        <f>IF(D13=0,0,+D14/D13)</f>
        <v>0</v>
      </c>
    </row>
    <row r="25" spans="1:4" x14ac:dyDescent="0.3">
      <c r="A25" s="1" t="s">
        <v>85</v>
      </c>
      <c r="B25" s="13">
        <f>IF(D12=0,0,+(SUMPRODUCT(L3:L9,J3:J9))/D12)</f>
        <v>0</v>
      </c>
    </row>
    <row r="26" spans="1:4" x14ac:dyDescent="0.3">
      <c r="A26" s="1" t="s">
        <v>86</v>
      </c>
      <c r="B26" s="13">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dxfId="60" priority="7" operator="lessThan">
      <formula>0</formula>
    </cfRule>
    <cfRule type="cellIs" dxfId="59" priority="8" operator="greaterThan">
      <formula>1</formula>
    </cfRule>
  </conditionalFormatting>
  <conditionalFormatting sqref="H3:H9 O3:O9 AJ3:AJ9 V3:V9 AC3:AC9">
    <cfRule type="cellIs" dxfId="58" priority="6" operator="equal">
      <formula>0</formula>
    </cfRule>
  </conditionalFormatting>
  <conditionalFormatting sqref="B3:B7">
    <cfRule type="cellIs" dxfId="57" priority="4" operator="greaterThan">
      <formula>1</formula>
    </cfRule>
    <cfRule type="cellIs" dxfId="56" priority="5" operator="lessThan">
      <formula>0</formula>
    </cfRule>
  </conditionalFormatting>
  <conditionalFormatting sqref="AJ7:AJ8">
    <cfRule type="cellIs" dxfId="55" priority="2" operator="lessThan">
      <formula>0</formula>
    </cfRule>
    <cfRule type="cellIs" dxfId="54" priority="3" operator="greaterThan">
      <formula>1</formula>
    </cfRule>
  </conditionalFormatting>
  <conditionalFormatting sqref="AJ7:AJ8">
    <cfRule type="cellIs" dxfId="53" priority="1" operator="equal">
      <formula>0</formula>
    </cfRule>
  </conditionalFormatting>
  <dataValidations count="1">
    <dataValidation type="list" allowBlank="1" showInputMessage="1" showErrorMessage="1" sqref="A10" xr:uid="{00000000-0002-0000-0800-000000000000}">
      <formula1>"Regular weapon,Special weapon 1,Special weapon 2,Special weapon 3,Plasma Gun"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shoot_enemy">
                <anchor moveWithCells="1" sizeWithCells="1">
                  <from>
                    <xdr:col>2</xdr:col>
                    <xdr:colOff>510540</xdr:colOff>
                    <xdr:row>7</xdr:row>
                    <xdr:rowOff>99060</xdr:rowOff>
                  </from>
                  <to>
                    <xdr:col>5</xdr:col>
                    <xdr:colOff>22860</xdr:colOff>
                    <xdr:row>10</xdr:row>
                    <xdr:rowOff>38100</xdr:rowOff>
                  </to>
                </anchor>
              </controlPr>
            </control>
          </mc:Choice>
        </mc:AlternateContent>
        <mc:AlternateContent xmlns:mc="http://schemas.openxmlformats.org/markup-compatibility/2006">
          <mc:Choice Requires="x14">
            <control shapeId="7170" r:id="rId5" name="Button 2">
              <controlPr defaultSize="0" print="0" autoFill="0" autoPict="0" macro="[0]!reset_sim_values">
                <anchor moveWithCells="1" sizeWithCells="1">
                  <from>
                    <xdr:col>0</xdr:col>
                    <xdr:colOff>601980</xdr:colOff>
                    <xdr:row>12</xdr:row>
                    <xdr:rowOff>60960</xdr:rowOff>
                  </from>
                  <to>
                    <xdr:col>1</xdr:col>
                    <xdr:colOff>22860</xdr:colOff>
                    <xdr:row>14</xdr:row>
                    <xdr:rowOff>99060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7"/>
  <dimension ref="A1:AN26"/>
  <sheetViews>
    <sheetView workbookViewId="0">
      <pane xSplit="6" ySplit="1" topLeftCell="G2" activePane="bottomRight" state="frozen"/>
      <selection pane="topRight" activeCell="G1" sqref="G1"/>
      <selection pane="bottomLeft" activeCell="A2" sqref="A2"/>
      <selection pane="bottomRight" activeCell="C2" sqref="C2"/>
    </sheetView>
  </sheetViews>
  <sheetFormatPr defaultColWidth="11.5546875" defaultRowHeight="14.4" x14ac:dyDescent="0.3"/>
  <cols>
    <col min="1" max="1" width="31.6640625" customWidth="1"/>
    <col min="3" max="3" width="17.21875" bestFit="1" customWidth="1"/>
    <col min="4" max="4" width="9.21875" customWidth="1"/>
    <col min="5" max="5" width="7.21875" customWidth="1"/>
    <col min="6" max="6" width="14.33203125" customWidth="1"/>
    <col min="9" max="9" width="16.21875" customWidth="1"/>
  </cols>
  <sheetData>
    <row r="1" spans="1:40" x14ac:dyDescent="0.3">
      <c r="A1" s="1" t="s">
        <v>91</v>
      </c>
      <c r="G1" s="118" t="s">
        <v>14</v>
      </c>
      <c r="H1" s="119"/>
      <c r="I1" s="119"/>
      <c r="J1" s="119"/>
      <c r="K1" s="119"/>
      <c r="L1" s="119"/>
      <c r="N1" s="118" t="s">
        <v>20</v>
      </c>
      <c r="O1" s="119"/>
      <c r="P1" s="119"/>
      <c r="Q1" s="119"/>
      <c r="R1" s="119"/>
      <c r="S1" s="119"/>
      <c r="U1" s="118" t="s">
        <v>19</v>
      </c>
      <c r="V1" s="119"/>
      <c r="W1" s="119"/>
      <c r="X1" s="119"/>
      <c r="Y1" s="119"/>
      <c r="Z1" s="119"/>
      <c r="AB1" s="118" t="s">
        <v>18</v>
      </c>
      <c r="AC1" s="119"/>
      <c r="AD1" s="119"/>
      <c r="AE1" s="119"/>
      <c r="AF1" s="119"/>
      <c r="AG1" s="119"/>
      <c r="AI1" s="118" t="s">
        <v>21</v>
      </c>
      <c r="AJ1" s="119"/>
      <c r="AK1" s="119"/>
      <c r="AL1" s="119"/>
      <c r="AM1" s="119"/>
      <c r="AN1" s="119"/>
    </row>
    <row r="2" spans="1:40" x14ac:dyDescent="0.3">
      <c r="A2" s="1"/>
      <c r="B2" s="1" t="s">
        <v>15</v>
      </c>
      <c r="C2" s="1" t="s">
        <v>161</v>
      </c>
      <c r="D2" s="1" t="s">
        <v>5</v>
      </c>
      <c r="E2" s="1" t="s">
        <v>7</v>
      </c>
      <c r="G2" s="1" t="s">
        <v>1</v>
      </c>
      <c r="H2" s="1" t="s">
        <v>2</v>
      </c>
      <c r="I2" s="1" t="s">
        <v>3</v>
      </c>
      <c r="J2" s="1" t="s">
        <v>4</v>
      </c>
      <c r="K2" s="1" t="s">
        <v>5</v>
      </c>
      <c r="L2" s="1" t="s">
        <v>9</v>
      </c>
      <c r="N2" s="1" t="s">
        <v>1</v>
      </c>
      <c r="O2" s="1" t="s">
        <v>2</v>
      </c>
      <c r="P2" s="1" t="s">
        <v>3</v>
      </c>
      <c r="Q2" s="1" t="s">
        <v>4</v>
      </c>
      <c r="R2" s="1" t="s">
        <v>5</v>
      </c>
      <c r="S2" s="1" t="s">
        <v>9</v>
      </c>
      <c r="U2" s="1" t="s">
        <v>1</v>
      </c>
      <c r="V2" s="1" t="s">
        <v>2</v>
      </c>
      <c r="W2" s="1" t="s">
        <v>3</v>
      </c>
      <c r="X2" s="1" t="s">
        <v>4</v>
      </c>
      <c r="Y2" s="1" t="s">
        <v>5</v>
      </c>
      <c r="Z2" s="1" t="s">
        <v>9</v>
      </c>
      <c r="AB2" s="1" t="s">
        <v>1</v>
      </c>
      <c r="AC2" s="1" t="s">
        <v>2</v>
      </c>
      <c r="AD2" s="1" t="s">
        <v>3</v>
      </c>
      <c r="AE2" s="1" t="s">
        <v>4</v>
      </c>
      <c r="AF2" s="1" t="s">
        <v>5</v>
      </c>
      <c r="AG2" s="1" t="s">
        <v>9</v>
      </c>
      <c r="AI2" s="1" t="s">
        <v>1</v>
      </c>
      <c r="AJ2" s="1" t="s">
        <v>2</v>
      </c>
      <c r="AK2" s="1" t="s">
        <v>3</v>
      </c>
      <c r="AL2" s="1" t="s">
        <v>4</v>
      </c>
      <c r="AM2" s="1" t="s">
        <v>5</v>
      </c>
      <c r="AN2" s="1" t="s">
        <v>9</v>
      </c>
    </row>
    <row r="3" spans="1:40" x14ac:dyDescent="0.3">
      <c r="A3" s="7" t="s">
        <v>50</v>
      </c>
      <c r="B3" s="7">
        <f>+E3/D3</f>
        <v>9.2710544939844458E-2</v>
      </c>
      <c r="C3" s="7">
        <f>1/B3/Summary!$C$7</f>
        <v>1.0786259541984713E-2</v>
      </c>
      <c r="D3" s="71">
        <f>+K10</f>
        <v>7.0649999999999888</v>
      </c>
      <c r="E3" s="7">
        <v>0.65500000000000003</v>
      </c>
      <c r="G3" s="2">
        <v>1</v>
      </c>
      <c r="H3" s="9">
        <v>0.5</v>
      </c>
      <c r="I3" s="6">
        <f>+SUM($H3:H3)</f>
        <v>0.5</v>
      </c>
      <c r="J3" s="15">
        <v>5</v>
      </c>
      <c r="K3" s="3">
        <f>+H3*J3</f>
        <v>2.5</v>
      </c>
      <c r="L3" s="11">
        <v>0</v>
      </c>
      <c r="N3" s="2">
        <v>1</v>
      </c>
      <c r="O3" s="9">
        <v>0.1</v>
      </c>
      <c r="P3" s="6">
        <f>+SUM($O3:O$3)</f>
        <v>0.1</v>
      </c>
      <c r="Q3" s="3">
        <f>+J3</f>
        <v>5</v>
      </c>
      <c r="R3" s="3">
        <f>+O3*Q3</f>
        <v>0.5</v>
      </c>
      <c r="S3" s="11">
        <v>0</v>
      </c>
      <c r="U3" s="2">
        <v>1</v>
      </c>
      <c r="V3" s="9">
        <v>0.1</v>
      </c>
      <c r="W3" s="6">
        <f>+SUM($V3:V$3)</f>
        <v>0.1</v>
      </c>
      <c r="X3" s="3">
        <f>+J3</f>
        <v>5</v>
      </c>
      <c r="Y3" s="3">
        <f>+V3*X3</f>
        <v>0.5</v>
      </c>
      <c r="Z3" s="11">
        <v>0</v>
      </c>
      <c r="AB3" s="2">
        <v>1</v>
      </c>
      <c r="AC3" s="9">
        <v>0</v>
      </c>
      <c r="AD3" s="6">
        <f>+SUM($AC$3:AC3)</f>
        <v>0</v>
      </c>
      <c r="AE3" s="3">
        <f>+J3</f>
        <v>5</v>
      </c>
      <c r="AF3" s="3">
        <f>+AC3*AE3</f>
        <v>0</v>
      </c>
      <c r="AG3" s="11">
        <v>0</v>
      </c>
      <c r="AI3" s="2">
        <v>1</v>
      </c>
      <c r="AJ3" s="9">
        <v>0</v>
      </c>
      <c r="AK3" s="6">
        <f>+SUM($AJ$3:AJ3)</f>
        <v>0</v>
      </c>
      <c r="AL3" s="3">
        <f>+J3</f>
        <v>5</v>
      </c>
      <c r="AM3" s="3">
        <f>+AJ3*AL3</f>
        <v>0</v>
      </c>
      <c r="AN3" s="11">
        <v>0</v>
      </c>
    </row>
    <row r="4" spans="1:40" x14ac:dyDescent="0.3">
      <c r="A4" s="7" t="s">
        <v>146</v>
      </c>
      <c r="B4" s="7">
        <f>+E4/D4</f>
        <v>0.28653295128939837</v>
      </c>
      <c r="C4" s="7">
        <v>0</v>
      </c>
      <c r="D4" s="16">
        <f>+R10</f>
        <v>17.449999999999996</v>
      </c>
      <c r="E4" s="7">
        <v>5</v>
      </c>
      <c r="G4" s="2">
        <v>2</v>
      </c>
      <c r="H4" s="9">
        <v>0.32</v>
      </c>
      <c r="I4" s="6">
        <f>+SUM($H$3:H4)</f>
        <v>0.82000000000000006</v>
      </c>
      <c r="J4" s="15">
        <v>7</v>
      </c>
      <c r="K4" s="3">
        <f t="shared" ref="K4:K9" si="0">+H4*J4</f>
        <v>2.2400000000000002</v>
      </c>
      <c r="L4" s="11">
        <v>0</v>
      </c>
      <c r="N4" s="2">
        <v>2</v>
      </c>
      <c r="O4" s="9">
        <v>0.2</v>
      </c>
      <c r="P4" s="6">
        <f>+SUM($O$3:O4)</f>
        <v>0.30000000000000004</v>
      </c>
      <c r="Q4" s="3">
        <f t="shared" ref="Q4:Q9" si="1">+J4</f>
        <v>7</v>
      </c>
      <c r="R4" s="3">
        <f t="shared" ref="R4:R9" si="2">+O4*Q4</f>
        <v>1.4000000000000001</v>
      </c>
      <c r="S4" s="11">
        <v>0</v>
      </c>
      <c r="U4" s="2">
        <v>2</v>
      </c>
      <c r="V4" s="9">
        <v>0.25</v>
      </c>
      <c r="W4" s="6">
        <f>+SUM($V$3:V4)</f>
        <v>0.35</v>
      </c>
      <c r="X4" s="3">
        <f t="shared" ref="X4:X9" si="3">+J4</f>
        <v>7</v>
      </c>
      <c r="Y4" s="3">
        <f t="shared" ref="Y4:Y9" si="4">+V4*X4</f>
        <v>1.75</v>
      </c>
      <c r="Z4" s="11">
        <v>0</v>
      </c>
      <c r="AB4" s="2">
        <v>2</v>
      </c>
      <c r="AC4" s="9">
        <v>0</v>
      </c>
      <c r="AD4" s="6">
        <f>+SUM($AC$3:AC4)</f>
        <v>0</v>
      </c>
      <c r="AE4" s="3">
        <f t="shared" ref="AE4:AE9" si="5">+J4</f>
        <v>7</v>
      </c>
      <c r="AF4" s="3">
        <f t="shared" ref="AF4:AF9" si="6">+AC4*AE4</f>
        <v>0</v>
      </c>
      <c r="AG4" s="11">
        <v>0</v>
      </c>
      <c r="AI4" s="2">
        <v>2</v>
      </c>
      <c r="AJ4" s="9">
        <v>0</v>
      </c>
      <c r="AK4" s="6">
        <f>+SUM($AJ$3:AJ4)</f>
        <v>0</v>
      </c>
      <c r="AL4" s="3">
        <f t="shared" ref="AL4:AL9" si="7">+J4</f>
        <v>7</v>
      </c>
      <c r="AM4" s="3">
        <f t="shared" ref="AM4:AM9" si="8">+AJ4*AL4</f>
        <v>0</v>
      </c>
      <c r="AN4" s="11">
        <v>0</v>
      </c>
    </row>
    <row r="5" spans="1:40" x14ac:dyDescent="0.3">
      <c r="A5" s="7" t="s">
        <v>51</v>
      </c>
      <c r="B5" s="7">
        <f>+E5/D5</f>
        <v>0.3773584905660376</v>
      </c>
      <c r="C5" s="7">
        <v>0</v>
      </c>
      <c r="D5" s="16">
        <f>+Y10</f>
        <v>21.200000000000006</v>
      </c>
      <c r="E5" s="7">
        <v>8</v>
      </c>
      <c r="G5" s="2">
        <v>3</v>
      </c>
      <c r="H5" s="9">
        <v>0.105</v>
      </c>
      <c r="I5" s="6">
        <f>+SUM($H$3:H5)</f>
        <v>0.92500000000000004</v>
      </c>
      <c r="J5" s="15">
        <v>10</v>
      </c>
      <c r="K5" s="3">
        <f t="shared" si="0"/>
        <v>1.05</v>
      </c>
      <c r="L5" s="11">
        <v>0</v>
      </c>
      <c r="N5" s="2">
        <v>3</v>
      </c>
      <c r="O5" s="9">
        <v>0.28000000000000003</v>
      </c>
      <c r="P5" s="6">
        <f>+SUM($O$3:O5)</f>
        <v>0.58000000000000007</v>
      </c>
      <c r="Q5" s="3">
        <f t="shared" si="1"/>
        <v>10</v>
      </c>
      <c r="R5" s="3">
        <f t="shared" si="2"/>
        <v>2.8000000000000003</v>
      </c>
      <c r="S5" s="11">
        <v>0</v>
      </c>
      <c r="U5" s="2">
        <v>3</v>
      </c>
      <c r="V5" s="9">
        <v>0.2</v>
      </c>
      <c r="W5" s="6">
        <f>+SUM($V$3:V5)</f>
        <v>0.55000000000000004</v>
      </c>
      <c r="X5" s="3">
        <f t="shared" si="3"/>
        <v>10</v>
      </c>
      <c r="Y5" s="3">
        <f t="shared" si="4"/>
        <v>2</v>
      </c>
      <c r="Z5" s="11">
        <v>0</v>
      </c>
      <c r="AB5" s="2">
        <v>3</v>
      </c>
      <c r="AC5" s="9">
        <v>0.08</v>
      </c>
      <c r="AD5" s="6">
        <f>+SUM($AC$3:AC5)</f>
        <v>0.08</v>
      </c>
      <c r="AE5" s="3">
        <f t="shared" si="5"/>
        <v>10</v>
      </c>
      <c r="AF5" s="3">
        <f t="shared" si="6"/>
        <v>0.8</v>
      </c>
      <c r="AG5" s="11">
        <v>0</v>
      </c>
      <c r="AI5" s="2">
        <v>3</v>
      </c>
      <c r="AJ5" s="9">
        <v>0</v>
      </c>
      <c r="AK5" s="6">
        <f>+SUM($AJ$3:AJ5)</f>
        <v>0</v>
      </c>
      <c r="AL5" s="3">
        <f t="shared" si="7"/>
        <v>10</v>
      </c>
      <c r="AM5" s="3">
        <f t="shared" si="8"/>
        <v>0</v>
      </c>
      <c r="AN5" s="11">
        <v>0</v>
      </c>
    </row>
    <row r="6" spans="1:40" x14ac:dyDescent="0.3">
      <c r="A6" s="7" t="s">
        <v>52</v>
      </c>
      <c r="B6" s="7">
        <f>+E6/D6</f>
        <v>0.41580041580041582</v>
      </c>
      <c r="C6" s="7">
        <v>0</v>
      </c>
      <c r="D6" s="16">
        <f>+AF10</f>
        <v>24.049999999999997</v>
      </c>
      <c r="E6" s="7">
        <v>10</v>
      </c>
      <c r="G6" s="2">
        <v>4</v>
      </c>
      <c r="H6" s="9">
        <v>7.0000000000000007E-2</v>
      </c>
      <c r="I6" s="6">
        <f>+SUM($H$3:H6)</f>
        <v>0.99500000000000011</v>
      </c>
      <c r="J6" s="15">
        <v>15</v>
      </c>
      <c r="K6" s="3">
        <f t="shared" si="0"/>
        <v>1.05</v>
      </c>
      <c r="L6" s="11">
        <v>0</v>
      </c>
      <c r="N6" s="2">
        <v>4</v>
      </c>
      <c r="O6" s="9">
        <v>0.25</v>
      </c>
      <c r="P6" s="6">
        <f>+SUM($O$3:O6)</f>
        <v>0.83000000000000007</v>
      </c>
      <c r="Q6" s="3">
        <f t="shared" si="1"/>
        <v>15</v>
      </c>
      <c r="R6" s="3">
        <f t="shared" si="2"/>
        <v>3.75</v>
      </c>
      <c r="S6" s="11">
        <v>0</v>
      </c>
      <c r="U6" s="2">
        <v>4</v>
      </c>
      <c r="V6" s="9">
        <v>0.18</v>
      </c>
      <c r="W6" s="6">
        <f>+SUM($V$3:V6)</f>
        <v>0.73</v>
      </c>
      <c r="X6" s="3">
        <f t="shared" si="3"/>
        <v>15</v>
      </c>
      <c r="Y6" s="3">
        <f t="shared" si="4"/>
        <v>2.6999999999999997</v>
      </c>
      <c r="Z6" s="11">
        <v>0</v>
      </c>
      <c r="AB6" s="2">
        <v>4</v>
      </c>
      <c r="AC6" s="9">
        <v>0.55000000000000004</v>
      </c>
      <c r="AD6" s="6">
        <f>+SUM($AC$3:AC6)</f>
        <v>0.63</v>
      </c>
      <c r="AE6" s="3">
        <f t="shared" si="5"/>
        <v>15</v>
      </c>
      <c r="AF6" s="3">
        <f t="shared" si="6"/>
        <v>8.25</v>
      </c>
      <c r="AG6" s="11">
        <v>0</v>
      </c>
      <c r="AI6" s="2">
        <v>4</v>
      </c>
      <c r="AJ6" s="9">
        <v>0</v>
      </c>
      <c r="AK6" s="6">
        <f>+SUM($AJ$3:AJ6)</f>
        <v>0</v>
      </c>
      <c r="AL6" s="3">
        <f t="shared" si="7"/>
        <v>15</v>
      </c>
      <c r="AM6" s="3">
        <f t="shared" si="8"/>
        <v>0</v>
      </c>
      <c r="AN6" s="11">
        <v>0</v>
      </c>
    </row>
    <row r="7" spans="1:40" x14ac:dyDescent="0.3">
      <c r="A7" s="7" t="s">
        <v>53</v>
      </c>
      <c r="B7" s="7">
        <f>+E7/D7</f>
        <v>0.78431372549019607</v>
      </c>
      <c r="C7" s="7">
        <v>0</v>
      </c>
      <c r="D7" s="16">
        <f>+AM10</f>
        <v>63.75</v>
      </c>
      <c r="E7" s="7">
        <v>50</v>
      </c>
      <c r="G7" s="2">
        <v>5</v>
      </c>
      <c r="H7" s="9">
        <v>3.0000000000000001E-3</v>
      </c>
      <c r="I7" s="6">
        <f>+SUM($H$3:H7)</f>
        <v>0.99800000000000011</v>
      </c>
      <c r="J7" s="15">
        <v>25</v>
      </c>
      <c r="K7" s="3">
        <f t="shared" si="0"/>
        <v>7.4999999999999997E-2</v>
      </c>
      <c r="L7" s="11">
        <v>0</v>
      </c>
      <c r="N7" s="2">
        <v>5</v>
      </c>
      <c r="O7" s="9">
        <v>0.1</v>
      </c>
      <c r="P7" s="6">
        <f>+SUM($O$3:O7)</f>
        <v>0.93</v>
      </c>
      <c r="Q7" s="3">
        <f t="shared" si="1"/>
        <v>25</v>
      </c>
      <c r="R7" s="3">
        <f t="shared" si="2"/>
        <v>2.5</v>
      </c>
      <c r="S7" s="11">
        <v>0</v>
      </c>
      <c r="U7" s="2">
        <v>5</v>
      </c>
      <c r="V7" s="9">
        <v>0.11</v>
      </c>
      <c r="W7" s="6">
        <f>+SUM($V$3:V7)</f>
        <v>0.84</v>
      </c>
      <c r="X7" s="3">
        <f t="shared" si="3"/>
        <v>25</v>
      </c>
      <c r="Y7" s="3">
        <f t="shared" si="4"/>
        <v>2.75</v>
      </c>
      <c r="Z7" s="11">
        <v>0</v>
      </c>
      <c r="AB7" s="2">
        <v>5</v>
      </c>
      <c r="AC7" s="9">
        <v>0.26</v>
      </c>
      <c r="AD7" s="6">
        <f>+SUM($AC$3:AC7)</f>
        <v>0.89</v>
      </c>
      <c r="AE7" s="3">
        <f t="shared" si="5"/>
        <v>25</v>
      </c>
      <c r="AF7" s="3">
        <f t="shared" si="6"/>
        <v>6.5</v>
      </c>
      <c r="AG7" s="11">
        <v>0</v>
      </c>
      <c r="AI7" s="2">
        <v>5</v>
      </c>
      <c r="AJ7" s="9">
        <v>0.15</v>
      </c>
      <c r="AK7" s="6">
        <f>+SUM($AJ$3:AJ7)</f>
        <v>0.15</v>
      </c>
      <c r="AL7" s="3">
        <f t="shared" si="7"/>
        <v>25</v>
      </c>
      <c r="AM7" s="3">
        <f t="shared" si="8"/>
        <v>3.75</v>
      </c>
      <c r="AN7" s="11">
        <v>0</v>
      </c>
    </row>
    <row r="8" spans="1:40" x14ac:dyDescent="0.3">
      <c r="A8" s="7" t="s">
        <v>0</v>
      </c>
      <c r="B8" s="10" t="str">
        <f>+CONCATENATE("x",J3," - x",J9)</f>
        <v>x5 - x100</v>
      </c>
      <c r="G8" s="2">
        <v>6</v>
      </c>
      <c r="H8" s="9">
        <v>1E-3</v>
      </c>
      <c r="I8" s="6">
        <f>+SUM($H$3:H8)</f>
        <v>0.99900000000000011</v>
      </c>
      <c r="J8" s="15">
        <v>50</v>
      </c>
      <c r="K8" s="3">
        <f t="shared" si="0"/>
        <v>0.05</v>
      </c>
      <c r="L8" s="11">
        <v>0</v>
      </c>
      <c r="N8" s="2">
        <v>6</v>
      </c>
      <c r="O8" s="9">
        <v>0.01</v>
      </c>
      <c r="P8" s="6">
        <f>+SUM($O$3:O8)</f>
        <v>0.94000000000000006</v>
      </c>
      <c r="Q8" s="3">
        <f t="shared" si="1"/>
        <v>50</v>
      </c>
      <c r="R8" s="3">
        <f t="shared" si="2"/>
        <v>0.5</v>
      </c>
      <c r="S8" s="11">
        <v>0</v>
      </c>
      <c r="U8" s="2">
        <v>6</v>
      </c>
      <c r="V8" s="9">
        <v>0.09</v>
      </c>
      <c r="W8" s="6">
        <f>+SUM($V$3:V8)</f>
        <v>0.92999999999999994</v>
      </c>
      <c r="X8" s="3">
        <f t="shared" si="3"/>
        <v>50</v>
      </c>
      <c r="Y8" s="3">
        <f t="shared" si="4"/>
        <v>4.5</v>
      </c>
      <c r="Z8" s="11">
        <v>0</v>
      </c>
      <c r="AB8" s="2">
        <v>6</v>
      </c>
      <c r="AC8" s="9">
        <v>0.05</v>
      </c>
      <c r="AD8" s="6">
        <f>+SUM($AC$3:AC8)</f>
        <v>0.94000000000000006</v>
      </c>
      <c r="AE8" s="3">
        <f t="shared" si="5"/>
        <v>50</v>
      </c>
      <c r="AF8" s="3">
        <f t="shared" si="6"/>
        <v>2.5</v>
      </c>
      <c r="AG8" s="11">
        <v>0</v>
      </c>
      <c r="AI8" s="2">
        <v>6</v>
      </c>
      <c r="AJ8" s="9">
        <v>0.5</v>
      </c>
      <c r="AK8" s="6">
        <f>+SUM($AJ$3:AJ8)</f>
        <v>0.65</v>
      </c>
      <c r="AL8" s="3">
        <f t="shared" si="7"/>
        <v>50</v>
      </c>
      <c r="AM8" s="3">
        <f t="shared" si="8"/>
        <v>25</v>
      </c>
      <c r="AN8" s="11">
        <v>0</v>
      </c>
    </row>
    <row r="9" spans="1:40" x14ac:dyDescent="0.3">
      <c r="G9" s="2">
        <v>7</v>
      </c>
      <c r="H9" s="8">
        <f>1-SUM(H3:H8)</f>
        <v>9.9999999999988987E-4</v>
      </c>
      <c r="I9" s="6">
        <f>+SUM($H$3:H9)</f>
        <v>1</v>
      </c>
      <c r="J9" s="15">
        <v>100</v>
      </c>
      <c r="K9" s="3">
        <f t="shared" si="0"/>
        <v>9.9999999999988987E-2</v>
      </c>
      <c r="L9" s="11">
        <v>0</v>
      </c>
      <c r="N9" s="2">
        <v>7</v>
      </c>
      <c r="O9" s="8">
        <f>1-SUM(O3:O8)</f>
        <v>5.9999999999999942E-2</v>
      </c>
      <c r="P9" s="6">
        <f>+SUM($O$3:O9)</f>
        <v>1</v>
      </c>
      <c r="Q9" s="3">
        <f t="shared" si="1"/>
        <v>100</v>
      </c>
      <c r="R9" s="3">
        <f t="shared" si="2"/>
        <v>5.9999999999999947</v>
      </c>
      <c r="S9" s="11">
        <v>0</v>
      </c>
      <c r="U9" s="2">
        <v>7</v>
      </c>
      <c r="V9" s="8">
        <f>1-SUM(V3:V8)</f>
        <v>7.0000000000000062E-2</v>
      </c>
      <c r="W9" s="6">
        <f>+SUM($V$3:V9)</f>
        <v>1</v>
      </c>
      <c r="X9" s="3">
        <f t="shared" si="3"/>
        <v>100</v>
      </c>
      <c r="Y9" s="3">
        <f t="shared" si="4"/>
        <v>7.0000000000000062</v>
      </c>
      <c r="Z9" s="11">
        <v>0</v>
      </c>
      <c r="AB9" s="2">
        <v>7</v>
      </c>
      <c r="AC9" s="8">
        <f>1-SUM(AC3:AC8)</f>
        <v>5.9999999999999942E-2</v>
      </c>
      <c r="AD9" s="6">
        <f>+SUM($AC$3:AC9)</f>
        <v>1</v>
      </c>
      <c r="AE9" s="3">
        <f t="shared" si="5"/>
        <v>100</v>
      </c>
      <c r="AF9" s="3">
        <f t="shared" si="6"/>
        <v>5.9999999999999947</v>
      </c>
      <c r="AG9" s="11">
        <v>0</v>
      </c>
      <c r="AI9" s="2">
        <v>7</v>
      </c>
      <c r="AJ9" s="8">
        <f>1-SUM(AJ3:AJ8)</f>
        <v>0.35</v>
      </c>
      <c r="AK9" s="6">
        <f>+SUM($AJ$3:AJ9)</f>
        <v>1</v>
      </c>
      <c r="AL9" s="3">
        <f t="shared" si="7"/>
        <v>100</v>
      </c>
      <c r="AM9" s="3">
        <f t="shared" si="8"/>
        <v>35</v>
      </c>
      <c r="AN9" s="11">
        <v>0</v>
      </c>
    </row>
    <row r="10" spans="1:40" x14ac:dyDescent="0.3">
      <c r="A10" s="14" t="s">
        <v>13</v>
      </c>
      <c r="G10" s="4" t="s">
        <v>6</v>
      </c>
      <c r="H10" s="4">
        <f>+SUM(H3:H9)</f>
        <v>1</v>
      </c>
      <c r="I10" s="4"/>
      <c r="J10" s="4"/>
      <c r="K10" s="5">
        <f>+SUM(K3:K9)</f>
        <v>7.0649999999999888</v>
      </c>
      <c r="L10" s="5"/>
      <c r="N10" s="4" t="s">
        <v>6</v>
      </c>
      <c r="O10" s="4">
        <f>+SUM(O3:O9)</f>
        <v>1</v>
      </c>
      <c r="P10" s="4"/>
      <c r="Q10" s="4"/>
      <c r="R10" s="5">
        <f>+SUM(R3:R9)</f>
        <v>17.449999999999996</v>
      </c>
      <c r="S10" s="5"/>
      <c r="U10" s="4" t="s">
        <v>6</v>
      </c>
      <c r="V10" s="4">
        <f>+SUM(V3:V9)</f>
        <v>1</v>
      </c>
      <c r="W10" s="4"/>
      <c r="X10" s="4"/>
      <c r="Y10" s="5">
        <f>+SUM(Y3:Y9)</f>
        <v>21.200000000000006</v>
      </c>
      <c r="Z10" s="5"/>
      <c r="AB10" s="4" t="s">
        <v>6</v>
      </c>
      <c r="AC10" s="4">
        <f>+SUM(AC3:AC9)</f>
        <v>1</v>
      </c>
      <c r="AD10" s="4"/>
      <c r="AE10" s="4"/>
      <c r="AF10" s="5">
        <f>+SUM(AF3:AF9)</f>
        <v>24.049999999999997</v>
      </c>
      <c r="AG10" s="5"/>
      <c r="AI10" s="4" t="s">
        <v>6</v>
      </c>
      <c r="AJ10" s="4">
        <f>+SUM(AJ3:AJ9)</f>
        <v>1</v>
      </c>
      <c r="AK10" s="4"/>
      <c r="AL10" s="4"/>
      <c r="AM10" s="5">
        <f>+SUM(AM3:AM9)</f>
        <v>63.75</v>
      </c>
      <c r="AN10" s="5"/>
    </row>
    <row r="12" spans="1:40" x14ac:dyDescent="0.3">
      <c r="C12" s="1" t="s">
        <v>49</v>
      </c>
      <c r="D12" s="12">
        <v>0</v>
      </c>
    </row>
    <row r="13" spans="1:40" x14ac:dyDescent="0.3">
      <c r="C13" s="1" t="s">
        <v>10</v>
      </c>
      <c r="D13" s="12">
        <v>0</v>
      </c>
    </row>
    <row r="14" spans="1:40" x14ac:dyDescent="0.3">
      <c r="C14" s="1" t="s">
        <v>11</v>
      </c>
      <c r="D14" s="12">
        <v>0</v>
      </c>
    </row>
    <row r="17" spans="1:4" ht="15" thickBot="1" x14ac:dyDescent="0.35"/>
    <row r="18" spans="1:4" x14ac:dyDescent="0.3">
      <c r="A18" s="1" t="s">
        <v>59</v>
      </c>
      <c r="B18" s="1" t="s">
        <v>58</v>
      </c>
      <c r="D18" s="28" t="s">
        <v>16</v>
      </c>
    </row>
    <row r="19" spans="1:4" ht="15" thickBot="1" x14ac:dyDescent="0.35">
      <c r="A19" s="7" t="s">
        <v>54</v>
      </c>
      <c r="B19" s="12">
        <v>0</v>
      </c>
      <c r="D19" s="29">
        <v>1</v>
      </c>
    </row>
    <row r="20" spans="1:4" x14ac:dyDescent="0.3">
      <c r="A20" s="7" t="s">
        <v>55</v>
      </c>
      <c r="B20" s="12">
        <v>0</v>
      </c>
    </row>
    <row r="21" spans="1:4" x14ac:dyDescent="0.3">
      <c r="A21" s="7" t="s">
        <v>56</v>
      </c>
      <c r="B21" s="12">
        <v>0</v>
      </c>
    </row>
    <row r="22" spans="1:4" x14ac:dyDescent="0.3">
      <c r="A22" s="7" t="s">
        <v>57</v>
      </c>
      <c r="B22" s="12">
        <v>0</v>
      </c>
    </row>
    <row r="24" spans="1:4" x14ac:dyDescent="0.3">
      <c r="A24" s="1" t="s">
        <v>12</v>
      </c>
      <c r="B24" s="13">
        <f>IF(D13=0,0,+D14/D13)</f>
        <v>0</v>
      </c>
    </row>
    <row r="25" spans="1:4" x14ac:dyDescent="0.3">
      <c r="A25" s="1" t="s">
        <v>85</v>
      </c>
      <c r="B25" s="13">
        <f>IF(D12=0,0,+(SUMPRODUCT(L3:L9,J3:J9))/D12)</f>
        <v>0</v>
      </c>
    </row>
    <row r="26" spans="1:4" x14ac:dyDescent="0.3">
      <c r="A26" s="1" t="s">
        <v>86</v>
      </c>
      <c r="B26" s="13">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dxfId="52" priority="7" operator="lessThan">
      <formula>0</formula>
    </cfRule>
    <cfRule type="cellIs" dxfId="51" priority="8" operator="greaterThan">
      <formula>1</formula>
    </cfRule>
  </conditionalFormatting>
  <conditionalFormatting sqref="H3:H9 O3:O9 AJ3:AJ9 V3:V9 AC3:AC9">
    <cfRule type="cellIs" dxfId="50" priority="6" operator="equal">
      <formula>0</formula>
    </cfRule>
  </conditionalFormatting>
  <conditionalFormatting sqref="B3:B7">
    <cfRule type="cellIs" dxfId="49" priority="4" operator="greaterThan">
      <formula>1</formula>
    </cfRule>
    <cfRule type="cellIs" dxfId="48" priority="5" operator="lessThan">
      <formula>0</formula>
    </cfRule>
  </conditionalFormatting>
  <conditionalFormatting sqref="AJ7:AJ8">
    <cfRule type="cellIs" dxfId="47" priority="2" operator="lessThan">
      <formula>0</formula>
    </cfRule>
    <cfRule type="cellIs" dxfId="46" priority="3" operator="greaterThan">
      <formula>1</formula>
    </cfRule>
  </conditionalFormatting>
  <conditionalFormatting sqref="AJ7:AJ8">
    <cfRule type="cellIs" dxfId="45" priority="1" operator="equal">
      <formula>0</formula>
    </cfRule>
  </conditionalFormatting>
  <dataValidations count="1">
    <dataValidation type="list" allowBlank="1" showInputMessage="1" showErrorMessage="1" sqref="A10" xr:uid="{00000000-0002-0000-0900-000000000000}">
      <formula1>"Regular weapon,Special weapon 1,Special weapon 2,Special weapon 3,Plasma Gun"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oot_enemy">
                <anchor moveWithCells="1" sizeWithCells="1">
                  <from>
                    <xdr:col>2</xdr:col>
                    <xdr:colOff>510540</xdr:colOff>
                    <xdr:row>7</xdr:row>
                    <xdr:rowOff>99060</xdr:rowOff>
                  </from>
                  <to>
                    <xdr:col>5</xdr:col>
                    <xdr:colOff>22860</xdr:colOff>
                    <xdr:row>10</xdr:row>
                    <xdr:rowOff>38100</xdr:rowOff>
                  </to>
                </anchor>
              </controlPr>
            </control>
          </mc:Choice>
        </mc:AlternateContent>
        <mc:AlternateContent xmlns:mc="http://schemas.openxmlformats.org/markup-compatibility/2006">
          <mc:Choice Requires="x14">
            <control shapeId="8194" r:id="rId5" name="Button 2">
              <controlPr defaultSize="0" print="0" autoFill="0" autoPict="0" macro="[0]!reset_sim_values">
                <anchor moveWithCells="1" sizeWithCells="1">
                  <from>
                    <xdr:col>0</xdr:col>
                    <xdr:colOff>601980</xdr:colOff>
                    <xdr:row>12</xdr:row>
                    <xdr:rowOff>60960</xdr:rowOff>
                  </from>
                  <to>
                    <xdr:col>1</xdr:col>
                    <xdr:colOff>22860</xdr:colOff>
                    <xdr:row>14</xdr:row>
                    <xdr:rowOff>99060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8"/>
  <dimension ref="A1:AN26"/>
  <sheetViews>
    <sheetView workbookViewId="0">
      <pane xSplit="6" ySplit="1" topLeftCell="AE2" activePane="bottomRight" state="frozen"/>
      <selection pane="topRight" activeCell="G1" sqref="G1"/>
      <selection pane="bottomLeft" activeCell="A2" sqref="A2"/>
      <selection pane="bottomRight" activeCell="C2" sqref="C2"/>
    </sheetView>
  </sheetViews>
  <sheetFormatPr defaultColWidth="11.5546875" defaultRowHeight="14.4" x14ac:dyDescent="0.3"/>
  <cols>
    <col min="1" max="1" width="31.6640625" customWidth="1"/>
    <col min="3" max="3" width="17.21875" bestFit="1" customWidth="1"/>
    <col min="4" max="4" width="9.21875" customWidth="1"/>
    <col min="5" max="5" width="7.21875" customWidth="1"/>
    <col min="6" max="6" width="14.33203125" customWidth="1"/>
    <col min="9" max="9" width="16.21875" customWidth="1"/>
  </cols>
  <sheetData>
    <row r="1" spans="1:40" x14ac:dyDescent="0.3">
      <c r="A1" s="1" t="s">
        <v>92</v>
      </c>
      <c r="G1" s="118" t="s">
        <v>14</v>
      </c>
      <c r="H1" s="119"/>
      <c r="I1" s="119"/>
      <c r="J1" s="119"/>
      <c r="K1" s="119"/>
      <c r="L1" s="119"/>
      <c r="N1" s="118" t="s">
        <v>20</v>
      </c>
      <c r="O1" s="119"/>
      <c r="P1" s="119"/>
      <c r="Q1" s="119"/>
      <c r="R1" s="119"/>
      <c r="S1" s="119"/>
      <c r="U1" s="118" t="s">
        <v>19</v>
      </c>
      <c r="V1" s="119"/>
      <c r="W1" s="119"/>
      <c r="X1" s="119"/>
      <c r="Y1" s="119"/>
      <c r="Z1" s="119"/>
      <c r="AB1" s="118" t="s">
        <v>18</v>
      </c>
      <c r="AC1" s="119"/>
      <c r="AD1" s="119"/>
      <c r="AE1" s="119"/>
      <c r="AF1" s="119"/>
      <c r="AG1" s="119"/>
      <c r="AI1" s="118" t="s">
        <v>21</v>
      </c>
      <c r="AJ1" s="119"/>
      <c r="AK1" s="119"/>
      <c r="AL1" s="119"/>
      <c r="AM1" s="119"/>
      <c r="AN1" s="119"/>
    </row>
    <row r="2" spans="1:40" x14ac:dyDescent="0.3">
      <c r="A2" s="1"/>
      <c r="B2" s="1" t="s">
        <v>15</v>
      </c>
      <c r="C2" s="1" t="s">
        <v>161</v>
      </c>
      <c r="D2" s="1" t="s">
        <v>5</v>
      </c>
      <c r="E2" s="1" t="s">
        <v>7</v>
      </c>
      <c r="G2" s="1" t="s">
        <v>1</v>
      </c>
      <c r="H2" s="1" t="s">
        <v>2</v>
      </c>
      <c r="I2" s="1" t="s">
        <v>3</v>
      </c>
      <c r="J2" s="1" t="s">
        <v>4</v>
      </c>
      <c r="K2" s="1" t="s">
        <v>5</v>
      </c>
      <c r="L2" s="1" t="s">
        <v>9</v>
      </c>
      <c r="N2" s="1" t="s">
        <v>1</v>
      </c>
      <c r="O2" s="1" t="s">
        <v>2</v>
      </c>
      <c r="P2" s="1" t="s">
        <v>3</v>
      </c>
      <c r="Q2" s="1" t="s">
        <v>4</v>
      </c>
      <c r="R2" s="1" t="s">
        <v>5</v>
      </c>
      <c r="S2" s="1" t="s">
        <v>9</v>
      </c>
      <c r="U2" s="1" t="s">
        <v>1</v>
      </c>
      <c r="V2" s="1" t="s">
        <v>2</v>
      </c>
      <c r="W2" s="1" t="s">
        <v>3</v>
      </c>
      <c r="X2" s="1" t="s">
        <v>4</v>
      </c>
      <c r="Y2" s="1" t="s">
        <v>5</v>
      </c>
      <c r="Z2" s="1" t="s">
        <v>9</v>
      </c>
      <c r="AB2" s="1" t="s">
        <v>1</v>
      </c>
      <c r="AC2" s="1" t="s">
        <v>2</v>
      </c>
      <c r="AD2" s="1" t="s">
        <v>3</v>
      </c>
      <c r="AE2" s="1" t="s">
        <v>4</v>
      </c>
      <c r="AF2" s="1" t="s">
        <v>5</v>
      </c>
      <c r="AG2" s="1" t="s">
        <v>9</v>
      </c>
      <c r="AI2" s="1" t="s">
        <v>1</v>
      </c>
      <c r="AJ2" s="1" t="s">
        <v>2</v>
      </c>
      <c r="AK2" s="1" t="s">
        <v>3</v>
      </c>
      <c r="AL2" s="1" t="s">
        <v>4</v>
      </c>
      <c r="AM2" s="1" t="s">
        <v>5</v>
      </c>
      <c r="AN2" s="1" t="s">
        <v>9</v>
      </c>
    </row>
    <row r="3" spans="1:40" x14ac:dyDescent="0.3">
      <c r="A3" s="7" t="s">
        <v>50</v>
      </c>
      <c r="B3" s="7">
        <f>+E3/D3</f>
        <v>9.2710544939844458E-2</v>
      </c>
      <c r="C3" s="7">
        <f>1/B3/Summary!$C$7</f>
        <v>1.0786259541984713E-2</v>
      </c>
      <c r="D3" s="71">
        <f>+K10</f>
        <v>7.0649999999999888</v>
      </c>
      <c r="E3" s="7">
        <v>0.65500000000000003</v>
      </c>
      <c r="G3" s="2">
        <v>1</v>
      </c>
      <c r="H3" s="9">
        <v>0.5</v>
      </c>
      <c r="I3" s="6">
        <f>+SUM($H3:H3)</f>
        <v>0.5</v>
      </c>
      <c r="J3" s="15">
        <v>5</v>
      </c>
      <c r="K3" s="3">
        <f>+H3*J3</f>
        <v>2.5</v>
      </c>
      <c r="L3" s="11">
        <v>0</v>
      </c>
      <c r="N3" s="2">
        <v>1</v>
      </c>
      <c r="O3" s="9">
        <v>0.1</v>
      </c>
      <c r="P3" s="6">
        <f>+SUM($O3:O$3)</f>
        <v>0.1</v>
      </c>
      <c r="Q3" s="3">
        <f>+J3</f>
        <v>5</v>
      </c>
      <c r="R3" s="3">
        <f>+O3*Q3</f>
        <v>0.5</v>
      </c>
      <c r="S3" s="11">
        <v>0</v>
      </c>
      <c r="U3" s="2">
        <v>1</v>
      </c>
      <c r="V3" s="9">
        <v>0.1</v>
      </c>
      <c r="W3" s="6">
        <f>+SUM($V3:V$3)</f>
        <v>0.1</v>
      </c>
      <c r="X3" s="3">
        <f>+J3</f>
        <v>5</v>
      </c>
      <c r="Y3" s="3">
        <f>+V3*X3</f>
        <v>0.5</v>
      </c>
      <c r="Z3" s="11">
        <v>0</v>
      </c>
      <c r="AB3" s="2">
        <v>1</v>
      </c>
      <c r="AC3" s="9">
        <v>0</v>
      </c>
      <c r="AD3" s="6">
        <f>+SUM($AC$3:AC3)</f>
        <v>0</v>
      </c>
      <c r="AE3" s="3">
        <f>+J3</f>
        <v>5</v>
      </c>
      <c r="AF3" s="3">
        <f>+AC3*AE3</f>
        <v>0</v>
      </c>
      <c r="AG3" s="11">
        <v>0</v>
      </c>
      <c r="AI3" s="2">
        <v>1</v>
      </c>
      <c r="AJ3" s="9">
        <v>0</v>
      </c>
      <c r="AK3" s="6">
        <f>+SUM($AJ$3:AJ3)</f>
        <v>0</v>
      </c>
      <c r="AL3" s="3">
        <f>+J3</f>
        <v>5</v>
      </c>
      <c r="AM3" s="3">
        <f>+AJ3*AL3</f>
        <v>0</v>
      </c>
      <c r="AN3" s="11">
        <v>0</v>
      </c>
    </row>
    <row r="4" spans="1:40" x14ac:dyDescent="0.3">
      <c r="A4" s="7" t="s">
        <v>146</v>
      </c>
      <c r="B4" s="7">
        <f>+E4/D4</f>
        <v>0.28653295128939837</v>
      </c>
      <c r="C4" s="7">
        <v>0</v>
      </c>
      <c r="D4" s="16">
        <f>+R10</f>
        <v>17.449999999999996</v>
      </c>
      <c r="E4" s="7">
        <v>5</v>
      </c>
      <c r="G4" s="2">
        <v>2</v>
      </c>
      <c r="H4" s="9">
        <v>0.32</v>
      </c>
      <c r="I4" s="6">
        <f>+SUM($H$3:H4)</f>
        <v>0.82000000000000006</v>
      </c>
      <c r="J4" s="15">
        <v>7</v>
      </c>
      <c r="K4" s="3">
        <f t="shared" ref="K4:K9" si="0">+H4*J4</f>
        <v>2.2400000000000002</v>
      </c>
      <c r="L4" s="11">
        <v>0</v>
      </c>
      <c r="N4" s="2">
        <v>2</v>
      </c>
      <c r="O4" s="9">
        <v>0.2</v>
      </c>
      <c r="P4" s="6">
        <f>+SUM($O$3:O4)</f>
        <v>0.30000000000000004</v>
      </c>
      <c r="Q4" s="3">
        <f t="shared" ref="Q4:Q9" si="1">+J4</f>
        <v>7</v>
      </c>
      <c r="R4" s="3">
        <f t="shared" ref="R4:R9" si="2">+O4*Q4</f>
        <v>1.4000000000000001</v>
      </c>
      <c r="S4" s="11">
        <v>0</v>
      </c>
      <c r="U4" s="2">
        <v>2</v>
      </c>
      <c r="V4" s="9">
        <v>0.25</v>
      </c>
      <c r="W4" s="6">
        <f>+SUM($V$3:V4)</f>
        <v>0.35</v>
      </c>
      <c r="X4" s="3">
        <f t="shared" ref="X4:X9" si="3">+J4</f>
        <v>7</v>
      </c>
      <c r="Y4" s="3">
        <f t="shared" ref="Y4:Y9" si="4">+V4*X4</f>
        <v>1.75</v>
      </c>
      <c r="Z4" s="11">
        <v>0</v>
      </c>
      <c r="AB4" s="2">
        <v>2</v>
      </c>
      <c r="AC4" s="9">
        <v>0</v>
      </c>
      <c r="AD4" s="6">
        <f>+SUM($AC$3:AC4)</f>
        <v>0</v>
      </c>
      <c r="AE4" s="3">
        <f t="shared" ref="AE4:AE9" si="5">+J4</f>
        <v>7</v>
      </c>
      <c r="AF4" s="3">
        <f t="shared" ref="AF4:AF9" si="6">+AC4*AE4</f>
        <v>0</v>
      </c>
      <c r="AG4" s="11">
        <v>0</v>
      </c>
      <c r="AI4" s="2">
        <v>2</v>
      </c>
      <c r="AJ4" s="9">
        <v>0</v>
      </c>
      <c r="AK4" s="6">
        <f>+SUM($AJ$3:AJ4)</f>
        <v>0</v>
      </c>
      <c r="AL4" s="3">
        <f t="shared" ref="AL4:AL9" si="7">+J4</f>
        <v>7</v>
      </c>
      <c r="AM4" s="3">
        <f t="shared" ref="AM4:AM9" si="8">+AJ4*AL4</f>
        <v>0</v>
      </c>
      <c r="AN4" s="11">
        <v>0</v>
      </c>
    </row>
    <row r="5" spans="1:40" x14ac:dyDescent="0.3">
      <c r="A5" s="7" t="s">
        <v>51</v>
      </c>
      <c r="B5" s="7">
        <f>+E5/D5</f>
        <v>0.3773584905660376</v>
      </c>
      <c r="C5" s="7">
        <v>0</v>
      </c>
      <c r="D5" s="16">
        <f>+Y10</f>
        <v>21.200000000000006</v>
      </c>
      <c r="E5" s="7">
        <v>8</v>
      </c>
      <c r="G5" s="2">
        <v>3</v>
      </c>
      <c r="H5" s="9">
        <v>0.105</v>
      </c>
      <c r="I5" s="6">
        <f>+SUM($H$3:H5)</f>
        <v>0.92500000000000004</v>
      </c>
      <c r="J5" s="15">
        <v>10</v>
      </c>
      <c r="K5" s="3">
        <f t="shared" si="0"/>
        <v>1.05</v>
      </c>
      <c r="L5" s="11">
        <v>0</v>
      </c>
      <c r="N5" s="2">
        <v>3</v>
      </c>
      <c r="O5" s="9">
        <v>0.28000000000000003</v>
      </c>
      <c r="P5" s="6">
        <f>+SUM($O$3:O5)</f>
        <v>0.58000000000000007</v>
      </c>
      <c r="Q5" s="3">
        <f t="shared" si="1"/>
        <v>10</v>
      </c>
      <c r="R5" s="3">
        <f t="shared" si="2"/>
        <v>2.8000000000000003</v>
      </c>
      <c r="S5" s="11">
        <v>0</v>
      </c>
      <c r="U5" s="2">
        <v>3</v>
      </c>
      <c r="V5" s="9">
        <v>0.2</v>
      </c>
      <c r="W5" s="6">
        <f>+SUM($V$3:V5)</f>
        <v>0.55000000000000004</v>
      </c>
      <c r="X5" s="3">
        <f t="shared" si="3"/>
        <v>10</v>
      </c>
      <c r="Y5" s="3">
        <f t="shared" si="4"/>
        <v>2</v>
      </c>
      <c r="Z5" s="11">
        <v>0</v>
      </c>
      <c r="AB5" s="2">
        <v>3</v>
      </c>
      <c r="AC5" s="9">
        <v>0.08</v>
      </c>
      <c r="AD5" s="6">
        <f>+SUM($AC$3:AC5)</f>
        <v>0.08</v>
      </c>
      <c r="AE5" s="3">
        <f t="shared" si="5"/>
        <v>10</v>
      </c>
      <c r="AF5" s="3">
        <f t="shared" si="6"/>
        <v>0.8</v>
      </c>
      <c r="AG5" s="11">
        <v>0</v>
      </c>
      <c r="AI5" s="2">
        <v>3</v>
      </c>
      <c r="AJ5" s="9">
        <v>0</v>
      </c>
      <c r="AK5" s="6">
        <f>+SUM($AJ$3:AJ5)</f>
        <v>0</v>
      </c>
      <c r="AL5" s="3">
        <f t="shared" si="7"/>
        <v>10</v>
      </c>
      <c r="AM5" s="3">
        <f t="shared" si="8"/>
        <v>0</v>
      </c>
      <c r="AN5" s="11">
        <v>0</v>
      </c>
    </row>
    <row r="6" spans="1:40" x14ac:dyDescent="0.3">
      <c r="A6" s="7" t="s">
        <v>52</v>
      </c>
      <c r="B6" s="7">
        <f>+E6/D6</f>
        <v>0.41580041580041582</v>
      </c>
      <c r="C6" s="7">
        <v>0</v>
      </c>
      <c r="D6" s="16">
        <f>+AF10</f>
        <v>24.049999999999997</v>
      </c>
      <c r="E6" s="7">
        <v>10</v>
      </c>
      <c r="G6" s="2">
        <v>4</v>
      </c>
      <c r="H6" s="9">
        <v>7.0000000000000007E-2</v>
      </c>
      <c r="I6" s="6">
        <f>+SUM($H$3:H6)</f>
        <v>0.99500000000000011</v>
      </c>
      <c r="J6" s="15">
        <v>15</v>
      </c>
      <c r="K6" s="3">
        <f t="shared" si="0"/>
        <v>1.05</v>
      </c>
      <c r="L6" s="11">
        <v>0</v>
      </c>
      <c r="N6" s="2">
        <v>4</v>
      </c>
      <c r="O6" s="9">
        <v>0.25</v>
      </c>
      <c r="P6" s="6">
        <f>+SUM($O$3:O6)</f>
        <v>0.83000000000000007</v>
      </c>
      <c r="Q6" s="3">
        <f t="shared" si="1"/>
        <v>15</v>
      </c>
      <c r="R6" s="3">
        <f t="shared" si="2"/>
        <v>3.75</v>
      </c>
      <c r="S6" s="11">
        <v>0</v>
      </c>
      <c r="U6" s="2">
        <v>4</v>
      </c>
      <c r="V6" s="9">
        <v>0.18</v>
      </c>
      <c r="W6" s="6">
        <f>+SUM($V$3:V6)</f>
        <v>0.73</v>
      </c>
      <c r="X6" s="3">
        <f t="shared" si="3"/>
        <v>15</v>
      </c>
      <c r="Y6" s="3">
        <f t="shared" si="4"/>
        <v>2.6999999999999997</v>
      </c>
      <c r="Z6" s="11">
        <v>0</v>
      </c>
      <c r="AB6" s="2">
        <v>4</v>
      </c>
      <c r="AC6" s="9">
        <v>0.55000000000000004</v>
      </c>
      <c r="AD6" s="6">
        <f>+SUM($AC$3:AC6)</f>
        <v>0.63</v>
      </c>
      <c r="AE6" s="3">
        <f t="shared" si="5"/>
        <v>15</v>
      </c>
      <c r="AF6" s="3">
        <f t="shared" si="6"/>
        <v>8.25</v>
      </c>
      <c r="AG6" s="11">
        <v>0</v>
      </c>
      <c r="AI6" s="2">
        <v>4</v>
      </c>
      <c r="AJ6" s="9">
        <v>0</v>
      </c>
      <c r="AK6" s="6">
        <f>+SUM($AJ$3:AJ6)</f>
        <v>0</v>
      </c>
      <c r="AL6" s="3">
        <f t="shared" si="7"/>
        <v>15</v>
      </c>
      <c r="AM6" s="3">
        <f t="shared" si="8"/>
        <v>0</v>
      </c>
      <c r="AN6" s="11">
        <v>0</v>
      </c>
    </row>
    <row r="7" spans="1:40" x14ac:dyDescent="0.3">
      <c r="A7" s="7" t="s">
        <v>53</v>
      </c>
      <c r="B7" s="7">
        <f>+E7/D7</f>
        <v>0.78431372549019607</v>
      </c>
      <c r="C7" s="7">
        <v>0</v>
      </c>
      <c r="D7" s="16">
        <f>+AM10</f>
        <v>63.75</v>
      </c>
      <c r="E7" s="7">
        <v>50</v>
      </c>
      <c r="G7" s="2">
        <v>5</v>
      </c>
      <c r="H7" s="9">
        <v>3.0000000000000001E-3</v>
      </c>
      <c r="I7" s="6">
        <f>+SUM($H$3:H7)</f>
        <v>0.99800000000000011</v>
      </c>
      <c r="J7" s="15">
        <v>25</v>
      </c>
      <c r="K7" s="3">
        <f t="shared" si="0"/>
        <v>7.4999999999999997E-2</v>
      </c>
      <c r="L7" s="11">
        <v>0</v>
      </c>
      <c r="N7" s="2">
        <v>5</v>
      </c>
      <c r="O7" s="9">
        <v>0.1</v>
      </c>
      <c r="P7" s="6">
        <f>+SUM($O$3:O7)</f>
        <v>0.93</v>
      </c>
      <c r="Q7" s="3">
        <f t="shared" si="1"/>
        <v>25</v>
      </c>
      <c r="R7" s="3">
        <f t="shared" si="2"/>
        <v>2.5</v>
      </c>
      <c r="S7" s="11">
        <v>0</v>
      </c>
      <c r="U7" s="2">
        <v>5</v>
      </c>
      <c r="V7" s="9">
        <v>0.11</v>
      </c>
      <c r="W7" s="6">
        <f>+SUM($V$3:V7)</f>
        <v>0.84</v>
      </c>
      <c r="X7" s="3">
        <f t="shared" si="3"/>
        <v>25</v>
      </c>
      <c r="Y7" s="3">
        <f t="shared" si="4"/>
        <v>2.75</v>
      </c>
      <c r="Z7" s="11">
        <v>0</v>
      </c>
      <c r="AB7" s="2">
        <v>5</v>
      </c>
      <c r="AC7" s="9">
        <v>0.26</v>
      </c>
      <c r="AD7" s="6">
        <f>+SUM($AC$3:AC7)</f>
        <v>0.89</v>
      </c>
      <c r="AE7" s="3">
        <f t="shared" si="5"/>
        <v>25</v>
      </c>
      <c r="AF7" s="3">
        <f t="shared" si="6"/>
        <v>6.5</v>
      </c>
      <c r="AG7" s="11">
        <v>0</v>
      </c>
      <c r="AI7" s="2">
        <v>5</v>
      </c>
      <c r="AJ7" s="9">
        <v>0.15</v>
      </c>
      <c r="AK7" s="6">
        <f>+SUM($AJ$3:AJ7)</f>
        <v>0.15</v>
      </c>
      <c r="AL7" s="3">
        <f t="shared" si="7"/>
        <v>25</v>
      </c>
      <c r="AM7" s="3">
        <f t="shared" si="8"/>
        <v>3.75</v>
      </c>
      <c r="AN7" s="11">
        <v>0</v>
      </c>
    </row>
    <row r="8" spans="1:40" x14ac:dyDescent="0.3">
      <c r="A8" s="7" t="s">
        <v>0</v>
      </c>
      <c r="B8" s="10" t="str">
        <f>+CONCATENATE("x",J3," - x",J9)</f>
        <v>x5 - x100</v>
      </c>
      <c r="G8" s="2">
        <v>6</v>
      </c>
      <c r="H8" s="9">
        <v>1E-3</v>
      </c>
      <c r="I8" s="6">
        <f>+SUM($H$3:H8)</f>
        <v>0.99900000000000011</v>
      </c>
      <c r="J8" s="15">
        <v>50</v>
      </c>
      <c r="K8" s="3">
        <f t="shared" si="0"/>
        <v>0.05</v>
      </c>
      <c r="L8" s="11">
        <v>0</v>
      </c>
      <c r="N8" s="2">
        <v>6</v>
      </c>
      <c r="O8" s="9">
        <v>0.01</v>
      </c>
      <c r="P8" s="6">
        <f>+SUM($O$3:O8)</f>
        <v>0.94000000000000006</v>
      </c>
      <c r="Q8" s="3">
        <f t="shared" si="1"/>
        <v>50</v>
      </c>
      <c r="R8" s="3">
        <f t="shared" si="2"/>
        <v>0.5</v>
      </c>
      <c r="S8" s="11">
        <v>0</v>
      </c>
      <c r="U8" s="2">
        <v>6</v>
      </c>
      <c r="V8" s="9">
        <v>0.09</v>
      </c>
      <c r="W8" s="6">
        <f>+SUM($V$3:V8)</f>
        <v>0.92999999999999994</v>
      </c>
      <c r="X8" s="3">
        <f t="shared" si="3"/>
        <v>50</v>
      </c>
      <c r="Y8" s="3">
        <f t="shared" si="4"/>
        <v>4.5</v>
      </c>
      <c r="Z8" s="11">
        <v>0</v>
      </c>
      <c r="AB8" s="2">
        <v>6</v>
      </c>
      <c r="AC8" s="9">
        <v>0.05</v>
      </c>
      <c r="AD8" s="6">
        <f>+SUM($AC$3:AC8)</f>
        <v>0.94000000000000006</v>
      </c>
      <c r="AE8" s="3">
        <f t="shared" si="5"/>
        <v>50</v>
      </c>
      <c r="AF8" s="3">
        <f t="shared" si="6"/>
        <v>2.5</v>
      </c>
      <c r="AG8" s="11">
        <v>0</v>
      </c>
      <c r="AI8" s="2">
        <v>6</v>
      </c>
      <c r="AJ8" s="9">
        <v>0.5</v>
      </c>
      <c r="AK8" s="6">
        <f>+SUM($AJ$3:AJ8)</f>
        <v>0.65</v>
      </c>
      <c r="AL8" s="3">
        <f t="shared" si="7"/>
        <v>50</v>
      </c>
      <c r="AM8" s="3">
        <f t="shared" si="8"/>
        <v>25</v>
      </c>
      <c r="AN8" s="11">
        <v>0</v>
      </c>
    </row>
    <row r="9" spans="1:40" x14ac:dyDescent="0.3">
      <c r="G9" s="2">
        <v>7</v>
      </c>
      <c r="H9" s="8">
        <f>1-SUM(H3:H8)</f>
        <v>9.9999999999988987E-4</v>
      </c>
      <c r="I9" s="6">
        <f>+SUM($H$3:H9)</f>
        <v>1</v>
      </c>
      <c r="J9" s="15">
        <v>100</v>
      </c>
      <c r="K9" s="3">
        <f t="shared" si="0"/>
        <v>9.9999999999988987E-2</v>
      </c>
      <c r="L9" s="11">
        <v>0</v>
      </c>
      <c r="N9" s="2">
        <v>7</v>
      </c>
      <c r="O9" s="8">
        <f>1-SUM(O3:O8)</f>
        <v>5.9999999999999942E-2</v>
      </c>
      <c r="P9" s="6">
        <f>+SUM($O$3:O9)</f>
        <v>1</v>
      </c>
      <c r="Q9" s="3">
        <f t="shared" si="1"/>
        <v>100</v>
      </c>
      <c r="R9" s="3">
        <f t="shared" si="2"/>
        <v>5.9999999999999947</v>
      </c>
      <c r="S9" s="11">
        <v>0</v>
      </c>
      <c r="U9" s="2">
        <v>7</v>
      </c>
      <c r="V9" s="8">
        <f>1-SUM(V3:V8)</f>
        <v>7.0000000000000062E-2</v>
      </c>
      <c r="W9" s="6">
        <f>+SUM($V$3:V9)</f>
        <v>1</v>
      </c>
      <c r="X9" s="3">
        <f t="shared" si="3"/>
        <v>100</v>
      </c>
      <c r="Y9" s="3">
        <f t="shared" si="4"/>
        <v>7.0000000000000062</v>
      </c>
      <c r="Z9" s="11">
        <v>0</v>
      </c>
      <c r="AB9" s="2">
        <v>7</v>
      </c>
      <c r="AC9" s="8">
        <f>1-SUM(AC3:AC8)</f>
        <v>5.9999999999999942E-2</v>
      </c>
      <c r="AD9" s="6">
        <f>+SUM($AC$3:AC9)</f>
        <v>1</v>
      </c>
      <c r="AE9" s="3">
        <f t="shared" si="5"/>
        <v>100</v>
      </c>
      <c r="AF9" s="3">
        <f t="shared" si="6"/>
        <v>5.9999999999999947</v>
      </c>
      <c r="AG9" s="11">
        <v>0</v>
      </c>
      <c r="AI9" s="2">
        <v>7</v>
      </c>
      <c r="AJ9" s="8">
        <f>1-SUM(AJ3:AJ8)</f>
        <v>0.35</v>
      </c>
      <c r="AK9" s="6">
        <f>+SUM($AJ$3:AJ9)</f>
        <v>1</v>
      </c>
      <c r="AL9" s="3">
        <f t="shared" si="7"/>
        <v>100</v>
      </c>
      <c r="AM9" s="3">
        <f t="shared" si="8"/>
        <v>35</v>
      </c>
      <c r="AN9" s="11">
        <v>0</v>
      </c>
    </row>
    <row r="10" spans="1:40" x14ac:dyDescent="0.3">
      <c r="A10" s="14" t="s">
        <v>13</v>
      </c>
      <c r="G10" s="4" t="s">
        <v>6</v>
      </c>
      <c r="H10" s="4">
        <f>+SUM(H3:H9)</f>
        <v>1</v>
      </c>
      <c r="I10" s="4"/>
      <c r="J10" s="4"/>
      <c r="K10" s="5">
        <f>+SUM(K3:K9)</f>
        <v>7.0649999999999888</v>
      </c>
      <c r="L10" s="5"/>
      <c r="N10" s="4" t="s">
        <v>6</v>
      </c>
      <c r="O10" s="4">
        <f>+SUM(O3:O9)</f>
        <v>1</v>
      </c>
      <c r="P10" s="4"/>
      <c r="Q10" s="4"/>
      <c r="R10" s="5">
        <f>+SUM(R3:R9)</f>
        <v>17.449999999999996</v>
      </c>
      <c r="S10" s="5"/>
      <c r="U10" s="4" t="s">
        <v>6</v>
      </c>
      <c r="V10" s="4">
        <f>+SUM(V3:V9)</f>
        <v>1</v>
      </c>
      <c r="W10" s="4"/>
      <c r="X10" s="4"/>
      <c r="Y10" s="5">
        <f>+SUM(Y3:Y9)</f>
        <v>21.200000000000006</v>
      </c>
      <c r="Z10" s="5"/>
      <c r="AB10" s="4" t="s">
        <v>6</v>
      </c>
      <c r="AC10" s="4">
        <f>+SUM(AC3:AC9)</f>
        <v>1</v>
      </c>
      <c r="AD10" s="4"/>
      <c r="AE10" s="4"/>
      <c r="AF10" s="5">
        <f>+SUM(AF3:AF9)</f>
        <v>24.049999999999997</v>
      </c>
      <c r="AG10" s="5"/>
      <c r="AI10" s="4" t="s">
        <v>6</v>
      </c>
      <c r="AJ10" s="4">
        <f>+SUM(AJ3:AJ9)</f>
        <v>1</v>
      </c>
      <c r="AK10" s="4"/>
      <c r="AL10" s="4"/>
      <c r="AM10" s="5">
        <f>+SUM(AM3:AM9)</f>
        <v>63.75</v>
      </c>
      <c r="AN10" s="5"/>
    </row>
    <row r="12" spans="1:40" x14ac:dyDescent="0.3">
      <c r="C12" s="1" t="s">
        <v>49</v>
      </c>
      <c r="D12" s="12">
        <v>0</v>
      </c>
    </row>
    <row r="13" spans="1:40" x14ac:dyDescent="0.3">
      <c r="C13" s="1" t="s">
        <v>10</v>
      </c>
      <c r="D13" s="12">
        <v>0</v>
      </c>
    </row>
    <row r="14" spans="1:40" x14ac:dyDescent="0.3">
      <c r="C14" s="1" t="s">
        <v>11</v>
      </c>
      <c r="D14" s="12">
        <v>0</v>
      </c>
    </row>
    <row r="17" spans="1:4" ht="15" thickBot="1" x14ac:dyDescent="0.35"/>
    <row r="18" spans="1:4" x14ac:dyDescent="0.3">
      <c r="A18" s="1" t="s">
        <v>59</v>
      </c>
      <c r="B18" s="1" t="s">
        <v>58</v>
      </c>
      <c r="D18" s="28" t="s">
        <v>16</v>
      </c>
    </row>
    <row r="19" spans="1:4" ht="15" thickBot="1" x14ac:dyDescent="0.35">
      <c r="A19" s="7" t="s">
        <v>54</v>
      </c>
      <c r="B19" s="12">
        <v>0</v>
      </c>
      <c r="D19" s="29">
        <v>1</v>
      </c>
    </row>
    <row r="20" spans="1:4" x14ac:dyDescent="0.3">
      <c r="A20" s="7" t="s">
        <v>55</v>
      </c>
      <c r="B20" s="12">
        <v>0</v>
      </c>
    </row>
    <row r="21" spans="1:4" x14ac:dyDescent="0.3">
      <c r="A21" s="7" t="s">
        <v>56</v>
      </c>
      <c r="B21" s="12">
        <v>0</v>
      </c>
    </row>
    <row r="22" spans="1:4" x14ac:dyDescent="0.3">
      <c r="A22" s="7" t="s">
        <v>57</v>
      </c>
      <c r="B22" s="12">
        <v>0</v>
      </c>
    </row>
    <row r="24" spans="1:4" x14ac:dyDescent="0.3">
      <c r="A24" s="1" t="s">
        <v>12</v>
      </c>
      <c r="B24" s="13">
        <f>IF(D13=0,0,+D14/D13)</f>
        <v>0</v>
      </c>
    </row>
    <row r="25" spans="1:4" x14ac:dyDescent="0.3">
      <c r="A25" s="1" t="s">
        <v>85</v>
      </c>
      <c r="B25" s="13">
        <f>IF(D12=0,0,+(SUMPRODUCT(L3:L9,J3:J9))/D12)</f>
        <v>0</v>
      </c>
    </row>
    <row r="26" spans="1:4" x14ac:dyDescent="0.3">
      <c r="A26" s="1" t="s">
        <v>86</v>
      </c>
      <c r="B26" s="13">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dxfId="44" priority="13" operator="lessThan">
      <formula>0</formula>
    </cfRule>
    <cfRule type="cellIs" dxfId="43" priority="14" operator="greaterThan">
      <formula>1</formula>
    </cfRule>
  </conditionalFormatting>
  <conditionalFormatting sqref="H3:H9 O3:O9 AJ3:AJ9 V3:V9 AC3:AC9">
    <cfRule type="cellIs" dxfId="42" priority="12" operator="equal">
      <formula>0</formula>
    </cfRule>
  </conditionalFormatting>
  <conditionalFormatting sqref="B3:B7">
    <cfRule type="cellIs" dxfId="41" priority="10" operator="greaterThan">
      <formula>1</formula>
    </cfRule>
    <cfRule type="cellIs" dxfId="40" priority="11" operator="lessThan">
      <formula>0</formula>
    </cfRule>
  </conditionalFormatting>
  <conditionalFormatting sqref="O3:O9">
    <cfRule type="cellIs" dxfId="39" priority="8" operator="lessThan">
      <formula>0</formula>
    </cfRule>
    <cfRule type="cellIs" dxfId="38" priority="9" operator="greaterThan">
      <formula>1</formula>
    </cfRule>
  </conditionalFormatting>
  <conditionalFormatting sqref="O3:O9">
    <cfRule type="cellIs" dxfId="37" priority="7" operator="equal">
      <formula>0</formula>
    </cfRule>
  </conditionalFormatting>
  <conditionalFormatting sqref="V3:V8">
    <cfRule type="cellIs" dxfId="36" priority="5" operator="lessThan">
      <formula>0</formula>
    </cfRule>
    <cfRule type="cellIs" dxfId="35" priority="6" operator="greaterThan">
      <formula>1</formula>
    </cfRule>
  </conditionalFormatting>
  <conditionalFormatting sqref="V3:V8">
    <cfRule type="cellIs" dxfId="34" priority="4" operator="equal">
      <formula>0</formula>
    </cfRule>
  </conditionalFormatting>
  <conditionalFormatting sqref="AC3:AC8">
    <cfRule type="cellIs" dxfId="33" priority="2" operator="lessThan">
      <formula>0</formula>
    </cfRule>
    <cfRule type="cellIs" dxfId="32" priority="3" operator="greaterThan">
      <formula>1</formula>
    </cfRule>
  </conditionalFormatting>
  <conditionalFormatting sqref="AC3:AC8">
    <cfRule type="cellIs" dxfId="31" priority="1" operator="equal">
      <formula>0</formula>
    </cfRule>
  </conditionalFormatting>
  <dataValidations count="1">
    <dataValidation type="list" allowBlank="1" showInputMessage="1" showErrorMessage="1" sqref="A10" xr:uid="{00000000-0002-0000-0A00-000000000000}">
      <formula1>"Regular weapon,Special weapon 1,Special weapon 2,Special weapon 3,Plasma Gun"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ot_enemy">
                <anchor moveWithCells="1" sizeWithCells="1">
                  <from>
                    <xdr:col>2</xdr:col>
                    <xdr:colOff>510540</xdr:colOff>
                    <xdr:row>7</xdr:row>
                    <xdr:rowOff>99060</xdr:rowOff>
                  </from>
                  <to>
                    <xdr:col>5</xdr:col>
                    <xdr:colOff>22860</xdr:colOff>
                    <xdr:row>10</xdr:row>
                    <xdr:rowOff>38100</xdr:rowOff>
                  </to>
                </anchor>
              </controlPr>
            </control>
          </mc:Choice>
        </mc:AlternateContent>
        <mc:AlternateContent xmlns:mc="http://schemas.openxmlformats.org/markup-compatibility/2006">
          <mc:Choice Requires="x14">
            <control shapeId="9218" r:id="rId5" name="Button 2">
              <controlPr defaultSize="0" print="0" autoFill="0" autoPict="0" macro="[0]!reset_sim_values">
                <anchor moveWithCells="1" sizeWithCells="1">
                  <from>
                    <xdr:col>0</xdr:col>
                    <xdr:colOff>601980</xdr:colOff>
                    <xdr:row>12</xdr:row>
                    <xdr:rowOff>60960</xdr:rowOff>
                  </from>
                  <to>
                    <xdr:col>1</xdr:col>
                    <xdr:colOff>22860</xdr:colOff>
                    <xdr:row>14</xdr:row>
                    <xdr:rowOff>99060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9"/>
  <dimension ref="A1:AN26"/>
  <sheetViews>
    <sheetView workbookViewId="0">
      <pane xSplit="6" ySplit="1" topLeftCell="G2" activePane="bottomRight" state="frozen"/>
      <selection pane="topRight" activeCell="G1" sqref="G1"/>
      <selection pane="bottomLeft" activeCell="A2" sqref="A2"/>
      <selection pane="bottomRight" activeCell="C2" sqref="C2"/>
    </sheetView>
  </sheetViews>
  <sheetFormatPr defaultColWidth="11.5546875" defaultRowHeight="14.4" x14ac:dyDescent="0.3"/>
  <cols>
    <col min="1" max="1" width="31.6640625" customWidth="1"/>
    <col min="3" max="3" width="17.21875" bestFit="1" customWidth="1"/>
    <col min="4" max="4" width="9.21875" customWidth="1"/>
    <col min="5" max="5" width="7.21875" customWidth="1"/>
    <col min="6" max="6" width="14.33203125" customWidth="1"/>
    <col min="9" max="9" width="16.21875" customWidth="1"/>
  </cols>
  <sheetData>
    <row r="1" spans="1:40" x14ac:dyDescent="0.3">
      <c r="A1" s="1" t="s">
        <v>93</v>
      </c>
      <c r="G1" s="118" t="s">
        <v>14</v>
      </c>
      <c r="H1" s="119"/>
      <c r="I1" s="119"/>
      <c r="J1" s="119"/>
      <c r="K1" s="119"/>
      <c r="L1" s="119"/>
      <c r="N1" s="118" t="s">
        <v>20</v>
      </c>
      <c r="O1" s="119"/>
      <c r="P1" s="119"/>
      <c r="Q1" s="119"/>
      <c r="R1" s="119"/>
      <c r="S1" s="119"/>
      <c r="U1" s="118" t="s">
        <v>19</v>
      </c>
      <c r="V1" s="119"/>
      <c r="W1" s="119"/>
      <c r="X1" s="119"/>
      <c r="Y1" s="119"/>
      <c r="Z1" s="119"/>
      <c r="AB1" s="118" t="s">
        <v>18</v>
      </c>
      <c r="AC1" s="119"/>
      <c r="AD1" s="119"/>
      <c r="AE1" s="119"/>
      <c r="AF1" s="119"/>
      <c r="AG1" s="119"/>
      <c r="AI1" s="118" t="s">
        <v>21</v>
      </c>
      <c r="AJ1" s="119"/>
      <c r="AK1" s="119"/>
      <c r="AL1" s="119"/>
      <c r="AM1" s="119"/>
      <c r="AN1" s="119"/>
    </row>
    <row r="2" spans="1:40" x14ac:dyDescent="0.3">
      <c r="A2" s="1"/>
      <c r="B2" s="1" t="s">
        <v>15</v>
      </c>
      <c r="C2" s="1" t="s">
        <v>161</v>
      </c>
      <c r="D2" s="1" t="s">
        <v>5</v>
      </c>
      <c r="E2" s="1" t="s">
        <v>7</v>
      </c>
      <c r="G2" s="1" t="s">
        <v>1</v>
      </c>
      <c r="H2" s="1" t="s">
        <v>2</v>
      </c>
      <c r="I2" s="1" t="s">
        <v>3</v>
      </c>
      <c r="J2" s="1" t="s">
        <v>4</v>
      </c>
      <c r="K2" s="1" t="s">
        <v>5</v>
      </c>
      <c r="L2" s="1" t="s">
        <v>9</v>
      </c>
      <c r="N2" s="1" t="s">
        <v>1</v>
      </c>
      <c r="O2" s="1" t="s">
        <v>2</v>
      </c>
      <c r="P2" s="1" t="s">
        <v>3</v>
      </c>
      <c r="Q2" s="1" t="s">
        <v>4</v>
      </c>
      <c r="R2" s="1" t="s">
        <v>5</v>
      </c>
      <c r="S2" s="1" t="s">
        <v>9</v>
      </c>
      <c r="U2" s="1" t="s">
        <v>1</v>
      </c>
      <c r="V2" s="1" t="s">
        <v>2</v>
      </c>
      <c r="W2" s="1" t="s">
        <v>3</v>
      </c>
      <c r="X2" s="1" t="s">
        <v>4</v>
      </c>
      <c r="Y2" s="1" t="s">
        <v>5</v>
      </c>
      <c r="Z2" s="1" t="s">
        <v>9</v>
      </c>
      <c r="AB2" s="1" t="s">
        <v>1</v>
      </c>
      <c r="AC2" s="1" t="s">
        <v>2</v>
      </c>
      <c r="AD2" s="1" t="s">
        <v>3</v>
      </c>
      <c r="AE2" s="1" t="s">
        <v>4</v>
      </c>
      <c r="AF2" s="1" t="s">
        <v>5</v>
      </c>
      <c r="AG2" s="1" t="s">
        <v>9</v>
      </c>
      <c r="AI2" s="1" t="s">
        <v>1</v>
      </c>
      <c r="AJ2" s="1" t="s">
        <v>2</v>
      </c>
      <c r="AK2" s="1" t="s">
        <v>3</v>
      </c>
      <c r="AL2" s="1" t="s">
        <v>4</v>
      </c>
      <c r="AM2" s="1" t="s">
        <v>5</v>
      </c>
      <c r="AN2" s="1" t="s">
        <v>9</v>
      </c>
    </row>
    <row r="3" spans="1:40" x14ac:dyDescent="0.3">
      <c r="A3" s="7" t="s">
        <v>50</v>
      </c>
      <c r="B3" s="7">
        <f>+E3/D3</f>
        <v>6.5369261477046026E-2</v>
      </c>
      <c r="C3" s="7">
        <f>1/B3/Summary!$C$7</f>
        <v>1.5297709923664094E-2</v>
      </c>
      <c r="D3" s="71">
        <f>+K10</f>
        <v>10.019999999999982</v>
      </c>
      <c r="E3" s="7">
        <v>0.65500000000000003</v>
      </c>
      <c r="G3" s="2">
        <v>1</v>
      </c>
      <c r="H3" s="9">
        <v>0.5</v>
      </c>
      <c r="I3" s="6">
        <f>+SUM($H3:H3)</f>
        <v>0.5</v>
      </c>
      <c r="J3" s="15">
        <v>7</v>
      </c>
      <c r="K3" s="3">
        <f>+H3*J3</f>
        <v>3.5</v>
      </c>
      <c r="L3" s="11">
        <v>0</v>
      </c>
      <c r="N3" s="2">
        <v>1</v>
      </c>
      <c r="O3" s="9">
        <v>0.18</v>
      </c>
      <c r="P3" s="6">
        <f>+SUM($O3:O$3)</f>
        <v>0.18</v>
      </c>
      <c r="Q3" s="3">
        <f>+J3</f>
        <v>7</v>
      </c>
      <c r="R3" s="3">
        <f>+O3*Q3</f>
        <v>1.26</v>
      </c>
      <c r="S3" s="11">
        <v>0</v>
      </c>
      <c r="U3" s="2">
        <v>1</v>
      </c>
      <c r="V3" s="9">
        <v>0.1</v>
      </c>
      <c r="W3" s="6">
        <f>+SUM($V3:V$3)</f>
        <v>0.1</v>
      </c>
      <c r="X3" s="3">
        <f>+J3</f>
        <v>7</v>
      </c>
      <c r="Y3" s="3">
        <f>+V3*X3</f>
        <v>0.70000000000000007</v>
      </c>
      <c r="Z3" s="11">
        <v>0</v>
      </c>
      <c r="AB3" s="2">
        <v>1</v>
      </c>
      <c r="AC3" s="9">
        <v>0</v>
      </c>
      <c r="AD3" s="6">
        <f>+SUM($AC$3:AC3)</f>
        <v>0</v>
      </c>
      <c r="AE3" s="3">
        <f>+J3</f>
        <v>7</v>
      </c>
      <c r="AF3" s="3">
        <f>+AC3*AE3</f>
        <v>0</v>
      </c>
      <c r="AG3" s="11">
        <v>0</v>
      </c>
      <c r="AI3" s="2">
        <v>1</v>
      </c>
      <c r="AJ3" s="9">
        <v>0</v>
      </c>
      <c r="AK3" s="6">
        <f>+SUM($AJ$3:AJ3)</f>
        <v>0</v>
      </c>
      <c r="AL3" s="3">
        <f>+J3</f>
        <v>7</v>
      </c>
      <c r="AM3" s="3">
        <f>+AJ3*AL3</f>
        <v>0</v>
      </c>
      <c r="AN3" s="11">
        <v>0</v>
      </c>
    </row>
    <row r="4" spans="1:40" x14ac:dyDescent="0.3">
      <c r="A4" s="7" t="s">
        <v>146</v>
      </c>
      <c r="B4" s="7">
        <f>+E4/D4</f>
        <v>0.1999200319872052</v>
      </c>
      <c r="C4" s="7">
        <v>0</v>
      </c>
      <c r="D4" s="16">
        <f>+R10</f>
        <v>25.009999999999991</v>
      </c>
      <c r="E4" s="7">
        <v>5</v>
      </c>
      <c r="G4" s="2">
        <v>2</v>
      </c>
      <c r="H4" s="9">
        <v>0.32</v>
      </c>
      <c r="I4" s="6">
        <f>+SUM($H$3:H4)</f>
        <v>0.82000000000000006</v>
      </c>
      <c r="J4" s="15">
        <v>10</v>
      </c>
      <c r="K4" s="3">
        <f t="shared" ref="K4:K9" si="0">+H4*J4</f>
        <v>3.2</v>
      </c>
      <c r="L4" s="11">
        <v>0</v>
      </c>
      <c r="N4" s="2">
        <v>2</v>
      </c>
      <c r="O4" s="9">
        <v>0.2</v>
      </c>
      <c r="P4" s="6">
        <f>+SUM($O$3:O4)</f>
        <v>0.38</v>
      </c>
      <c r="Q4" s="3">
        <f t="shared" ref="Q4:Q9" si="1">+J4</f>
        <v>10</v>
      </c>
      <c r="R4" s="3">
        <f t="shared" ref="R4:R9" si="2">+O4*Q4</f>
        <v>2</v>
      </c>
      <c r="S4" s="11">
        <v>0</v>
      </c>
      <c r="U4" s="2">
        <v>2</v>
      </c>
      <c r="V4" s="9">
        <v>0.25</v>
      </c>
      <c r="W4" s="6">
        <f>+SUM($V$3:V4)</f>
        <v>0.35</v>
      </c>
      <c r="X4" s="3">
        <f t="shared" ref="X4:X9" si="3">+J4</f>
        <v>10</v>
      </c>
      <c r="Y4" s="3">
        <f t="shared" ref="Y4:Y9" si="4">+V4*X4</f>
        <v>2.5</v>
      </c>
      <c r="Z4" s="11">
        <v>0</v>
      </c>
      <c r="AB4" s="2">
        <v>2</v>
      </c>
      <c r="AC4" s="9">
        <v>0</v>
      </c>
      <c r="AD4" s="6">
        <f>+SUM($AC$3:AC4)</f>
        <v>0</v>
      </c>
      <c r="AE4" s="3">
        <f t="shared" ref="AE4:AE9" si="5">+J4</f>
        <v>10</v>
      </c>
      <c r="AF4" s="3">
        <f t="shared" ref="AF4:AF9" si="6">+AC4*AE4</f>
        <v>0</v>
      </c>
      <c r="AG4" s="11">
        <v>0</v>
      </c>
      <c r="AI4" s="2">
        <v>2</v>
      </c>
      <c r="AJ4" s="9">
        <v>0</v>
      </c>
      <c r="AK4" s="6">
        <f>+SUM($AJ$3:AJ4)</f>
        <v>0</v>
      </c>
      <c r="AL4" s="3">
        <f t="shared" ref="AL4:AL9" si="7">+J4</f>
        <v>10</v>
      </c>
      <c r="AM4" s="3">
        <f t="shared" ref="AM4:AM9" si="8">+AJ4*AL4</f>
        <v>0</v>
      </c>
      <c r="AN4" s="11">
        <v>0</v>
      </c>
    </row>
    <row r="5" spans="1:40" x14ac:dyDescent="0.3">
      <c r="A5" s="7" t="s">
        <v>51</v>
      </c>
      <c r="B5" s="7">
        <f>+E5/D5</f>
        <v>0.26272577996715923</v>
      </c>
      <c r="C5" s="7">
        <v>0</v>
      </c>
      <c r="D5" s="16">
        <f>+Y10</f>
        <v>30.450000000000006</v>
      </c>
      <c r="E5" s="7">
        <v>8</v>
      </c>
      <c r="G5" s="2">
        <v>3</v>
      </c>
      <c r="H5" s="9">
        <v>0.105</v>
      </c>
      <c r="I5" s="6">
        <f>+SUM($H$3:H5)</f>
        <v>0.92500000000000004</v>
      </c>
      <c r="J5" s="15">
        <v>15</v>
      </c>
      <c r="K5" s="3">
        <f t="shared" si="0"/>
        <v>1.575</v>
      </c>
      <c r="L5" s="11">
        <v>0</v>
      </c>
      <c r="N5" s="2">
        <v>3</v>
      </c>
      <c r="O5" s="9">
        <v>0.2</v>
      </c>
      <c r="P5" s="6">
        <f>+SUM($O$3:O5)</f>
        <v>0.58000000000000007</v>
      </c>
      <c r="Q5" s="3">
        <f t="shared" si="1"/>
        <v>15</v>
      </c>
      <c r="R5" s="3">
        <f t="shared" si="2"/>
        <v>3</v>
      </c>
      <c r="S5" s="11">
        <v>0</v>
      </c>
      <c r="U5" s="2">
        <v>3</v>
      </c>
      <c r="V5" s="9">
        <v>0.22</v>
      </c>
      <c r="W5" s="6">
        <f>+SUM($V$3:V5)</f>
        <v>0.56999999999999995</v>
      </c>
      <c r="X5" s="3">
        <f t="shared" si="3"/>
        <v>15</v>
      </c>
      <c r="Y5" s="3">
        <f t="shared" si="4"/>
        <v>3.3</v>
      </c>
      <c r="Z5" s="11">
        <v>0</v>
      </c>
      <c r="AB5" s="2">
        <v>3</v>
      </c>
      <c r="AC5" s="9">
        <v>0.15</v>
      </c>
      <c r="AD5" s="6">
        <f>+SUM($AC$3:AC5)</f>
        <v>0.15</v>
      </c>
      <c r="AE5" s="3">
        <f t="shared" si="5"/>
        <v>15</v>
      </c>
      <c r="AF5" s="3">
        <f t="shared" si="6"/>
        <v>2.25</v>
      </c>
      <c r="AG5" s="11">
        <v>0</v>
      </c>
      <c r="AI5" s="2">
        <v>3</v>
      </c>
      <c r="AJ5" s="9">
        <v>0</v>
      </c>
      <c r="AK5" s="6">
        <f>+SUM($AJ$3:AJ5)</f>
        <v>0</v>
      </c>
      <c r="AL5" s="3">
        <f t="shared" si="7"/>
        <v>15</v>
      </c>
      <c r="AM5" s="3">
        <f t="shared" si="8"/>
        <v>0</v>
      </c>
      <c r="AN5" s="11">
        <v>0</v>
      </c>
    </row>
    <row r="6" spans="1:40" x14ac:dyDescent="0.3">
      <c r="A6" s="7" t="s">
        <v>52</v>
      </c>
      <c r="B6" s="7">
        <f>+E6/D6</f>
        <v>0.29197080291970801</v>
      </c>
      <c r="C6" s="7">
        <v>0</v>
      </c>
      <c r="D6" s="16">
        <f>+AF10</f>
        <v>34.25</v>
      </c>
      <c r="E6" s="7">
        <v>10</v>
      </c>
      <c r="G6" s="2">
        <v>4</v>
      </c>
      <c r="H6" s="9">
        <v>7.0000000000000007E-2</v>
      </c>
      <c r="I6" s="6">
        <f>+SUM($H$3:H6)</f>
        <v>0.99500000000000011</v>
      </c>
      <c r="J6" s="15">
        <v>20</v>
      </c>
      <c r="K6" s="3">
        <f t="shared" si="0"/>
        <v>1.4000000000000001</v>
      </c>
      <c r="L6" s="11">
        <v>0</v>
      </c>
      <c r="N6" s="2">
        <v>4</v>
      </c>
      <c r="O6" s="9">
        <v>0.25</v>
      </c>
      <c r="P6" s="6">
        <f>+SUM($O$3:O6)</f>
        <v>0.83000000000000007</v>
      </c>
      <c r="Q6" s="3">
        <f t="shared" si="1"/>
        <v>20</v>
      </c>
      <c r="R6" s="3">
        <f t="shared" si="2"/>
        <v>5</v>
      </c>
      <c r="S6" s="11">
        <v>0</v>
      </c>
      <c r="U6" s="2">
        <v>4</v>
      </c>
      <c r="V6" s="9">
        <v>0.15</v>
      </c>
      <c r="W6" s="6">
        <f>+SUM($V$3:V6)</f>
        <v>0.72</v>
      </c>
      <c r="X6" s="3">
        <f t="shared" si="3"/>
        <v>20</v>
      </c>
      <c r="Y6" s="3">
        <f t="shared" si="4"/>
        <v>3</v>
      </c>
      <c r="Z6" s="11">
        <v>0</v>
      </c>
      <c r="AB6" s="2">
        <v>4</v>
      </c>
      <c r="AC6" s="9">
        <v>0.35</v>
      </c>
      <c r="AD6" s="6">
        <f>+SUM($AC$3:AC6)</f>
        <v>0.5</v>
      </c>
      <c r="AE6" s="3">
        <f t="shared" si="5"/>
        <v>20</v>
      </c>
      <c r="AF6" s="3">
        <f t="shared" si="6"/>
        <v>7</v>
      </c>
      <c r="AG6" s="11">
        <v>0</v>
      </c>
      <c r="AI6" s="2">
        <v>4</v>
      </c>
      <c r="AJ6" s="9">
        <v>0</v>
      </c>
      <c r="AK6" s="6">
        <f>+SUM($AJ$3:AJ6)</f>
        <v>0</v>
      </c>
      <c r="AL6" s="3">
        <f t="shared" si="7"/>
        <v>20</v>
      </c>
      <c r="AM6" s="3">
        <f t="shared" si="8"/>
        <v>0</v>
      </c>
      <c r="AN6" s="11">
        <v>0</v>
      </c>
    </row>
    <row r="7" spans="1:40" x14ac:dyDescent="0.3">
      <c r="A7" s="7" t="s">
        <v>53</v>
      </c>
      <c r="B7" s="7">
        <f>+E7/D7</f>
        <v>0.71174377224199292</v>
      </c>
      <c r="C7" s="7">
        <v>0</v>
      </c>
      <c r="D7" s="16">
        <f>+AM10</f>
        <v>70.25</v>
      </c>
      <c r="E7" s="7">
        <v>50</v>
      </c>
      <c r="G7" s="2">
        <v>5</v>
      </c>
      <c r="H7" s="9">
        <v>3.0000000000000001E-3</v>
      </c>
      <c r="I7" s="6">
        <f>+SUM($H$3:H7)</f>
        <v>0.99800000000000011</v>
      </c>
      <c r="J7" s="15">
        <v>40</v>
      </c>
      <c r="K7" s="3">
        <f t="shared" si="0"/>
        <v>0.12</v>
      </c>
      <c r="L7" s="11">
        <v>0</v>
      </c>
      <c r="N7" s="2">
        <v>5</v>
      </c>
      <c r="O7" s="9">
        <v>0.1</v>
      </c>
      <c r="P7" s="6">
        <f>+SUM($O$3:O7)</f>
        <v>0.93</v>
      </c>
      <c r="Q7" s="3">
        <f t="shared" si="1"/>
        <v>40</v>
      </c>
      <c r="R7" s="3">
        <f t="shared" si="2"/>
        <v>4</v>
      </c>
      <c r="S7" s="11">
        <v>0</v>
      </c>
      <c r="U7" s="2">
        <v>5</v>
      </c>
      <c r="V7" s="9">
        <v>0.13</v>
      </c>
      <c r="W7" s="6">
        <f>+SUM($V$3:V7)</f>
        <v>0.85</v>
      </c>
      <c r="X7" s="3">
        <f t="shared" si="3"/>
        <v>40</v>
      </c>
      <c r="Y7" s="3">
        <f t="shared" si="4"/>
        <v>5.2</v>
      </c>
      <c r="Z7" s="11">
        <v>0</v>
      </c>
      <c r="AB7" s="2">
        <v>5</v>
      </c>
      <c r="AC7" s="9">
        <v>0.4</v>
      </c>
      <c r="AD7" s="6">
        <f>+SUM($AC$3:AC7)</f>
        <v>0.9</v>
      </c>
      <c r="AE7" s="3">
        <f t="shared" si="5"/>
        <v>40</v>
      </c>
      <c r="AF7" s="3">
        <f t="shared" si="6"/>
        <v>16</v>
      </c>
      <c r="AG7" s="11">
        <v>0</v>
      </c>
      <c r="AI7" s="2">
        <v>5</v>
      </c>
      <c r="AJ7" s="9">
        <v>0.35</v>
      </c>
      <c r="AK7" s="6">
        <f>+SUM($AJ$3:AJ7)</f>
        <v>0.35</v>
      </c>
      <c r="AL7" s="3">
        <f t="shared" si="7"/>
        <v>40</v>
      </c>
      <c r="AM7" s="3">
        <f t="shared" si="8"/>
        <v>14</v>
      </c>
      <c r="AN7" s="11">
        <v>0</v>
      </c>
    </row>
    <row r="8" spans="1:40" x14ac:dyDescent="0.3">
      <c r="A8" s="7" t="s">
        <v>0</v>
      </c>
      <c r="B8" s="10" t="str">
        <f>+CONCATENATE("x",J3," - x",J9)</f>
        <v>x7 - x150</v>
      </c>
      <c r="G8" s="2">
        <v>6</v>
      </c>
      <c r="H8" s="9">
        <v>1E-3</v>
      </c>
      <c r="I8" s="6">
        <f>+SUM($H$3:H8)</f>
        <v>0.99900000000000011</v>
      </c>
      <c r="J8" s="15">
        <v>75</v>
      </c>
      <c r="K8" s="3">
        <f t="shared" si="0"/>
        <v>7.4999999999999997E-2</v>
      </c>
      <c r="L8" s="11">
        <v>0</v>
      </c>
      <c r="N8" s="2">
        <v>6</v>
      </c>
      <c r="O8" s="9">
        <v>0.01</v>
      </c>
      <c r="P8" s="6">
        <f>+SUM($O$3:O8)</f>
        <v>0.94000000000000006</v>
      </c>
      <c r="Q8" s="3">
        <f t="shared" si="1"/>
        <v>75</v>
      </c>
      <c r="R8" s="3">
        <f t="shared" si="2"/>
        <v>0.75</v>
      </c>
      <c r="S8" s="11">
        <v>0</v>
      </c>
      <c r="U8" s="2">
        <v>6</v>
      </c>
      <c r="V8" s="9">
        <v>0.09</v>
      </c>
      <c r="W8" s="6">
        <f>+SUM($V$3:V8)</f>
        <v>0.94</v>
      </c>
      <c r="X8" s="3">
        <f t="shared" si="3"/>
        <v>75</v>
      </c>
      <c r="Y8" s="3">
        <f t="shared" si="4"/>
        <v>6.75</v>
      </c>
      <c r="Z8" s="11">
        <v>0</v>
      </c>
      <c r="AB8" s="2">
        <v>6</v>
      </c>
      <c r="AC8" s="9">
        <v>0.08</v>
      </c>
      <c r="AD8" s="6">
        <f>+SUM($AC$3:AC8)</f>
        <v>0.98</v>
      </c>
      <c r="AE8" s="3">
        <f t="shared" si="5"/>
        <v>75</v>
      </c>
      <c r="AF8" s="3">
        <f t="shared" si="6"/>
        <v>6</v>
      </c>
      <c r="AG8" s="11">
        <v>0</v>
      </c>
      <c r="AI8" s="2">
        <v>6</v>
      </c>
      <c r="AJ8" s="9">
        <v>0.55000000000000004</v>
      </c>
      <c r="AK8" s="6">
        <f>+SUM($AJ$3:AJ8)</f>
        <v>0.9</v>
      </c>
      <c r="AL8" s="3">
        <f t="shared" si="7"/>
        <v>75</v>
      </c>
      <c r="AM8" s="3">
        <f t="shared" si="8"/>
        <v>41.25</v>
      </c>
      <c r="AN8" s="11">
        <v>0</v>
      </c>
    </row>
    <row r="9" spans="1:40" x14ac:dyDescent="0.3">
      <c r="G9" s="2">
        <v>7</v>
      </c>
      <c r="H9" s="8">
        <f>1-SUM(H3:H8)</f>
        <v>9.9999999999988987E-4</v>
      </c>
      <c r="I9" s="6">
        <f>+SUM($H$3:H9)</f>
        <v>1</v>
      </c>
      <c r="J9" s="15">
        <v>150</v>
      </c>
      <c r="K9" s="3">
        <f t="shared" si="0"/>
        <v>0.14999999999998348</v>
      </c>
      <c r="L9" s="11">
        <v>0</v>
      </c>
      <c r="N9" s="2">
        <v>7</v>
      </c>
      <c r="O9" s="8">
        <f>1-SUM(O3:O8)</f>
        <v>5.9999999999999942E-2</v>
      </c>
      <c r="P9" s="6">
        <f>+SUM($O$3:O9)</f>
        <v>1</v>
      </c>
      <c r="Q9" s="3">
        <f t="shared" si="1"/>
        <v>150</v>
      </c>
      <c r="R9" s="3">
        <f t="shared" si="2"/>
        <v>8.9999999999999911</v>
      </c>
      <c r="S9" s="11">
        <v>0</v>
      </c>
      <c r="U9" s="2">
        <v>7</v>
      </c>
      <c r="V9" s="8">
        <f>1-SUM(V3:V8)</f>
        <v>6.0000000000000053E-2</v>
      </c>
      <c r="W9" s="6">
        <f>+SUM($V$3:V9)</f>
        <v>1</v>
      </c>
      <c r="X9" s="3">
        <f t="shared" si="3"/>
        <v>150</v>
      </c>
      <c r="Y9" s="3">
        <f t="shared" si="4"/>
        <v>9.0000000000000071</v>
      </c>
      <c r="Z9" s="11">
        <v>0</v>
      </c>
      <c r="AB9" s="2">
        <v>7</v>
      </c>
      <c r="AC9" s="8">
        <f>1-SUM(AC3:AC8)</f>
        <v>2.0000000000000018E-2</v>
      </c>
      <c r="AD9" s="6">
        <f>+SUM($AC$3:AC9)</f>
        <v>1</v>
      </c>
      <c r="AE9" s="3">
        <f t="shared" si="5"/>
        <v>150</v>
      </c>
      <c r="AF9" s="3">
        <f t="shared" si="6"/>
        <v>3.0000000000000027</v>
      </c>
      <c r="AG9" s="11">
        <v>0</v>
      </c>
      <c r="AI9" s="2">
        <v>7</v>
      </c>
      <c r="AJ9" s="8">
        <f>1-SUM(AJ3:AJ8)</f>
        <v>9.9999999999999978E-2</v>
      </c>
      <c r="AK9" s="6">
        <f>+SUM($AJ$3:AJ9)</f>
        <v>1</v>
      </c>
      <c r="AL9" s="3">
        <f t="shared" si="7"/>
        <v>150</v>
      </c>
      <c r="AM9" s="3">
        <f t="shared" si="8"/>
        <v>14.999999999999996</v>
      </c>
      <c r="AN9" s="11">
        <v>0</v>
      </c>
    </row>
    <row r="10" spans="1:40" x14ac:dyDescent="0.3">
      <c r="A10" s="14" t="s">
        <v>57</v>
      </c>
      <c r="G10" s="4" t="s">
        <v>6</v>
      </c>
      <c r="H10" s="4">
        <f>+SUM(H3:H9)</f>
        <v>1</v>
      </c>
      <c r="I10" s="4"/>
      <c r="J10" s="4"/>
      <c r="K10" s="5">
        <f>+SUM(K3:K9)</f>
        <v>10.019999999999982</v>
      </c>
      <c r="L10" s="5"/>
      <c r="N10" s="4" t="s">
        <v>6</v>
      </c>
      <c r="O10" s="4">
        <f>+SUM(O3:O9)</f>
        <v>1</v>
      </c>
      <c r="P10" s="4"/>
      <c r="Q10" s="4"/>
      <c r="R10" s="5">
        <f>+SUM(R3:R9)</f>
        <v>25.009999999999991</v>
      </c>
      <c r="S10" s="5"/>
      <c r="U10" s="4" t="s">
        <v>6</v>
      </c>
      <c r="V10" s="4">
        <f>+SUM(V3:V9)</f>
        <v>1</v>
      </c>
      <c r="W10" s="4"/>
      <c r="X10" s="4"/>
      <c r="Y10" s="5">
        <f>+SUM(Y3:Y9)</f>
        <v>30.450000000000006</v>
      </c>
      <c r="Z10" s="5"/>
      <c r="AB10" s="4" t="s">
        <v>6</v>
      </c>
      <c r="AC10" s="4">
        <f>+SUM(AC3:AC9)</f>
        <v>1</v>
      </c>
      <c r="AD10" s="4"/>
      <c r="AE10" s="4"/>
      <c r="AF10" s="5">
        <f>+SUM(AF3:AF9)</f>
        <v>34.25</v>
      </c>
      <c r="AG10" s="5"/>
      <c r="AI10" s="4" t="s">
        <v>6</v>
      </c>
      <c r="AJ10" s="4">
        <f>+SUM(AJ3:AJ9)</f>
        <v>1</v>
      </c>
      <c r="AK10" s="4"/>
      <c r="AL10" s="4"/>
      <c r="AM10" s="5">
        <f>+SUM(AM3:AM9)</f>
        <v>70.25</v>
      </c>
      <c r="AN10" s="5"/>
    </row>
    <row r="12" spans="1:40" x14ac:dyDescent="0.3">
      <c r="C12" s="1" t="s">
        <v>49</v>
      </c>
      <c r="D12" s="12">
        <v>0</v>
      </c>
    </row>
    <row r="13" spans="1:40" x14ac:dyDescent="0.3">
      <c r="C13" s="1" t="s">
        <v>10</v>
      </c>
      <c r="D13" s="12">
        <v>0</v>
      </c>
    </row>
    <row r="14" spans="1:40" x14ac:dyDescent="0.3">
      <c r="C14" s="1" t="s">
        <v>11</v>
      </c>
      <c r="D14" s="12">
        <v>0</v>
      </c>
    </row>
    <row r="17" spans="1:4" ht="15" thickBot="1" x14ac:dyDescent="0.35"/>
    <row r="18" spans="1:4" x14ac:dyDescent="0.3">
      <c r="A18" s="1" t="s">
        <v>59</v>
      </c>
      <c r="B18" s="1" t="s">
        <v>58</v>
      </c>
      <c r="D18" s="28" t="s">
        <v>16</v>
      </c>
    </row>
    <row r="19" spans="1:4" ht="15" thickBot="1" x14ac:dyDescent="0.35">
      <c r="A19" s="7" t="s">
        <v>54</v>
      </c>
      <c r="B19" s="12">
        <v>0</v>
      </c>
      <c r="D19" s="29">
        <v>10000</v>
      </c>
    </row>
    <row r="20" spans="1:4" x14ac:dyDescent="0.3">
      <c r="A20" s="7" t="s">
        <v>55</v>
      </c>
      <c r="B20" s="12">
        <v>0</v>
      </c>
    </row>
    <row r="21" spans="1:4" x14ac:dyDescent="0.3">
      <c r="A21" s="7" t="s">
        <v>56</v>
      </c>
      <c r="B21" s="12">
        <v>0</v>
      </c>
    </row>
    <row r="22" spans="1:4" x14ac:dyDescent="0.3">
      <c r="A22" s="7" t="s">
        <v>57</v>
      </c>
      <c r="B22" s="12">
        <v>0</v>
      </c>
    </row>
    <row r="24" spans="1:4" x14ac:dyDescent="0.3">
      <c r="A24" s="1" t="s">
        <v>12</v>
      </c>
      <c r="B24" s="13">
        <f>IF(D13=0,0,+D14/D13)</f>
        <v>0</v>
      </c>
    </row>
    <row r="25" spans="1:4" x14ac:dyDescent="0.3">
      <c r="A25" s="1" t="s">
        <v>85</v>
      </c>
      <c r="B25" s="13">
        <f>IF(D12=0,0,+(SUMPRODUCT(L3:L9,J3:J9))/D12)</f>
        <v>0</v>
      </c>
    </row>
    <row r="26" spans="1:4" x14ac:dyDescent="0.3">
      <c r="A26" s="1" t="s">
        <v>86</v>
      </c>
      <c r="B26" s="13">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dxfId="30" priority="4" operator="lessThan">
      <formula>0</formula>
    </cfRule>
    <cfRule type="cellIs" dxfId="29" priority="5" operator="greaterThan">
      <formula>1</formula>
    </cfRule>
  </conditionalFormatting>
  <conditionalFormatting sqref="H3:H9 O3:O9 AJ3:AJ9 V3:V9 AC3:AC9">
    <cfRule type="cellIs" dxfId="28" priority="3" operator="equal">
      <formula>0</formula>
    </cfRule>
  </conditionalFormatting>
  <conditionalFormatting sqref="B3:B7">
    <cfRule type="cellIs" dxfId="27" priority="1" operator="greaterThan">
      <formula>1</formula>
    </cfRule>
    <cfRule type="cellIs" dxfId="26" priority="2" operator="lessThan">
      <formula>0</formula>
    </cfRule>
  </conditionalFormatting>
  <dataValidations count="1">
    <dataValidation type="list" allowBlank="1" showInputMessage="1" showErrorMessage="1" sqref="A10" xr:uid="{00000000-0002-0000-0B00-000000000000}">
      <formula1>"Regular weapon,Special weapon 1,Special weapon 2,Special weapon 3,Plasma Gun"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shoot_enemy">
                <anchor moveWithCells="1" sizeWithCells="1">
                  <from>
                    <xdr:col>2</xdr:col>
                    <xdr:colOff>510540</xdr:colOff>
                    <xdr:row>7</xdr:row>
                    <xdr:rowOff>99060</xdr:rowOff>
                  </from>
                  <to>
                    <xdr:col>5</xdr:col>
                    <xdr:colOff>22860</xdr:colOff>
                    <xdr:row>10</xdr:row>
                    <xdr:rowOff>38100</xdr:rowOff>
                  </to>
                </anchor>
              </controlPr>
            </control>
          </mc:Choice>
        </mc:AlternateContent>
        <mc:AlternateContent xmlns:mc="http://schemas.openxmlformats.org/markup-compatibility/2006">
          <mc:Choice Requires="x14">
            <control shapeId="10242" r:id="rId5" name="Button 2">
              <controlPr defaultSize="0" print="0" autoFill="0" autoPict="0" macro="[0]!reset_sim_values">
                <anchor moveWithCells="1" sizeWithCells="1">
                  <from>
                    <xdr:col>0</xdr:col>
                    <xdr:colOff>601980</xdr:colOff>
                    <xdr:row>12</xdr:row>
                    <xdr:rowOff>60960</xdr:rowOff>
                  </from>
                  <to>
                    <xdr:col>1</xdr:col>
                    <xdr:colOff>22860</xdr:colOff>
                    <xdr:row>14</xdr:row>
                    <xdr:rowOff>99060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0"/>
  <dimension ref="A1:AN26"/>
  <sheetViews>
    <sheetView workbookViewId="0">
      <pane xSplit="6" ySplit="1" topLeftCell="G2" activePane="bottomRight" state="frozen"/>
      <selection pane="topRight" activeCell="G1" sqref="G1"/>
      <selection pane="bottomLeft" activeCell="A2" sqref="A2"/>
      <selection pane="bottomRight" activeCell="C2" sqref="C2"/>
    </sheetView>
  </sheetViews>
  <sheetFormatPr defaultColWidth="11.5546875" defaultRowHeight="14.4" x14ac:dyDescent="0.3"/>
  <cols>
    <col min="1" max="1" width="31.6640625" customWidth="1"/>
    <col min="3" max="3" width="17.21875" bestFit="1" customWidth="1"/>
    <col min="4" max="4" width="9.21875" customWidth="1"/>
    <col min="5" max="5" width="7.21875" customWidth="1"/>
    <col min="6" max="6" width="14.33203125" customWidth="1"/>
    <col min="9" max="9" width="16.21875" customWidth="1"/>
  </cols>
  <sheetData>
    <row r="1" spans="1:40" x14ac:dyDescent="0.3">
      <c r="A1" s="1" t="s">
        <v>94</v>
      </c>
      <c r="G1" s="118" t="s">
        <v>14</v>
      </c>
      <c r="H1" s="119"/>
      <c r="I1" s="119"/>
      <c r="J1" s="119"/>
      <c r="K1" s="119"/>
      <c r="L1" s="119"/>
      <c r="N1" s="118" t="s">
        <v>20</v>
      </c>
      <c r="O1" s="119"/>
      <c r="P1" s="119"/>
      <c r="Q1" s="119"/>
      <c r="R1" s="119"/>
      <c r="S1" s="119"/>
      <c r="U1" s="118" t="s">
        <v>19</v>
      </c>
      <c r="V1" s="119"/>
      <c r="W1" s="119"/>
      <c r="X1" s="119"/>
      <c r="Y1" s="119"/>
      <c r="Z1" s="119"/>
      <c r="AB1" s="118" t="s">
        <v>18</v>
      </c>
      <c r="AC1" s="119"/>
      <c r="AD1" s="119"/>
      <c r="AE1" s="119"/>
      <c r="AF1" s="119"/>
      <c r="AG1" s="119"/>
      <c r="AI1" s="118" t="s">
        <v>21</v>
      </c>
      <c r="AJ1" s="119"/>
      <c r="AK1" s="119"/>
      <c r="AL1" s="119"/>
      <c r="AM1" s="119"/>
      <c r="AN1" s="119"/>
    </row>
    <row r="2" spans="1:40" x14ac:dyDescent="0.3">
      <c r="A2" s="1"/>
      <c r="B2" s="1" t="s">
        <v>15</v>
      </c>
      <c r="C2" s="1" t="s">
        <v>161</v>
      </c>
      <c r="D2" s="1" t="s">
        <v>5</v>
      </c>
      <c r="E2" s="1" t="s">
        <v>7</v>
      </c>
      <c r="G2" s="1" t="s">
        <v>1</v>
      </c>
      <c r="H2" s="1" t="s">
        <v>2</v>
      </c>
      <c r="I2" s="1" t="s">
        <v>3</v>
      </c>
      <c r="J2" s="1" t="s">
        <v>4</v>
      </c>
      <c r="K2" s="1" t="s">
        <v>5</v>
      </c>
      <c r="L2" s="1" t="s">
        <v>9</v>
      </c>
      <c r="N2" s="1" t="s">
        <v>1</v>
      </c>
      <c r="O2" s="1" t="s">
        <v>2</v>
      </c>
      <c r="P2" s="1" t="s">
        <v>3</v>
      </c>
      <c r="Q2" s="1" t="s">
        <v>4</v>
      </c>
      <c r="R2" s="1" t="s">
        <v>5</v>
      </c>
      <c r="S2" s="1" t="s">
        <v>9</v>
      </c>
      <c r="U2" s="1" t="s">
        <v>1</v>
      </c>
      <c r="V2" s="1" t="s">
        <v>2</v>
      </c>
      <c r="W2" s="1" t="s">
        <v>3</v>
      </c>
      <c r="X2" s="1" t="s">
        <v>4</v>
      </c>
      <c r="Y2" s="1" t="s">
        <v>5</v>
      </c>
      <c r="Z2" s="1" t="s">
        <v>9</v>
      </c>
      <c r="AB2" s="1" t="s">
        <v>1</v>
      </c>
      <c r="AC2" s="1" t="s">
        <v>2</v>
      </c>
      <c r="AD2" s="1" t="s">
        <v>3</v>
      </c>
      <c r="AE2" s="1" t="s">
        <v>4</v>
      </c>
      <c r="AF2" s="1" t="s">
        <v>5</v>
      </c>
      <c r="AG2" s="1" t="s">
        <v>9</v>
      </c>
      <c r="AI2" s="1" t="s">
        <v>1</v>
      </c>
      <c r="AJ2" s="1" t="s">
        <v>2</v>
      </c>
      <c r="AK2" s="1" t="s">
        <v>3</v>
      </c>
      <c r="AL2" s="1" t="s">
        <v>4</v>
      </c>
      <c r="AM2" s="1" t="s">
        <v>5</v>
      </c>
      <c r="AN2" s="1" t="s">
        <v>9</v>
      </c>
    </row>
    <row r="3" spans="1:40" x14ac:dyDescent="0.3">
      <c r="A3" s="7" t="s">
        <v>50</v>
      </c>
      <c r="B3" s="7">
        <f>+E3/D3</f>
        <v>4.3021346469622392E-2</v>
      </c>
      <c r="C3" s="7">
        <f>1/B3/Summary!$C$7</f>
        <v>2.3244274809160272E-2</v>
      </c>
      <c r="D3" s="71">
        <f>+K10</f>
        <v>15.224999999999978</v>
      </c>
      <c r="E3" s="7">
        <v>0.65500000000000003</v>
      </c>
      <c r="G3" s="2">
        <v>1</v>
      </c>
      <c r="H3" s="9">
        <v>0.5</v>
      </c>
      <c r="I3" s="6">
        <f>+SUM($H3:H3)</f>
        <v>0.5</v>
      </c>
      <c r="J3" s="15">
        <v>10</v>
      </c>
      <c r="K3" s="3">
        <f>+H3*J3</f>
        <v>5</v>
      </c>
      <c r="L3" s="11">
        <v>0</v>
      </c>
      <c r="N3" s="2">
        <v>1</v>
      </c>
      <c r="O3" s="9">
        <v>0.2</v>
      </c>
      <c r="P3" s="6">
        <f>+SUM($O3:O$3)</f>
        <v>0.2</v>
      </c>
      <c r="Q3" s="3">
        <f>+J3</f>
        <v>10</v>
      </c>
      <c r="R3" s="3">
        <f>+O3*Q3</f>
        <v>2</v>
      </c>
      <c r="S3" s="11">
        <v>0</v>
      </c>
      <c r="U3" s="2">
        <v>1</v>
      </c>
      <c r="V3" s="9">
        <v>0.1</v>
      </c>
      <c r="W3" s="6">
        <f>+SUM($V3:V$3)</f>
        <v>0.1</v>
      </c>
      <c r="X3" s="3">
        <f>+J3</f>
        <v>10</v>
      </c>
      <c r="Y3" s="3">
        <f>+V3*X3</f>
        <v>1</v>
      </c>
      <c r="Z3" s="11">
        <v>0</v>
      </c>
      <c r="AB3" s="2">
        <v>1</v>
      </c>
      <c r="AC3" s="9">
        <v>0.01</v>
      </c>
      <c r="AD3" s="6">
        <f>+SUM($AC$3:AC3)</f>
        <v>0.01</v>
      </c>
      <c r="AE3" s="3">
        <f>+J3</f>
        <v>10</v>
      </c>
      <c r="AF3" s="3">
        <f>+AC3*AE3</f>
        <v>0.1</v>
      </c>
      <c r="AG3" s="11">
        <v>0</v>
      </c>
      <c r="AI3" s="2">
        <v>1</v>
      </c>
      <c r="AJ3" s="9">
        <v>0</v>
      </c>
      <c r="AK3" s="6">
        <f>+SUM($AJ$3:AJ3)</f>
        <v>0</v>
      </c>
      <c r="AL3" s="3">
        <f>+J3</f>
        <v>10</v>
      </c>
      <c r="AM3" s="3">
        <f>+AJ3*AL3</f>
        <v>0</v>
      </c>
      <c r="AN3" s="11">
        <v>0</v>
      </c>
    </row>
    <row r="4" spans="1:40" x14ac:dyDescent="0.3">
      <c r="A4" s="7" t="s">
        <v>146</v>
      </c>
      <c r="B4" s="7">
        <f>+E4/D4</f>
        <v>0.13210039630118892</v>
      </c>
      <c r="C4" s="7">
        <v>0</v>
      </c>
      <c r="D4" s="16">
        <f>+R10</f>
        <v>37.849999999999994</v>
      </c>
      <c r="E4" s="7">
        <v>5</v>
      </c>
      <c r="G4" s="2">
        <v>2</v>
      </c>
      <c r="H4" s="9">
        <v>0.32</v>
      </c>
      <c r="I4" s="6">
        <f>+SUM($H$3:H4)</f>
        <v>0.82000000000000006</v>
      </c>
      <c r="J4" s="15">
        <v>15</v>
      </c>
      <c r="K4" s="3">
        <f t="shared" ref="K4:K9" si="0">+H4*J4</f>
        <v>4.8</v>
      </c>
      <c r="L4" s="11">
        <v>0</v>
      </c>
      <c r="N4" s="2">
        <v>2</v>
      </c>
      <c r="O4" s="9">
        <v>0.25</v>
      </c>
      <c r="P4" s="6">
        <f>+SUM($O$3:O4)</f>
        <v>0.45</v>
      </c>
      <c r="Q4" s="3">
        <f t="shared" ref="Q4:Q9" si="1">+J4</f>
        <v>15</v>
      </c>
      <c r="R4" s="3">
        <f t="shared" ref="R4:R9" si="2">+O4*Q4</f>
        <v>3.75</v>
      </c>
      <c r="S4" s="11">
        <v>0</v>
      </c>
      <c r="U4" s="2">
        <v>2</v>
      </c>
      <c r="V4" s="9">
        <v>0.25</v>
      </c>
      <c r="W4" s="6">
        <f>+SUM($V$3:V4)</f>
        <v>0.35</v>
      </c>
      <c r="X4" s="3">
        <f t="shared" ref="X4:X9" si="3">+J4</f>
        <v>15</v>
      </c>
      <c r="Y4" s="3">
        <f t="shared" ref="Y4:Y9" si="4">+V4*X4</f>
        <v>3.75</v>
      </c>
      <c r="Z4" s="11">
        <v>0</v>
      </c>
      <c r="AB4" s="2">
        <v>2</v>
      </c>
      <c r="AC4" s="9">
        <v>0.05</v>
      </c>
      <c r="AD4" s="6">
        <f>+SUM($AC$3:AC4)</f>
        <v>6.0000000000000005E-2</v>
      </c>
      <c r="AE4" s="3">
        <f t="shared" ref="AE4:AE9" si="5">+J4</f>
        <v>15</v>
      </c>
      <c r="AF4" s="3">
        <f t="shared" ref="AF4:AF9" si="6">+AC4*AE4</f>
        <v>0.75</v>
      </c>
      <c r="AG4" s="11">
        <v>0</v>
      </c>
      <c r="AI4" s="2">
        <v>2</v>
      </c>
      <c r="AJ4" s="9">
        <v>0</v>
      </c>
      <c r="AK4" s="6">
        <f>+SUM($AJ$3:AJ4)</f>
        <v>0</v>
      </c>
      <c r="AL4" s="3">
        <f t="shared" ref="AL4:AL9" si="7">+J4</f>
        <v>15</v>
      </c>
      <c r="AM4" s="3">
        <f t="shared" ref="AM4:AM9" si="8">+AJ4*AL4</f>
        <v>0</v>
      </c>
      <c r="AN4" s="11">
        <v>0</v>
      </c>
    </row>
    <row r="5" spans="1:40" x14ac:dyDescent="0.3">
      <c r="A5" s="7" t="s">
        <v>51</v>
      </c>
      <c r="B5" s="7">
        <f>+E5/D5</f>
        <v>0.17297297297297293</v>
      </c>
      <c r="C5" s="7">
        <v>0</v>
      </c>
      <c r="D5" s="16">
        <f>+Y10</f>
        <v>46.250000000000014</v>
      </c>
      <c r="E5" s="7">
        <v>8</v>
      </c>
      <c r="G5" s="2">
        <v>3</v>
      </c>
      <c r="H5" s="9">
        <v>0.105</v>
      </c>
      <c r="I5" s="6">
        <f>+SUM($H$3:H5)</f>
        <v>0.92500000000000004</v>
      </c>
      <c r="J5" s="15">
        <v>20</v>
      </c>
      <c r="K5" s="3">
        <f t="shared" si="0"/>
        <v>2.1</v>
      </c>
      <c r="L5" s="11">
        <v>0</v>
      </c>
      <c r="N5" s="2">
        <v>3</v>
      </c>
      <c r="O5" s="9">
        <v>0.18</v>
      </c>
      <c r="P5" s="6">
        <f>+SUM($O$3:O5)</f>
        <v>0.63</v>
      </c>
      <c r="Q5" s="3">
        <f t="shared" si="1"/>
        <v>20</v>
      </c>
      <c r="R5" s="3">
        <f t="shared" si="2"/>
        <v>3.5999999999999996</v>
      </c>
      <c r="S5" s="11">
        <v>0</v>
      </c>
      <c r="U5" s="2">
        <v>3</v>
      </c>
      <c r="V5" s="9">
        <v>0.2</v>
      </c>
      <c r="W5" s="6">
        <f>+SUM($V$3:V5)</f>
        <v>0.55000000000000004</v>
      </c>
      <c r="X5" s="3">
        <f t="shared" si="3"/>
        <v>20</v>
      </c>
      <c r="Y5" s="3">
        <f t="shared" si="4"/>
        <v>4</v>
      </c>
      <c r="Z5" s="11">
        <v>0</v>
      </c>
      <c r="AB5" s="2">
        <v>3</v>
      </c>
      <c r="AC5" s="9">
        <v>0.16</v>
      </c>
      <c r="AD5" s="6">
        <f>+SUM($AC$3:AC5)</f>
        <v>0.22</v>
      </c>
      <c r="AE5" s="3">
        <f t="shared" si="5"/>
        <v>20</v>
      </c>
      <c r="AF5" s="3">
        <f t="shared" si="6"/>
        <v>3.2</v>
      </c>
      <c r="AG5" s="11">
        <v>0</v>
      </c>
      <c r="AI5" s="2">
        <v>3</v>
      </c>
      <c r="AJ5" s="9">
        <v>0</v>
      </c>
      <c r="AK5" s="6">
        <f>+SUM($AJ$3:AJ5)</f>
        <v>0</v>
      </c>
      <c r="AL5" s="3">
        <f t="shared" si="7"/>
        <v>20</v>
      </c>
      <c r="AM5" s="3">
        <f t="shared" si="8"/>
        <v>0</v>
      </c>
      <c r="AN5" s="11">
        <v>0</v>
      </c>
    </row>
    <row r="6" spans="1:40" x14ac:dyDescent="0.3">
      <c r="A6" s="7" t="s">
        <v>52</v>
      </c>
      <c r="B6" s="7">
        <f>+E6/D6</f>
        <v>0.19342359767891681</v>
      </c>
      <c r="C6" s="7">
        <v>0</v>
      </c>
      <c r="D6" s="16">
        <f>+AF10</f>
        <v>51.7</v>
      </c>
      <c r="E6" s="7">
        <v>10</v>
      </c>
      <c r="G6" s="2">
        <v>4</v>
      </c>
      <c r="H6" s="9">
        <v>7.0000000000000007E-2</v>
      </c>
      <c r="I6" s="6">
        <f>+SUM($H$3:H6)</f>
        <v>0.99500000000000011</v>
      </c>
      <c r="J6" s="15">
        <v>40</v>
      </c>
      <c r="K6" s="3">
        <f t="shared" si="0"/>
        <v>2.8000000000000003</v>
      </c>
      <c r="L6" s="11">
        <v>0</v>
      </c>
      <c r="N6" s="2">
        <v>4</v>
      </c>
      <c r="O6" s="9">
        <v>0.2</v>
      </c>
      <c r="P6" s="6">
        <f>+SUM($O$3:O6)</f>
        <v>0.83000000000000007</v>
      </c>
      <c r="Q6" s="3">
        <f t="shared" si="1"/>
        <v>40</v>
      </c>
      <c r="R6" s="3">
        <f t="shared" si="2"/>
        <v>8</v>
      </c>
      <c r="S6" s="11">
        <v>0</v>
      </c>
      <c r="U6" s="2">
        <v>4</v>
      </c>
      <c r="V6" s="9">
        <v>0.2</v>
      </c>
      <c r="W6" s="6">
        <f>+SUM($V$3:V6)</f>
        <v>0.75</v>
      </c>
      <c r="X6" s="3">
        <f t="shared" si="3"/>
        <v>40</v>
      </c>
      <c r="Y6" s="3">
        <f t="shared" si="4"/>
        <v>8</v>
      </c>
      <c r="Z6" s="11">
        <v>0</v>
      </c>
      <c r="AB6" s="2">
        <v>4</v>
      </c>
      <c r="AC6" s="9">
        <v>0.36</v>
      </c>
      <c r="AD6" s="6">
        <f>+SUM($AC$3:AC6)</f>
        <v>0.57999999999999996</v>
      </c>
      <c r="AE6" s="3">
        <f t="shared" si="5"/>
        <v>40</v>
      </c>
      <c r="AF6" s="3">
        <f t="shared" si="6"/>
        <v>14.399999999999999</v>
      </c>
      <c r="AG6" s="11">
        <v>0</v>
      </c>
      <c r="AI6" s="2">
        <v>4</v>
      </c>
      <c r="AJ6" s="9">
        <v>0</v>
      </c>
      <c r="AK6" s="6">
        <f>+SUM($AJ$3:AJ6)</f>
        <v>0</v>
      </c>
      <c r="AL6" s="3">
        <f t="shared" si="7"/>
        <v>40</v>
      </c>
      <c r="AM6" s="3">
        <f t="shared" si="8"/>
        <v>0</v>
      </c>
      <c r="AN6" s="11">
        <v>0</v>
      </c>
    </row>
    <row r="7" spans="1:40" x14ac:dyDescent="0.3">
      <c r="A7" s="7" t="s">
        <v>53</v>
      </c>
      <c r="B7" s="7">
        <f>+E7/D7</f>
        <v>0.5</v>
      </c>
      <c r="C7" s="7">
        <v>0</v>
      </c>
      <c r="D7" s="16">
        <f>+AM10</f>
        <v>100</v>
      </c>
      <c r="E7" s="7">
        <v>50</v>
      </c>
      <c r="G7" s="2">
        <v>5</v>
      </c>
      <c r="H7" s="9">
        <v>3.0000000000000001E-3</v>
      </c>
      <c r="I7" s="6">
        <f>+SUM($H$3:H7)</f>
        <v>0.99800000000000011</v>
      </c>
      <c r="J7" s="15">
        <v>75</v>
      </c>
      <c r="K7" s="3">
        <f t="shared" si="0"/>
        <v>0.22500000000000001</v>
      </c>
      <c r="L7" s="11">
        <v>0</v>
      </c>
      <c r="N7" s="2">
        <v>5</v>
      </c>
      <c r="O7" s="9">
        <v>0.1</v>
      </c>
      <c r="P7" s="6">
        <f>+SUM($O$3:O7)</f>
        <v>0.93</v>
      </c>
      <c r="Q7" s="3">
        <f t="shared" si="1"/>
        <v>75</v>
      </c>
      <c r="R7" s="3">
        <f t="shared" si="2"/>
        <v>7.5</v>
      </c>
      <c r="S7" s="11">
        <v>0</v>
      </c>
      <c r="U7" s="2">
        <v>5</v>
      </c>
      <c r="V7" s="9">
        <v>0.1</v>
      </c>
      <c r="W7" s="6">
        <f>+SUM($V$3:V7)</f>
        <v>0.85</v>
      </c>
      <c r="X7" s="3">
        <f t="shared" si="3"/>
        <v>75</v>
      </c>
      <c r="Y7" s="3">
        <f t="shared" si="4"/>
        <v>7.5</v>
      </c>
      <c r="Z7" s="11">
        <v>0</v>
      </c>
      <c r="AB7" s="2">
        <v>5</v>
      </c>
      <c r="AC7" s="9">
        <v>0.39</v>
      </c>
      <c r="AD7" s="6">
        <f>+SUM($AC$3:AC7)</f>
        <v>0.97</v>
      </c>
      <c r="AE7" s="3">
        <f t="shared" si="5"/>
        <v>75</v>
      </c>
      <c r="AF7" s="3">
        <f t="shared" si="6"/>
        <v>29.25</v>
      </c>
      <c r="AG7" s="11">
        <v>0</v>
      </c>
      <c r="AI7" s="2">
        <v>5</v>
      </c>
      <c r="AJ7" s="9">
        <v>0.52</v>
      </c>
      <c r="AK7" s="6">
        <f>+SUM($AJ$3:AJ7)</f>
        <v>0.52</v>
      </c>
      <c r="AL7" s="3">
        <f t="shared" si="7"/>
        <v>75</v>
      </c>
      <c r="AM7" s="3">
        <f t="shared" si="8"/>
        <v>39</v>
      </c>
      <c r="AN7" s="11">
        <v>0</v>
      </c>
    </row>
    <row r="8" spans="1:40" x14ac:dyDescent="0.3">
      <c r="A8" s="7" t="s">
        <v>0</v>
      </c>
      <c r="B8" s="10" t="str">
        <f>+CONCATENATE("x",J3," - x",J9)</f>
        <v>x10 - x200</v>
      </c>
      <c r="G8" s="2">
        <v>6</v>
      </c>
      <c r="H8" s="9">
        <v>1E-3</v>
      </c>
      <c r="I8" s="6">
        <f>+SUM($H$3:H8)</f>
        <v>0.99900000000000011</v>
      </c>
      <c r="J8" s="15">
        <v>100</v>
      </c>
      <c r="K8" s="3">
        <f t="shared" si="0"/>
        <v>0.1</v>
      </c>
      <c r="L8" s="11">
        <v>0</v>
      </c>
      <c r="N8" s="2">
        <v>6</v>
      </c>
      <c r="O8" s="9">
        <v>0.01</v>
      </c>
      <c r="P8" s="6">
        <f>+SUM($O$3:O8)</f>
        <v>0.94000000000000006</v>
      </c>
      <c r="Q8" s="3">
        <f t="shared" si="1"/>
        <v>100</v>
      </c>
      <c r="R8" s="3">
        <f t="shared" si="2"/>
        <v>1</v>
      </c>
      <c r="S8" s="11">
        <v>0</v>
      </c>
      <c r="U8" s="2">
        <v>6</v>
      </c>
      <c r="V8" s="9">
        <v>0.08</v>
      </c>
      <c r="W8" s="6">
        <f>+SUM($V$3:V8)</f>
        <v>0.92999999999999994</v>
      </c>
      <c r="X8" s="3">
        <f t="shared" si="3"/>
        <v>100</v>
      </c>
      <c r="Y8" s="3">
        <f t="shared" si="4"/>
        <v>8</v>
      </c>
      <c r="Z8" s="11">
        <v>0</v>
      </c>
      <c r="AB8" s="2">
        <v>6</v>
      </c>
      <c r="AC8" s="9">
        <v>0.02</v>
      </c>
      <c r="AD8" s="6">
        <f>+SUM($AC$3:AC8)</f>
        <v>0.99</v>
      </c>
      <c r="AE8" s="3">
        <f t="shared" si="5"/>
        <v>100</v>
      </c>
      <c r="AF8" s="3">
        <f t="shared" si="6"/>
        <v>2</v>
      </c>
      <c r="AG8" s="11">
        <v>0</v>
      </c>
      <c r="AI8" s="2">
        <v>6</v>
      </c>
      <c r="AJ8" s="9">
        <v>0.35</v>
      </c>
      <c r="AK8" s="6">
        <f>+SUM($AJ$3:AJ8)</f>
        <v>0.87</v>
      </c>
      <c r="AL8" s="3">
        <f t="shared" si="7"/>
        <v>100</v>
      </c>
      <c r="AM8" s="3">
        <f t="shared" si="8"/>
        <v>35</v>
      </c>
      <c r="AN8" s="11">
        <v>0</v>
      </c>
    </row>
    <row r="9" spans="1:40" x14ac:dyDescent="0.3">
      <c r="G9" s="2">
        <v>7</v>
      </c>
      <c r="H9" s="8">
        <f>1-SUM(H3:H8)</f>
        <v>9.9999999999988987E-4</v>
      </c>
      <c r="I9" s="6">
        <f>+SUM($H$3:H9)</f>
        <v>1</v>
      </c>
      <c r="J9" s="15">
        <v>200</v>
      </c>
      <c r="K9" s="3">
        <f t="shared" si="0"/>
        <v>0.19999999999997797</v>
      </c>
      <c r="L9" s="11">
        <v>0</v>
      </c>
      <c r="N9" s="2">
        <v>7</v>
      </c>
      <c r="O9" s="8">
        <f>1-SUM(O3:O8)</f>
        <v>5.9999999999999942E-2</v>
      </c>
      <c r="P9" s="6">
        <f>+SUM($O$3:O9)</f>
        <v>1</v>
      </c>
      <c r="Q9" s="3">
        <f t="shared" si="1"/>
        <v>200</v>
      </c>
      <c r="R9" s="3">
        <f t="shared" si="2"/>
        <v>11.999999999999989</v>
      </c>
      <c r="S9" s="11">
        <v>0</v>
      </c>
      <c r="U9" s="2">
        <v>7</v>
      </c>
      <c r="V9" s="8">
        <f>1-SUM(V3:V8)</f>
        <v>7.0000000000000062E-2</v>
      </c>
      <c r="W9" s="6">
        <f>+SUM($V$3:V9)</f>
        <v>1</v>
      </c>
      <c r="X9" s="3">
        <f t="shared" si="3"/>
        <v>200</v>
      </c>
      <c r="Y9" s="3">
        <f t="shared" si="4"/>
        <v>14.000000000000012</v>
      </c>
      <c r="Z9" s="11">
        <v>0</v>
      </c>
      <c r="AB9" s="2">
        <v>7</v>
      </c>
      <c r="AC9" s="8">
        <f>1-SUM(AC3:AC8)</f>
        <v>1.0000000000000009E-2</v>
      </c>
      <c r="AD9" s="6">
        <f>+SUM($AC$3:AC9)</f>
        <v>1</v>
      </c>
      <c r="AE9" s="3">
        <f t="shared" si="5"/>
        <v>200</v>
      </c>
      <c r="AF9" s="3">
        <f t="shared" si="6"/>
        <v>2.0000000000000018</v>
      </c>
      <c r="AG9" s="11">
        <v>0</v>
      </c>
      <c r="AI9" s="2">
        <v>7</v>
      </c>
      <c r="AJ9" s="8">
        <f>1-SUM(AJ3:AJ8)</f>
        <v>0.13</v>
      </c>
      <c r="AK9" s="6">
        <f>+SUM($AJ$3:AJ9)</f>
        <v>1</v>
      </c>
      <c r="AL9" s="3">
        <f t="shared" si="7"/>
        <v>200</v>
      </c>
      <c r="AM9" s="3">
        <f t="shared" si="8"/>
        <v>26</v>
      </c>
      <c r="AN9" s="11">
        <v>0</v>
      </c>
    </row>
    <row r="10" spans="1:40" x14ac:dyDescent="0.3">
      <c r="A10" s="14" t="s">
        <v>13</v>
      </c>
      <c r="G10" s="4" t="s">
        <v>6</v>
      </c>
      <c r="H10" s="4">
        <f>+SUM(H3:H9)</f>
        <v>1</v>
      </c>
      <c r="I10" s="4"/>
      <c r="J10" s="4"/>
      <c r="K10" s="5">
        <f>+SUM(K3:K9)</f>
        <v>15.224999999999978</v>
      </c>
      <c r="L10" s="5"/>
      <c r="N10" s="4" t="s">
        <v>6</v>
      </c>
      <c r="O10" s="4">
        <f>+SUM(O3:O9)</f>
        <v>1</v>
      </c>
      <c r="P10" s="4"/>
      <c r="Q10" s="4"/>
      <c r="R10" s="5">
        <f>+SUM(R3:R9)</f>
        <v>37.849999999999994</v>
      </c>
      <c r="S10" s="5"/>
      <c r="U10" s="4" t="s">
        <v>6</v>
      </c>
      <c r="V10" s="4">
        <f>+SUM(V3:V9)</f>
        <v>1</v>
      </c>
      <c r="W10" s="4"/>
      <c r="X10" s="4"/>
      <c r="Y10" s="5">
        <f>+SUM(Y3:Y9)</f>
        <v>46.250000000000014</v>
      </c>
      <c r="Z10" s="5"/>
      <c r="AB10" s="4" t="s">
        <v>6</v>
      </c>
      <c r="AC10" s="4">
        <f>+SUM(AC3:AC9)</f>
        <v>1</v>
      </c>
      <c r="AD10" s="4"/>
      <c r="AE10" s="4"/>
      <c r="AF10" s="5">
        <f>+SUM(AF3:AF9)</f>
        <v>51.7</v>
      </c>
      <c r="AG10" s="5"/>
      <c r="AI10" s="4" t="s">
        <v>6</v>
      </c>
      <c r="AJ10" s="4">
        <f>+SUM(AJ3:AJ9)</f>
        <v>1</v>
      </c>
      <c r="AK10" s="4"/>
      <c r="AL10" s="4"/>
      <c r="AM10" s="5">
        <f>+SUM(AM3:AM9)</f>
        <v>100</v>
      </c>
      <c r="AN10" s="5"/>
    </row>
    <row r="12" spans="1:40" x14ac:dyDescent="0.3">
      <c r="C12" s="1" t="s">
        <v>49</v>
      </c>
      <c r="D12" s="12">
        <v>0</v>
      </c>
    </row>
    <row r="13" spans="1:40" x14ac:dyDescent="0.3">
      <c r="C13" s="1" t="s">
        <v>10</v>
      </c>
      <c r="D13" s="12">
        <v>0</v>
      </c>
    </row>
    <row r="14" spans="1:40" x14ac:dyDescent="0.3">
      <c r="C14" s="1" t="s">
        <v>11</v>
      </c>
      <c r="D14" s="12">
        <v>0</v>
      </c>
    </row>
    <row r="17" spans="1:4" ht="15" thickBot="1" x14ac:dyDescent="0.35"/>
    <row r="18" spans="1:4" x14ac:dyDescent="0.3">
      <c r="A18" s="1" t="s">
        <v>59</v>
      </c>
      <c r="B18" s="1" t="s">
        <v>58</v>
      </c>
      <c r="D18" s="28" t="s">
        <v>16</v>
      </c>
    </row>
    <row r="19" spans="1:4" ht="15" thickBot="1" x14ac:dyDescent="0.35">
      <c r="A19" s="7" t="s">
        <v>54</v>
      </c>
      <c r="B19" s="12">
        <v>0</v>
      </c>
      <c r="D19" s="29">
        <v>1</v>
      </c>
    </row>
    <row r="20" spans="1:4" x14ac:dyDescent="0.3">
      <c r="A20" s="7" t="s">
        <v>55</v>
      </c>
      <c r="B20" s="12">
        <v>0</v>
      </c>
    </row>
    <row r="21" spans="1:4" x14ac:dyDescent="0.3">
      <c r="A21" s="7" t="s">
        <v>56</v>
      </c>
      <c r="B21" s="12">
        <v>0</v>
      </c>
    </row>
    <row r="22" spans="1:4" x14ac:dyDescent="0.3">
      <c r="A22" s="7" t="s">
        <v>57</v>
      </c>
      <c r="B22" s="12">
        <v>0</v>
      </c>
    </row>
    <row r="24" spans="1:4" x14ac:dyDescent="0.3">
      <c r="A24" s="1" t="s">
        <v>12</v>
      </c>
      <c r="B24" s="13">
        <f>IF(D13=0,0,+D14/D13)</f>
        <v>0</v>
      </c>
    </row>
    <row r="25" spans="1:4" x14ac:dyDescent="0.3">
      <c r="A25" s="1" t="s">
        <v>85</v>
      </c>
      <c r="B25" s="13">
        <f>IF(D12=0,0,+(SUMPRODUCT(L3:L9,J3:J9))/D12)</f>
        <v>0</v>
      </c>
    </row>
    <row r="26" spans="1:4" x14ac:dyDescent="0.3">
      <c r="A26" s="1" t="s">
        <v>86</v>
      </c>
      <c r="B26" s="13">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dxfId="25" priority="7" operator="lessThan">
      <formula>0</formula>
    </cfRule>
    <cfRule type="cellIs" dxfId="24" priority="8" operator="greaterThan">
      <formula>1</formula>
    </cfRule>
  </conditionalFormatting>
  <conditionalFormatting sqref="H3:H9 O3:O9 AJ3:AJ9 V3:V9 AC3:AC9">
    <cfRule type="cellIs" dxfId="23" priority="6" operator="equal">
      <formula>0</formula>
    </cfRule>
  </conditionalFormatting>
  <conditionalFormatting sqref="B3:B7">
    <cfRule type="cellIs" dxfId="22" priority="4" operator="greaterThan">
      <formula>1</formula>
    </cfRule>
    <cfRule type="cellIs" dxfId="21" priority="5" operator="lessThan">
      <formula>0</formula>
    </cfRule>
  </conditionalFormatting>
  <conditionalFormatting sqref="AJ3:AJ8">
    <cfRule type="cellIs" dxfId="20" priority="2" operator="lessThan">
      <formula>0</formula>
    </cfRule>
    <cfRule type="cellIs" dxfId="19" priority="3" operator="greaterThan">
      <formula>1</formula>
    </cfRule>
  </conditionalFormatting>
  <conditionalFormatting sqref="AJ3:AJ8">
    <cfRule type="cellIs" dxfId="18" priority="1" operator="equal">
      <formula>0</formula>
    </cfRule>
  </conditionalFormatting>
  <dataValidations count="1">
    <dataValidation type="list" allowBlank="1" showInputMessage="1" showErrorMessage="1" sqref="A10" xr:uid="{00000000-0002-0000-0C00-000000000000}">
      <formula1>"Regular weapon,Special weapon 1,Special weapon 2,Special weapon 3,Plasma Gun"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shoot_enemy">
                <anchor moveWithCells="1" sizeWithCells="1">
                  <from>
                    <xdr:col>2</xdr:col>
                    <xdr:colOff>510540</xdr:colOff>
                    <xdr:row>7</xdr:row>
                    <xdr:rowOff>99060</xdr:rowOff>
                  </from>
                  <to>
                    <xdr:col>5</xdr:col>
                    <xdr:colOff>22860</xdr:colOff>
                    <xdr:row>10</xdr:row>
                    <xdr:rowOff>38100</xdr:rowOff>
                  </to>
                </anchor>
              </controlPr>
            </control>
          </mc:Choice>
        </mc:AlternateContent>
        <mc:AlternateContent xmlns:mc="http://schemas.openxmlformats.org/markup-compatibility/2006">
          <mc:Choice Requires="x14">
            <control shapeId="11266" r:id="rId5" name="Button 2">
              <controlPr defaultSize="0" print="0" autoFill="0" autoPict="0" macro="[0]!reset_sim_values">
                <anchor moveWithCells="1" sizeWithCells="1">
                  <from>
                    <xdr:col>0</xdr:col>
                    <xdr:colOff>601980</xdr:colOff>
                    <xdr:row>12</xdr:row>
                    <xdr:rowOff>60960</xdr:rowOff>
                  </from>
                  <to>
                    <xdr:col>1</xdr:col>
                    <xdr:colOff>22860</xdr:colOff>
                    <xdr:row>14</xdr:row>
                    <xdr:rowOff>99060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1"/>
  <dimension ref="A1:AN26"/>
  <sheetViews>
    <sheetView workbookViewId="0">
      <pane xSplit="6" ySplit="1" topLeftCell="G2" activePane="bottomRight" state="frozen"/>
      <selection pane="topRight" activeCell="G1" sqref="G1"/>
      <selection pane="bottomLeft" activeCell="A2" sqref="A2"/>
      <selection pane="bottomRight" activeCell="D18" sqref="D18"/>
    </sheetView>
  </sheetViews>
  <sheetFormatPr defaultColWidth="11.5546875" defaultRowHeight="14.4" x14ac:dyDescent="0.3"/>
  <cols>
    <col min="1" max="1" width="31.6640625" customWidth="1"/>
    <col min="3" max="3" width="17.21875" bestFit="1" customWidth="1"/>
    <col min="4" max="4" width="9.21875" customWidth="1"/>
    <col min="5" max="5" width="7.21875" customWidth="1"/>
    <col min="6" max="6" width="14.33203125" customWidth="1"/>
    <col min="9" max="9" width="16.21875" customWidth="1"/>
  </cols>
  <sheetData>
    <row r="1" spans="1:40" x14ac:dyDescent="0.3">
      <c r="A1" s="1" t="s">
        <v>95</v>
      </c>
      <c r="G1" s="118" t="s">
        <v>14</v>
      </c>
      <c r="H1" s="119"/>
      <c r="I1" s="119"/>
      <c r="J1" s="119"/>
      <c r="K1" s="119"/>
      <c r="L1" s="119"/>
      <c r="N1" s="118" t="s">
        <v>20</v>
      </c>
      <c r="O1" s="119"/>
      <c r="P1" s="119"/>
      <c r="Q1" s="119"/>
      <c r="R1" s="119"/>
      <c r="S1" s="119"/>
      <c r="U1" s="118" t="s">
        <v>19</v>
      </c>
      <c r="V1" s="119"/>
      <c r="W1" s="119"/>
      <c r="X1" s="119"/>
      <c r="Y1" s="119"/>
      <c r="Z1" s="119"/>
      <c r="AB1" s="118" t="s">
        <v>18</v>
      </c>
      <c r="AC1" s="119"/>
      <c r="AD1" s="119"/>
      <c r="AE1" s="119"/>
      <c r="AF1" s="119"/>
      <c r="AG1" s="119"/>
      <c r="AI1" s="118" t="s">
        <v>21</v>
      </c>
      <c r="AJ1" s="119"/>
      <c r="AK1" s="119"/>
      <c r="AL1" s="119"/>
      <c r="AM1" s="119"/>
      <c r="AN1" s="119"/>
    </row>
    <row r="2" spans="1:40" x14ac:dyDescent="0.3">
      <c r="A2" s="1"/>
      <c r="B2" s="1" t="s">
        <v>15</v>
      </c>
      <c r="C2" s="1" t="s">
        <v>161</v>
      </c>
      <c r="D2" s="1" t="s">
        <v>5</v>
      </c>
      <c r="E2" s="1" t="s">
        <v>7</v>
      </c>
      <c r="G2" s="1" t="s">
        <v>1</v>
      </c>
      <c r="H2" s="1" t="s">
        <v>2</v>
      </c>
      <c r="I2" s="1" t="s">
        <v>3</v>
      </c>
      <c r="J2" s="1" t="s">
        <v>4</v>
      </c>
      <c r="K2" s="1" t="s">
        <v>5</v>
      </c>
      <c r="L2" s="1" t="s">
        <v>9</v>
      </c>
      <c r="N2" s="1" t="s">
        <v>1</v>
      </c>
      <c r="O2" s="1" t="s">
        <v>2</v>
      </c>
      <c r="P2" s="1" t="s">
        <v>3</v>
      </c>
      <c r="Q2" s="1" t="s">
        <v>4</v>
      </c>
      <c r="R2" s="1" t="s">
        <v>5</v>
      </c>
      <c r="S2" s="1" t="s">
        <v>9</v>
      </c>
      <c r="U2" s="1" t="s">
        <v>1</v>
      </c>
      <c r="V2" s="1" t="s">
        <v>2</v>
      </c>
      <c r="W2" s="1" t="s">
        <v>3</v>
      </c>
      <c r="X2" s="1" t="s">
        <v>4</v>
      </c>
      <c r="Y2" s="1" t="s">
        <v>5</v>
      </c>
      <c r="Z2" s="1" t="s">
        <v>9</v>
      </c>
      <c r="AB2" s="1" t="s">
        <v>1</v>
      </c>
      <c r="AC2" s="1" t="s">
        <v>2</v>
      </c>
      <c r="AD2" s="1" t="s">
        <v>3</v>
      </c>
      <c r="AE2" s="1" t="s">
        <v>4</v>
      </c>
      <c r="AF2" s="1" t="s">
        <v>5</v>
      </c>
      <c r="AG2" s="1" t="s">
        <v>9</v>
      </c>
      <c r="AI2" s="1" t="s">
        <v>1</v>
      </c>
      <c r="AJ2" s="1" t="s">
        <v>2</v>
      </c>
      <c r="AK2" s="1" t="s">
        <v>3</v>
      </c>
      <c r="AL2" s="1" t="s">
        <v>4</v>
      </c>
      <c r="AM2" s="1" t="s">
        <v>5</v>
      </c>
      <c r="AN2" s="1" t="s">
        <v>9</v>
      </c>
    </row>
    <row r="3" spans="1:40" x14ac:dyDescent="0.3">
      <c r="A3" s="7" t="s">
        <v>50</v>
      </c>
      <c r="B3" s="7">
        <f>+E3/D3</f>
        <v>4.3021346469622392E-2</v>
      </c>
      <c r="C3" s="7">
        <f>1/B3/Summary!$C$7</f>
        <v>2.3244274809160272E-2</v>
      </c>
      <c r="D3" s="71">
        <f>+K10</f>
        <v>15.224999999999978</v>
      </c>
      <c r="E3" s="7">
        <v>0.65500000000000003</v>
      </c>
      <c r="G3" s="2">
        <v>1</v>
      </c>
      <c r="H3" s="9">
        <v>0.5</v>
      </c>
      <c r="I3" s="6">
        <f>+SUM($H3:H3)</f>
        <v>0.5</v>
      </c>
      <c r="J3" s="15">
        <v>10</v>
      </c>
      <c r="K3" s="3">
        <f>+H3*J3</f>
        <v>5</v>
      </c>
      <c r="L3" s="11">
        <v>0</v>
      </c>
      <c r="N3" s="2">
        <v>1</v>
      </c>
      <c r="O3" s="9">
        <v>0.2</v>
      </c>
      <c r="P3" s="6">
        <f>+SUM($O3:O$3)</f>
        <v>0.2</v>
      </c>
      <c r="Q3" s="3">
        <f>+J3</f>
        <v>10</v>
      </c>
      <c r="R3" s="3">
        <f>+O3*Q3</f>
        <v>2</v>
      </c>
      <c r="S3" s="11">
        <v>0</v>
      </c>
      <c r="U3" s="2">
        <v>1</v>
      </c>
      <c r="V3" s="9">
        <v>0.05</v>
      </c>
      <c r="W3" s="6">
        <f>+SUM($V3:V$3)</f>
        <v>0.05</v>
      </c>
      <c r="X3" s="3">
        <f>+J3</f>
        <v>10</v>
      </c>
      <c r="Y3" s="3">
        <f>+V3*X3</f>
        <v>0.5</v>
      </c>
      <c r="Z3" s="11">
        <v>0</v>
      </c>
      <c r="AB3" s="2">
        <v>1</v>
      </c>
      <c r="AC3" s="9">
        <v>0.03</v>
      </c>
      <c r="AD3" s="6">
        <f>+SUM($AC$3:AC3)</f>
        <v>0.03</v>
      </c>
      <c r="AE3" s="3">
        <f>+J3</f>
        <v>10</v>
      </c>
      <c r="AF3" s="3">
        <f>+AC3*AE3</f>
        <v>0.3</v>
      </c>
      <c r="AG3" s="11">
        <v>0</v>
      </c>
      <c r="AI3" s="2">
        <v>1</v>
      </c>
      <c r="AJ3" s="9">
        <v>0</v>
      </c>
      <c r="AK3" s="6">
        <f>+SUM($AJ$3:AJ3)</f>
        <v>0</v>
      </c>
      <c r="AL3" s="3">
        <f>+J3</f>
        <v>10</v>
      </c>
      <c r="AM3" s="3">
        <f>+AJ3*AL3</f>
        <v>0</v>
      </c>
      <c r="AN3" s="11">
        <v>0</v>
      </c>
    </row>
    <row r="4" spans="1:40" x14ac:dyDescent="0.3">
      <c r="A4" s="7" t="s">
        <v>146</v>
      </c>
      <c r="B4" s="7">
        <f>+E4/D4</f>
        <v>0.13210039630118892</v>
      </c>
      <c r="C4" s="7">
        <v>0</v>
      </c>
      <c r="D4" s="16">
        <f>+R10</f>
        <v>37.849999999999994</v>
      </c>
      <c r="E4" s="7">
        <v>5</v>
      </c>
      <c r="G4" s="2">
        <v>2</v>
      </c>
      <c r="H4" s="9">
        <v>0.32</v>
      </c>
      <c r="I4" s="6">
        <f>+SUM($H$3:H4)</f>
        <v>0.82000000000000006</v>
      </c>
      <c r="J4" s="15">
        <v>15</v>
      </c>
      <c r="K4" s="3">
        <f t="shared" ref="K4:K9" si="0">+H4*J4</f>
        <v>4.8</v>
      </c>
      <c r="L4" s="11">
        <v>0</v>
      </c>
      <c r="N4" s="2">
        <v>2</v>
      </c>
      <c r="O4" s="9">
        <v>0.25</v>
      </c>
      <c r="P4" s="6">
        <f>+SUM($O$3:O4)</f>
        <v>0.45</v>
      </c>
      <c r="Q4" s="3">
        <f t="shared" ref="Q4:Q9" si="1">+J4</f>
        <v>15</v>
      </c>
      <c r="R4" s="3">
        <f t="shared" ref="R4:R9" si="2">+O4*Q4</f>
        <v>3.75</v>
      </c>
      <c r="S4" s="11">
        <v>0</v>
      </c>
      <c r="U4" s="2">
        <v>2</v>
      </c>
      <c r="V4" s="9">
        <v>0.3</v>
      </c>
      <c r="W4" s="6">
        <f>+SUM($V$3:V4)</f>
        <v>0.35</v>
      </c>
      <c r="X4" s="3">
        <f t="shared" ref="X4:X9" si="3">+J4</f>
        <v>15</v>
      </c>
      <c r="Y4" s="3">
        <f t="shared" ref="Y4:Y9" si="4">+V4*X4</f>
        <v>4.5</v>
      </c>
      <c r="Z4" s="11">
        <v>0</v>
      </c>
      <c r="AB4" s="2">
        <v>2</v>
      </c>
      <c r="AC4" s="9">
        <v>0.05</v>
      </c>
      <c r="AD4" s="6">
        <f>+SUM($AC$3:AC4)</f>
        <v>0.08</v>
      </c>
      <c r="AE4" s="3">
        <f t="shared" ref="AE4:AE9" si="5">+J4</f>
        <v>15</v>
      </c>
      <c r="AF4" s="3">
        <f t="shared" ref="AF4:AF9" si="6">+AC4*AE4</f>
        <v>0.75</v>
      </c>
      <c r="AG4" s="11">
        <v>0</v>
      </c>
      <c r="AI4" s="2">
        <v>2</v>
      </c>
      <c r="AJ4" s="9">
        <v>0</v>
      </c>
      <c r="AK4" s="6">
        <f>+SUM($AJ$3:AJ4)</f>
        <v>0</v>
      </c>
      <c r="AL4" s="3">
        <f t="shared" ref="AL4:AL9" si="7">+J4</f>
        <v>15</v>
      </c>
      <c r="AM4" s="3">
        <f t="shared" ref="AM4:AM9" si="8">+AJ4*AL4</f>
        <v>0</v>
      </c>
      <c r="AN4" s="11">
        <v>0</v>
      </c>
    </row>
    <row r="5" spans="1:40" x14ac:dyDescent="0.3">
      <c r="A5" s="7" t="s">
        <v>51</v>
      </c>
      <c r="B5" s="7">
        <f>+E5/D5</f>
        <v>0.17167381974248924</v>
      </c>
      <c r="C5" s="7">
        <v>0</v>
      </c>
      <c r="D5" s="16">
        <f>+Y10</f>
        <v>46.600000000000009</v>
      </c>
      <c r="E5" s="7">
        <v>8</v>
      </c>
      <c r="G5" s="2">
        <v>3</v>
      </c>
      <c r="H5" s="9">
        <v>0.105</v>
      </c>
      <c r="I5" s="6">
        <f>+SUM($H$3:H5)</f>
        <v>0.92500000000000004</v>
      </c>
      <c r="J5" s="15">
        <v>20</v>
      </c>
      <c r="K5" s="3">
        <f t="shared" si="0"/>
        <v>2.1</v>
      </c>
      <c r="L5" s="11">
        <v>0</v>
      </c>
      <c r="N5" s="2">
        <v>3</v>
      </c>
      <c r="O5" s="9">
        <v>0.18</v>
      </c>
      <c r="P5" s="6">
        <f>+SUM($O$3:O5)</f>
        <v>0.63</v>
      </c>
      <c r="Q5" s="3">
        <f t="shared" si="1"/>
        <v>20</v>
      </c>
      <c r="R5" s="3">
        <f t="shared" si="2"/>
        <v>3.5999999999999996</v>
      </c>
      <c r="S5" s="11">
        <v>0</v>
      </c>
      <c r="U5" s="2">
        <v>3</v>
      </c>
      <c r="V5" s="9">
        <v>0.18</v>
      </c>
      <c r="W5" s="6">
        <f>+SUM($V$3:V5)</f>
        <v>0.53</v>
      </c>
      <c r="X5" s="3">
        <f t="shared" si="3"/>
        <v>20</v>
      </c>
      <c r="Y5" s="3">
        <f t="shared" si="4"/>
        <v>3.5999999999999996</v>
      </c>
      <c r="Z5" s="11">
        <v>0</v>
      </c>
      <c r="AB5" s="2">
        <v>3</v>
      </c>
      <c r="AC5" s="9">
        <v>0.23</v>
      </c>
      <c r="AD5" s="6">
        <f>+SUM($AC$3:AC5)</f>
        <v>0.31</v>
      </c>
      <c r="AE5" s="3">
        <f t="shared" si="5"/>
        <v>20</v>
      </c>
      <c r="AF5" s="3">
        <f t="shared" si="6"/>
        <v>4.6000000000000005</v>
      </c>
      <c r="AG5" s="11">
        <v>0</v>
      </c>
      <c r="AI5" s="2">
        <v>3</v>
      </c>
      <c r="AJ5" s="9">
        <v>0</v>
      </c>
      <c r="AK5" s="6">
        <f>+SUM($AJ$3:AJ5)</f>
        <v>0</v>
      </c>
      <c r="AL5" s="3">
        <f t="shared" si="7"/>
        <v>20</v>
      </c>
      <c r="AM5" s="3">
        <f t="shared" si="8"/>
        <v>0</v>
      </c>
      <c r="AN5" s="11">
        <v>0</v>
      </c>
    </row>
    <row r="6" spans="1:40" x14ac:dyDescent="0.3">
      <c r="A6" s="7" t="s">
        <v>52</v>
      </c>
      <c r="B6" s="7">
        <f>+E6/D6</f>
        <v>0.19286403085824502</v>
      </c>
      <c r="C6" s="7">
        <v>0</v>
      </c>
      <c r="D6" s="16">
        <f>+AF10</f>
        <v>51.84999999999998</v>
      </c>
      <c r="E6" s="7">
        <v>10</v>
      </c>
      <c r="G6" s="2">
        <v>4</v>
      </c>
      <c r="H6" s="9">
        <v>7.0000000000000007E-2</v>
      </c>
      <c r="I6" s="6">
        <f>+SUM($H$3:H6)</f>
        <v>0.99500000000000011</v>
      </c>
      <c r="J6" s="15">
        <v>40</v>
      </c>
      <c r="K6" s="3">
        <f t="shared" si="0"/>
        <v>2.8000000000000003</v>
      </c>
      <c r="L6" s="11">
        <v>0</v>
      </c>
      <c r="N6" s="2">
        <v>4</v>
      </c>
      <c r="O6" s="9">
        <v>0.2</v>
      </c>
      <c r="P6" s="6">
        <f>+SUM($O$3:O6)</f>
        <v>0.83000000000000007</v>
      </c>
      <c r="Q6" s="3">
        <f t="shared" si="1"/>
        <v>40</v>
      </c>
      <c r="R6" s="3">
        <f t="shared" si="2"/>
        <v>8</v>
      </c>
      <c r="S6" s="11">
        <v>0</v>
      </c>
      <c r="U6" s="2">
        <v>4</v>
      </c>
      <c r="V6" s="9">
        <v>0.2</v>
      </c>
      <c r="W6" s="6">
        <f>+SUM($V$3:V6)</f>
        <v>0.73</v>
      </c>
      <c r="X6" s="3">
        <f t="shared" si="3"/>
        <v>40</v>
      </c>
      <c r="Y6" s="3">
        <f t="shared" si="4"/>
        <v>8</v>
      </c>
      <c r="Z6" s="11">
        <v>0</v>
      </c>
      <c r="AB6" s="2">
        <v>4</v>
      </c>
      <c r="AC6" s="9">
        <v>0.23</v>
      </c>
      <c r="AD6" s="6">
        <f>+SUM($AC$3:AC6)</f>
        <v>0.54</v>
      </c>
      <c r="AE6" s="3">
        <f t="shared" si="5"/>
        <v>40</v>
      </c>
      <c r="AF6" s="3">
        <f t="shared" si="6"/>
        <v>9.2000000000000011</v>
      </c>
      <c r="AG6" s="11">
        <v>0</v>
      </c>
      <c r="AI6" s="2">
        <v>4</v>
      </c>
      <c r="AJ6" s="9">
        <v>0</v>
      </c>
      <c r="AK6" s="6">
        <f>+SUM($AJ$3:AJ6)</f>
        <v>0</v>
      </c>
      <c r="AL6" s="3">
        <f t="shared" si="7"/>
        <v>40</v>
      </c>
      <c r="AM6" s="3">
        <f t="shared" si="8"/>
        <v>0</v>
      </c>
      <c r="AN6" s="11">
        <v>0</v>
      </c>
    </row>
    <row r="7" spans="1:40" x14ac:dyDescent="0.3">
      <c r="A7" s="7" t="s">
        <v>53</v>
      </c>
      <c r="B7" s="7">
        <f>+E7/D7</f>
        <v>0.5</v>
      </c>
      <c r="C7" s="7">
        <v>0</v>
      </c>
      <c r="D7" s="16">
        <f>+AM10</f>
        <v>100</v>
      </c>
      <c r="E7" s="7">
        <v>50</v>
      </c>
      <c r="G7" s="2">
        <v>5</v>
      </c>
      <c r="H7" s="9">
        <v>3.0000000000000001E-3</v>
      </c>
      <c r="I7" s="6">
        <f>+SUM($H$3:H7)</f>
        <v>0.99800000000000011</v>
      </c>
      <c r="J7" s="15">
        <v>75</v>
      </c>
      <c r="K7" s="3">
        <f t="shared" si="0"/>
        <v>0.22500000000000001</v>
      </c>
      <c r="L7" s="11">
        <v>0</v>
      </c>
      <c r="N7" s="2">
        <v>5</v>
      </c>
      <c r="O7" s="9">
        <v>0.1</v>
      </c>
      <c r="P7" s="6">
        <f>+SUM($O$3:O7)</f>
        <v>0.93</v>
      </c>
      <c r="Q7" s="3">
        <f t="shared" si="1"/>
        <v>75</v>
      </c>
      <c r="R7" s="3">
        <f t="shared" si="2"/>
        <v>7.5</v>
      </c>
      <c r="S7" s="11">
        <v>0</v>
      </c>
      <c r="U7" s="2">
        <v>5</v>
      </c>
      <c r="V7" s="9">
        <v>0.12</v>
      </c>
      <c r="W7" s="6">
        <f>+SUM($V$3:V7)</f>
        <v>0.85</v>
      </c>
      <c r="X7" s="3">
        <f t="shared" si="3"/>
        <v>75</v>
      </c>
      <c r="Y7" s="3">
        <f t="shared" si="4"/>
        <v>9</v>
      </c>
      <c r="Z7" s="11">
        <v>0</v>
      </c>
      <c r="AB7" s="2">
        <v>5</v>
      </c>
      <c r="AC7" s="9">
        <v>0.4</v>
      </c>
      <c r="AD7" s="6">
        <f>+SUM($AC$3:AC7)</f>
        <v>0.94000000000000006</v>
      </c>
      <c r="AE7" s="3">
        <f t="shared" si="5"/>
        <v>75</v>
      </c>
      <c r="AF7" s="3">
        <f t="shared" si="6"/>
        <v>30</v>
      </c>
      <c r="AG7" s="11">
        <v>0</v>
      </c>
      <c r="AI7" s="2">
        <v>5</v>
      </c>
      <c r="AJ7" s="9">
        <v>0.52</v>
      </c>
      <c r="AK7" s="6">
        <f>+SUM($AJ$3:AJ7)</f>
        <v>0.52</v>
      </c>
      <c r="AL7" s="3">
        <f t="shared" si="7"/>
        <v>75</v>
      </c>
      <c r="AM7" s="3">
        <f t="shared" si="8"/>
        <v>39</v>
      </c>
      <c r="AN7" s="11">
        <v>0</v>
      </c>
    </row>
    <row r="8" spans="1:40" x14ac:dyDescent="0.3">
      <c r="A8" s="7" t="s">
        <v>0</v>
      </c>
      <c r="B8" s="10" t="str">
        <f>+CONCATENATE("x",J3," - x",J9)</f>
        <v>x10 - x200</v>
      </c>
      <c r="G8" s="2">
        <v>6</v>
      </c>
      <c r="H8" s="9">
        <v>1E-3</v>
      </c>
      <c r="I8" s="6">
        <f>+SUM($H$3:H8)</f>
        <v>0.99900000000000011</v>
      </c>
      <c r="J8" s="15">
        <v>100</v>
      </c>
      <c r="K8" s="3">
        <f t="shared" si="0"/>
        <v>0.1</v>
      </c>
      <c r="L8" s="11">
        <v>0</v>
      </c>
      <c r="N8" s="2">
        <v>6</v>
      </c>
      <c r="O8" s="9">
        <v>0.01</v>
      </c>
      <c r="P8" s="6">
        <f>+SUM($O$3:O8)</f>
        <v>0.94000000000000006</v>
      </c>
      <c r="Q8" s="3">
        <f t="shared" si="1"/>
        <v>100</v>
      </c>
      <c r="R8" s="3">
        <f t="shared" si="2"/>
        <v>1</v>
      </c>
      <c r="S8" s="11">
        <v>0</v>
      </c>
      <c r="U8" s="2">
        <v>6</v>
      </c>
      <c r="V8" s="9">
        <v>0.09</v>
      </c>
      <c r="W8" s="6">
        <f>+SUM($V$3:V8)</f>
        <v>0.94</v>
      </c>
      <c r="X8" s="3">
        <f t="shared" si="3"/>
        <v>100</v>
      </c>
      <c r="Y8" s="3">
        <f t="shared" si="4"/>
        <v>9</v>
      </c>
      <c r="Z8" s="11">
        <v>0</v>
      </c>
      <c r="AB8" s="2">
        <v>6</v>
      </c>
      <c r="AC8" s="9">
        <v>0.05</v>
      </c>
      <c r="AD8" s="6">
        <f>+SUM($AC$3:AC8)</f>
        <v>0.9900000000000001</v>
      </c>
      <c r="AE8" s="3">
        <f t="shared" si="5"/>
        <v>100</v>
      </c>
      <c r="AF8" s="3">
        <f t="shared" si="6"/>
        <v>5</v>
      </c>
      <c r="AG8" s="11">
        <v>0</v>
      </c>
      <c r="AI8" s="2">
        <v>6</v>
      </c>
      <c r="AJ8" s="9">
        <v>0.35</v>
      </c>
      <c r="AK8" s="6">
        <f>+SUM($AJ$3:AJ8)</f>
        <v>0.87</v>
      </c>
      <c r="AL8" s="3">
        <f t="shared" si="7"/>
        <v>100</v>
      </c>
      <c r="AM8" s="3">
        <f t="shared" si="8"/>
        <v>35</v>
      </c>
      <c r="AN8" s="11">
        <v>0</v>
      </c>
    </row>
    <row r="9" spans="1:40" x14ac:dyDescent="0.3">
      <c r="G9" s="2">
        <v>7</v>
      </c>
      <c r="H9" s="8">
        <f>1-SUM(H3:H8)</f>
        <v>9.9999999999988987E-4</v>
      </c>
      <c r="I9" s="6">
        <f>+SUM($H$3:H9)</f>
        <v>1</v>
      </c>
      <c r="J9" s="15">
        <v>200</v>
      </c>
      <c r="K9" s="3">
        <f t="shared" si="0"/>
        <v>0.19999999999997797</v>
      </c>
      <c r="L9" s="11">
        <v>0</v>
      </c>
      <c r="N9" s="2">
        <v>7</v>
      </c>
      <c r="O9" s="8">
        <f>1-SUM(O3:O8)</f>
        <v>5.9999999999999942E-2</v>
      </c>
      <c r="P9" s="6">
        <f>+SUM($O$3:O9)</f>
        <v>1</v>
      </c>
      <c r="Q9" s="3">
        <f t="shared" si="1"/>
        <v>200</v>
      </c>
      <c r="R9" s="3">
        <f t="shared" si="2"/>
        <v>11.999999999999989</v>
      </c>
      <c r="S9" s="11">
        <v>0</v>
      </c>
      <c r="U9" s="2">
        <v>7</v>
      </c>
      <c r="V9" s="8">
        <f>1-SUM(V3:V8)</f>
        <v>6.0000000000000053E-2</v>
      </c>
      <c r="W9" s="6">
        <f>+SUM($V$3:V9)</f>
        <v>1</v>
      </c>
      <c r="X9" s="3">
        <f t="shared" si="3"/>
        <v>200</v>
      </c>
      <c r="Y9" s="3">
        <f t="shared" si="4"/>
        <v>12.000000000000011</v>
      </c>
      <c r="Z9" s="11">
        <v>0</v>
      </c>
      <c r="AB9" s="2">
        <v>7</v>
      </c>
      <c r="AC9" s="8">
        <f>1-SUM(AC3:AC8)</f>
        <v>9.9999999999998979E-3</v>
      </c>
      <c r="AD9" s="6">
        <f>+SUM($AC$3:AC9)</f>
        <v>1</v>
      </c>
      <c r="AE9" s="3">
        <f t="shared" si="5"/>
        <v>200</v>
      </c>
      <c r="AF9" s="3">
        <f t="shared" si="6"/>
        <v>1.9999999999999796</v>
      </c>
      <c r="AG9" s="11">
        <v>0</v>
      </c>
      <c r="AI9" s="2">
        <v>7</v>
      </c>
      <c r="AJ9" s="8">
        <f>1-SUM(AJ3:AJ8)</f>
        <v>0.13</v>
      </c>
      <c r="AK9" s="6">
        <f>+SUM($AJ$3:AJ9)</f>
        <v>1</v>
      </c>
      <c r="AL9" s="3">
        <f t="shared" si="7"/>
        <v>200</v>
      </c>
      <c r="AM9" s="3">
        <f t="shared" si="8"/>
        <v>26</v>
      </c>
      <c r="AN9" s="11">
        <v>0</v>
      </c>
    </row>
    <row r="10" spans="1:40" x14ac:dyDescent="0.3">
      <c r="A10" s="14" t="s">
        <v>57</v>
      </c>
      <c r="G10" s="4" t="s">
        <v>6</v>
      </c>
      <c r="H10" s="4">
        <f>+SUM(H3:H9)</f>
        <v>1</v>
      </c>
      <c r="I10" s="4"/>
      <c r="J10" s="4"/>
      <c r="K10" s="5">
        <f>+SUM(K3:K9)</f>
        <v>15.224999999999978</v>
      </c>
      <c r="L10" s="5"/>
      <c r="N10" s="4" t="s">
        <v>6</v>
      </c>
      <c r="O10" s="4">
        <f>+SUM(O3:O9)</f>
        <v>1</v>
      </c>
      <c r="P10" s="4"/>
      <c r="Q10" s="4"/>
      <c r="R10" s="5">
        <f>+SUM(R3:R9)</f>
        <v>37.849999999999994</v>
      </c>
      <c r="S10" s="5"/>
      <c r="U10" s="4" t="s">
        <v>6</v>
      </c>
      <c r="V10" s="4">
        <f>+SUM(V3:V9)</f>
        <v>1</v>
      </c>
      <c r="W10" s="4"/>
      <c r="X10" s="4"/>
      <c r="Y10" s="5">
        <f>+SUM(Y3:Y9)</f>
        <v>46.600000000000009</v>
      </c>
      <c r="Z10" s="5"/>
      <c r="AB10" s="4" t="s">
        <v>6</v>
      </c>
      <c r="AC10" s="4">
        <f>+SUM(AC3:AC9)</f>
        <v>1</v>
      </c>
      <c r="AD10" s="4"/>
      <c r="AE10" s="4"/>
      <c r="AF10" s="5">
        <f>+SUM(AF3:AF9)</f>
        <v>51.84999999999998</v>
      </c>
      <c r="AG10" s="5"/>
      <c r="AI10" s="4" t="s">
        <v>6</v>
      </c>
      <c r="AJ10" s="4">
        <f>+SUM(AJ3:AJ9)</f>
        <v>1</v>
      </c>
      <c r="AK10" s="4"/>
      <c r="AL10" s="4"/>
      <c r="AM10" s="5">
        <f>+SUM(AM3:AM9)</f>
        <v>100</v>
      </c>
      <c r="AN10" s="5"/>
    </row>
    <row r="12" spans="1:40" x14ac:dyDescent="0.3">
      <c r="C12" s="1" t="s">
        <v>49</v>
      </c>
      <c r="D12" s="12">
        <v>0</v>
      </c>
    </row>
    <row r="13" spans="1:40" x14ac:dyDescent="0.3">
      <c r="C13" s="1" t="s">
        <v>10</v>
      </c>
      <c r="D13" s="12">
        <v>0</v>
      </c>
    </row>
    <row r="14" spans="1:40" x14ac:dyDescent="0.3">
      <c r="C14" s="1" t="s">
        <v>11</v>
      </c>
      <c r="D14" s="12">
        <v>0</v>
      </c>
    </row>
    <row r="17" spans="1:4" ht="15" thickBot="1" x14ac:dyDescent="0.35"/>
    <row r="18" spans="1:4" x14ac:dyDescent="0.3">
      <c r="A18" s="1" t="s">
        <v>59</v>
      </c>
      <c r="B18" s="1" t="s">
        <v>58</v>
      </c>
      <c r="D18" s="28" t="s">
        <v>16</v>
      </c>
    </row>
    <row r="19" spans="1:4" ht="15" thickBot="1" x14ac:dyDescent="0.35">
      <c r="A19" s="7" t="s">
        <v>54</v>
      </c>
      <c r="B19" s="12">
        <v>0</v>
      </c>
      <c r="D19" s="29">
        <v>10000</v>
      </c>
    </row>
    <row r="20" spans="1:4" x14ac:dyDescent="0.3">
      <c r="A20" s="7" t="s">
        <v>55</v>
      </c>
      <c r="B20" s="12">
        <v>0</v>
      </c>
    </row>
    <row r="21" spans="1:4" x14ac:dyDescent="0.3">
      <c r="A21" s="7" t="s">
        <v>56</v>
      </c>
      <c r="B21" s="12">
        <v>0</v>
      </c>
    </row>
    <row r="22" spans="1:4" x14ac:dyDescent="0.3">
      <c r="A22" s="7" t="s">
        <v>57</v>
      </c>
      <c r="B22" s="12">
        <v>0</v>
      </c>
    </row>
    <row r="24" spans="1:4" x14ac:dyDescent="0.3">
      <c r="A24" s="1" t="s">
        <v>12</v>
      </c>
      <c r="B24" s="13">
        <f>IF(D13=0,0,+D14/D13)</f>
        <v>0</v>
      </c>
    </row>
    <row r="25" spans="1:4" x14ac:dyDescent="0.3">
      <c r="A25" s="1" t="s">
        <v>85</v>
      </c>
      <c r="B25" s="13">
        <f>IF(D12=0,0,+(SUMPRODUCT(L3:L9,J3:J9))/D12)</f>
        <v>0</v>
      </c>
    </row>
    <row r="26" spans="1:4" x14ac:dyDescent="0.3">
      <c r="A26" s="1" t="s">
        <v>86</v>
      </c>
      <c r="B26" s="13">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dxfId="17" priority="4" operator="lessThan">
      <formula>0</formula>
    </cfRule>
    <cfRule type="cellIs" dxfId="16" priority="5" operator="greaterThan">
      <formula>1</formula>
    </cfRule>
  </conditionalFormatting>
  <conditionalFormatting sqref="H3:H9 O3:O9 AJ3:AJ9 V3:V9 AC3:AC9">
    <cfRule type="cellIs" dxfId="15" priority="3" operator="equal">
      <formula>0</formula>
    </cfRule>
  </conditionalFormatting>
  <conditionalFormatting sqref="B3:B7">
    <cfRule type="cellIs" dxfId="14" priority="1" operator="greaterThan">
      <formula>1</formula>
    </cfRule>
    <cfRule type="cellIs" dxfId="13" priority="2" operator="lessThan">
      <formula>0</formula>
    </cfRule>
  </conditionalFormatting>
  <dataValidations count="1">
    <dataValidation type="list" allowBlank="1" showInputMessage="1" showErrorMessage="1" sqref="A10" xr:uid="{00000000-0002-0000-0D00-000000000000}">
      <formula1>"Regular weapon,Special weapon 1,Special weapon 2,Special weapon 3,Plasma Gun"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hoot_enemy">
                <anchor moveWithCells="1" sizeWithCells="1">
                  <from>
                    <xdr:col>2</xdr:col>
                    <xdr:colOff>510540</xdr:colOff>
                    <xdr:row>7</xdr:row>
                    <xdr:rowOff>99060</xdr:rowOff>
                  </from>
                  <to>
                    <xdr:col>5</xdr:col>
                    <xdr:colOff>22860</xdr:colOff>
                    <xdr:row>10</xdr:row>
                    <xdr:rowOff>38100</xdr:rowOff>
                  </to>
                </anchor>
              </controlPr>
            </control>
          </mc:Choice>
        </mc:AlternateContent>
        <mc:AlternateContent xmlns:mc="http://schemas.openxmlformats.org/markup-compatibility/2006">
          <mc:Choice Requires="x14">
            <control shapeId="12290" r:id="rId5" name="Button 2">
              <controlPr defaultSize="0" print="0" autoFill="0" autoPict="0" macro="[0]!reset_sim_values">
                <anchor moveWithCells="1" sizeWithCells="1">
                  <from>
                    <xdr:col>0</xdr:col>
                    <xdr:colOff>601980</xdr:colOff>
                    <xdr:row>12</xdr:row>
                    <xdr:rowOff>60960</xdr:rowOff>
                  </from>
                  <to>
                    <xdr:col>1</xdr:col>
                    <xdr:colOff>22860</xdr:colOff>
                    <xdr:row>14</xdr:row>
                    <xdr:rowOff>99060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2"/>
  <dimension ref="A1:AN26"/>
  <sheetViews>
    <sheetView workbookViewId="0">
      <pane xSplit="6" ySplit="1" topLeftCell="G2" activePane="bottomRight" state="frozen"/>
      <selection pane="topRight" activeCell="G1" sqref="G1"/>
      <selection pane="bottomLeft" activeCell="A2" sqref="A2"/>
      <selection pane="bottomRight"/>
    </sheetView>
  </sheetViews>
  <sheetFormatPr defaultColWidth="11.5546875" defaultRowHeight="14.4" x14ac:dyDescent="0.3"/>
  <cols>
    <col min="1" max="1" width="31.6640625" customWidth="1"/>
    <col min="3" max="3" width="15.88671875" customWidth="1"/>
    <col min="4" max="4" width="9.21875" customWidth="1"/>
    <col min="5" max="5" width="7.21875" customWidth="1"/>
    <col min="6" max="6" width="14.33203125" customWidth="1"/>
    <col min="9" max="9" width="16.21875" customWidth="1"/>
  </cols>
  <sheetData>
    <row r="1" spans="1:40" x14ac:dyDescent="0.3">
      <c r="A1" s="1" t="s">
        <v>164</v>
      </c>
      <c r="G1" s="118" t="s">
        <v>14</v>
      </c>
      <c r="H1" s="119"/>
      <c r="I1" s="119"/>
      <c r="J1" s="119"/>
      <c r="K1" s="119"/>
      <c r="L1" s="119"/>
      <c r="N1" s="118" t="s">
        <v>20</v>
      </c>
      <c r="O1" s="119"/>
      <c r="P1" s="119"/>
      <c r="Q1" s="119"/>
      <c r="R1" s="119"/>
      <c r="S1" s="119"/>
      <c r="U1" s="118" t="s">
        <v>19</v>
      </c>
      <c r="V1" s="119"/>
      <c r="W1" s="119"/>
      <c r="X1" s="119"/>
      <c r="Y1" s="119"/>
      <c r="Z1" s="119"/>
      <c r="AB1" s="118" t="s">
        <v>18</v>
      </c>
      <c r="AC1" s="119"/>
      <c r="AD1" s="119"/>
      <c r="AE1" s="119"/>
      <c r="AF1" s="119"/>
      <c r="AG1" s="119"/>
      <c r="AI1" s="118" t="s">
        <v>21</v>
      </c>
      <c r="AJ1" s="119"/>
      <c r="AK1" s="119"/>
      <c r="AL1" s="119"/>
      <c r="AM1" s="119"/>
      <c r="AN1" s="119"/>
    </row>
    <row r="2" spans="1:40" x14ac:dyDescent="0.3">
      <c r="A2" s="1"/>
      <c r="B2" s="1" t="s">
        <v>15</v>
      </c>
      <c r="C2" s="1" t="s">
        <v>22</v>
      </c>
      <c r="D2" s="1" t="s">
        <v>5</v>
      </c>
      <c r="E2" s="1" t="s">
        <v>7</v>
      </c>
      <c r="G2" s="1" t="s">
        <v>1</v>
      </c>
      <c r="H2" s="1" t="s">
        <v>2</v>
      </c>
      <c r="I2" s="1" t="s">
        <v>3</v>
      </c>
      <c r="J2" s="1" t="s">
        <v>4</v>
      </c>
      <c r="K2" s="1" t="s">
        <v>5</v>
      </c>
      <c r="L2" s="1" t="s">
        <v>9</v>
      </c>
      <c r="N2" s="1" t="s">
        <v>1</v>
      </c>
      <c r="O2" s="1" t="s">
        <v>2</v>
      </c>
      <c r="P2" s="1" t="s">
        <v>3</v>
      </c>
      <c r="Q2" s="1" t="s">
        <v>4</v>
      </c>
      <c r="R2" s="1" t="s">
        <v>5</v>
      </c>
      <c r="S2" s="1" t="s">
        <v>9</v>
      </c>
      <c r="U2" s="1" t="s">
        <v>1</v>
      </c>
      <c r="V2" s="1" t="s">
        <v>2</v>
      </c>
      <c r="W2" s="1" t="s">
        <v>3</v>
      </c>
      <c r="X2" s="1" t="s">
        <v>4</v>
      </c>
      <c r="Y2" s="1" t="s">
        <v>5</v>
      </c>
      <c r="Z2" s="1" t="s">
        <v>9</v>
      </c>
      <c r="AB2" s="1" t="s">
        <v>1</v>
      </c>
      <c r="AC2" s="1" t="s">
        <v>2</v>
      </c>
      <c r="AD2" s="1" t="s">
        <v>3</v>
      </c>
      <c r="AE2" s="1" t="s">
        <v>4</v>
      </c>
      <c r="AF2" s="1" t="s">
        <v>5</v>
      </c>
      <c r="AG2" s="1" t="s">
        <v>9</v>
      </c>
      <c r="AI2" s="1" t="s">
        <v>1</v>
      </c>
      <c r="AJ2" s="1" t="s">
        <v>2</v>
      </c>
      <c r="AK2" s="1" t="s">
        <v>3</v>
      </c>
      <c r="AL2" s="1" t="s">
        <v>4</v>
      </c>
      <c r="AM2" s="1" t="s">
        <v>5</v>
      </c>
      <c r="AN2" s="1" t="s">
        <v>9</v>
      </c>
    </row>
    <row r="3" spans="1:40" x14ac:dyDescent="0.3">
      <c r="A3" s="7" t="s">
        <v>50</v>
      </c>
      <c r="B3" s="7">
        <f>+E3/D3</f>
        <v>5.7878787878787863E-3</v>
      </c>
      <c r="C3" s="7">
        <v>0</v>
      </c>
      <c r="D3" s="71">
        <f>+K10</f>
        <v>165.00000000000003</v>
      </c>
      <c r="E3" s="7">
        <v>0.95499999999999996</v>
      </c>
      <c r="G3" s="2">
        <v>1</v>
      </c>
      <c r="H3" s="9">
        <v>0.3</v>
      </c>
      <c r="I3" s="6">
        <f>+SUM($H3:H3)</f>
        <v>0.3</v>
      </c>
      <c r="J3" s="15">
        <v>50</v>
      </c>
      <c r="K3" s="3">
        <f>+H3*J3</f>
        <v>15</v>
      </c>
      <c r="L3" s="11">
        <v>0</v>
      </c>
      <c r="N3" s="2">
        <v>1</v>
      </c>
      <c r="O3" s="9">
        <v>0.04</v>
      </c>
      <c r="P3" s="6">
        <f>+SUM($O3:O$3)</f>
        <v>0.04</v>
      </c>
      <c r="Q3" s="3">
        <f>+J3</f>
        <v>50</v>
      </c>
      <c r="R3" s="3">
        <f>+O3*Q3</f>
        <v>2</v>
      </c>
      <c r="S3" s="11">
        <v>0</v>
      </c>
      <c r="U3" s="2">
        <v>1</v>
      </c>
      <c r="V3" s="9">
        <v>0.04</v>
      </c>
      <c r="W3" s="6">
        <f>+SUM($V3:V$3)</f>
        <v>0.04</v>
      </c>
      <c r="X3" s="3">
        <f>+J3</f>
        <v>50</v>
      </c>
      <c r="Y3" s="3">
        <f>+V3*X3</f>
        <v>2</v>
      </c>
      <c r="Z3" s="11">
        <v>0</v>
      </c>
      <c r="AB3" s="2">
        <v>1</v>
      </c>
      <c r="AC3" s="9">
        <v>0</v>
      </c>
      <c r="AD3" s="6">
        <f>+SUM($AC$3:AC3)</f>
        <v>0</v>
      </c>
      <c r="AE3" s="3">
        <f>+J3</f>
        <v>50</v>
      </c>
      <c r="AF3" s="3">
        <f>+AC3*AE3</f>
        <v>0</v>
      </c>
      <c r="AG3" s="11">
        <v>0</v>
      </c>
      <c r="AI3" s="2">
        <v>1</v>
      </c>
      <c r="AJ3" s="9">
        <v>0</v>
      </c>
      <c r="AK3" s="6">
        <f>+SUM($AJ$3:AJ3)</f>
        <v>0</v>
      </c>
      <c r="AL3" s="3">
        <f>+J3</f>
        <v>50</v>
      </c>
      <c r="AM3" s="3">
        <f>+AJ3*AL3</f>
        <v>0</v>
      </c>
      <c r="AN3" s="11">
        <v>0</v>
      </c>
    </row>
    <row r="4" spans="1:40" x14ac:dyDescent="0.3">
      <c r="A4" s="7" t="s">
        <v>146</v>
      </c>
      <c r="B4" s="7">
        <f>+E4/D4</f>
        <v>1.7574692442882248E-2</v>
      </c>
      <c r="C4" s="7">
        <v>0</v>
      </c>
      <c r="D4" s="16">
        <f>+R10</f>
        <v>284.50000000000006</v>
      </c>
      <c r="E4" s="7">
        <v>5</v>
      </c>
      <c r="G4" s="2">
        <v>2</v>
      </c>
      <c r="H4" s="9">
        <v>0.45</v>
      </c>
      <c r="I4" s="6">
        <f>+SUM($H$3:H4)</f>
        <v>0.75</v>
      </c>
      <c r="J4" s="15">
        <v>100</v>
      </c>
      <c r="K4" s="3">
        <f t="shared" ref="K4:K9" si="0">+H4*J4</f>
        <v>45</v>
      </c>
      <c r="L4" s="11">
        <v>0</v>
      </c>
      <c r="N4" s="2">
        <v>2</v>
      </c>
      <c r="O4" s="9">
        <v>0.3</v>
      </c>
      <c r="P4" s="6">
        <f>+SUM($O$3:O4)</f>
        <v>0.33999999999999997</v>
      </c>
      <c r="Q4" s="3">
        <f t="shared" ref="Q4:Q9" si="1">+J4</f>
        <v>100</v>
      </c>
      <c r="R4" s="3">
        <f t="shared" ref="R4:R9" si="2">+O4*Q4</f>
        <v>30</v>
      </c>
      <c r="S4" s="11">
        <v>0</v>
      </c>
      <c r="U4" s="2">
        <v>2</v>
      </c>
      <c r="V4" s="9">
        <v>0.2</v>
      </c>
      <c r="W4" s="6">
        <f>+SUM($V$3:V4)</f>
        <v>0.24000000000000002</v>
      </c>
      <c r="X4" s="3">
        <f t="shared" ref="X4:X9" si="3">+J4</f>
        <v>100</v>
      </c>
      <c r="Y4" s="3">
        <f t="shared" ref="Y4:Y9" si="4">+V4*X4</f>
        <v>20</v>
      </c>
      <c r="Z4" s="11">
        <v>0</v>
      </c>
      <c r="AB4" s="2">
        <v>2</v>
      </c>
      <c r="AC4" s="9">
        <v>0.15</v>
      </c>
      <c r="AD4" s="6">
        <f>+SUM($AC$3:AC4)</f>
        <v>0.15</v>
      </c>
      <c r="AE4" s="3">
        <f t="shared" ref="AE4:AE9" si="5">+J4</f>
        <v>100</v>
      </c>
      <c r="AF4" s="3">
        <f t="shared" ref="AF4:AF9" si="6">+AC4*AE4</f>
        <v>15</v>
      </c>
      <c r="AG4" s="11">
        <v>0</v>
      </c>
      <c r="AI4" s="2">
        <v>2</v>
      </c>
      <c r="AJ4" s="9">
        <v>0.1</v>
      </c>
      <c r="AK4" s="6">
        <f>+SUM($AJ$3:AJ4)</f>
        <v>0.1</v>
      </c>
      <c r="AL4" s="3">
        <f t="shared" ref="AL4:AL9" si="7">+J4</f>
        <v>100</v>
      </c>
      <c r="AM4" s="3">
        <f t="shared" ref="AM4:AM9" si="8">+AJ4*AL4</f>
        <v>10</v>
      </c>
      <c r="AN4" s="11">
        <v>0</v>
      </c>
    </row>
    <row r="5" spans="1:40" x14ac:dyDescent="0.3">
      <c r="A5" s="7" t="s">
        <v>51</v>
      </c>
      <c r="B5" s="7">
        <f>+E5/D5</f>
        <v>2.3564064801178199E-2</v>
      </c>
      <c r="C5" s="7">
        <v>0</v>
      </c>
      <c r="D5" s="16">
        <f>+Y10</f>
        <v>339.50000000000006</v>
      </c>
      <c r="E5" s="7">
        <v>8</v>
      </c>
      <c r="G5" s="2">
        <v>3</v>
      </c>
      <c r="H5" s="9">
        <v>0.15</v>
      </c>
      <c r="I5" s="6">
        <f>+SUM($H$3:H5)</f>
        <v>0.9</v>
      </c>
      <c r="J5" s="15">
        <v>200</v>
      </c>
      <c r="K5" s="3">
        <f t="shared" si="0"/>
        <v>30</v>
      </c>
      <c r="L5" s="11">
        <v>0</v>
      </c>
      <c r="N5" s="2">
        <v>3</v>
      </c>
      <c r="O5" s="9">
        <v>0.45</v>
      </c>
      <c r="P5" s="6">
        <f>+SUM($O$3:O5)</f>
        <v>0.79</v>
      </c>
      <c r="Q5" s="3">
        <f t="shared" si="1"/>
        <v>200</v>
      </c>
      <c r="R5" s="3">
        <f t="shared" si="2"/>
        <v>90</v>
      </c>
      <c r="S5" s="11">
        <v>0</v>
      </c>
      <c r="U5" s="2">
        <v>3</v>
      </c>
      <c r="V5" s="9">
        <v>0.4</v>
      </c>
      <c r="W5" s="6">
        <f>+SUM($V$3:V5)</f>
        <v>0.64</v>
      </c>
      <c r="X5" s="3">
        <f t="shared" si="3"/>
        <v>200</v>
      </c>
      <c r="Y5" s="3">
        <f t="shared" si="4"/>
        <v>80</v>
      </c>
      <c r="Z5" s="11">
        <v>0</v>
      </c>
      <c r="AB5" s="2">
        <v>3</v>
      </c>
      <c r="AC5" s="9">
        <v>0.4</v>
      </c>
      <c r="AD5" s="6">
        <f>+SUM($AC$3:AC5)</f>
        <v>0.55000000000000004</v>
      </c>
      <c r="AE5" s="3">
        <f t="shared" si="5"/>
        <v>200</v>
      </c>
      <c r="AF5" s="3">
        <f t="shared" si="6"/>
        <v>80</v>
      </c>
      <c r="AG5" s="11">
        <v>0</v>
      </c>
      <c r="AI5" s="2">
        <v>3</v>
      </c>
      <c r="AJ5" s="9">
        <v>0.4</v>
      </c>
      <c r="AK5" s="6">
        <f>+SUM($AJ$3:AJ5)</f>
        <v>0.5</v>
      </c>
      <c r="AL5" s="3">
        <f t="shared" si="7"/>
        <v>200</v>
      </c>
      <c r="AM5" s="3">
        <f t="shared" si="8"/>
        <v>80</v>
      </c>
      <c r="AN5" s="11">
        <v>0</v>
      </c>
    </row>
    <row r="6" spans="1:40" x14ac:dyDescent="0.3">
      <c r="A6" s="7" t="s">
        <v>52</v>
      </c>
      <c r="B6" s="7">
        <f>+E6/D6</f>
        <v>2.5641025641025651E-2</v>
      </c>
      <c r="C6" s="7">
        <v>0</v>
      </c>
      <c r="D6" s="16">
        <f>+AF10</f>
        <v>389.99999999999983</v>
      </c>
      <c r="E6" s="7">
        <v>10</v>
      </c>
      <c r="G6" s="2">
        <v>4</v>
      </c>
      <c r="H6" s="9">
        <v>0.06</v>
      </c>
      <c r="I6" s="6">
        <f>+SUM($H$3:H6)</f>
        <v>0.96</v>
      </c>
      <c r="J6" s="15">
        <v>500</v>
      </c>
      <c r="K6" s="3">
        <f t="shared" si="0"/>
        <v>30</v>
      </c>
      <c r="L6" s="11">
        <v>0</v>
      </c>
      <c r="N6" s="2">
        <v>4</v>
      </c>
      <c r="O6" s="9">
        <v>0.1</v>
      </c>
      <c r="P6" s="6">
        <f>+SUM($O$3:O6)</f>
        <v>0.89</v>
      </c>
      <c r="Q6" s="3">
        <f t="shared" si="1"/>
        <v>500</v>
      </c>
      <c r="R6" s="3">
        <f t="shared" si="2"/>
        <v>50</v>
      </c>
      <c r="S6" s="11">
        <v>0</v>
      </c>
      <c r="U6" s="2">
        <v>4</v>
      </c>
      <c r="V6" s="9">
        <v>0.25</v>
      </c>
      <c r="W6" s="6">
        <f>+SUM($V$3:V6)</f>
        <v>0.89</v>
      </c>
      <c r="X6" s="3">
        <f t="shared" si="3"/>
        <v>500</v>
      </c>
      <c r="Y6" s="3">
        <f t="shared" si="4"/>
        <v>125</v>
      </c>
      <c r="Z6" s="11">
        <v>0</v>
      </c>
      <c r="AB6" s="2">
        <v>4</v>
      </c>
      <c r="AC6" s="9">
        <v>0.3</v>
      </c>
      <c r="AD6" s="6">
        <f>+SUM($AC$3:AC6)</f>
        <v>0.85000000000000009</v>
      </c>
      <c r="AE6" s="3">
        <f t="shared" si="5"/>
        <v>500</v>
      </c>
      <c r="AF6" s="3">
        <f t="shared" si="6"/>
        <v>150</v>
      </c>
      <c r="AG6" s="11">
        <v>0</v>
      </c>
      <c r="AI6" s="2">
        <v>4</v>
      </c>
      <c r="AJ6" s="9">
        <v>0.35</v>
      </c>
      <c r="AK6" s="6">
        <f>+SUM($AJ$3:AJ6)</f>
        <v>0.85</v>
      </c>
      <c r="AL6" s="3">
        <f t="shared" si="7"/>
        <v>500</v>
      </c>
      <c r="AM6" s="3">
        <f t="shared" si="8"/>
        <v>175</v>
      </c>
      <c r="AN6" s="11">
        <v>0</v>
      </c>
    </row>
    <row r="7" spans="1:40" x14ac:dyDescent="0.3">
      <c r="A7" s="7" t="s">
        <v>53</v>
      </c>
      <c r="B7" s="7">
        <f>+E7/D7</f>
        <v>0.12195121951219511</v>
      </c>
      <c r="C7" s="7">
        <v>0</v>
      </c>
      <c r="D7" s="16">
        <f>+AM10</f>
        <v>410.00000000000006</v>
      </c>
      <c r="E7" s="7">
        <v>50</v>
      </c>
      <c r="G7" s="2">
        <v>5</v>
      </c>
      <c r="H7" s="9">
        <v>0.02</v>
      </c>
      <c r="I7" s="6">
        <f>+SUM($H$3:H7)</f>
        <v>0.98</v>
      </c>
      <c r="J7" s="15">
        <v>750</v>
      </c>
      <c r="K7" s="3">
        <f t="shared" si="0"/>
        <v>15</v>
      </c>
      <c r="L7" s="11">
        <v>0</v>
      </c>
      <c r="N7" s="2">
        <v>5</v>
      </c>
      <c r="O7" s="9">
        <v>7.0000000000000007E-2</v>
      </c>
      <c r="P7" s="6">
        <f>+SUM($O$3:O7)</f>
        <v>0.96</v>
      </c>
      <c r="Q7" s="3">
        <f t="shared" si="1"/>
        <v>750</v>
      </c>
      <c r="R7" s="3">
        <f t="shared" si="2"/>
        <v>52.500000000000007</v>
      </c>
      <c r="S7" s="11">
        <v>0</v>
      </c>
      <c r="U7" s="2">
        <v>5</v>
      </c>
      <c r="V7" s="9">
        <v>7.0000000000000007E-2</v>
      </c>
      <c r="W7" s="6">
        <f>+SUM($V$3:V7)</f>
        <v>0.96</v>
      </c>
      <c r="X7" s="3">
        <f t="shared" si="3"/>
        <v>750</v>
      </c>
      <c r="Y7" s="3">
        <f t="shared" si="4"/>
        <v>52.500000000000007</v>
      </c>
      <c r="Z7" s="11">
        <v>0</v>
      </c>
      <c r="AB7" s="2">
        <v>5</v>
      </c>
      <c r="AC7" s="9">
        <v>0.1</v>
      </c>
      <c r="AD7" s="6">
        <f>+SUM($AC$3:AC7)</f>
        <v>0.95000000000000007</v>
      </c>
      <c r="AE7" s="3">
        <f t="shared" si="5"/>
        <v>750</v>
      </c>
      <c r="AF7" s="3">
        <f t="shared" si="6"/>
        <v>75</v>
      </c>
      <c r="AG7" s="11">
        <v>0</v>
      </c>
      <c r="AI7" s="2">
        <v>5</v>
      </c>
      <c r="AJ7" s="9">
        <v>0.1</v>
      </c>
      <c r="AK7" s="6">
        <f>+SUM($AJ$3:AJ7)</f>
        <v>0.95</v>
      </c>
      <c r="AL7" s="3">
        <f t="shared" si="7"/>
        <v>750</v>
      </c>
      <c r="AM7" s="3">
        <f t="shared" si="8"/>
        <v>75</v>
      </c>
      <c r="AN7" s="11">
        <v>0</v>
      </c>
    </row>
    <row r="8" spans="1:40" x14ac:dyDescent="0.3">
      <c r="A8" s="7" t="s">
        <v>0</v>
      </c>
      <c r="B8" s="10" t="str">
        <f>+CONCATENATE("x",J3," - x",J9)</f>
        <v>x50 - x2000</v>
      </c>
      <c r="G8" s="2">
        <v>6</v>
      </c>
      <c r="H8" s="9">
        <v>0.01</v>
      </c>
      <c r="I8" s="6">
        <f>+SUM($H$3:H8)</f>
        <v>0.99</v>
      </c>
      <c r="J8" s="15">
        <v>1000</v>
      </c>
      <c r="K8" s="3">
        <f t="shared" si="0"/>
        <v>10</v>
      </c>
      <c r="L8" s="11">
        <v>0</v>
      </c>
      <c r="N8" s="2">
        <v>6</v>
      </c>
      <c r="O8" s="9">
        <v>0.02</v>
      </c>
      <c r="P8" s="6">
        <f>+SUM($O$3:O8)</f>
        <v>0.98</v>
      </c>
      <c r="Q8" s="3">
        <f t="shared" si="1"/>
        <v>1000</v>
      </c>
      <c r="R8" s="3">
        <f t="shared" si="2"/>
        <v>20</v>
      </c>
      <c r="S8" s="11">
        <v>0</v>
      </c>
      <c r="U8" s="2">
        <v>6</v>
      </c>
      <c r="V8" s="9">
        <v>0.02</v>
      </c>
      <c r="W8" s="6">
        <f>+SUM($V$3:V8)</f>
        <v>0.98</v>
      </c>
      <c r="X8" s="3">
        <f t="shared" si="3"/>
        <v>1000</v>
      </c>
      <c r="Y8" s="3">
        <f t="shared" si="4"/>
        <v>20</v>
      </c>
      <c r="Z8" s="11">
        <v>0</v>
      </c>
      <c r="AB8" s="2">
        <v>6</v>
      </c>
      <c r="AC8" s="9">
        <v>0.03</v>
      </c>
      <c r="AD8" s="6">
        <f>+SUM($AC$3:AC8)</f>
        <v>0.98000000000000009</v>
      </c>
      <c r="AE8" s="3">
        <f t="shared" si="5"/>
        <v>1000</v>
      </c>
      <c r="AF8" s="3">
        <f t="shared" si="6"/>
        <v>30</v>
      </c>
      <c r="AG8" s="11">
        <v>0</v>
      </c>
      <c r="AI8" s="2">
        <v>6</v>
      </c>
      <c r="AJ8" s="9">
        <v>0.03</v>
      </c>
      <c r="AK8" s="6">
        <f>+SUM($AJ$3:AJ8)</f>
        <v>0.98</v>
      </c>
      <c r="AL8" s="3">
        <f t="shared" si="7"/>
        <v>1000</v>
      </c>
      <c r="AM8" s="3">
        <f t="shared" si="8"/>
        <v>30</v>
      </c>
      <c r="AN8" s="11">
        <v>0</v>
      </c>
    </row>
    <row r="9" spans="1:40" x14ac:dyDescent="0.3">
      <c r="G9" s="2">
        <v>7</v>
      </c>
      <c r="H9" s="8">
        <f>1-SUM(H3:H8)</f>
        <v>1.0000000000000009E-2</v>
      </c>
      <c r="I9" s="6">
        <f>+SUM($H$3:H9)</f>
        <v>1</v>
      </c>
      <c r="J9" s="15">
        <v>2000</v>
      </c>
      <c r="K9" s="3">
        <f t="shared" si="0"/>
        <v>20.000000000000018</v>
      </c>
      <c r="L9" s="11">
        <v>0</v>
      </c>
      <c r="N9" s="2">
        <v>7</v>
      </c>
      <c r="O9" s="8">
        <f>1-SUM(O3:O8)</f>
        <v>2.0000000000000018E-2</v>
      </c>
      <c r="P9" s="6">
        <f>+SUM($O$3:O9)</f>
        <v>1</v>
      </c>
      <c r="Q9" s="3">
        <f t="shared" si="1"/>
        <v>2000</v>
      </c>
      <c r="R9" s="3">
        <f t="shared" si="2"/>
        <v>40.000000000000036</v>
      </c>
      <c r="S9" s="11">
        <v>0</v>
      </c>
      <c r="U9" s="2">
        <v>7</v>
      </c>
      <c r="V9" s="8">
        <f>1-SUM(V3:V8)</f>
        <v>2.0000000000000018E-2</v>
      </c>
      <c r="W9" s="6">
        <f>+SUM($V$3:V9)</f>
        <v>1</v>
      </c>
      <c r="X9" s="3">
        <f t="shared" si="3"/>
        <v>2000</v>
      </c>
      <c r="Y9" s="3">
        <f t="shared" si="4"/>
        <v>40.000000000000036</v>
      </c>
      <c r="Z9" s="11">
        <v>0</v>
      </c>
      <c r="AB9" s="2">
        <v>7</v>
      </c>
      <c r="AC9" s="8">
        <f>1-SUM(AC3:AC8)</f>
        <v>1.9999999999999907E-2</v>
      </c>
      <c r="AD9" s="6">
        <f>+SUM($AC$3:AC9)</f>
        <v>1</v>
      </c>
      <c r="AE9" s="3">
        <f t="shared" si="5"/>
        <v>2000</v>
      </c>
      <c r="AF9" s="3">
        <f t="shared" si="6"/>
        <v>39.999999999999815</v>
      </c>
      <c r="AG9" s="11">
        <v>0</v>
      </c>
      <c r="AI9" s="2">
        <v>7</v>
      </c>
      <c r="AJ9" s="8">
        <f>1-SUM(AJ3:AJ8)</f>
        <v>2.0000000000000018E-2</v>
      </c>
      <c r="AK9" s="6">
        <f>+SUM($AJ$3:AJ9)</f>
        <v>1</v>
      </c>
      <c r="AL9" s="3">
        <f t="shared" si="7"/>
        <v>2000</v>
      </c>
      <c r="AM9" s="3">
        <f t="shared" si="8"/>
        <v>40.000000000000036</v>
      </c>
      <c r="AN9" s="11">
        <v>0</v>
      </c>
    </row>
    <row r="10" spans="1:40" x14ac:dyDescent="0.3">
      <c r="A10" s="14" t="s">
        <v>57</v>
      </c>
      <c r="G10" s="4" t="s">
        <v>6</v>
      </c>
      <c r="H10" s="4">
        <f>+SUM(H3:H9)</f>
        <v>1</v>
      </c>
      <c r="I10" s="4"/>
      <c r="J10" s="4"/>
      <c r="K10" s="5">
        <f>+SUM(K3:K9)</f>
        <v>165.00000000000003</v>
      </c>
      <c r="L10" s="5"/>
      <c r="N10" s="4" t="s">
        <v>6</v>
      </c>
      <c r="O10" s="4">
        <f>+SUM(O3:O9)</f>
        <v>1</v>
      </c>
      <c r="P10" s="4"/>
      <c r="Q10" s="4"/>
      <c r="R10" s="5">
        <f>+SUM(R3:R9)</f>
        <v>284.50000000000006</v>
      </c>
      <c r="S10" s="5"/>
      <c r="U10" s="4" t="s">
        <v>6</v>
      </c>
      <c r="V10" s="4">
        <f>+SUM(V3:V9)</f>
        <v>1</v>
      </c>
      <c r="W10" s="4"/>
      <c r="X10" s="4"/>
      <c r="Y10" s="5">
        <f>+SUM(Y3:Y9)</f>
        <v>339.50000000000006</v>
      </c>
      <c r="Z10" s="5"/>
      <c r="AB10" s="4" t="s">
        <v>6</v>
      </c>
      <c r="AC10" s="4">
        <f>+SUM(AC3:AC9)</f>
        <v>1</v>
      </c>
      <c r="AD10" s="4"/>
      <c r="AE10" s="4"/>
      <c r="AF10" s="5">
        <f>+SUM(AF3:AF9)</f>
        <v>389.99999999999983</v>
      </c>
      <c r="AG10" s="5"/>
      <c r="AI10" s="4" t="s">
        <v>6</v>
      </c>
      <c r="AJ10" s="4">
        <f>+SUM(AJ3:AJ9)</f>
        <v>1</v>
      </c>
      <c r="AK10" s="4"/>
      <c r="AL10" s="4"/>
      <c r="AM10" s="5">
        <f>+SUM(AM3:AM9)</f>
        <v>410.00000000000006</v>
      </c>
      <c r="AN10" s="5"/>
    </row>
    <row r="12" spans="1:40" x14ac:dyDescent="0.3">
      <c r="C12" s="1" t="s">
        <v>49</v>
      </c>
      <c r="D12" s="12">
        <v>0</v>
      </c>
    </row>
    <row r="13" spans="1:40" x14ac:dyDescent="0.3">
      <c r="C13" s="1" t="s">
        <v>10</v>
      </c>
      <c r="D13" s="12">
        <v>0</v>
      </c>
    </row>
    <row r="14" spans="1:40" x14ac:dyDescent="0.3">
      <c r="C14" s="1" t="s">
        <v>11</v>
      </c>
      <c r="D14" s="12">
        <v>0</v>
      </c>
    </row>
    <row r="17" spans="1:4" ht="15" thickBot="1" x14ac:dyDescent="0.35"/>
    <row r="18" spans="1:4" x14ac:dyDescent="0.3">
      <c r="A18" s="1" t="s">
        <v>59</v>
      </c>
      <c r="B18" s="1" t="s">
        <v>58</v>
      </c>
      <c r="D18" s="28" t="s">
        <v>16</v>
      </c>
    </row>
    <row r="19" spans="1:4" ht="15" thickBot="1" x14ac:dyDescent="0.35">
      <c r="A19" s="7" t="s">
        <v>54</v>
      </c>
      <c r="B19" s="12">
        <v>0</v>
      </c>
      <c r="D19" s="29">
        <v>1</v>
      </c>
    </row>
    <row r="20" spans="1:4" x14ac:dyDescent="0.3">
      <c r="A20" s="7" t="s">
        <v>55</v>
      </c>
      <c r="B20" s="12">
        <v>0</v>
      </c>
    </row>
    <row r="21" spans="1:4" x14ac:dyDescent="0.3">
      <c r="A21" s="7" t="s">
        <v>56</v>
      </c>
      <c r="B21" s="12">
        <v>0</v>
      </c>
    </row>
    <row r="22" spans="1:4" x14ac:dyDescent="0.3">
      <c r="A22" s="7" t="s">
        <v>57</v>
      </c>
      <c r="B22" s="12">
        <v>0</v>
      </c>
    </row>
    <row r="24" spans="1:4" x14ac:dyDescent="0.3">
      <c r="A24" s="1" t="s">
        <v>12</v>
      </c>
      <c r="B24" s="13">
        <f>IF(D13=0,0,+D14/D13)</f>
        <v>0</v>
      </c>
    </row>
    <row r="25" spans="1:4" x14ac:dyDescent="0.3">
      <c r="A25" s="1" t="s">
        <v>85</v>
      </c>
      <c r="B25" s="13">
        <f>IF(D12=0,0,+(SUMPRODUCT(L3:L9,J3:J9))/D12)</f>
        <v>0</v>
      </c>
    </row>
    <row r="26" spans="1:4" x14ac:dyDescent="0.3">
      <c r="A26" s="1" t="s">
        <v>86</v>
      </c>
      <c r="B26" s="13">
        <f>IF(D12=0,0,+(SUMPRODUCT(Q3:Q9,S3:S9)+SUMPRODUCT(X3:X9,Z3:Z9)+SUMPRODUCT(AE3:AE9,AG3:AG9)+SUMPRODUCT(AL3:AL9,AN3:AN9))/D12)</f>
        <v>0</v>
      </c>
    </row>
  </sheetData>
  <mergeCells count="5">
    <mergeCell ref="G1:L1"/>
    <mergeCell ref="N1:S1"/>
    <mergeCell ref="U1:Z1"/>
    <mergeCell ref="AB1:AG1"/>
    <mergeCell ref="AI1:AN1"/>
  </mergeCells>
  <conditionalFormatting sqref="H3:H9 O3:O9 V3:V9 AC3:AC9 AJ3:AJ9">
    <cfRule type="cellIs" dxfId="12" priority="4" operator="lessThan">
      <formula>0</formula>
    </cfRule>
    <cfRule type="cellIs" dxfId="11" priority="5" operator="greaterThan">
      <formula>1</formula>
    </cfRule>
  </conditionalFormatting>
  <conditionalFormatting sqref="H3:H9 O3:O9 V3:V9 AC3:AC9 AJ3:AJ9">
    <cfRule type="cellIs" dxfId="10" priority="3" operator="equal">
      <formula>0</formula>
    </cfRule>
  </conditionalFormatting>
  <conditionalFormatting sqref="B3:B7">
    <cfRule type="cellIs" dxfId="9" priority="1" operator="greaterThan">
      <formula>1</formula>
    </cfRule>
    <cfRule type="cellIs" dxfId="8" priority="2" operator="lessThan">
      <formula>0</formula>
    </cfRule>
  </conditionalFormatting>
  <dataValidations count="1">
    <dataValidation type="list" allowBlank="1" showInputMessage="1" showErrorMessage="1" sqref="A10" xr:uid="{00000000-0002-0000-0E00-000000000000}">
      <formula1>"Regular weapon,Special weapon 1,Special weapon 2,Special weapon 3,Plasma Gun"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oot_enemy">
                <anchor moveWithCells="1" sizeWithCells="1">
                  <from>
                    <xdr:col>2</xdr:col>
                    <xdr:colOff>510540</xdr:colOff>
                    <xdr:row>7</xdr:row>
                    <xdr:rowOff>99060</xdr:rowOff>
                  </from>
                  <to>
                    <xdr:col>5</xdr:col>
                    <xdr:colOff>22860</xdr:colOff>
                    <xdr:row>10</xdr:row>
                    <xdr:rowOff>38100</xdr:rowOff>
                  </to>
                </anchor>
              </controlPr>
            </control>
          </mc:Choice>
        </mc:AlternateContent>
        <mc:AlternateContent xmlns:mc="http://schemas.openxmlformats.org/markup-compatibility/2006">
          <mc:Choice Requires="x14">
            <control shapeId="13314" r:id="rId5" name="Button 2">
              <controlPr defaultSize="0" print="0" autoFill="0" autoPict="0" macro="[0]!reset_sim_values">
                <anchor moveWithCells="1" sizeWithCells="1">
                  <from>
                    <xdr:col>0</xdr:col>
                    <xdr:colOff>601980</xdr:colOff>
                    <xdr:row>12</xdr:row>
                    <xdr:rowOff>60960</xdr:rowOff>
                  </from>
                  <to>
                    <xdr:col>1</xdr:col>
                    <xdr:colOff>22860</xdr:colOff>
                    <xdr:row>14</xdr:row>
                    <xdr:rowOff>99060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3"/>
  <dimension ref="A1:AN26"/>
  <sheetViews>
    <sheetView workbookViewId="0">
      <pane xSplit="6" ySplit="1" topLeftCell="G2" activePane="bottomRight" state="frozen"/>
      <selection pane="topRight" activeCell="G1" sqref="G1"/>
      <selection pane="bottomLeft" activeCell="A2" sqref="A2"/>
      <selection pane="bottomRight"/>
    </sheetView>
  </sheetViews>
  <sheetFormatPr defaultColWidth="11.5546875" defaultRowHeight="14.4" x14ac:dyDescent="0.3"/>
  <cols>
    <col min="1" max="1" width="31.6640625" customWidth="1"/>
    <col min="3" max="3" width="15.88671875" customWidth="1"/>
    <col min="4" max="4" width="9.21875" customWidth="1"/>
    <col min="5" max="5" width="7.21875" customWidth="1"/>
    <col min="6" max="6" width="14.33203125" customWidth="1"/>
    <col min="9" max="9" width="16.21875" customWidth="1"/>
  </cols>
  <sheetData>
    <row r="1" spans="1:40" x14ac:dyDescent="0.3">
      <c r="A1" s="1" t="s">
        <v>165</v>
      </c>
      <c r="G1" s="118" t="s">
        <v>14</v>
      </c>
      <c r="H1" s="119"/>
      <c r="I1" s="119"/>
      <c r="J1" s="119"/>
      <c r="K1" s="119"/>
      <c r="L1" s="119"/>
      <c r="N1" s="118" t="s">
        <v>20</v>
      </c>
      <c r="O1" s="119"/>
      <c r="P1" s="119"/>
      <c r="Q1" s="119"/>
      <c r="R1" s="119"/>
      <c r="S1" s="119"/>
      <c r="U1" s="118" t="s">
        <v>19</v>
      </c>
      <c r="V1" s="119"/>
      <c r="W1" s="119"/>
      <c r="X1" s="119"/>
      <c r="Y1" s="119"/>
      <c r="Z1" s="119"/>
      <c r="AB1" s="118" t="s">
        <v>18</v>
      </c>
      <c r="AC1" s="119"/>
      <c r="AD1" s="119"/>
      <c r="AE1" s="119"/>
      <c r="AF1" s="119"/>
      <c r="AG1" s="119"/>
      <c r="AI1" s="118" t="s">
        <v>21</v>
      </c>
      <c r="AJ1" s="119"/>
      <c r="AK1" s="119"/>
      <c r="AL1" s="119"/>
      <c r="AM1" s="119"/>
      <c r="AN1" s="119"/>
    </row>
    <row r="2" spans="1:40" x14ac:dyDescent="0.3">
      <c r="A2" s="1"/>
      <c r="B2" s="1" t="s">
        <v>15</v>
      </c>
      <c r="C2" s="1" t="s">
        <v>22</v>
      </c>
      <c r="D2" s="1" t="s">
        <v>5</v>
      </c>
      <c r="E2" s="1" t="s">
        <v>7</v>
      </c>
      <c r="G2" s="1" t="s">
        <v>1</v>
      </c>
      <c r="H2" s="1" t="s">
        <v>2</v>
      </c>
      <c r="I2" s="1" t="s">
        <v>3</v>
      </c>
      <c r="J2" s="1" t="s">
        <v>4</v>
      </c>
      <c r="K2" s="1" t="s">
        <v>5</v>
      </c>
      <c r="L2" s="1" t="s">
        <v>9</v>
      </c>
      <c r="N2" s="1" t="s">
        <v>1</v>
      </c>
      <c r="O2" s="1" t="s">
        <v>2</v>
      </c>
      <c r="P2" s="1" t="s">
        <v>3</v>
      </c>
      <c r="Q2" s="1" t="s">
        <v>4</v>
      </c>
      <c r="R2" s="1" t="s">
        <v>5</v>
      </c>
      <c r="S2" s="1" t="s">
        <v>9</v>
      </c>
      <c r="U2" s="1" t="s">
        <v>1</v>
      </c>
      <c r="V2" s="1" t="s">
        <v>2</v>
      </c>
      <c r="W2" s="1" t="s">
        <v>3</v>
      </c>
      <c r="X2" s="1" t="s">
        <v>4</v>
      </c>
      <c r="Y2" s="1" t="s">
        <v>5</v>
      </c>
      <c r="Z2" s="1" t="s">
        <v>9</v>
      </c>
      <c r="AB2" s="1" t="s">
        <v>1</v>
      </c>
      <c r="AC2" s="1" t="s">
        <v>2</v>
      </c>
      <c r="AD2" s="1" t="s">
        <v>3</v>
      </c>
      <c r="AE2" s="1" t="s">
        <v>4</v>
      </c>
      <c r="AF2" s="1" t="s">
        <v>5</v>
      </c>
      <c r="AG2" s="1" t="s">
        <v>9</v>
      </c>
      <c r="AI2" s="1" t="s">
        <v>1</v>
      </c>
      <c r="AJ2" s="1" t="s">
        <v>2</v>
      </c>
      <c r="AK2" s="1" t="s">
        <v>3</v>
      </c>
      <c r="AL2" s="1" t="s">
        <v>4</v>
      </c>
      <c r="AM2" s="1" t="s">
        <v>5</v>
      </c>
      <c r="AN2" s="1" t="s">
        <v>9</v>
      </c>
    </row>
    <row r="3" spans="1:40" x14ac:dyDescent="0.3">
      <c r="A3" s="7" t="s">
        <v>50</v>
      </c>
      <c r="B3" s="7">
        <f>+E3/D3</f>
        <v>3.7747035573122522E-3</v>
      </c>
      <c r="C3" s="7">
        <v>0</v>
      </c>
      <c r="D3" s="71">
        <f>+K10</f>
        <v>253.00000000000003</v>
      </c>
      <c r="E3" s="7">
        <v>0.95499999999999996</v>
      </c>
      <c r="G3" s="2">
        <v>1</v>
      </c>
      <c r="H3" s="9">
        <v>0.2</v>
      </c>
      <c r="I3" s="6">
        <f>+SUM($H3:H3)</f>
        <v>0.2</v>
      </c>
      <c r="J3" s="15">
        <v>75</v>
      </c>
      <c r="K3" s="3">
        <f>+H3*J3</f>
        <v>15</v>
      </c>
      <c r="L3" s="11">
        <v>0</v>
      </c>
      <c r="N3" s="2">
        <v>1</v>
      </c>
      <c r="O3" s="9">
        <v>0.1</v>
      </c>
      <c r="P3" s="6">
        <f>+SUM($O3:O$3)</f>
        <v>0.1</v>
      </c>
      <c r="Q3" s="3">
        <f>+J3</f>
        <v>75</v>
      </c>
      <c r="R3" s="3">
        <f>+O3*Q3</f>
        <v>7.5</v>
      </c>
      <c r="S3" s="11">
        <v>0</v>
      </c>
      <c r="U3" s="2">
        <v>1</v>
      </c>
      <c r="V3" s="9">
        <v>0.19</v>
      </c>
      <c r="W3" s="6">
        <f>+SUM($V3:V$3)</f>
        <v>0.19</v>
      </c>
      <c r="X3" s="3">
        <f>+J3</f>
        <v>75</v>
      </c>
      <c r="Y3" s="3">
        <f>+V3*X3</f>
        <v>14.25</v>
      </c>
      <c r="Z3" s="11">
        <v>0</v>
      </c>
      <c r="AB3" s="2">
        <v>1</v>
      </c>
      <c r="AC3" s="9">
        <v>0.05</v>
      </c>
      <c r="AD3" s="6">
        <f>+SUM($AC$3:AC3)</f>
        <v>0.05</v>
      </c>
      <c r="AE3" s="3">
        <f>+J3</f>
        <v>75</v>
      </c>
      <c r="AF3" s="3">
        <f>+AC3*AE3</f>
        <v>3.75</v>
      </c>
      <c r="AG3" s="11">
        <v>0</v>
      </c>
      <c r="AI3" s="2">
        <v>1</v>
      </c>
      <c r="AJ3" s="9">
        <v>0</v>
      </c>
      <c r="AK3" s="6">
        <f>+SUM($AJ$3:AJ3)</f>
        <v>0</v>
      </c>
      <c r="AL3" s="3">
        <f>+J3</f>
        <v>75</v>
      </c>
      <c r="AM3" s="3">
        <f>+AJ3*AL3</f>
        <v>0</v>
      </c>
      <c r="AN3" s="11">
        <v>0</v>
      </c>
    </row>
    <row r="4" spans="1:40" x14ac:dyDescent="0.3">
      <c r="A4" s="7" t="s">
        <v>146</v>
      </c>
      <c r="B4" s="7">
        <f>+E4/D4</f>
        <v>1.1627906976744184E-2</v>
      </c>
      <c r="C4" s="7">
        <v>0</v>
      </c>
      <c r="D4" s="16">
        <f>+R10</f>
        <v>430.00000000000006</v>
      </c>
      <c r="E4" s="7">
        <v>5</v>
      </c>
      <c r="G4" s="2">
        <v>2</v>
      </c>
      <c r="H4" s="9">
        <v>0.32</v>
      </c>
      <c r="I4" s="6">
        <f>+SUM($H$3:H4)</f>
        <v>0.52</v>
      </c>
      <c r="J4" s="15">
        <v>150</v>
      </c>
      <c r="K4" s="3">
        <f t="shared" ref="K4:K9" si="0">+H4*J4</f>
        <v>48</v>
      </c>
      <c r="L4" s="11">
        <v>0</v>
      </c>
      <c r="N4" s="2">
        <v>2</v>
      </c>
      <c r="O4" s="9">
        <v>0.25</v>
      </c>
      <c r="P4" s="6">
        <f>+SUM($O$3:O4)</f>
        <v>0.35</v>
      </c>
      <c r="Q4" s="3">
        <f t="shared" ref="Q4:Q9" si="1">+J4</f>
        <v>150</v>
      </c>
      <c r="R4" s="3">
        <f t="shared" ref="R4:R9" si="2">+O4*Q4</f>
        <v>37.5</v>
      </c>
      <c r="S4" s="11">
        <v>0</v>
      </c>
      <c r="U4" s="2">
        <v>2</v>
      </c>
      <c r="V4" s="9">
        <v>0.24</v>
      </c>
      <c r="W4" s="6">
        <f>+SUM($V$3:V4)</f>
        <v>0.43</v>
      </c>
      <c r="X4" s="3">
        <f t="shared" ref="X4:X9" si="3">+J4</f>
        <v>150</v>
      </c>
      <c r="Y4" s="3">
        <f t="shared" ref="Y4:Y9" si="4">+V4*X4</f>
        <v>36</v>
      </c>
      <c r="Z4" s="11">
        <v>0</v>
      </c>
      <c r="AB4" s="2">
        <v>2</v>
      </c>
      <c r="AC4" s="9">
        <v>0.25</v>
      </c>
      <c r="AD4" s="6">
        <f>+SUM($AC$3:AC4)</f>
        <v>0.3</v>
      </c>
      <c r="AE4" s="3">
        <f t="shared" ref="AE4:AE9" si="5">+J4</f>
        <v>150</v>
      </c>
      <c r="AF4" s="3">
        <f t="shared" ref="AF4:AF9" si="6">+AC4*AE4</f>
        <v>37.5</v>
      </c>
      <c r="AG4" s="11">
        <v>0</v>
      </c>
      <c r="AI4" s="2">
        <v>2</v>
      </c>
      <c r="AJ4" s="9">
        <v>0.1</v>
      </c>
      <c r="AK4" s="6">
        <f>+SUM($AJ$3:AJ4)</f>
        <v>0.1</v>
      </c>
      <c r="AL4" s="3">
        <f t="shared" ref="AL4:AL9" si="7">+J4</f>
        <v>150</v>
      </c>
      <c r="AM4" s="3">
        <f t="shared" ref="AM4:AM9" si="8">+AJ4*AL4</f>
        <v>15</v>
      </c>
      <c r="AN4" s="11">
        <v>0</v>
      </c>
    </row>
    <row r="5" spans="1:40" x14ac:dyDescent="0.3">
      <c r="A5" s="7" t="s">
        <v>51</v>
      </c>
      <c r="B5" s="7">
        <f>+E5/D5</f>
        <v>1.5377222489187888E-2</v>
      </c>
      <c r="C5" s="7">
        <v>0</v>
      </c>
      <c r="D5" s="16">
        <f>+Y10</f>
        <v>520.25000000000011</v>
      </c>
      <c r="E5" s="7">
        <v>8</v>
      </c>
      <c r="G5" s="2">
        <v>3</v>
      </c>
      <c r="H5" s="9">
        <v>0.4</v>
      </c>
      <c r="I5" s="6">
        <f>+SUM($H$3:H5)</f>
        <v>0.92</v>
      </c>
      <c r="J5" s="15">
        <v>300</v>
      </c>
      <c r="K5" s="3">
        <f t="shared" si="0"/>
        <v>120</v>
      </c>
      <c r="L5" s="11">
        <v>0</v>
      </c>
      <c r="N5" s="2">
        <v>3</v>
      </c>
      <c r="O5" s="9">
        <v>0.4</v>
      </c>
      <c r="P5" s="6">
        <f>+SUM($O$3:O5)</f>
        <v>0.75</v>
      </c>
      <c r="Q5" s="3">
        <f t="shared" si="1"/>
        <v>300</v>
      </c>
      <c r="R5" s="3">
        <f t="shared" si="2"/>
        <v>120</v>
      </c>
      <c r="S5" s="11">
        <v>0</v>
      </c>
      <c r="U5" s="2">
        <v>3</v>
      </c>
      <c r="V5" s="9">
        <v>0.2</v>
      </c>
      <c r="W5" s="6">
        <f>+SUM($V$3:V5)</f>
        <v>0.63</v>
      </c>
      <c r="X5" s="3">
        <f t="shared" si="3"/>
        <v>300</v>
      </c>
      <c r="Y5" s="3">
        <f t="shared" si="4"/>
        <v>60</v>
      </c>
      <c r="Z5" s="11">
        <v>0</v>
      </c>
      <c r="AB5" s="2">
        <v>3</v>
      </c>
      <c r="AC5" s="9">
        <v>0.3</v>
      </c>
      <c r="AD5" s="6">
        <f>+SUM($AC$3:AC5)</f>
        <v>0.6</v>
      </c>
      <c r="AE5" s="3">
        <f t="shared" si="5"/>
        <v>300</v>
      </c>
      <c r="AF5" s="3">
        <f t="shared" si="6"/>
        <v>90</v>
      </c>
      <c r="AG5" s="11">
        <v>0</v>
      </c>
      <c r="AI5" s="2">
        <v>3</v>
      </c>
      <c r="AJ5" s="9">
        <v>0.4</v>
      </c>
      <c r="AK5" s="6">
        <f>+SUM($AJ$3:AJ5)</f>
        <v>0.5</v>
      </c>
      <c r="AL5" s="3">
        <f t="shared" si="7"/>
        <v>300</v>
      </c>
      <c r="AM5" s="3">
        <f t="shared" si="8"/>
        <v>120</v>
      </c>
      <c r="AN5" s="11">
        <v>0</v>
      </c>
    </row>
    <row r="6" spans="1:40" x14ac:dyDescent="0.3">
      <c r="A6" s="7" t="s">
        <v>52</v>
      </c>
      <c r="B6" s="7">
        <f>+E6/D6</f>
        <v>1.8306636155606404E-2</v>
      </c>
      <c r="C6" s="7">
        <v>0</v>
      </c>
      <c r="D6" s="16">
        <f>+AF10</f>
        <v>546.25000000000011</v>
      </c>
      <c r="E6" s="7">
        <v>10</v>
      </c>
      <c r="G6" s="2">
        <v>4</v>
      </c>
      <c r="H6" s="9">
        <v>7.0000000000000007E-2</v>
      </c>
      <c r="I6" s="6">
        <f>+SUM($H$3:H6)</f>
        <v>0.99</v>
      </c>
      <c r="J6" s="15">
        <v>500</v>
      </c>
      <c r="K6" s="3">
        <f t="shared" si="0"/>
        <v>35</v>
      </c>
      <c r="L6" s="11">
        <v>0</v>
      </c>
      <c r="N6" s="2">
        <v>4</v>
      </c>
      <c r="O6" s="9">
        <v>0.13</v>
      </c>
      <c r="P6" s="6">
        <f>+SUM($O$3:O6)</f>
        <v>0.88</v>
      </c>
      <c r="Q6" s="3">
        <f t="shared" si="1"/>
        <v>500</v>
      </c>
      <c r="R6" s="3">
        <f t="shared" si="2"/>
        <v>65</v>
      </c>
      <c r="S6" s="11">
        <v>0</v>
      </c>
      <c r="U6" s="2">
        <v>4</v>
      </c>
      <c r="V6" s="9">
        <v>0.2</v>
      </c>
      <c r="W6" s="6">
        <f>+SUM($V$3:V6)</f>
        <v>0.83000000000000007</v>
      </c>
      <c r="X6" s="3">
        <f t="shared" si="3"/>
        <v>500</v>
      </c>
      <c r="Y6" s="3">
        <f t="shared" si="4"/>
        <v>100</v>
      </c>
      <c r="Z6" s="11">
        <v>0</v>
      </c>
      <c r="AB6" s="2">
        <v>4</v>
      </c>
      <c r="AC6" s="9">
        <v>0.23</v>
      </c>
      <c r="AD6" s="6">
        <f>+SUM($AC$3:AC6)</f>
        <v>0.83</v>
      </c>
      <c r="AE6" s="3">
        <f t="shared" si="5"/>
        <v>500</v>
      </c>
      <c r="AF6" s="3">
        <f t="shared" si="6"/>
        <v>115</v>
      </c>
      <c r="AG6" s="11">
        <v>0</v>
      </c>
      <c r="AI6" s="2">
        <v>4</v>
      </c>
      <c r="AJ6" s="9">
        <v>0.35</v>
      </c>
      <c r="AK6" s="6">
        <f>+SUM($AJ$3:AJ6)</f>
        <v>0.85</v>
      </c>
      <c r="AL6" s="3">
        <f t="shared" si="7"/>
        <v>500</v>
      </c>
      <c r="AM6" s="3">
        <f t="shared" si="8"/>
        <v>175</v>
      </c>
      <c r="AN6" s="11">
        <v>0</v>
      </c>
    </row>
    <row r="7" spans="1:40" x14ac:dyDescent="0.3">
      <c r="A7" s="7" t="s">
        <v>53</v>
      </c>
      <c r="B7" s="7">
        <f>+E7/D7</f>
        <v>8.7719298245614016E-2</v>
      </c>
      <c r="C7" s="7">
        <v>0</v>
      </c>
      <c r="D7" s="16">
        <f>+AM10</f>
        <v>570.00000000000011</v>
      </c>
      <c r="E7" s="7">
        <v>50</v>
      </c>
      <c r="G7" s="2">
        <v>5</v>
      </c>
      <c r="H7" s="9">
        <v>3.0000000000000001E-3</v>
      </c>
      <c r="I7" s="6">
        <f>+SUM($H$3:H7)</f>
        <v>0.99299999999999999</v>
      </c>
      <c r="J7" s="15">
        <v>1000</v>
      </c>
      <c r="K7" s="3">
        <f t="shared" si="0"/>
        <v>3</v>
      </c>
      <c r="L7" s="11">
        <v>0</v>
      </c>
      <c r="N7" s="2">
        <v>5</v>
      </c>
      <c r="O7" s="9">
        <v>7.0000000000000007E-2</v>
      </c>
      <c r="P7" s="6">
        <f>+SUM($O$3:O7)</f>
        <v>0.95</v>
      </c>
      <c r="Q7" s="3">
        <f t="shared" si="1"/>
        <v>1000</v>
      </c>
      <c r="R7" s="3">
        <f t="shared" si="2"/>
        <v>70</v>
      </c>
      <c r="S7" s="11">
        <v>0</v>
      </c>
      <c r="U7" s="2">
        <v>5</v>
      </c>
      <c r="V7" s="9">
        <v>0.09</v>
      </c>
      <c r="W7" s="6">
        <f>+SUM($V$3:V7)</f>
        <v>0.92</v>
      </c>
      <c r="X7" s="3">
        <f t="shared" si="3"/>
        <v>1000</v>
      </c>
      <c r="Y7" s="3">
        <f t="shared" si="4"/>
        <v>90</v>
      </c>
      <c r="Z7" s="11">
        <v>0</v>
      </c>
      <c r="AB7" s="2">
        <v>5</v>
      </c>
      <c r="AC7" s="9">
        <v>0.1</v>
      </c>
      <c r="AD7" s="6">
        <f>+SUM($AC$3:AC7)</f>
        <v>0.92999999999999994</v>
      </c>
      <c r="AE7" s="3">
        <f t="shared" si="5"/>
        <v>1000</v>
      </c>
      <c r="AF7" s="3">
        <f t="shared" si="6"/>
        <v>100</v>
      </c>
      <c r="AG7" s="11">
        <v>0</v>
      </c>
      <c r="AI7" s="2">
        <v>5</v>
      </c>
      <c r="AJ7" s="9">
        <v>0.1</v>
      </c>
      <c r="AK7" s="6">
        <f>+SUM($AJ$3:AJ7)</f>
        <v>0.95</v>
      </c>
      <c r="AL7" s="3">
        <f t="shared" si="7"/>
        <v>1000</v>
      </c>
      <c r="AM7" s="3">
        <f t="shared" si="8"/>
        <v>100</v>
      </c>
      <c r="AN7" s="11">
        <v>0</v>
      </c>
    </row>
    <row r="8" spans="1:40" x14ac:dyDescent="0.3">
      <c r="A8" s="7" t="s">
        <v>0</v>
      </c>
      <c r="B8" s="10" t="str">
        <f>+CONCATENATE("x",J3," - x",J9)</f>
        <v>x75 - x5000</v>
      </c>
      <c r="G8" s="2">
        <v>6</v>
      </c>
      <c r="H8" s="9">
        <v>1E-3</v>
      </c>
      <c r="I8" s="6">
        <f>+SUM($H$3:H8)</f>
        <v>0.99399999999999999</v>
      </c>
      <c r="J8" s="15">
        <v>2000</v>
      </c>
      <c r="K8" s="3">
        <f t="shared" si="0"/>
        <v>2</v>
      </c>
      <c r="L8" s="11">
        <v>0</v>
      </c>
      <c r="N8" s="2">
        <v>6</v>
      </c>
      <c r="O8" s="9">
        <v>0.04</v>
      </c>
      <c r="P8" s="6">
        <f>+SUM($O$3:O8)</f>
        <v>0.99</v>
      </c>
      <c r="Q8" s="3">
        <f t="shared" si="1"/>
        <v>2000</v>
      </c>
      <c r="R8" s="3">
        <f t="shared" si="2"/>
        <v>80</v>
      </c>
      <c r="S8" s="11">
        <v>0</v>
      </c>
      <c r="U8" s="2">
        <v>6</v>
      </c>
      <c r="V8" s="9">
        <v>0.06</v>
      </c>
      <c r="W8" s="6">
        <f>+SUM($V$3:V8)</f>
        <v>0.98</v>
      </c>
      <c r="X8" s="3">
        <f t="shared" si="3"/>
        <v>2000</v>
      </c>
      <c r="Y8" s="3">
        <f t="shared" si="4"/>
        <v>120</v>
      </c>
      <c r="Z8" s="11">
        <v>0</v>
      </c>
      <c r="AB8" s="2">
        <v>6</v>
      </c>
      <c r="AC8" s="9">
        <v>0.05</v>
      </c>
      <c r="AD8" s="6">
        <f>+SUM($AC$3:AC8)</f>
        <v>0.98</v>
      </c>
      <c r="AE8" s="3">
        <f t="shared" si="5"/>
        <v>2000</v>
      </c>
      <c r="AF8" s="3">
        <f t="shared" si="6"/>
        <v>100</v>
      </c>
      <c r="AG8" s="11">
        <v>0</v>
      </c>
      <c r="AI8" s="2">
        <v>6</v>
      </c>
      <c r="AJ8" s="9">
        <v>0.03</v>
      </c>
      <c r="AK8" s="6">
        <f>+SUM($AJ$3:AJ8)</f>
        <v>0.98</v>
      </c>
      <c r="AL8" s="3">
        <f t="shared" si="7"/>
        <v>2000</v>
      </c>
      <c r="AM8" s="3">
        <f t="shared" si="8"/>
        <v>60</v>
      </c>
      <c r="AN8" s="11">
        <v>0</v>
      </c>
    </row>
    <row r="9" spans="1:40" x14ac:dyDescent="0.3">
      <c r="G9" s="2">
        <v>7</v>
      </c>
      <c r="H9" s="8">
        <f>1-SUM(H3:H8)</f>
        <v>6.0000000000000053E-3</v>
      </c>
      <c r="I9" s="6">
        <f>+SUM($H$3:H9)</f>
        <v>1</v>
      </c>
      <c r="J9" s="15">
        <v>5000</v>
      </c>
      <c r="K9" s="3">
        <f t="shared" si="0"/>
        <v>30.000000000000028</v>
      </c>
      <c r="L9" s="11">
        <v>0</v>
      </c>
      <c r="N9" s="2">
        <v>7</v>
      </c>
      <c r="O9" s="8">
        <f>1-SUM(O3:O8)</f>
        <v>1.0000000000000009E-2</v>
      </c>
      <c r="P9" s="6">
        <f>+SUM($O$3:O9)</f>
        <v>1</v>
      </c>
      <c r="Q9" s="3">
        <f t="shared" si="1"/>
        <v>5000</v>
      </c>
      <c r="R9" s="3">
        <f t="shared" si="2"/>
        <v>50.000000000000043</v>
      </c>
      <c r="S9" s="11">
        <v>0</v>
      </c>
      <c r="U9" s="2">
        <v>7</v>
      </c>
      <c r="V9" s="8">
        <f>1-SUM(V3:V8)</f>
        <v>2.0000000000000018E-2</v>
      </c>
      <c r="W9" s="6">
        <f>+SUM($V$3:V9)</f>
        <v>1</v>
      </c>
      <c r="X9" s="3">
        <f t="shared" si="3"/>
        <v>5000</v>
      </c>
      <c r="Y9" s="3">
        <f t="shared" si="4"/>
        <v>100.00000000000009</v>
      </c>
      <c r="Z9" s="11">
        <v>0</v>
      </c>
      <c r="AB9" s="2">
        <v>7</v>
      </c>
      <c r="AC9" s="8">
        <f>1-SUM(AC3:AC8)</f>
        <v>2.0000000000000018E-2</v>
      </c>
      <c r="AD9" s="6">
        <f>+SUM($AC$3:AC9)</f>
        <v>1</v>
      </c>
      <c r="AE9" s="3">
        <f t="shared" si="5"/>
        <v>5000</v>
      </c>
      <c r="AF9" s="3">
        <f t="shared" si="6"/>
        <v>100.00000000000009</v>
      </c>
      <c r="AG9" s="11">
        <v>0</v>
      </c>
      <c r="AI9" s="2">
        <v>7</v>
      </c>
      <c r="AJ9" s="8">
        <f>1-SUM(AJ3:AJ8)</f>
        <v>2.0000000000000018E-2</v>
      </c>
      <c r="AK9" s="6">
        <f>+SUM($AJ$3:AJ9)</f>
        <v>1</v>
      </c>
      <c r="AL9" s="3">
        <f t="shared" si="7"/>
        <v>5000</v>
      </c>
      <c r="AM9" s="3">
        <f t="shared" si="8"/>
        <v>100.00000000000009</v>
      </c>
      <c r="AN9" s="11">
        <v>0</v>
      </c>
    </row>
    <row r="10" spans="1:40" x14ac:dyDescent="0.3">
      <c r="A10" s="14" t="s">
        <v>13</v>
      </c>
      <c r="G10" s="4" t="s">
        <v>6</v>
      </c>
      <c r="H10" s="4">
        <f>+SUM(H3:H9)</f>
        <v>1</v>
      </c>
      <c r="I10" s="4"/>
      <c r="J10" s="4"/>
      <c r="K10" s="5">
        <f>+SUM(K3:K9)</f>
        <v>253.00000000000003</v>
      </c>
      <c r="L10" s="5"/>
      <c r="N10" s="4" t="s">
        <v>6</v>
      </c>
      <c r="O10" s="4">
        <f>+SUM(O3:O9)</f>
        <v>1</v>
      </c>
      <c r="P10" s="4"/>
      <c r="Q10" s="4"/>
      <c r="R10" s="5">
        <f>+SUM(R3:R9)</f>
        <v>430.00000000000006</v>
      </c>
      <c r="S10" s="5"/>
      <c r="U10" s="4" t="s">
        <v>6</v>
      </c>
      <c r="V10" s="4">
        <f>+SUM(V3:V9)</f>
        <v>1</v>
      </c>
      <c r="W10" s="4"/>
      <c r="X10" s="4"/>
      <c r="Y10" s="5">
        <f>+SUM(Y3:Y9)</f>
        <v>520.25000000000011</v>
      </c>
      <c r="Z10" s="5"/>
      <c r="AB10" s="4" t="s">
        <v>6</v>
      </c>
      <c r="AC10" s="4">
        <f>+SUM(AC3:AC9)</f>
        <v>1</v>
      </c>
      <c r="AD10" s="4"/>
      <c r="AE10" s="4"/>
      <c r="AF10" s="5">
        <f>+SUM(AF3:AF9)</f>
        <v>546.25000000000011</v>
      </c>
      <c r="AG10" s="5"/>
      <c r="AI10" s="4" t="s">
        <v>6</v>
      </c>
      <c r="AJ10" s="4">
        <f>+SUM(AJ3:AJ9)</f>
        <v>1</v>
      </c>
      <c r="AK10" s="4"/>
      <c r="AL10" s="4"/>
      <c r="AM10" s="5">
        <f>+SUM(AM3:AM9)</f>
        <v>570.00000000000011</v>
      </c>
      <c r="AN10" s="5"/>
    </row>
    <row r="12" spans="1:40" x14ac:dyDescent="0.3">
      <c r="C12" s="1" t="s">
        <v>49</v>
      </c>
      <c r="D12" s="12">
        <v>0</v>
      </c>
    </row>
    <row r="13" spans="1:40" x14ac:dyDescent="0.3">
      <c r="C13" s="1" t="s">
        <v>10</v>
      </c>
      <c r="D13" s="12">
        <v>0</v>
      </c>
    </row>
    <row r="14" spans="1:40" x14ac:dyDescent="0.3">
      <c r="C14" s="1" t="s">
        <v>11</v>
      </c>
      <c r="D14" s="12">
        <v>0</v>
      </c>
    </row>
    <row r="17" spans="1:4" ht="15" thickBot="1" x14ac:dyDescent="0.35"/>
    <row r="18" spans="1:4" x14ac:dyDescent="0.3">
      <c r="A18" s="1" t="s">
        <v>59</v>
      </c>
      <c r="B18" s="1" t="s">
        <v>58</v>
      </c>
      <c r="D18" s="28" t="s">
        <v>16</v>
      </c>
    </row>
    <row r="19" spans="1:4" ht="15" thickBot="1" x14ac:dyDescent="0.35">
      <c r="A19" s="7" t="s">
        <v>54</v>
      </c>
      <c r="B19" s="12">
        <v>0</v>
      </c>
      <c r="D19" s="29">
        <v>1</v>
      </c>
    </row>
    <row r="20" spans="1:4" x14ac:dyDescent="0.3">
      <c r="A20" s="7" t="s">
        <v>55</v>
      </c>
      <c r="B20" s="12">
        <v>0</v>
      </c>
    </row>
    <row r="21" spans="1:4" x14ac:dyDescent="0.3">
      <c r="A21" s="7" t="s">
        <v>56</v>
      </c>
      <c r="B21" s="12">
        <v>0</v>
      </c>
    </row>
    <row r="22" spans="1:4" x14ac:dyDescent="0.3">
      <c r="A22" s="7" t="s">
        <v>57</v>
      </c>
      <c r="B22" s="12">
        <v>0</v>
      </c>
    </row>
    <row r="24" spans="1:4" x14ac:dyDescent="0.3">
      <c r="A24" s="1" t="s">
        <v>12</v>
      </c>
      <c r="B24" s="13">
        <f>IF(D13=0,0,+D14/D13)</f>
        <v>0</v>
      </c>
    </row>
    <row r="25" spans="1:4" x14ac:dyDescent="0.3">
      <c r="A25" s="1" t="s">
        <v>85</v>
      </c>
      <c r="B25" s="13">
        <f>IF(D12=0,0,+(SUMPRODUCT(L3:L9,J3:J9))/D12)</f>
        <v>0</v>
      </c>
    </row>
    <row r="26" spans="1:4" x14ac:dyDescent="0.3">
      <c r="A26" s="1" t="s">
        <v>86</v>
      </c>
      <c r="B26" s="13">
        <f>IF(D12=0,0,+(SUMPRODUCT(Q3:Q9,S3:S9)+SUMPRODUCT(X3:X9,Z3:Z9)+SUMPRODUCT(AE3:AE9,AG3:AG9)+SUMPRODUCT(AL3:AL9,AN3:AN9))/D12)</f>
        <v>0</v>
      </c>
    </row>
  </sheetData>
  <mergeCells count="5">
    <mergeCell ref="G1:L1"/>
    <mergeCell ref="N1:S1"/>
    <mergeCell ref="U1:Z1"/>
    <mergeCell ref="AB1:AG1"/>
    <mergeCell ref="AI1:AN1"/>
  </mergeCells>
  <conditionalFormatting sqref="H3:H9 AJ3:AJ9 V3:V9 O3:O9 AC3:AC9">
    <cfRule type="cellIs" dxfId="7" priority="7" operator="lessThan">
      <formula>0</formula>
    </cfRule>
    <cfRule type="cellIs" dxfId="6" priority="8" operator="greaterThan">
      <formula>1</formula>
    </cfRule>
  </conditionalFormatting>
  <conditionalFormatting sqref="H3:H9 AJ3:AJ9 V3:V9 O3:O9 AC3:AC9">
    <cfRule type="cellIs" dxfId="5" priority="6" operator="equal">
      <formula>0</formula>
    </cfRule>
  </conditionalFormatting>
  <conditionalFormatting sqref="B3:B7">
    <cfRule type="cellIs" dxfId="4" priority="4" operator="greaterThan">
      <formula>1</formula>
    </cfRule>
    <cfRule type="cellIs" dxfId="3" priority="5" operator="lessThan">
      <formula>0</formula>
    </cfRule>
  </conditionalFormatting>
  <conditionalFormatting sqref="AJ3:AJ8">
    <cfRule type="cellIs" dxfId="2" priority="2" operator="lessThan">
      <formula>0</formula>
    </cfRule>
    <cfRule type="cellIs" dxfId="1" priority="3" operator="greaterThan">
      <formula>1</formula>
    </cfRule>
  </conditionalFormatting>
  <conditionalFormatting sqref="AJ3:AJ8">
    <cfRule type="cellIs" dxfId="0" priority="1" operator="equal">
      <formula>0</formula>
    </cfRule>
  </conditionalFormatting>
  <dataValidations count="1">
    <dataValidation type="list" allowBlank="1" showInputMessage="1" showErrorMessage="1" sqref="A10" xr:uid="{00000000-0002-0000-0F00-000000000000}">
      <formula1>"Regular weapon"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shoot_enemy">
                <anchor moveWithCells="1" sizeWithCells="1">
                  <from>
                    <xdr:col>2</xdr:col>
                    <xdr:colOff>510540</xdr:colOff>
                    <xdr:row>7</xdr:row>
                    <xdr:rowOff>99060</xdr:rowOff>
                  </from>
                  <to>
                    <xdr:col>5</xdr:col>
                    <xdr:colOff>22860</xdr:colOff>
                    <xdr:row>10</xdr:row>
                    <xdr:rowOff>38100</xdr:rowOff>
                  </to>
                </anchor>
              </controlPr>
            </control>
          </mc:Choice>
        </mc:AlternateContent>
        <mc:AlternateContent xmlns:mc="http://schemas.openxmlformats.org/markup-compatibility/2006">
          <mc:Choice Requires="x14">
            <control shapeId="14338" r:id="rId5" name="Button 2">
              <controlPr defaultSize="0" print="0" autoFill="0" autoPict="0" macro="[0]!reset_sim_values">
                <anchor moveWithCells="1" sizeWithCells="1">
                  <from>
                    <xdr:col>0</xdr:col>
                    <xdr:colOff>601980</xdr:colOff>
                    <xdr:row>12</xdr:row>
                    <xdr:rowOff>60960</xdr:rowOff>
                  </from>
                  <to>
                    <xdr:col>1</xdr:col>
                    <xdr:colOff>22860</xdr:colOff>
                    <xdr:row>14</xdr:row>
                    <xdr:rowOff>99060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7"/>
  <dimension ref="A1:L29"/>
  <sheetViews>
    <sheetView workbookViewId="0"/>
  </sheetViews>
  <sheetFormatPr defaultColWidth="11.5546875" defaultRowHeight="14.4" x14ac:dyDescent="0.3"/>
  <cols>
    <col min="1" max="2" width="18" bestFit="1" customWidth="1"/>
    <col min="3" max="3" width="14.6640625" bestFit="1" customWidth="1"/>
    <col min="4" max="4" width="10.6640625" customWidth="1"/>
    <col min="5" max="5" width="15" customWidth="1"/>
    <col min="7" max="8" width="13.33203125" bestFit="1" customWidth="1"/>
    <col min="12" max="12" width="13.33203125" bestFit="1" customWidth="1"/>
  </cols>
  <sheetData>
    <row r="1" spans="1:12" ht="15" thickBot="1" x14ac:dyDescent="0.35">
      <c r="B1" s="120" t="s">
        <v>154</v>
      </c>
      <c r="C1" s="121"/>
      <c r="D1" s="121"/>
      <c r="E1" s="121"/>
      <c r="F1" s="122"/>
      <c r="G1" s="120" t="s">
        <v>155</v>
      </c>
      <c r="H1" s="121"/>
      <c r="I1" s="121"/>
      <c r="J1" s="121"/>
      <c r="K1" s="122"/>
    </row>
    <row r="2" spans="1:12" x14ac:dyDescent="0.3">
      <c r="A2" s="55"/>
      <c r="B2" s="52" t="s">
        <v>147</v>
      </c>
      <c r="C2" s="53" t="s">
        <v>148</v>
      </c>
      <c r="D2" s="53" t="s">
        <v>149</v>
      </c>
      <c r="E2" s="53" t="s">
        <v>150</v>
      </c>
      <c r="F2" s="54" t="s">
        <v>151</v>
      </c>
      <c r="G2" s="52" t="s">
        <v>147</v>
      </c>
      <c r="H2" s="53" t="s">
        <v>148</v>
      </c>
      <c r="I2" s="53" t="s">
        <v>149</v>
      </c>
      <c r="J2" s="53" t="s">
        <v>150</v>
      </c>
      <c r="K2" s="54" t="s">
        <v>151</v>
      </c>
      <c r="L2" s="55" t="s">
        <v>0</v>
      </c>
    </row>
    <row r="3" spans="1:12" x14ac:dyDescent="0.3">
      <c r="A3" s="56" t="s">
        <v>137</v>
      </c>
      <c r="B3" s="68">
        <f>+'Scarab Black'!$B$3</f>
        <v>0.21300813008130121</v>
      </c>
      <c r="C3" s="69">
        <f>+'Scarab Black'!$B$4</f>
        <v>0.6535947712418303</v>
      </c>
      <c r="D3" s="69">
        <f>+'Scarab Black'!$B$5</f>
        <v>0.85653104925053569</v>
      </c>
      <c r="E3" s="69">
        <f>+'Scarab Black'!$B$6</f>
        <v>0.95510983763132773</v>
      </c>
      <c r="F3" s="70">
        <f>+'Scarab Black'!$B$7</f>
        <v>1</v>
      </c>
      <c r="G3" s="74">
        <f>1/B3</f>
        <v>4.6946564885496098</v>
      </c>
      <c r="H3" s="75">
        <f>1/C3</f>
        <v>1.5299999999999994</v>
      </c>
      <c r="I3" s="75">
        <f>1/D3</f>
        <v>1.1674999999999995</v>
      </c>
      <c r="J3" s="75">
        <f>1/E3</f>
        <v>1.0469999999999999</v>
      </c>
      <c r="K3" s="76">
        <f>1/F3</f>
        <v>1</v>
      </c>
      <c r="L3" s="91" t="str">
        <f>+'Scarab Black'!$B$8</f>
        <v>x2 - x50</v>
      </c>
    </row>
    <row r="4" spans="1:12" x14ac:dyDescent="0.3">
      <c r="A4" s="56" t="s">
        <v>138</v>
      </c>
      <c r="B4" s="68">
        <f>+'Scarab Gold'!$B$3</f>
        <v>0.19758672699849203</v>
      </c>
      <c r="C4" s="69">
        <f>+'Scarab Gold'!$B$4</f>
        <v>0.60679611650485443</v>
      </c>
      <c r="D4" s="69">
        <f>+'Scarab Gold'!$B$5</f>
        <v>0.79601990049751215</v>
      </c>
      <c r="E4" s="69">
        <f>+'Scarab Gold'!$B$6</f>
        <v>0.88731144631765757</v>
      </c>
      <c r="F4" s="70">
        <f>+'Scarab Gold'!$B$7</f>
        <v>1</v>
      </c>
      <c r="G4" s="74">
        <f t="shared" ref="G4:G11" si="0">1/B4</f>
        <v>5.0610687022900684</v>
      </c>
      <c r="H4" s="75">
        <f t="shared" ref="H4:H11" si="1">1/C4</f>
        <v>1.6479999999999999</v>
      </c>
      <c r="I4" s="75">
        <f t="shared" ref="I4:I11" si="2">1/D4</f>
        <v>1.2562500000000005</v>
      </c>
      <c r="J4" s="75">
        <f t="shared" ref="J4:J11" si="3">1/E4</f>
        <v>1.127</v>
      </c>
      <c r="K4" s="76">
        <f t="shared" ref="K4:K11" si="4">1/F4</f>
        <v>1</v>
      </c>
      <c r="L4" s="91" t="str">
        <f>+'Scarab Gold'!$B$8</f>
        <v>x2 - x50</v>
      </c>
    </row>
    <row r="5" spans="1:12" x14ac:dyDescent="0.3">
      <c r="A5" s="56" t="s">
        <v>139</v>
      </c>
      <c r="B5" s="68">
        <f>+'Scarab Gem Covered'!$B$3</f>
        <v>0.16637033274066576</v>
      </c>
      <c r="C5" s="69">
        <f>+'Scarab Gem Covered'!$B$4</f>
        <v>0.50864699898270616</v>
      </c>
      <c r="D5" s="69">
        <f>+'Scarab Gem Covered'!$B$5</f>
        <v>0.66390041493775909</v>
      </c>
      <c r="E5" s="69">
        <f>+'Scarab Gem Covered'!$B$6</f>
        <v>0.75700227100681328</v>
      </c>
      <c r="F5" s="70">
        <f>+'Scarab Gem Covered'!$B$7</f>
        <v>0.94250706880301593</v>
      </c>
      <c r="G5" s="74">
        <f t="shared" si="0"/>
        <v>6.0106870229007532</v>
      </c>
      <c r="H5" s="75">
        <f t="shared" si="1"/>
        <v>1.9659999999999993</v>
      </c>
      <c r="I5" s="75">
        <f t="shared" si="2"/>
        <v>1.5062500000000005</v>
      </c>
      <c r="J5" s="75">
        <f t="shared" si="3"/>
        <v>1.3209999999999995</v>
      </c>
      <c r="K5" s="76">
        <f t="shared" si="4"/>
        <v>1.0610000000000002</v>
      </c>
      <c r="L5" s="91" t="str">
        <f>+'Scarab Gem Covered'!$B$8</f>
        <v>x3 - x60</v>
      </c>
    </row>
    <row r="6" spans="1:12" x14ac:dyDescent="0.3">
      <c r="A6" s="56" t="s">
        <v>40</v>
      </c>
      <c r="B6" s="68">
        <f>+'Standard Mummy'!$B$3</f>
        <v>9.2710544939844458E-2</v>
      </c>
      <c r="C6" s="69">
        <f>+'Standard Mummy'!$B$4</f>
        <v>0.27762354247640209</v>
      </c>
      <c r="D6" s="69">
        <f>+'Standard Mummy'!$B$5</f>
        <v>0.36281179138321984</v>
      </c>
      <c r="E6" s="69">
        <f>+'Standard Mummy'!$B$6</f>
        <v>0.41753653444676408</v>
      </c>
      <c r="F6" s="70">
        <f>+'Standard Mummy'!$B$7</f>
        <v>0.78431372549019607</v>
      </c>
      <c r="G6" s="74">
        <f t="shared" si="0"/>
        <v>10.786259541984714</v>
      </c>
      <c r="H6" s="75">
        <f t="shared" si="1"/>
        <v>3.601999999999999</v>
      </c>
      <c r="I6" s="75">
        <f t="shared" si="2"/>
        <v>2.756250000000001</v>
      </c>
      <c r="J6" s="75">
        <f t="shared" si="3"/>
        <v>2.395</v>
      </c>
      <c r="K6" s="76">
        <f t="shared" si="4"/>
        <v>1.2749999999999999</v>
      </c>
      <c r="L6" s="91" t="str">
        <f>+'Standard Mummy'!$B$8</f>
        <v>x5 - x100</v>
      </c>
    </row>
    <row r="7" spans="1:12" x14ac:dyDescent="0.3">
      <c r="A7" s="56" t="s">
        <v>90</v>
      </c>
      <c r="B7" s="68">
        <f>+'Mummy A'!$B$3</f>
        <v>9.2710544939844458E-2</v>
      </c>
      <c r="C7" s="69">
        <f>+'Mummy A'!$B$4</f>
        <v>0.28653295128939837</v>
      </c>
      <c r="D7" s="69">
        <f>+'Mummy A'!$B$5</f>
        <v>0.3773584905660376</v>
      </c>
      <c r="E7" s="69">
        <f>+'Mummy A'!$B$6</f>
        <v>0.41580041580041582</v>
      </c>
      <c r="F7" s="70">
        <f>+'Mummy A'!$B$7</f>
        <v>0.78431372549019607</v>
      </c>
      <c r="G7" s="74">
        <f t="shared" si="0"/>
        <v>10.786259541984714</v>
      </c>
      <c r="H7" s="75">
        <f t="shared" si="1"/>
        <v>3.4899999999999989</v>
      </c>
      <c r="I7" s="75">
        <f t="shared" si="2"/>
        <v>2.6500000000000008</v>
      </c>
      <c r="J7" s="75">
        <f t="shared" si="3"/>
        <v>2.4049999999999998</v>
      </c>
      <c r="K7" s="76">
        <f t="shared" si="4"/>
        <v>1.2749999999999999</v>
      </c>
      <c r="L7" s="91" t="str">
        <f>+'Mummy A'!$B$8</f>
        <v>x5 - x100</v>
      </c>
    </row>
    <row r="8" spans="1:12" x14ac:dyDescent="0.3">
      <c r="A8" s="56" t="s">
        <v>140</v>
      </c>
      <c r="B8" s="68">
        <f>+'Mummy B'!$B$3</f>
        <v>9.2710544939844458E-2</v>
      </c>
      <c r="C8" s="69">
        <f>+'Mummy B'!$B$4</f>
        <v>0.28653295128939837</v>
      </c>
      <c r="D8" s="69">
        <f>+'Mummy B'!$B$5</f>
        <v>0.3773584905660376</v>
      </c>
      <c r="E8" s="69">
        <f>+'Mummy B'!$B$6</f>
        <v>0.41580041580041582</v>
      </c>
      <c r="F8" s="70">
        <f>+'Mummy B'!$B$7</f>
        <v>0.78431372549019607</v>
      </c>
      <c r="G8" s="74">
        <f t="shared" si="0"/>
        <v>10.786259541984714</v>
      </c>
      <c r="H8" s="75">
        <f t="shared" si="1"/>
        <v>3.4899999999999989</v>
      </c>
      <c r="I8" s="75">
        <f t="shared" si="2"/>
        <v>2.6500000000000008</v>
      </c>
      <c r="J8" s="75">
        <f t="shared" si="3"/>
        <v>2.4049999999999998</v>
      </c>
      <c r="K8" s="76">
        <f t="shared" si="4"/>
        <v>1.2749999999999999</v>
      </c>
      <c r="L8" s="91" t="str">
        <f>+'Mummy B'!$B$8</f>
        <v>x5 - x100</v>
      </c>
    </row>
    <row r="9" spans="1:12" x14ac:dyDescent="0.3">
      <c r="A9" s="56" t="s">
        <v>141</v>
      </c>
      <c r="B9" s="68">
        <f>+'Mummy C'!$B$3</f>
        <v>6.5369261477046026E-2</v>
      </c>
      <c r="C9" s="69">
        <f>+'Mummy C'!$B$4</f>
        <v>0.1999200319872052</v>
      </c>
      <c r="D9" s="69">
        <f>+'Mummy C'!$B$5</f>
        <v>0.26272577996715923</v>
      </c>
      <c r="E9" s="69">
        <f>+'Mummy C'!$B$6</f>
        <v>0.29197080291970801</v>
      </c>
      <c r="F9" s="70">
        <f>+'Mummy C'!$B$7</f>
        <v>0.71174377224199292</v>
      </c>
      <c r="G9" s="74">
        <f t="shared" si="0"/>
        <v>15.297709923664094</v>
      </c>
      <c r="H9" s="75">
        <f t="shared" si="1"/>
        <v>5.001999999999998</v>
      </c>
      <c r="I9" s="75">
        <f t="shared" si="2"/>
        <v>3.8062500000000008</v>
      </c>
      <c r="J9" s="75">
        <f t="shared" si="3"/>
        <v>3.4250000000000003</v>
      </c>
      <c r="K9" s="76">
        <f t="shared" si="4"/>
        <v>1.405</v>
      </c>
      <c r="L9" s="91" t="str">
        <f>+'Mummy C'!$B$8</f>
        <v>x7 - x150</v>
      </c>
    </row>
    <row r="10" spans="1:12" x14ac:dyDescent="0.3">
      <c r="A10" s="56" t="s">
        <v>142</v>
      </c>
      <c r="B10" s="68">
        <f>+'Pharaoh A'!$B$3</f>
        <v>4.3021346469622392E-2</v>
      </c>
      <c r="C10" s="69">
        <f>+'Pharaoh A'!$B$4</f>
        <v>0.13210039630118892</v>
      </c>
      <c r="D10" s="69">
        <f>+'Pharaoh A'!$B$5</f>
        <v>0.17297297297297293</v>
      </c>
      <c r="E10" s="69">
        <f>+'Pharaoh A'!$B$6</f>
        <v>0.19342359767891681</v>
      </c>
      <c r="F10" s="70">
        <f>+'Pharaoh A'!$B$7</f>
        <v>0.5</v>
      </c>
      <c r="G10" s="74">
        <f t="shared" si="0"/>
        <v>23.244274809160274</v>
      </c>
      <c r="H10" s="75">
        <f t="shared" si="1"/>
        <v>7.5699999999999994</v>
      </c>
      <c r="I10" s="75">
        <f t="shared" si="2"/>
        <v>5.7812500000000018</v>
      </c>
      <c r="J10" s="75">
        <f t="shared" si="3"/>
        <v>5.17</v>
      </c>
      <c r="K10" s="76">
        <f t="shared" si="4"/>
        <v>2</v>
      </c>
      <c r="L10" s="91" t="str">
        <f>+'Pharaoh A'!$B$8</f>
        <v>x10 - x200</v>
      </c>
    </row>
    <row r="11" spans="1:12" x14ac:dyDescent="0.3">
      <c r="A11" s="56" t="s">
        <v>143</v>
      </c>
      <c r="B11" s="68">
        <f>+'Pharaoh B'!$B$3</f>
        <v>4.3021346469622392E-2</v>
      </c>
      <c r="C11" s="69">
        <f>+'Pharaoh B'!$B$4</f>
        <v>0.13210039630118892</v>
      </c>
      <c r="D11" s="69">
        <f>+'Pharaoh B'!$B$5</f>
        <v>0.17167381974248924</v>
      </c>
      <c r="E11" s="69">
        <f>+'Pharaoh B'!$B$6</f>
        <v>0.19286403085824502</v>
      </c>
      <c r="F11" s="70">
        <f>+'Pharaoh B'!$B$7</f>
        <v>0.5</v>
      </c>
      <c r="G11" s="74">
        <f t="shared" si="0"/>
        <v>23.244274809160274</v>
      </c>
      <c r="H11" s="75">
        <f t="shared" si="1"/>
        <v>7.5699999999999994</v>
      </c>
      <c r="I11" s="75">
        <f t="shared" si="2"/>
        <v>5.8250000000000011</v>
      </c>
      <c r="J11" s="75">
        <f t="shared" si="3"/>
        <v>5.1849999999999978</v>
      </c>
      <c r="K11" s="76">
        <f t="shared" si="4"/>
        <v>2</v>
      </c>
      <c r="L11" s="91" t="str">
        <f>+'Pharaoh B'!$B$8</f>
        <v>x10 - x200</v>
      </c>
    </row>
    <row r="12" spans="1:12" x14ac:dyDescent="0.3">
      <c r="A12" s="77" t="s">
        <v>145</v>
      </c>
      <c r="B12" s="78">
        <f>+'HV Scarab'!$B$3</f>
        <v>5.7878787878787863E-3</v>
      </c>
      <c r="C12" s="79">
        <f>+'HV Scarab'!$B$4</f>
        <v>1.7574692442882248E-2</v>
      </c>
      <c r="D12" s="79">
        <f>+'HV Scarab'!$B$5</f>
        <v>2.3564064801178199E-2</v>
      </c>
      <c r="E12" s="79">
        <f>+'HV Scarab'!$B$6</f>
        <v>2.5641025641025651E-2</v>
      </c>
      <c r="F12" s="80">
        <f>+'HV Scarab'!$B$7</f>
        <v>0.12195121951219511</v>
      </c>
      <c r="G12" s="81">
        <f>1/B12</f>
        <v>172.7748691099477</v>
      </c>
      <c r="H12" s="82">
        <f t="shared" ref="H12:H13" si="5">1/C12</f>
        <v>56.900000000000006</v>
      </c>
      <c r="I12" s="82">
        <f t="shared" ref="I12:I13" si="6">1/D12</f>
        <v>42.437500000000007</v>
      </c>
      <c r="J12" s="82">
        <f t="shared" ref="J12:J13" si="7">1/E12</f>
        <v>38.999999999999986</v>
      </c>
      <c r="K12" s="83">
        <f t="shared" ref="K12:K13" si="8">1/F12</f>
        <v>8.2000000000000011</v>
      </c>
      <c r="L12" s="92" t="str">
        <f>+'HV Scarab'!$B$8</f>
        <v>x50 - x2000</v>
      </c>
    </row>
    <row r="13" spans="1:12" x14ac:dyDescent="0.3">
      <c r="A13" s="77" t="s">
        <v>144</v>
      </c>
      <c r="B13" s="78">
        <f>+'HV enemy'!$B$3</f>
        <v>3.7747035573122522E-3</v>
      </c>
      <c r="C13" s="79">
        <f>+'HV enemy'!$B$4</f>
        <v>1.1627906976744184E-2</v>
      </c>
      <c r="D13" s="79">
        <f>+'HV enemy'!$B$5</f>
        <v>1.5377222489187888E-2</v>
      </c>
      <c r="E13" s="79">
        <f>+'HV enemy'!$B$6</f>
        <v>1.8306636155606404E-2</v>
      </c>
      <c r="F13" s="80">
        <f>+'HV enemy'!$B$7</f>
        <v>8.7719298245614016E-2</v>
      </c>
      <c r="G13" s="81">
        <f t="shared" ref="G13" si="9">1/B13</f>
        <v>264.92146596858646</v>
      </c>
      <c r="H13" s="82">
        <f t="shared" si="5"/>
        <v>86.000000000000014</v>
      </c>
      <c r="I13" s="82">
        <f t="shared" si="6"/>
        <v>65.031250000000014</v>
      </c>
      <c r="J13" s="82">
        <f t="shared" si="7"/>
        <v>54.625000000000007</v>
      </c>
      <c r="K13" s="83">
        <f t="shared" si="8"/>
        <v>11.400000000000002</v>
      </c>
      <c r="L13" s="92" t="str">
        <f>+'HV enemy'!$B$8</f>
        <v>x75 - x5000</v>
      </c>
    </row>
    <row r="14" spans="1:12" x14ac:dyDescent="0.3">
      <c r="A14" s="77" t="s">
        <v>159</v>
      </c>
      <c r="B14" s="78"/>
      <c r="C14" s="79"/>
      <c r="D14" s="79"/>
      <c r="E14" s="79"/>
      <c r="F14" s="80"/>
      <c r="G14" s="81">
        <f>+'Boss round (1,2,or 3 players)'!G33</f>
        <v>689.65517241379314</v>
      </c>
      <c r="H14" s="82">
        <f>+'Boss round (1,2,or 3 players)'!G33</f>
        <v>689.65517241379314</v>
      </c>
      <c r="I14" s="82">
        <f>+'Boss round (1,2,or 3 players)'!G33</f>
        <v>689.65517241379314</v>
      </c>
      <c r="J14" s="82">
        <f>+'Boss round (1,2,or 3 players)'!G33</f>
        <v>689.65517241379314</v>
      </c>
      <c r="K14" s="83">
        <f>+'Boss round (1,2,or 3 players)'!G33</f>
        <v>689.65517241379314</v>
      </c>
      <c r="L14" s="92"/>
    </row>
    <row r="15" spans="1:12" ht="15" thickBot="1" x14ac:dyDescent="0.35">
      <c r="A15" s="84" t="s">
        <v>160</v>
      </c>
      <c r="B15" s="85"/>
      <c r="C15" s="86"/>
      <c r="D15" s="86"/>
      <c r="E15" s="86"/>
      <c r="F15" s="87"/>
      <c r="G15" s="88">
        <f>+'Boss round (4 or more players)'!G33</f>
        <v>1000</v>
      </c>
      <c r="H15" s="89">
        <f>+'Boss round (4 or more players)'!G33</f>
        <v>1000</v>
      </c>
      <c r="I15" s="89">
        <f>+'Boss round (4 or more players)'!G33</f>
        <v>1000</v>
      </c>
      <c r="J15" s="89">
        <f>+'Boss round (4 or more players)'!G33</f>
        <v>1000</v>
      </c>
      <c r="K15" s="90">
        <f>+'Boss round (4 or more players)'!G33</f>
        <v>1000</v>
      </c>
      <c r="L15" s="84"/>
    </row>
    <row r="16" spans="1:12" ht="15" thickBot="1" x14ac:dyDescent="0.35"/>
    <row r="17" spans="1:6" ht="15" thickBot="1" x14ac:dyDescent="0.35">
      <c r="B17" s="120" t="s">
        <v>156</v>
      </c>
      <c r="C17" s="121"/>
      <c r="D17" s="121"/>
      <c r="E17" s="121"/>
      <c r="F17" s="122"/>
    </row>
    <row r="18" spans="1:6" x14ac:dyDescent="0.3">
      <c r="A18" s="55"/>
      <c r="B18" s="52" t="s">
        <v>147</v>
      </c>
      <c r="C18" s="53" t="s">
        <v>148</v>
      </c>
      <c r="D18" s="53" t="s">
        <v>149</v>
      </c>
      <c r="E18" s="53" t="s">
        <v>150</v>
      </c>
      <c r="F18" s="54" t="s">
        <v>151</v>
      </c>
    </row>
    <row r="19" spans="1:6" x14ac:dyDescent="0.3">
      <c r="A19" s="56" t="s">
        <v>137</v>
      </c>
      <c r="B19" s="74">
        <v>1</v>
      </c>
      <c r="C19" s="75">
        <f>+C3/$B3</f>
        <v>3.0684029336925565</v>
      </c>
      <c r="D19" s="75">
        <f t="shared" ref="D19:F19" si="10">+D3/$B3</f>
        <v>4.0211190480082326</v>
      </c>
      <c r="E19" s="75">
        <f t="shared" si="10"/>
        <v>4.483912596513477</v>
      </c>
      <c r="F19" s="76">
        <f t="shared" si="10"/>
        <v>4.6946564885496098</v>
      </c>
    </row>
    <row r="20" spans="1:6" x14ac:dyDescent="0.3">
      <c r="A20" s="56" t="s">
        <v>138</v>
      </c>
      <c r="B20" s="74">
        <v>1</v>
      </c>
      <c r="C20" s="75">
        <f t="shared" ref="C20:F29" si="11">+C4/$B4</f>
        <v>3.0710368339138765</v>
      </c>
      <c r="D20" s="75">
        <f t="shared" si="11"/>
        <v>4.0287114048080133</v>
      </c>
      <c r="E20" s="75">
        <f t="shared" si="11"/>
        <v>4.4907441901420304</v>
      </c>
      <c r="F20" s="76">
        <f t="shared" si="11"/>
        <v>5.0610687022900684</v>
      </c>
    </row>
    <row r="21" spans="1:6" x14ac:dyDescent="0.3">
      <c r="A21" s="56" t="s">
        <v>139</v>
      </c>
      <c r="B21" s="74">
        <v>1</v>
      </c>
      <c r="C21" s="75">
        <f t="shared" si="11"/>
        <v>3.0573179160227646</v>
      </c>
      <c r="D21" s="75">
        <f t="shared" si="11"/>
        <v>3.9904976085648141</v>
      </c>
      <c r="E21" s="75">
        <f t="shared" si="11"/>
        <v>4.5501037266470519</v>
      </c>
      <c r="F21" s="76">
        <f t="shared" si="11"/>
        <v>5.6651150074465155</v>
      </c>
    </row>
    <row r="22" spans="1:6" x14ac:dyDescent="0.3">
      <c r="A22" s="56" t="s">
        <v>40</v>
      </c>
      <c r="B22" s="74">
        <v>1</v>
      </c>
      <c r="C22" s="75">
        <f t="shared" si="11"/>
        <v>2.9945195841156909</v>
      </c>
      <c r="D22" s="75">
        <f t="shared" si="11"/>
        <v>3.9133821467518226</v>
      </c>
      <c r="E22" s="75">
        <f t="shared" si="11"/>
        <v>4.5036574288036384</v>
      </c>
      <c r="F22" s="76">
        <f t="shared" si="11"/>
        <v>8.4598114054782076</v>
      </c>
    </row>
    <row r="23" spans="1:6" x14ac:dyDescent="0.3">
      <c r="A23" s="56" t="s">
        <v>90</v>
      </c>
      <c r="B23" s="74">
        <v>1</v>
      </c>
      <c r="C23" s="75">
        <f t="shared" si="11"/>
        <v>3.0906187799383149</v>
      </c>
      <c r="D23" s="75">
        <f t="shared" si="11"/>
        <v>4.0702866196168719</v>
      </c>
      <c r="E23" s="75">
        <f t="shared" si="11"/>
        <v>4.4849312024884469</v>
      </c>
      <c r="F23" s="76">
        <f t="shared" si="11"/>
        <v>8.4598114054782076</v>
      </c>
    </row>
    <row r="24" spans="1:6" x14ac:dyDescent="0.3">
      <c r="A24" s="56" t="s">
        <v>140</v>
      </c>
      <c r="B24" s="74">
        <v>1</v>
      </c>
      <c r="C24" s="75">
        <f t="shared" si="11"/>
        <v>3.0906187799383149</v>
      </c>
      <c r="D24" s="75">
        <f t="shared" si="11"/>
        <v>4.0702866196168719</v>
      </c>
      <c r="E24" s="75">
        <f t="shared" si="11"/>
        <v>4.4849312024884469</v>
      </c>
      <c r="F24" s="76">
        <f t="shared" si="11"/>
        <v>8.4598114054782076</v>
      </c>
    </row>
    <row r="25" spans="1:6" x14ac:dyDescent="0.3">
      <c r="A25" s="56" t="s">
        <v>141</v>
      </c>
      <c r="B25" s="74">
        <v>1</v>
      </c>
      <c r="C25" s="75">
        <f t="shared" si="11"/>
        <v>3.0583186572699121</v>
      </c>
      <c r="D25" s="75">
        <f t="shared" si="11"/>
        <v>4.0191027714060015</v>
      </c>
      <c r="E25" s="75">
        <f t="shared" si="11"/>
        <v>4.4664846492449906</v>
      </c>
      <c r="F25" s="76">
        <f t="shared" si="11"/>
        <v>10.888049767732452</v>
      </c>
    </row>
    <row r="26" spans="1:6" x14ac:dyDescent="0.3">
      <c r="A26" s="56" t="s">
        <v>142</v>
      </c>
      <c r="B26" s="74">
        <v>1</v>
      </c>
      <c r="C26" s="75">
        <f t="shared" si="11"/>
        <v>3.0705779140238145</v>
      </c>
      <c r="D26" s="75">
        <f t="shared" si="11"/>
        <v>4.020631318341235</v>
      </c>
      <c r="E26" s="75">
        <f t="shared" si="11"/>
        <v>4.4959912590251978</v>
      </c>
      <c r="F26" s="76">
        <f t="shared" si="11"/>
        <v>11.622137404580137</v>
      </c>
    </row>
    <row r="27" spans="1:6" x14ac:dyDescent="0.3">
      <c r="A27" s="56" t="s">
        <v>143</v>
      </c>
      <c r="B27" s="74">
        <v>1</v>
      </c>
      <c r="C27" s="75">
        <f t="shared" si="11"/>
        <v>3.0705779140238145</v>
      </c>
      <c r="D27" s="75">
        <f t="shared" si="11"/>
        <v>3.9904334436326643</v>
      </c>
      <c r="E27" s="75">
        <f t="shared" si="11"/>
        <v>4.4829845340714147</v>
      </c>
      <c r="F27" s="76">
        <f t="shared" si="11"/>
        <v>11.622137404580137</v>
      </c>
    </row>
    <row r="28" spans="1:6" x14ac:dyDescent="0.3">
      <c r="A28" s="77" t="s">
        <v>145</v>
      </c>
      <c r="B28" s="74">
        <v>1</v>
      </c>
      <c r="C28" s="75">
        <f t="shared" si="11"/>
        <v>3.0364651864665673</v>
      </c>
      <c r="D28" s="75">
        <f t="shared" si="11"/>
        <v>4.0712782117218893</v>
      </c>
      <c r="E28" s="75">
        <f t="shared" si="11"/>
        <v>4.4301248489730192</v>
      </c>
      <c r="F28" s="76">
        <f t="shared" si="11"/>
        <v>21.070105989018007</v>
      </c>
    </row>
    <row r="29" spans="1:6" ht="15" thickBot="1" x14ac:dyDescent="0.35">
      <c r="A29" s="84" t="s">
        <v>144</v>
      </c>
      <c r="B29" s="93">
        <v>1</v>
      </c>
      <c r="C29" s="94">
        <f t="shared" si="11"/>
        <v>3.0804821624254233</v>
      </c>
      <c r="D29" s="94">
        <f t="shared" si="11"/>
        <v>4.0737563243607706</v>
      </c>
      <c r="E29" s="94">
        <f t="shared" si="11"/>
        <v>4.8498208872967759</v>
      </c>
      <c r="F29" s="95">
        <f t="shared" si="11"/>
        <v>23.238725084963718</v>
      </c>
    </row>
  </sheetData>
  <mergeCells count="3">
    <mergeCell ref="B1:F1"/>
    <mergeCell ref="G1:K1"/>
    <mergeCell ref="B17:F17"/>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Summary</vt:lpstr>
      <vt:lpstr>Special weapon</vt:lpstr>
      <vt:lpstr>Buying Special weapons</vt:lpstr>
      <vt:lpstr>Boss round (1,2,or 3 players)</vt:lpstr>
      <vt:lpstr>Boss round (4 or more players)</vt:lpstr>
      <vt:lpstr>Scarab Black</vt:lpstr>
      <vt:lpstr>Scarab Gold</vt:lpstr>
      <vt:lpstr>Scarab Gem Covered</vt:lpstr>
      <vt:lpstr>Standard Mummy</vt:lpstr>
      <vt:lpstr>Mummy A</vt:lpstr>
      <vt:lpstr>Mummy B</vt:lpstr>
      <vt:lpstr>Mummy C</vt:lpstr>
      <vt:lpstr>Pharaoh A</vt:lpstr>
      <vt:lpstr>Pharaoh B</vt:lpstr>
      <vt:lpstr>HV Scarab</vt:lpstr>
      <vt:lpstr>HV enemy</vt:lpstr>
      <vt:lpstr>Profiles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Pablo</dc:creator>
  <cp:lastModifiedBy>Pablo Delieutraz</cp:lastModifiedBy>
  <dcterms:created xsi:type="dcterms:W3CDTF">2018-09-08T09:54:06Z</dcterms:created>
  <dcterms:modified xsi:type="dcterms:W3CDTF">2018-10-20T03:31:46Z</dcterms:modified>
</cp:coreProperties>
</file>