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activeTab="1"/>
  </bookViews>
  <sheets>
    <sheet name="Summary" sheetId="2" r:id="rId1"/>
    <sheet name="Special weapon" sheetId="22" r:id="rId2"/>
    <sheet name="Base game (Mummy A)" sheetId="39" r:id="rId3"/>
    <sheet name="Base game (Mummy B)" sheetId="4" r:id="rId4"/>
    <sheet name="Base game (Mummy C)" sheetId="5" r:id="rId5"/>
    <sheet name="Base game (Standard Mummy)" sheetId="24" r:id="rId6"/>
    <sheet name="Base game (Scarabs)" sheetId="23" r:id="rId7"/>
    <sheet name="Base game (Pharaoh A &amp; B)" sheetId="25" r:id="rId8"/>
    <sheet name="Special weapon 1 (Mummy A)" sheetId="40" r:id="rId9"/>
    <sheet name="Special weapon 1 (Mummy B)" sheetId="14" r:id="rId10"/>
    <sheet name="Special weapon 1 (Mummy C)" sheetId="15" r:id="rId11"/>
    <sheet name="Special weapon 1 (Std Mummy)" sheetId="27" r:id="rId12"/>
    <sheet name="Special weapon 1 (Scarabs)" sheetId="28" r:id="rId13"/>
    <sheet name="Special weapon 1 (Pharaoh A&amp;B)" sheetId="29" r:id="rId14"/>
    <sheet name="Special weapon 2 (Mummy A)" sheetId="41" r:id="rId15"/>
    <sheet name="Special weapon 2 (Mummy B)" sheetId="17" r:id="rId16"/>
    <sheet name="Special weapon 2 (Mummy C)" sheetId="18" r:id="rId17"/>
    <sheet name="Special weapon 2 (Std Mummy)" sheetId="31" r:id="rId18"/>
    <sheet name="Special weapon 2 (Scarabs)" sheetId="32" r:id="rId19"/>
    <sheet name="Special weapon 2 (Pharaoh A&amp;B)" sheetId="33" r:id="rId20"/>
    <sheet name="Special weapon 3 (Mummy A)" sheetId="42" r:id="rId21"/>
    <sheet name="Special weapon 3 (Mummy B)" sheetId="20" r:id="rId22"/>
    <sheet name="Special weapon 3 (Mummy C)" sheetId="21" r:id="rId23"/>
    <sheet name="Special weapon 3 (Std Mummy)" sheetId="34" r:id="rId24"/>
    <sheet name="Special weapon 3 (Scarabs)" sheetId="35" r:id="rId25"/>
    <sheet name="Special weapon 3 (Pharaoh A&amp;B)" sheetId="36" r:id="rId26"/>
    <sheet name="Boss round" sheetId="6" r:id="rId27"/>
  </sheets>
  <calcPr calcId="124519"/>
</workbook>
</file>

<file path=xl/calcChain.xml><?xml version="1.0" encoding="utf-8"?>
<calcChain xmlns="http://schemas.openxmlformats.org/spreadsheetml/2006/main">
  <c r="E6" i="42"/>
  <c r="F6" s="1"/>
  <c r="E5"/>
  <c r="E6" i="41"/>
  <c r="E5"/>
  <c r="F5" s="1"/>
  <c r="E6" i="40"/>
  <c r="E5"/>
  <c r="E5" i="39"/>
  <c r="E13" s="1"/>
  <c r="F13" s="1"/>
  <c r="F14" s="1"/>
  <c r="E6"/>
  <c r="C19" i="42"/>
  <c r="D18"/>
  <c r="C14"/>
  <c r="D13"/>
  <c r="D5"/>
  <c r="C19" i="41"/>
  <c r="D18"/>
  <c r="C14"/>
  <c r="D13"/>
  <c r="E18"/>
  <c r="F18" s="1"/>
  <c r="F19" s="1"/>
  <c r="D5"/>
  <c r="C19" i="40"/>
  <c r="D18"/>
  <c r="C14"/>
  <c r="D13"/>
  <c r="E18"/>
  <c r="F18" s="1"/>
  <c r="F19" s="1"/>
  <c r="D5"/>
  <c r="D6" i="39"/>
  <c r="D7"/>
  <c r="C19"/>
  <c r="C14"/>
  <c r="D13"/>
  <c r="C8"/>
  <c r="F6"/>
  <c r="D5"/>
  <c r="D30" i="36"/>
  <c r="C48"/>
  <c r="D47"/>
  <c r="C43"/>
  <c r="D42"/>
  <c r="C38"/>
  <c r="D37"/>
  <c r="D36"/>
  <c r="D35"/>
  <c r="C26"/>
  <c r="D25"/>
  <c r="D24"/>
  <c r="D23"/>
  <c r="C19"/>
  <c r="D18"/>
  <c r="D17"/>
  <c r="D16"/>
  <c r="C12"/>
  <c r="D11"/>
  <c r="D10"/>
  <c r="D9"/>
  <c r="D8"/>
  <c r="E7"/>
  <c r="E17" s="1"/>
  <c r="F17" s="1"/>
  <c r="D7"/>
  <c r="E6"/>
  <c r="E16" s="1"/>
  <c r="D6"/>
  <c r="E5"/>
  <c r="E35" s="1"/>
  <c r="D5"/>
  <c r="C16" i="35"/>
  <c r="E15"/>
  <c r="F15" s="1"/>
  <c r="F16" s="1"/>
  <c r="D15"/>
  <c r="C11"/>
  <c r="E10"/>
  <c r="F10" s="1"/>
  <c r="F11" s="1"/>
  <c r="D10"/>
  <c r="C6"/>
  <c r="E5"/>
  <c r="F5" s="1"/>
  <c r="F6" s="1"/>
  <c r="D5"/>
  <c r="C19" i="34"/>
  <c r="D18"/>
  <c r="C14"/>
  <c r="D13"/>
  <c r="C8"/>
  <c r="D7"/>
  <c r="E6"/>
  <c r="F6" s="1"/>
  <c r="D6"/>
  <c r="E5"/>
  <c r="F5" s="1"/>
  <c r="D5"/>
  <c r="C48" i="33"/>
  <c r="D47"/>
  <c r="C43"/>
  <c r="D42"/>
  <c r="C38"/>
  <c r="D37"/>
  <c r="D36"/>
  <c r="D35"/>
  <c r="C31"/>
  <c r="D30"/>
  <c r="C26"/>
  <c r="D25"/>
  <c r="D24"/>
  <c r="D23"/>
  <c r="C19"/>
  <c r="D18"/>
  <c r="D17"/>
  <c r="D16"/>
  <c r="C12"/>
  <c r="D11"/>
  <c r="D10"/>
  <c r="D9"/>
  <c r="D8"/>
  <c r="E7"/>
  <c r="F7" s="1"/>
  <c r="D7"/>
  <c r="E6"/>
  <c r="E16" s="1"/>
  <c r="D6"/>
  <c r="E5"/>
  <c r="D5"/>
  <c r="C16" i="32"/>
  <c r="E15"/>
  <c r="F15" s="1"/>
  <c r="F16" s="1"/>
  <c r="D15"/>
  <c r="C11"/>
  <c r="E10"/>
  <c r="F10" s="1"/>
  <c r="F11" s="1"/>
  <c r="D10"/>
  <c r="C6"/>
  <c r="E5"/>
  <c r="F5" s="1"/>
  <c r="F6" s="1"/>
  <c r="D5"/>
  <c r="C19" i="31"/>
  <c r="D18"/>
  <c r="C14"/>
  <c r="D13"/>
  <c r="C8"/>
  <c r="D7"/>
  <c r="E6"/>
  <c r="F6" s="1"/>
  <c r="D6"/>
  <c r="E5"/>
  <c r="F5"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C14"/>
  <c r="D13"/>
  <c r="C8"/>
  <c r="D7"/>
  <c r="E6"/>
  <c r="F6" s="1"/>
  <c r="D6"/>
  <c r="E5"/>
  <c r="E13" s="1"/>
  <c r="F13" s="1"/>
  <c r="F14" s="1"/>
  <c r="D5"/>
  <c r="D25" i="25"/>
  <c r="D24"/>
  <c r="E7"/>
  <c r="E30" s="1"/>
  <c r="F30" s="1"/>
  <c r="F31" s="1"/>
  <c r="E6"/>
  <c r="E36" s="1"/>
  <c r="F36" s="1"/>
  <c r="E5"/>
  <c r="E42" s="1"/>
  <c r="F42" s="1"/>
  <c r="F43" s="1"/>
  <c r="C48"/>
  <c r="D47"/>
  <c r="C43"/>
  <c r="D42"/>
  <c r="C38"/>
  <c r="D37"/>
  <c r="D36"/>
  <c r="D35"/>
  <c r="C31"/>
  <c r="D30"/>
  <c r="C26"/>
  <c r="D23"/>
  <c r="C19"/>
  <c r="D18"/>
  <c r="D17"/>
  <c r="D16"/>
  <c r="C12"/>
  <c r="D11"/>
  <c r="D10"/>
  <c r="D9"/>
  <c r="D8"/>
  <c r="D7"/>
  <c r="D6"/>
  <c r="D5"/>
  <c r="E18" i="34" l="1"/>
  <c r="F18" s="1"/>
  <c r="F19" s="1"/>
  <c r="F6" i="40"/>
  <c r="F6" i="41"/>
  <c r="E18" i="31"/>
  <c r="F18" s="1"/>
  <c r="F19" s="1"/>
  <c r="E18" i="42"/>
  <c r="F18" s="1"/>
  <c r="F19" s="1"/>
  <c r="F5" i="39"/>
  <c r="E7"/>
  <c r="F7" s="1"/>
  <c r="D7" i="42"/>
  <c r="D6"/>
  <c r="C8"/>
  <c r="F5"/>
  <c r="E13"/>
  <c r="F13" s="1"/>
  <c r="F14" s="1"/>
  <c r="E7"/>
  <c r="F7" s="1"/>
  <c r="D7" i="41"/>
  <c r="C8"/>
  <c r="D6"/>
  <c r="E13"/>
  <c r="F13" s="1"/>
  <c r="F14" s="1"/>
  <c r="E7"/>
  <c r="F7" s="1"/>
  <c r="F8" s="1"/>
  <c r="D7" i="40"/>
  <c r="D6"/>
  <c r="C8"/>
  <c r="F5"/>
  <c r="E13"/>
  <c r="F13" s="1"/>
  <c r="F14" s="1"/>
  <c r="E7"/>
  <c r="F7" s="1"/>
  <c r="E18" i="39"/>
  <c r="F18" s="1"/>
  <c r="F19" s="1"/>
  <c r="D18"/>
  <c r="F5" i="27"/>
  <c r="E7"/>
  <c r="F7" s="1"/>
  <c r="E18"/>
  <c r="F18" s="1"/>
  <c r="F19" s="1"/>
  <c r="F6" i="33"/>
  <c r="F6" i="36"/>
  <c r="E11" i="33"/>
  <c r="F11" s="1"/>
  <c r="E47"/>
  <c r="F47" s="1"/>
  <c r="F48" s="1"/>
  <c r="E47" i="36"/>
  <c r="F47" s="1"/>
  <c r="F48" s="1"/>
  <c r="C31"/>
  <c r="F16"/>
  <c r="E18"/>
  <c r="F18" s="1"/>
  <c r="F35"/>
  <c r="F5"/>
  <c r="E8"/>
  <c r="F8" s="1"/>
  <c r="E24"/>
  <c r="F24" s="1"/>
  <c r="E30"/>
  <c r="F30" s="1"/>
  <c r="F31" s="1"/>
  <c r="E36"/>
  <c r="F36" s="1"/>
  <c r="E42"/>
  <c r="F42" s="1"/>
  <c r="F43" s="1"/>
  <c r="E9"/>
  <c r="F9" s="1"/>
  <c r="F7"/>
  <c r="E10"/>
  <c r="F10" s="1"/>
  <c r="E11"/>
  <c r="F11" s="1"/>
  <c r="E23"/>
  <c r="E13" i="34"/>
  <c r="F13" s="1"/>
  <c r="F14" s="1"/>
  <c r="E7"/>
  <c r="F7" s="1"/>
  <c r="F8" s="1"/>
  <c r="F16" i="33"/>
  <c r="E17"/>
  <c r="F17" s="1"/>
  <c r="E23"/>
  <c r="E35"/>
  <c r="F5"/>
  <c r="E8"/>
  <c r="F8" s="1"/>
  <c r="E24"/>
  <c r="F24" s="1"/>
  <c r="E30"/>
  <c r="F30" s="1"/>
  <c r="F31" s="1"/>
  <c r="E36"/>
  <c r="F36" s="1"/>
  <c r="E42"/>
  <c r="F42" s="1"/>
  <c r="F43" s="1"/>
  <c r="E9"/>
  <c r="F9" s="1"/>
  <c r="E10"/>
  <c r="F10" s="1"/>
  <c r="E13" i="31"/>
  <c r="F13" s="1"/>
  <c r="F14" s="1"/>
  <c r="E7"/>
  <c r="F7" s="1"/>
  <c r="F8" s="1"/>
  <c r="F35" i="29"/>
  <c r="F5"/>
  <c r="E8"/>
  <c r="F8" s="1"/>
  <c r="E24"/>
  <c r="F24" s="1"/>
  <c r="E30"/>
  <c r="F30" s="1"/>
  <c r="F31" s="1"/>
  <c r="E36"/>
  <c r="F36" s="1"/>
  <c r="E42"/>
  <c r="F42" s="1"/>
  <c r="F43" s="1"/>
  <c r="F6"/>
  <c r="E9"/>
  <c r="F9" s="1"/>
  <c r="F7"/>
  <c r="E10"/>
  <c r="F10" s="1"/>
  <c r="E16"/>
  <c r="E11"/>
  <c r="F11" s="1"/>
  <c r="E23"/>
  <c r="F8" i="27"/>
  <c r="D18"/>
  <c r="F7" i="25"/>
  <c r="F6"/>
  <c r="E9"/>
  <c r="F9" s="1"/>
  <c r="E10"/>
  <c r="F10" s="1"/>
  <c r="E16"/>
  <c r="E11"/>
  <c r="F11" s="1"/>
  <c r="E17"/>
  <c r="F17" s="1"/>
  <c r="E23"/>
  <c r="E35"/>
  <c r="E47"/>
  <c r="F47" s="1"/>
  <c r="F48" s="1"/>
  <c r="F5"/>
  <c r="E8"/>
  <c r="F8" s="1"/>
  <c r="E24"/>
  <c r="F24" s="1"/>
  <c r="E6" i="24"/>
  <c r="E18" s="1"/>
  <c r="E5"/>
  <c r="C19"/>
  <c r="D18"/>
  <c r="C14"/>
  <c r="D13"/>
  <c r="C8"/>
  <c r="D7"/>
  <c r="D6"/>
  <c r="D5"/>
  <c r="D15" i="23"/>
  <c r="D10"/>
  <c r="E15"/>
  <c r="F15" s="1"/>
  <c r="F16" s="1"/>
  <c r="E10"/>
  <c r="F10" s="1"/>
  <c r="E5"/>
  <c r="F5" s="1"/>
  <c r="F6" s="1"/>
  <c r="C16"/>
  <c r="C11"/>
  <c r="C6"/>
  <c r="D5"/>
  <c r="D21" i="22"/>
  <c r="E38" i="2"/>
  <c r="B38"/>
  <c r="B28"/>
  <c r="K29"/>
  <c r="H29"/>
  <c r="E28"/>
  <c r="F8" i="39" l="1"/>
  <c r="F8" i="40"/>
  <c r="E7" i="24"/>
  <c r="F8" i="42"/>
  <c r="E18" i="33"/>
  <c r="F18" s="1"/>
  <c r="F19" s="1"/>
  <c r="E37" i="36"/>
  <c r="F37" s="1"/>
  <c r="F38" s="1"/>
  <c r="F19"/>
  <c r="F23"/>
  <c r="E25"/>
  <c r="F25" s="1"/>
  <c r="F12"/>
  <c r="F23" i="33"/>
  <c r="E25"/>
  <c r="F25" s="1"/>
  <c r="F35"/>
  <c r="E37"/>
  <c r="F37" s="1"/>
  <c r="F12"/>
  <c r="F23" i="29"/>
  <c r="E25"/>
  <c r="F25" s="1"/>
  <c r="F16"/>
  <c r="E18"/>
  <c r="F18" s="1"/>
  <c r="F12"/>
  <c r="E37"/>
  <c r="F37" s="1"/>
  <c r="F38" s="1"/>
  <c r="E18" i="25"/>
  <c r="F18" s="1"/>
  <c r="F16"/>
  <c r="F12"/>
  <c r="F35"/>
  <c r="E37"/>
  <c r="F37" s="1"/>
  <c r="F23"/>
  <c r="E25"/>
  <c r="F25" s="1"/>
  <c r="F18" i="24"/>
  <c r="F19" s="1"/>
  <c r="F7"/>
  <c r="E13"/>
  <c r="F13" s="1"/>
  <c r="F14" s="1"/>
  <c r="F5"/>
  <c r="F6"/>
  <c r="F11" i="23"/>
  <c r="D20" i="22"/>
  <c r="D19"/>
  <c r="D18"/>
  <c r="D10"/>
  <c r="D9"/>
  <c r="D8"/>
  <c r="D7"/>
  <c r="E7" i="21"/>
  <c r="E30" s="1"/>
  <c r="F30" s="1"/>
  <c r="F31" s="1"/>
  <c r="E6"/>
  <c r="E16" s="1"/>
  <c r="E5"/>
  <c r="F5" s="1"/>
  <c r="C48"/>
  <c r="D47"/>
  <c r="C43"/>
  <c r="D42"/>
  <c r="C38"/>
  <c r="D37"/>
  <c r="D36"/>
  <c r="D35"/>
  <c r="C31"/>
  <c r="D30"/>
  <c r="C26"/>
  <c r="D25"/>
  <c r="D24"/>
  <c r="D23"/>
  <c r="C19"/>
  <c r="D18"/>
  <c r="D17"/>
  <c r="D16"/>
  <c r="C12"/>
  <c r="D11"/>
  <c r="D10"/>
  <c r="D9"/>
  <c r="D8"/>
  <c r="D7"/>
  <c r="D6"/>
  <c r="D5"/>
  <c r="E7" i="20"/>
  <c r="F7" s="1"/>
  <c r="E6"/>
  <c r="F6" s="1"/>
  <c r="E5"/>
  <c r="F5" s="1"/>
  <c r="C48"/>
  <c r="D47"/>
  <c r="C43"/>
  <c r="D42"/>
  <c r="C38"/>
  <c r="D37"/>
  <c r="D36"/>
  <c r="D35"/>
  <c r="C31"/>
  <c r="D30"/>
  <c r="C26"/>
  <c r="D25"/>
  <c r="D24"/>
  <c r="D23"/>
  <c r="C19"/>
  <c r="D18"/>
  <c r="D17"/>
  <c r="D16"/>
  <c r="C12"/>
  <c r="D11"/>
  <c r="D10"/>
  <c r="D9"/>
  <c r="D8"/>
  <c r="D7"/>
  <c r="D6"/>
  <c r="D5"/>
  <c r="E7" i="18"/>
  <c r="E30" s="1"/>
  <c r="F30" s="1"/>
  <c r="F31" s="1"/>
  <c r="E6"/>
  <c r="E16" s="1"/>
  <c r="E5"/>
  <c r="F5" s="1"/>
  <c r="C48"/>
  <c r="D47"/>
  <c r="C43"/>
  <c r="D42"/>
  <c r="C38"/>
  <c r="D37"/>
  <c r="D36"/>
  <c r="D35"/>
  <c r="C31"/>
  <c r="D30"/>
  <c r="C26"/>
  <c r="D25"/>
  <c r="D24"/>
  <c r="D23"/>
  <c r="C19"/>
  <c r="D18"/>
  <c r="D17"/>
  <c r="D16"/>
  <c r="C12"/>
  <c r="D11"/>
  <c r="D10"/>
  <c r="D9"/>
  <c r="D8"/>
  <c r="D7"/>
  <c r="D6"/>
  <c r="D5"/>
  <c r="E7" i="17"/>
  <c r="E30" s="1"/>
  <c r="F30" s="1"/>
  <c r="F31" s="1"/>
  <c r="E6"/>
  <c r="E16" s="1"/>
  <c r="E5"/>
  <c r="F5" s="1"/>
  <c r="C48"/>
  <c r="D47"/>
  <c r="C43"/>
  <c r="D42"/>
  <c r="C38"/>
  <c r="D37"/>
  <c r="D36"/>
  <c r="D35"/>
  <c r="C31"/>
  <c r="D30"/>
  <c r="C26"/>
  <c r="D25"/>
  <c r="D24"/>
  <c r="D23"/>
  <c r="C19"/>
  <c r="D18"/>
  <c r="D17"/>
  <c r="D16"/>
  <c r="C12"/>
  <c r="D11"/>
  <c r="D10"/>
  <c r="D9"/>
  <c r="D8"/>
  <c r="D7"/>
  <c r="D6"/>
  <c r="D5"/>
  <c r="E7" i="15"/>
  <c r="E30" s="1"/>
  <c r="F30" s="1"/>
  <c r="F31" s="1"/>
  <c r="E6"/>
  <c r="E16" s="1"/>
  <c r="E5"/>
  <c r="F5" s="1"/>
  <c r="C48"/>
  <c r="D47"/>
  <c r="C43"/>
  <c r="D42"/>
  <c r="C38"/>
  <c r="D37"/>
  <c r="D36"/>
  <c r="D35"/>
  <c r="C31"/>
  <c r="D30"/>
  <c r="C26"/>
  <c r="D25"/>
  <c r="D24"/>
  <c r="D23"/>
  <c r="C19"/>
  <c r="D18"/>
  <c r="D17"/>
  <c r="D16"/>
  <c r="C12"/>
  <c r="D11"/>
  <c r="D10"/>
  <c r="D9"/>
  <c r="D8"/>
  <c r="D7"/>
  <c r="D6"/>
  <c r="D5"/>
  <c r="E7" i="14"/>
  <c r="E30" s="1"/>
  <c r="F30" s="1"/>
  <c r="F31" s="1"/>
  <c r="E6"/>
  <c r="E16" s="1"/>
  <c r="E5"/>
  <c r="E42" s="1"/>
  <c r="F42" s="1"/>
  <c r="F43" s="1"/>
  <c r="C48"/>
  <c r="D47"/>
  <c r="C43"/>
  <c r="D42"/>
  <c r="C38"/>
  <c r="D37"/>
  <c r="D36"/>
  <c r="D35"/>
  <c r="C31"/>
  <c r="D30"/>
  <c r="C26"/>
  <c r="D25"/>
  <c r="D24"/>
  <c r="D23"/>
  <c r="C19"/>
  <c r="D18"/>
  <c r="D17"/>
  <c r="D16"/>
  <c r="C12"/>
  <c r="D11"/>
  <c r="D10"/>
  <c r="D9"/>
  <c r="D8"/>
  <c r="D7"/>
  <c r="D6"/>
  <c r="D5"/>
  <c r="D8" i="2"/>
  <c r="D7"/>
  <c r="E61" i="6"/>
  <c r="E62"/>
  <c r="F62" s="1"/>
  <c r="E63"/>
  <c r="E64"/>
  <c r="F64" s="1"/>
  <c r="E60"/>
  <c r="F61"/>
  <c r="F63"/>
  <c r="F60"/>
  <c r="E56"/>
  <c r="F52"/>
  <c r="F53"/>
  <c r="F54"/>
  <c r="F55"/>
  <c r="F51"/>
  <c r="D61"/>
  <c r="D62"/>
  <c r="D63"/>
  <c r="D64"/>
  <c r="D60"/>
  <c r="E52"/>
  <c r="E53"/>
  <c r="E54"/>
  <c r="E55"/>
  <c r="E51"/>
  <c r="D52"/>
  <c r="D53"/>
  <c r="D54"/>
  <c r="D55"/>
  <c r="D51"/>
  <c r="D30"/>
  <c r="D31"/>
  <c r="D32"/>
  <c r="D33"/>
  <c r="D29"/>
  <c r="C65"/>
  <c r="F56"/>
  <c r="C56"/>
  <c r="C34"/>
  <c r="C40"/>
  <c r="D14"/>
  <c r="D12"/>
  <c r="D13"/>
  <c r="D11"/>
  <c r="E7" i="5"/>
  <c r="E30" s="1"/>
  <c r="F30" s="1"/>
  <c r="F31" s="1"/>
  <c r="E6"/>
  <c r="E36" s="1"/>
  <c r="F36" s="1"/>
  <c r="E5"/>
  <c r="E42" s="1"/>
  <c r="F42" s="1"/>
  <c r="F43" s="1"/>
  <c r="D47"/>
  <c r="D42"/>
  <c r="D37"/>
  <c r="D36"/>
  <c r="D35"/>
  <c r="D30"/>
  <c r="D25"/>
  <c r="D24"/>
  <c r="D23"/>
  <c r="D18"/>
  <c r="D17"/>
  <c r="D16"/>
  <c r="D11"/>
  <c r="D10"/>
  <c r="D9"/>
  <c r="D8"/>
  <c r="D7"/>
  <c r="D6"/>
  <c r="D5"/>
  <c r="D8" i="4"/>
  <c r="E7"/>
  <c r="E30" s="1"/>
  <c r="F30" s="1"/>
  <c r="F31" s="1"/>
  <c r="E6"/>
  <c r="E36" s="1"/>
  <c r="F36" s="1"/>
  <c r="E5"/>
  <c r="D18"/>
  <c r="D6"/>
  <c r="D47"/>
  <c r="D42"/>
  <c r="D37"/>
  <c r="D36"/>
  <c r="D35"/>
  <c r="D30"/>
  <c r="D25"/>
  <c r="D24"/>
  <c r="D23"/>
  <c r="D17"/>
  <c r="D16"/>
  <c r="D7"/>
  <c r="D5"/>
  <c r="E7" i="2"/>
  <c r="B21" i="6" s="1"/>
  <c r="E8" i="2"/>
  <c r="F26" i="36" l="1"/>
  <c r="F26" i="33"/>
  <c r="F38"/>
  <c r="F26" i="29"/>
  <c r="F19"/>
  <c r="F19" i="25"/>
  <c r="F38"/>
  <c r="F26"/>
  <c r="F8" i="24"/>
  <c r="F7" i="14"/>
  <c r="F7" i="18"/>
  <c r="E42" i="17"/>
  <c r="F42" s="1"/>
  <c r="F43" s="1"/>
  <c r="F6" i="14"/>
  <c r="F7" i="17"/>
  <c r="F6"/>
  <c r="F6" i="15"/>
  <c r="E42" i="18"/>
  <c r="F42" s="1"/>
  <c r="F43" s="1"/>
  <c r="F6" i="21"/>
  <c r="E42" i="15"/>
  <c r="F42" s="1"/>
  <c r="F43" s="1"/>
  <c r="F6" i="18"/>
  <c r="F5" i="14"/>
  <c r="F7" i="15"/>
  <c r="E42" i="21"/>
  <c r="F42" s="1"/>
  <c r="F43" s="1"/>
  <c r="D34" i="6"/>
  <c r="F7" i="21"/>
  <c r="D12" i="22"/>
  <c r="D23"/>
  <c r="F16" i="21"/>
  <c r="E8"/>
  <c r="F8" s="1"/>
  <c r="E9"/>
  <c r="F9" s="1"/>
  <c r="E10"/>
  <c r="F10" s="1"/>
  <c r="E11"/>
  <c r="F11" s="1"/>
  <c r="E23"/>
  <c r="E24"/>
  <c r="F24" s="1"/>
  <c r="E35"/>
  <c r="E36"/>
  <c r="F36" s="1"/>
  <c r="E47"/>
  <c r="F47" s="1"/>
  <c r="F48" s="1"/>
  <c r="E17"/>
  <c r="F17" s="1"/>
  <c r="E8" i="20"/>
  <c r="F8" s="1"/>
  <c r="E9"/>
  <c r="F9" s="1"/>
  <c r="E10"/>
  <c r="F10" s="1"/>
  <c r="E11"/>
  <c r="F11" s="1"/>
  <c r="E23"/>
  <c r="E24"/>
  <c r="F24" s="1"/>
  <c r="E35"/>
  <c r="E36"/>
  <c r="F36" s="1"/>
  <c r="E47"/>
  <c r="F47" s="1"/>
  <c r="F48" s="1"/>
  <c r="E16"/>
  <c r="E17"/>
  <c r="F17" s="1"/>
  <c r="E30"/>
  <c r="F30" s="1"/>
  <c r="F31" s="1"/>
  <c r="E42"/>
  <c r="F42" s="1"/>
  <c r="F43" s="1"/>
  <c r="F16" i="18"/>
  <c r="E8"/>
  <c r="F8" s="1"/>
  <c r="E9"/>
  <c r="F9" s="1"/>
  <c r="E10"/>
  <c r="F10" s="1"/>
  <c r="E11"/>
  <c r="F11" s="1"/>
  <c r="E23"/>
  <c r="E24"/>
  <c r="F24" s="1"/>
  <c r="E35"/>
  <c r="E36"/>
  <c r="F36" s="1"/>
  <c r="E47"/>
  <c r="F47" s="1"/>
  <c r="F48" s="1"/>
  <c r="E17"/>
  <c r="F17" s="1"/>
  <c r="F16" i="17"/>
  <c r="E8"/>
  <c r="F8" s="1"/>
  <c r="E9"/>
  <c r="F9" s="1"/>
  <c r="E10"/>
  <c r="F10" s="1"/>
  <c r="E11"/>
  <c r="F11" s="1"/>
  <c r="E23"/>
  <c r="E24"/>
  <c r="F24" s="1"/>
  <c r="E35"/>
  <c r="E36"/>
  <c r="F36" s="1"/>
  <c r="E47"/>
  <c r="F47" s="1"/>
  <c r="F48" s="1"/>
  <c r="E17"/>
  <c r="F17" s="1"/>
  <c r="F16" i="15"/>
  <c r="E8"/>
  <c r="F8" s="1"/>
  <c r="E9"/>
  <c r="F9" s="1"/>
  <c r="E10"/>
  <c r="F10" s="1"/>
  <c r="E11"/>
  <c r="F11" s="1"/>
  <c r="E23"/>
  <c r="E24"/>
  <c r="F24" s="1"/>
  <c r="E35"/>
  <c r="E36"/>
  <c r="F36" s="1"/>
  <c r="E47"/>
  <c r="F47" s="1"/>
  <c r="F48" s="1"/>
  <c r="E17"/>
  <c r="F17" s="1"/>
  <c r="F16" i="14"/>
  <c r="E8"/>
  <c r="F8" s="1"/>
  <c r="E9"/>
  <c r="F9" s="1"/>
  <c r="E10"/>
  <c r="F10" s="1"/>
  <c r="E11"/>
  <c r="F11" s="1"/>
  <c r="E23"/>
  <c r="E24"/>
  <c r="F24" s="1"/>
  <c r="E35"/>
  <c r="E36"/>
  <c r="F36" s="1"/>
  <c r="E47"/>
  <c r="F47" s="1"/>
  <c r="F48" s="1"/>
  <c r="E17"/>
  <c r="F17" s="1"/>
  <c r="E47" i="5"/>
  <c r="F47" s="1"/>
  <c r="F48" s="1"/>
  <c r="C48" i="4"/>
  <c r="C26" i="5"/>
  <c r="C12"/>
  <c r="E11" i="4"/>
  <c r="F11" s="1"/>
  <c r="C38" i="5"/>
  <c r="E65" i="6"/>
  <c r="F65"/>
  <c r="F7" i="5"/>
  <c r="E24"/>
  <c r="F24" s="1"/>
  <c r="E17"/>
  <c r="F17" s="1"/>
  <c r="E35"/>
  <c r="F35" s="1"/>
  <c r="E8"/>
  <c r="F8" s="1"/>
  <c r="F5"/>
  <c r="F6"/>
  <c r="E9"/>
  <c r="F9" s="1"/>
  <c r="C48"/>
  <c r="E10"/>
  <c r="F10" s="1"/>
  <c r="E16"/>
  <c r="C19"/>
  <c r="C31"/>
  <c r="C43"/>
  <c r="E11"/>
  <c r="F11" s="1"/>
  <c r="E23"/>
  <c r="D9" i="4"/>
  <c r="C12"/>
  <c r="D11"/>
  <c r="D10"/>
  <c r="F6"/>
  <c r="F7"/>
  <c r="E9"/>
  <c r="F9" s="1"/>
  <c r="E10"/>
  <c r="F10" s="1"/>
  <c r="E16"/>
  <c r="C19"/>
  <c r="C31"/>
  <c r="C43"/>
  <c r="E17"/>
  <c r="F17" s="1"/>
  <c r="E23"/>
  <c r="C26"/>
  <c r="E35"/>
  <c r="C38"/>
  <c r="E47"/>
  <c r="F47" s="1"/>
  <c r="F48" s="1"/>
  <c r="F5"/>
  <c r="E8"/>
  <c r="F8" s="1"/>
  <c r="E24"/>
  <c r="F24" s="1"/>
  <c r="E42"/>
  <c r="F42" s="1"/>
  <c r="F43" s="1"/>
  <c r="F12" i="15" l="1"/>
  <c r="F12" i="17"/>
  <c r="F12" i="21"/>
  <c r="F23"/>
  <c r="E25"/>
  <c r="F25" s="1"/>
  <c r="E18"/>
  <c r="F18" s="1"/>
  <c r="F19" s="1"/>
  <c r="F35"/>
  <c r="E37"/>
  <c r="F37" s="1"/>
  <c r="F12" i="20"/>
  <c r="F23"/>
  <c r="E25"/>
  <c r="F25" s="1"/>
  <c r="E18"/>
  <c r="F18" s="1"/>
  <c r="F16"/>
  <c r="F35"/>
  <c r="E37"/>
  <c r="F37" s="1"/>
  <c r="F12" i="18"/>
  <c r="F35"/>
  <c r="E37"/>
  <c r="F37" s="1"/>
  <c r="E18"/>
  <c r="F18" s="1"/>
  <c r="F19" s="1"/>
  <c r="F23"/>
  <c r="E25"/>
  <c r="F25" s="1"/>
  <c r="F23" i="17"/>
  <c r="E25"/>
  <c r="F25" s="1"/>
  <c r="E18"/>
  <c r="F18" s="1"/>
  <c r="F19" s="1"/>
  <c r="F35"/>
  <c r="E37"/>
  <c r="F37" s="1"/>
  <c r="F35" i="15"/>
  <c r="E37"/>
  <c r="F37" s="1"/>
  <c r="E18"/>
  <c r="F18" s="1"/>
  <c r="F19" s="1"/>
  <c r="F23"/>
  <c r="E25"/>
  <c r="F25" s="1"/>
  <c r="F12" i="14"/>
  <c r="E18"/>
  <c r="F18" s="1"/>
  <c r="F19" s="1"/>
  <c r="F35"/>
  <c r="E37"/>
  <c r="F37" s="1"/>
  <c r="F23"/>
  <c r="E25"/>
  <c r="F25" s="1"/>
  <c r="E37" i="5"/>
  <c r="F37" s="1"/>
  <c r="F38" s="1"/>
  <c r="F12"/>
  <c r="E18"/>
  <c r="F18" s="1"/>
  <c r="F16"/>
  <c r="F23"/>
  <c r="E25"/>
  <c r="F25" s="1"/>
  <c r="E37" i="4"/>
  <c r="F37" s="1"/>
  <c r="F35"/>
  <c r="F23"/>
  <c r="E25"/>
  <c r="F25" s="1"/>
  <c r="E18"/>
  <c r="F18" s="1"/>
  <c r="F16"/>
  <c r="F12"/>
  <c r="F38" i="20" l="1"/>
  <c r="F26"/>
  <c r="F38" i="15"/>
  <c r="F38" i="17"/>
  <c r="F26" i="15"/>
  <c r="F26" i="21"/>
  <c r="F38"/>
  <c r="F19" i="20"/>
  <c r="F26" i="18"/>
  <c r="F38"/>
  <c r="F26" i="17"/>
  <c r="F38" i="14"/>
  <c r="F26"/>
  <c r="F19" i="5"/>
  <c r="F26"/>
  <c r="F19" i="4"/>
  <c r="F38"/>
  <c r="F26"/>
</calcChain>
</file>

<file path=xl/sharedStrings.xml><?xml version="1.0" encoding="utf-8"?>
<sst xmlns="http://schemas.openxmlformats.org/spreadsheetml/2006/main" count="1603" uniqueCount="136">
  <si>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</si>
  <si>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</si>
  <si>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</si>
  <si>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</si>
  <si>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</si>
  <si>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</si>
  <si>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</si>
  <si>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</si>
  <si>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</si>
  <si>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</si>
  <si>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</si>
  <si>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</si>
  <si>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</si>
  <si>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</si>
  <si>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</si>
  <si>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</si>
  <si>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</si>
  <si>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</si>
  <si>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</si>
  <si>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</si>
  <si>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</si>
  <si>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</si>
  <si>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</si>
  <si>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</si>
  <si>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</si>
  <si>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</si>
  <si>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</si>
  <si>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</si>
  <si>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</si>
  <si>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</si>
  <si>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</si>
  <si>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</si>
  <si>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</si>
  <si>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</si>
  <si>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</si>
  <si>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</si>
  <si>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</si>
  <si>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</si>
  <si>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</si>
  <si>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</si>
  <si>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</si>
  <si>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</si>
  <si>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</si>
  <si>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</si>
  <si>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</si>
  <si>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</si>
  <si>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</si>
  <si>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</si>
  <si>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</si>
  <si>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</si>
  <si>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</si>
  <si>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</si>
  <si>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</si>
  <si>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</si>
  <si>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</si>
  <si>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</si>
  <si>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</si>
  <si>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</si>
  <si>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</si>
  <si>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</si>
  <si>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</si>
  <si>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</si>
  <si>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</si>
  <si>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</si>
  <si>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Prize: 50x to be distributed between players according to damage done to boss</t>
  </si>
  <si>
    <t>(*) To use in MAIN only. Shots using special weapons are not paid. Each special weapon has a limited number of shots and could be used any time in base game.</t>
  </si>
  <si>
    <t>For each shot in base game with a regular weapon draw if player gets a special weapon or not.</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</si>
  <si>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</si>
  <si>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</si>
  <si>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</si>
  <si>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</si>
  <si>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</si>
  <si>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</si>
  <si>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</si>
  <si>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</si>
  <si>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</si>
  <si>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</si>
  <si>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</si>
  <si>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</si>
  <si>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</si>
  <si>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</si>
  <si>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</si>
  <si>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</si>
  <si>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</si>
  <si>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</si>
  <si>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</si>
  <si>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</si>
  <si>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</si>
  <si>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</si>
  <si>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</si>
  <si>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</si>
  <si>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</si>
  <si>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</si>
  <si>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</si>
  <si>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</si>
  <si>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</si>
  <si>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</si>
  <si>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</si>
  <si>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</si>
  <si>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</si>
  <si>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</si>
  <si>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</si>
  <si>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</si>
  <si>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</si>
  <si>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</si>
  <si>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</si>
  <si>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</si>
  <si>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</si>
  <si>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</si>
  <si>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</si>
  <si>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</si>
  <si>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</si>
  <si>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</si>
  <si>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</si>
  <si>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</si>
  <si>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</si>
  <si>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</si>
  <si>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</si>
  <si>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</si>
  <si>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</si>
  <si>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</si>
  <si>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</si>
  <si>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</si>
  <si>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</si>
  <si>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</si>
  <si>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</si>
  <si>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</si>
  <si>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</si>
  <si>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</si>
  <si>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Special weapon 1: holy arrows (3 arrows)</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</si>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</sst>
</file>

<file path=xl/styles.xml><?xml version="1.0" encoding="utf-8"?>
<styleSheet xmlns="http://schemas.openxmlformats.org/spreadsheetml/2006/main">
  <numFmts count="9">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s>
  <fonts count="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9">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7" fillId="0" borderId="0" xfId="0" applyFont="1"/>
    <xf numFmtId="0" fontId="0" fillId="0" borderId="0" xfId="0" applyNumberFormat="1"/>
    <xf numFmtId="0" fontId="5" fillId="3" borderId="0" xfId="0" applyFont="1" applyFill="1" applyAlignment="1">
      <alignment horizontal="center"/>
    </xf>
    <xf numFmtId="0" fontId="6" fillId="4" borderId="0" xfId="0" applyFont="1" applyFill="1" applyAlignment="1">
      <alignment horizontal="center"/>
    </xf>
    <xf numFmtId="164" fontId="4" fillId="0" borderId="1" xfId="1" applyNumberFormat="1" applyFont="1" applyFill="1" applyBorder="1"/>
    <xf numFmtId="0" fontId="4" fillId="0" borderId="1" xfId="0" applyFont="1" applyBorder="1"/>
    <xf numFmtId="0" fontId="4" fillId="0" borderId="1" xfId="0" applyFont="1" applyBorder="1" applyAlignment="1">
      <alignment horizontal="center"/>
    </xf>
    <xf numFmtId="0" fontId="4" fillId="0" borderId="1" xfId="0" applyFont="1" applyFill="1" applyBorder="1"/>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sheetPr codeName="Hoja1">
    <tabColor rgb="FFFF0000"/>
  </sheetPr>
  <dimension ref="A1:K38"/>
  <sheetViews>
    <sheetView workbookViewId="0">
      <selection activeCell="A5" sqref="A5"/>
    </sheetView>
  </sheetViews>
  <sheetFormatPr baseColWidth="10" defaultRowHeight="14.4"/>
  <cols>
    <col min="1" max="1" width="18" customWidth="1"/>
    <col min="4" max="4" width="11.5546875" style="29"/>
    <col min="5" max="5" width="14.88671875" customWidth="1"/>
    <col min="7" max="7" width="13.5546875" customWidth="1"/>
    <col min="8" max="8" width="15" customWidth="1"/>
  </cols>
  <sheetData>
    <row r="1" spans="1:8" s="64" customFormat="1">
      <c r="A1" s="64" t="s">
        <v>71</v>
      </c>
    </row>
    <row r="2" spans="1:8" s="64" customFormat="1">
      <c r="A2" s="64" t="s">
        <v>72</v>
      </c>
    </row>
    <row r="3" spans="1:8" s="64" customFormat="1"/>
    <row r="4" spans="1:8" s="64" customFormat="1"/>
    <row r="5" spans="1:8">
      <c r="A5" s="6" t="s">
        <v>0</v>
      </c>
      <c r="B5" s="6" t="s">
        <v>1</v>
      </c>
      <c r="C5" s="6" t="s">
        <v>2</v>
      </c>
      <c r="D5" s="34" t="s">
        <v>11</v>
      </c>
      <c r="E5" s="6" t="s">
        <v>3</v>
      </c>
      <c r="F5" s="3"/>
      <c r="G5" s="3"/>
      <c r="H5" s="3"/>
    </row>
    <row r="6" spans="1:8">
      <c r="A6" s="5" t="s">
        <v>7</v>
      </c>
      <c r="B6" s="7">
        <v>0.6</v>
      </c>
      <c r="C6" s="5"/>
      <c r="D6" s="31"/>
      <c r="E6" s="5"/>
      <c r="F6" s="3"/>
      <c r="G6" s="3"/>
      <c r="H6" s="3"/>
    </row>
    <row r="7" spans="1:8">
      <c r="A7" s="5" t="s">
        <v>4</v>
      </c>
      <c r="B7" s="7">
        <v>0.25</v>
      </c>
      <c r="C7" s="5">
        <v>200</v>
      </c>
      <c r="D7" s="31">
        <f>1/C7</f>
        <v>5.0000000000000001E-3</v>
      </c>
      <c r="E7" s="10">
        <f>+C7*B7</f>
        <v>50</v>
      </c>
      <c r="F7" s="64" t="s">
        <v>64</v>
      </c>
      <c r="G7" s="3"/>
      <c r="H7" s="3"/>
    </row>
    <row r="8" spans="1:8">
      <c r="A8" s="5" t="s">
        <v>8</v>
      </c>
      <c r="B8" s="7">
        <v>0.1</v>
      </c>
      <c r="C8" s="5">
        <v>60</v>
      </c>
      <c r="D8" s="31">
        <f t="shared" ref="D8" si="0">1/C8</f>
        <v>1.6666666666666666E-2</v>
      </c>
      <c r="E8" s="5">
        <f>+C8*B8</f>
        <v>6</v>
      </c>
      <c r="F8" s="3"/>
      <c r="G8" s="17"/>
    </row>
    <row r="9" spans="1:8">
      <c r="A9" s="5" t="s">
        <v>5</v>
      </c>
      <c r="B9" s="7">
        <v>0</v>
      </c>
      <c r="C9" s="5"/>
      <c r="D9" s="31"/>
      <c r="E9" s="5"/>
      <c r="F9" s="3"/>
    </row>
    <row r="10" spans="1:8">
      <c r="A10" s="6" t="s">
        <v>6</v>
      </c>
      <c r="B10" s="38">
        <v>0.95000000000000007</v>
      </c>
      <c r="C10" s="6"/>
      <c r="D10" s="34"/>
      <c r="E10" s="6"/>
      <c r="F10" s="3"/>
    </row>
    <row r="11" spans="1:8">
      <c r="A11" s="72" t="s">
        <v>65</v>
      </c>
    </row>
    <row r="12" spans="1:8">
      <c r="A12" s="72" t="s">
        <v>122</v>
      </c>
    </row>
    <row r="13" spans="1:8" s="29" customFormat="1">
      <c r="A13" s="72" t="s">
        <v>123</v>
      </c>
    </row>
    <row r="14" spans="1:8" s="29" customFormat="1"/>
    <row r="15" spans="1:8">
      <c r="A15" s="66" t="s">
        <v>124</v>
      </c>
    </row>
    <row r="16" spans="1:8" s="64" customFormat="1">
      <c r="A16" s="66"/>
    </row>
    <row r="17" spans="1:11" s="64" customFormat="1">
      <c r="A17" s="66"/>
    </row>
    <row r="18" spans="1:11">
      <c r="A18" s="67" t="s">
        <v>74</v>
      </c>
      <c r="B18" s="64"/>
      <c r="D18" s="67" t="s">
        <v>75</v>
      </c>
      <c r="E18" s="64"/>
      <c r="G18" s="67" t="s">
        <v>76</v>
      </c>
      <c r="H18" s="64"/>
    </row>
    <row r="19" spans="1:11">
      <c r="A19" s="69" t="s">
        <v>85</v>
      </c>
      <c r="B19" s="69" t="s">
        <v>84</v>
      </c>
      <c r="D19" s="69" t="s">
        <v>85</v>
      </c>
      <c r="E19" s="69" t="s">
        <v>84</v>
      </c>
      <c r="G19" s="69" t="s">
        <v>85</v>
      </c>
      <c r="H19" s="69" t="s">
        <v>84</v>
      </c>
    </row>
    <row r="20" spans="1:11">
      <c r="A20" s="68">
        <v>1</v>
      </c>
      <c r="B20" s="94">
        <v>2</v>
      </c>
      <c r="D20" s="68">
        <v>1</v>
      </c>
      <c r="E20" s="94">
        <v>3</v>
      </c>
      <c r="G20" s="68">
        <v>1</v>
      </c>
      <c r="H20" s="94">
        <v>4</v>
      </c>
    </row>
    <row r="21" spans="1:11" s="64" customFormat="1">
      <c r="A21" s="66"/>
    </row>
    <row r="22" spans="1:11" s="64" customFormat="1">
      <c r="A22" s="66"/>
    </row>
    <row r="23" spans="1:11" s="3" customFormat="1">
      <c r="A23" s="2"/>
      <c r="D23" s="29"/>
    </row>
    <row r="24" spans="1:11">
      <c r="A24" s="67" t="s">
        <v>78</v>
      </c>
      <c r="B24" s="64"/>
      <c r="D24" s="4" t="s">
        <v>81</v>
      </c>
      <c r="G24" s="4" t="s">
        <v>82</v>
      </c>
      <c r="H24" s="3"/>
      <c r="J24" s="4" t="s">
        <v>83</v>
      </c>
      <c r="K24" s="3"/>
    </row>
    <row r="25" spans="1:11">
      <c r="A25" s="69" t="s">
        <v>77</v>
      </c>
      <c r="B25" s="69" t="s">
        <v>84</v>
      </c>
      <c r="D25" s="69" t="s">
        <v>85</v>
      </c>
      <c r="E25" s="69" t="s">
        <v>84</v>
      </c>
      <c r="G25" s="69" t="s">
        <v>85</v>
      </c>
      <c r="H25" s="69" t="s">
        <v>84</v>
      </c>
      <c r="J25" s="69" t="s">
        <v>85</v>
      </c>
      <c r="K25" s="69" t="s">
        <v>84</v>
      </c>
    </row>
    <row r="26" spans="1:11">
      <c r="A26" s="68">
        <v>1</v>
      </c>
      <c r="B26" s="93">
        <v>2</v>
      </c>
      <c r="D26" s="5">
        <v>2</v>
      </c>
      <c r="E26" s="93">
        <v>2</v>
      </c>
      <c r="G26" s="68">
        <v>1</v>
      </c>
      <c r="H26" s="93">
        <v>2</v>
      </c>
      <c r="J26" s="68">
        <v>1</v>
      </c>
      <c r="K26" s="93">
        <v>3</v>
      </c>
    </row>
    <row r="27" spans="1:11">
      <c r="A27" s="68">
        <v>2</v>
      </c>
      <c r="B27" s="93">
        <v>3</v>
      </c>
      <c r="D27" s="1">
        <v>3</v>
      </c>
      <c r="E27" s="93">
        <v>3</v>
      </c>
      <c r="G27" s="68">
        <v>2</v>
      </c>
      <c r="H27" s="93">
        <v>2</v>
      </c>
      <c r="J27" s="68">
        <v>2</v>
      </c>
      <c r="K27" s="93">
        <v>3</v>
      </c>
    </row>
    <row r="28" spans="1:11">
      <c r="A28" s="91" t="s">
        <v>6</v>
      </c>
      <c r="B28" s="94">
        <f>+SUM(B26:B27)</f>
        <v>5</v>
      </c>
      <c r="D28" s="91" t="s">
        <v>6</v>
      </c>
      <c r="E28" s="94">
        <f>+SUM(E26:E27)</f>
        <v>5</v>
      </c>
      <c r="G28" s="65">
        <v>3</v>
      </c>
      <c r="H28" s="93">
        <v>4</v>
      </c>
      <c r="J28" s="65">
        <v>3</v>
      </c>
      <c r="K28" s="93">
        <v>6</v>
      </c>
    </row>
    <row r="29" spans="1:11" s="64" customFormat="1">
      <c r="D29" s="29"/>
      <c r="E29"/>
      <c r="F29" s="67"/>
      <c r="G29" s="91" t="s">
        <v>6</v>
      </c>
      <c r="H29" s="94">
        <f>+SUM(H26:H28)</f>
        <v>8</v>
      </c>
      <c r="I29" s="67"/>
      <c r="J29" s="91" t="s">
        <v>6</v>
      </c>
      <c r="K29" s="94">
        <f>+SUM(K26:K28)</f>
        <v>12</v>
      </c>
    </row>
    <row r="33" spans="1:7">
      <c r="A33" s="67" t="s">
        <v>79</v>
      </c>
      <c r="B33" s="64"/>
      <c r="D33" s="67" t="s">
        <v>80</v>
      </c>
      <c r="E33" s="64"/>
    </row>
    <row r="34" spans="1:7">
      <c r="A34" s="69" t="s">
        <v>85</v>
      </c>
      <c r="B34" s="69" t="s">
        <v>84</v>
      </c>
      <c r="D34" s="69" t="s">
        <v>85</v>
      </c>
      <c r="E34" s="69" t="s">
        <v>84</v>
      </c>
    </row>
    <row r="35" spans="1:7">
      <c r="A35" s="68">
        <v>1</v>
      </c>
      <c r="B35" s="93">
        <v>2</v>
      </c>
      <c r="D35" s="68">
        <v>1</v>
      </c>
      <c r="E35" s="93">
        <v>2</v>
      </c>
      <c r="G35" s="66"/>
    </row>
    <row r="36" spans="1:7">
      <c r="A36" s="68">
        <v>2</v>
      </c>
      <c r="B36" s="93">
        <v>5</v>
      </c>
      <c r="D36" s="68">
        <v>2</v>
      </c>
      <c r="E36" s="93">
        <v>5</v>
      </c>
    </row>
    <row r="37" spans="1:7">
      <c r="A37" s="68">
        <v>3</v>
      </c>
      <c r="B37" s="93">
        <v>8</v>
      </c>
      <c r="D37" s="68">
        <v>3</v>
      </c>
      <c r="E37" s="93">
        <v>8</v>
      </c>
    </row>
    <row r="38" spans="1:7">
      <c r="A38" s="91" t="s">
        <v>6</v>
      </c>
      <c r="B38" s="94">
        <f>+SUM(B35:B37)</f>
        <v>15</v>
      </c>
      <c r="D38" s="91" t="s">
        <v>6</v>
      </c>
      <c r="E38" s="94">
        <f>+SUM(E35:E37)</f>
        <v>15</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8"/>
  <dimension ref="A1:F38"/>
  <sheetViews>
    <sheetView tabSelected="1" workbookViewId="0">
      <selection activeCell="A4" sqref="A4"/>
    </sheetView>
  </sheetViews>
  <sheetFormatPr baseColWidth="10" defaultRowHeight="14.4"/>
  <cols>
    <col min="1" max="1" width="19.5546875" style="64" customWidth="1"/>
    <col min="2" max="2" width="11.5546875" style="64"/>
    <col min="3" max="3" width="17" style="64" customWidth="1"/>
    <col min="4" max="4" width="13.5546875" style="64" bestFit="1" customWidth="1"/>
    <col min="5" max="16384" width="11.5546875" style="64"/>
  </cols>
  <sheetData>
    <row r="1" spans="1:6">
      <c r="A1" s="64" t="s">
        <v>66</v>
      </c>
    </row>
    <row r="2" spans="1:6">
      <c r="A2" s="64" t="s">
        <v>68</v>
      </c>
    </row>
    <row r="3" spans="1:6">
      <c r="A3" s="64" t="s">
        <v>73</v>
      </c>
    </row>
    <row r="5" spans="1:6" ht="15" thickBot="1"/>
    <row r="6" spans="1:6">
      <c r="A6" s="80" t="s">
        <v>53</v>
      </c>
      <c r="B6" s="81" t="s">
        <v>54</v>
      </c>
      <c r="C6" s="81" t="s">
        <v>55</v>
      </c>
      <c r="D6" s="81" t="s">
        <v>56</v>
      </c>
      <c r="E6" s="82" t="s">
        <v>57</v>
      </c>
    </row>
    <row r="7" spans="1:6">
      <c r="A7" s="83" t="s">
        <v>58</v>
      </c>
      <c r="B7" s="84">
        <v>3</v>
      </c>
      <c r="C7" s="84">
        <v>1.2</v>
      </c>
      <c r="D7" s="84">
        <f>+B7*C7</f>
        <v>3.5999999999999996</v>
      </c>
      <c r="E7" s="85">
        <v>330</v>
      </c>
    </row>
    <row r="8" spans="1:6">
      <c r="A8" s="83" t="s">
        <v>59</v>
      </c>
      <c r="B8" s="84">
        <v>5</v>
      </c>
      <c r="C8" s="84">
        <v>1.05</v>
      </c>
      <c r="D8" s="84">
        <f t="shared" ref="D8:D9" si="0">+B8*C8</f>
        <v>5.25</v>
      </c>
      <c r="E8" s="85">
        <v>180</v>
      </c>
    </row>
    <row r="9" spans="1:6">
      <c r="A9" s="83" t="s">
        <v>60</v>
      </c>
      <c r="B9" s="84">
        <v>10</v>
      </c>
      <c r="C9" s="84">
        <v>0.9</v>
      </c>
      <c r="D9" s="84">
        <f t="shared" si="0"/>
        <v>9</v>
      </c>
      <c r="E9" s="85">
        <v>309</v>
      </c>
    </row>
    <row r="10" spans="1:6" ht="15" thickBot="1">
      <c r="A10" s="86" t="s">
        <v>61</v>
      </c>
      <c r="B10" s="87">
        <v>0</v>
      </c>
      <c r="C10" s="87">
        <v>15</v>
      </c>
      <c r="D10" s="87">
        <f>+B10*C10</f>
        <v>0</v>
      </c>
      <c r="E10" s="88">
        <v>0</v>
      </c>
      <c r="F10" s="64" t="s">
        <v>118</v>
      </c>
    </row>
    <row r="11" spans="1:6" ht="15" thickBot="1">
      <c r="F11" s="64" t="s">
        <v>119</v>
      </c>
    </row>
    <row r="12" spans="1:6" ht="15" thickBot="1">
      <c r="C12" s="89" t="s">
        <v>67</v>
      </c>
      <c r="D12" s="90">
        <f>+SUMPRODUCT(D7:D9,E7:E9)/SUM(E7:E9)</f>
        <v>6</v>
      </c>
    </row>
    <row r="15" spans="1:6">
      <c r="A15" s="64" t="s">
        <v>63</v>
      </c>
    </row>
    <row r="16" spans="1:6" ht="15" thickBot="1"/>
    <row r="17" spans="1:6">
      <c r="A17" s="80" t="s">
        <v>53</v>
      </c>
      <c r="B17" s="81" t="s">
        <v>54</v>
      </c>
      <c r="C17" s="81" t="s">
        <v>55</v>
      </c>
      <c r="D17" s="81" t="s">
        <v>56</v>
      </c>
      <c r="E17" s="82" t="s">
        <v>57</v>
      </c>
    </row>
    <row r="18" spans="1:6">
      <c r="A18" s="83" t="s">
        <v>58</v>
      </c>
      <c r="B18" s="84">
        <v>3</v>
      </c>
      <c r="C18" s="84">
        <v>1.2</v>
      </c>
      <c r="D18" s="84">
        <f>+B18*C18</f>
        <v>3.5999999999999996</v>
      </c>
      <c r="E18" s="85">
        <v>10</v>
      </c>
    </row>
    <row r="19" spans="1:6">
      <c r="A19" s="83" t="s">
        <v>59</v>
      </c>
      <c r="B19" s="84">
        <v>5</v>
      </c>
      <c r="C19" s="84">
        <v>1.05</v>
      </c>
      <c r="D19" s="84">
        <f t="shared" ref="D19:D20" si="1">+B19*C19</f>
        <v>5.25</v>
      </c>
      <c r="E19" s="85">
        <v>8</v>
      </c>
    </row>
    <row r="20" spans="1:6">
      <c r="A20" s="83" t="s">
        <v>60</v>
      </c>
      <c r="B20" s="84">
        <v>10</v>
      </c>
      <c r="C20" s="84">
        <v>0.9</v>
      </c>
      <c r="D20" s="84">
        <f t="shared" si="1"/>
        <v>9</v>
      </c>
      <c r="E20" s="85">
        <v>7</v>
      </c>
    </row>
    <row r="21" spans="1:6" ht="15" thickBot="1">
      <c r="A21" s="86" t="s">
        <v>61</v>
      </c>
      <c r="B21" s="87">
        <v>1</v>
      </c>
      <c r="C21" s="87">
        <v>15</v>
      </c>
      <c r="D21" s="87">
        <f>+B21*C21</f>
        <v>15</v>
      </c>
      <c r="E21" s="88">
        <v>1</v>
      </c>
      <c r="F21" s="64" t="s">
        <v>120</v>
      </c>
    </row>
    <row r="22" spans="1:6" ht="15" thickBot="1">
      <c r="A22" s="66" t="s">
        <v>62</v>
      </c>
    </row>
    <row r="23" spans="1:6" ht="15" thickBot="1">
      <c r="C23" s="89" t="s">
        <v>67</v>
      </c>
      <c r="D23" s="90">
        <f>+SUMPRODUCT(D18:D21,E18:E21)/SUM(E18:E21)</f>
        <v>6</v>
      </c>
    </row>
    <row r="25" spans="1:6">
      <c r="A25" s="64" t="s">
        <v>121</v>
      </c>
    </row>
    <row r="26" spans="1:6">
      <c r="A26" s="64" t="s">
        <v>69</v>
      </c>
    </row>
    <row r="29" spans="1:6" ht="15.6">
      <c r="A29" s="101" t="s">
        <v>128</v>
      </c>
    </row>
    <row r="30" spans="1:6">
      <c r="A30" s="64" t="s">
        <v>129</v>
      </c>
    </row>
    <row r="32" spans="1:6">
      <c r="A32" s="64" t="s">
        <v>130</v>
      </c>
    </row>
    <row r="33" spans="1:1">
      <c r="A33" s="102" t="s">
        <v>131</v>
      </c>
    </row>
    <row r="34" spans="1:1">
      <c r="A34" s="64" t="s">
        <v>132</v>
      </c>
    </row>
    <row r="36" spans="1:1">
      <c r="A36" s="64" t="s">
        <v>133</v>
      </c>
    </row>
    <row r="37" spans="1:1">
      <c r="A37" s="64" t="s">
        <v>134</v>
      </c>
    </row>
    <row r="38" spans="1:1">
      <c r="A38" s="64" t="s">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126</v>
      </c>
      <c r="B1" s="103"/>
      <c r="C1" s="103"/>
      <c r="D1" s="103"/>
      <c r="E1" s="103"/>
    </row>
    <row r="2" spans="1:9">
      <c r="A2" s="74" t="s">
        <v>98</v>
      </c>
    </row>
    <row r="4" spans="1:9">
      <c r="A4" s="67" t="s">
        <v>10</v>
      </c>
      <c r="B4" s="69" t="s">
        <v>85</v>
      </c>
      <c r="C4" s="69" t="s">
        <v>11</v>
      </c>
      <c r="D4" s="69" t="s">
        <v>20</v>
      </c>
      <c r="E4" s="69" t="s">
        <v>9</v>
      </c>
      <c r="F4" s="69" t="s">
        <v>1</v>
      </c>
      <c r="G4" s="69" t="s">
        <v>52</v>
      </c>
    </row>
    <row r="5" spans="1:9">
      <c r="A5" s="64" t="s">
        <v>92</v>
      </c>
      <c r="B5" s="96">
        <v>1</v>
      </c>
      <c r="C5" s="105">
        <v>0.2</v>
      </c>
      <c r="D5" s="65">
        <f>+SUM($C$5:C5)</f>
        <v>0.2</v>
      </c>
      <c r="E5" s="65">
        <f>+Summary!E26</f>
        <v>2</v>
      </c>
      <c r="F5" s="65">
        <f>+C5*E5</f>
        <v>0.4</v>
      </c>
      <c r="G5" s="58"/>
    </row>
    <row r="6" spans="1:9">
      <c r="B6" s="96">
        <v>2</v>
      </c>
      <c r="C6" s="105">
        <v>0.05</v>
      </c>
      <c r="D6" s="100">
        <f>+SUM($C$5:C6)</f>
        <v>0.25</v>
      </c>
      <c r="E6" s="65">
        <f>+Summary!E27</f>
        <v>3</v>
      </c>
      <c r="F6" s="65">
        <f t="shared" ref="F6:F7" si="0">+C6*E6</f>
        <v>0.15000000000000002</v>
      </c>
      <c r="G6" s="58"/>
    </row>
    <row r="7" spans="1:9">
      <c r="B7" s="96" t="s">
        <v>86</v>
      </c>
      <c r="C7" s="51">
        <v>0.01</v>
      </c>
      <c r="D7" s="65">
        <f>+SUM($C$5:C7)</f>
        <v>0.26</v>
      </c>
      <c r="E7" s="65">
        <f>+E5+E6</f>
        <v>5</v>
      </c>
      <c r="F7" s="65">
        <f t="shared" si="0"/>
        <v>0.05</v>
      </c>
      <c r="G7" s="58">
        <v>0.5</v>
      </c>
      <c r="H7" s="64" t="s">
        <v>91</v>
      </c>
      <c r="I7" s="98"/>
    </row>
    <row r="8" spans="1:9">
      <c r="B8" s="71" t="s">
        <v>12</v>
      </c>
      <c r="C8" s="71">
        <f>+SUM(C5:C7)</f>
        <v>0.26</v>
      </c>
      <c r="D8" s="71"/>
      <c r="E8" s="71"/>
      <c r="F8" s="62">
        <f>+SUM(F5:F7)</f>
        <v>0.60000000000000009</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106">
        <v>0.3</v>
      </c>
      <c r="D13" s="68">
        <f>+SUM(C13:$C$13)</f>
        <v>0.3</v>
      </c>
      <c r="E13" s="68">
        <f>+E5</f>
        <v>2</v>
      </c>
      <c r="F13" s="68">
        <f>+E13*C13</f>
        <v>0.6</v>
      </c>
      <c r="G13" s="107">
        <v>1.6666666666600001E-2</v>
      </c>
      <c r="H13" s="64" t="s">
        <v>91</v>
      </c>
    </row>
    <row r="14" spans="1:9">
      <c r="A14" s="64" t="s">
        <v>95</v>
      </c>
      <c r="B14" s="71" t="s">
        <v>6</v>
      </c>
      <c r="C14" s="71">
        <f>+SUM(C13:C13)</f>
        <v>0.3</v>
      </c>
      <c r="D14" s="71"/>
      <c r="E14" s="71"/>
      <c r="F14" s="76">
        <f>+SUM(F13:F13)</f>
        <v>0.6</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106">
        <v>0.2</v>
      </c>
      <c r="D18" s="68">
        <f>+SUM(C$18:$C18)</f>
        <v>0.2</v>
      </c>
      <c r="E18" s="68">
        <f>+E6</f>
        <v>3</v>
      </c>
      <c r="F18" s="68">
        <f>+E18*C18</f>
        <v>0.60000000000000009</v>
      </c>
      <c r="G18" s="107">
        <v>2.5000000000000001E-2</v>
      </c>
      <c r="H18" s="64" t="s">
        <v>91</v>
      </c>
    </row>
    <row r="19" spans="1:8">
      <c r="A19" s="64" t="s">
        <v>94</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4.xml><?xml version="1.0" encoding="utf-8"?>
<worksheet xmlns="http://schemas.openxmlformats.org/spreadsheetml/2006/main" xmlns:r="http://schemas.openxmlformats.org/officeDocument/2006/relationships">
  <sheetPr codeName="Hoja3"/>
  <dimension ref="A1:J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109375" style="9" customWidth="1"/>
    <col min="9" max="9" width="11.5546875" style="9"/>
    <col min="10" max="10" width="12.5546875" style="9" bestFit="1" customWidth="1"/>
    <col min="11" max="16384" width="11.5546875" style="9"/>
  </cols>
  <sheetData>
    <row r="1" spans="1:9" ht="18">
      <c r="A1" s="103" t="s">
        <v>97</v>
      </c>
      <c r="B1" s="103"/>
      <c r="C1" s="103"/>
      <c r="D1" s="103"/>
      <c r="E1" s="103"/>
    </row>
    <row r="2" spans="1:9">
      <c r="A2" s="74" t="s">
        <v>98</v>
      </c>
    </row>
    <row r="4" spans="1:9">
      <c r="A4" s="67" t="s">
        <v>10</v>
      </c>
      <c r="B4" s="14" t="s">
        <v>85</v>
      </c>
      <c r="C4" s="14" t="s">
        <v>11</v>
      </c>
      <c r="D4" s="14" t="s">
        <v>20</v>
      </c>
      <c r="E4" s="14" t="s">
        <v>9</v>
      </c>
      <c r="F4" s="14" t="s">
        <v>1</v>
      </c>
      <c r="G4" s="44" t="s">
        <v>52</v>
      </c>
      <c r="H4" s="29"/>
      <c r="I4" s="29"/>
    </row>
    <row r="5" spans="1:9">
      <c r="A5" s="64" t="s">
        <v>92</v>
      </c>
      <c r="B5" s="96">
        <v>1</v>
      </c>
      <c r="C5" s="39">
        <v>0.09</v>
      </c>
      <c r="D5" s="1">
        <f>+SUM($C$5:C5)</f>
        <v>0.09</v>
      </c>
      <c r="E5" s="1">
        <f>+Summary!H26</f>
        <v>2</v>
      </c>
      <c r="F5" s="1">
        <f>+C5*E5</f>
        <v>0.18</v>
      </c>
      <c r="G5" s="47"/>
      <c r="H5" s="29"/>
      <c r="I5" s="29"/>
    </row>
    <row r="6" spans="1:9">
      <c r="A6" s="64"/>
      <c r="B6" s="96">
        <v>2</v>
      </c>
      <c r="C6" s="39">
        <v>0.09</v>
      </c>
      <c r="D6" s="1">
        <f>+SUM($C$5:C6)</f>
        <v>0.18</v>
      </c>
      <c r="E6" s="1">
        <f>+Summary!H27</f>
        <v>2</v>
      </c>
      <c r="F6" s="1">
        <f t="shared" ref="F6:F11" si="0">+C6*E6</f>
        <v>0.18</v>
      </c>
      <c r="G6" s="47"/>
      <c r="H6" s="29"/>
      <c r="I6" s="29"/>
    </row>
    <row r="7" spans="1:9">
      <c r="A7" s="64"/>
      <c r="B7" s="96">
        <v>3</v>
      </c>
      <c r="C7" s="108">
        <v>0.03</v>
      </c>
      <c r="D7" s="1">
        <f>+SUM($C$5:C7)</f>
        <v>0.21</v>
      </c>
      <c r="E7" s="1">
        <f>+Summary!H28</f>
        <v>4</v>
      </c>
      <c r="F7" s="1">
        <f t="shared" si="0"/>
        <v>0.12</v>
      </c>
      <c r="G7" s="47"/>
      <c r="H7" s="29"/>
      <c r="I7" s="29"/>
    </row>
    <row r="8" spans="1:9">
      <c r="A8" s="64"/>
      <c r="B8" s="96" t="s">
        <v>86</v>
      </c>
      <c r="C8" s="39">
        <v>8.0000000000000002E-3</v>
      </c>
      <c r="D8" s="1">
        <f>+SUM($C$5:C8)</f>
        <v>0.218</v>
      </c>
      <c r="E8" s="1">
        <f>+E5+E6</f>
        <v>4</v>
      </c>
      <c r="F8" s="1">
        <f t="shared" si="0"/>
        <v>3.2000000000000001E-2</v>
      </c>
      <c r="G8" s="47"/>
      <c r="H8" s="29"/>
      <c r="I8" s="29"/>
    </row>
    <row r="9" spans="1:9">
      <c r="A9" s="64"/>
      <c r="B9" s="96" t="s">
        <v>87</v>
      </c>
      <c r="C9" s="39">
        <v>4.0000000000000001E-3</v>
      </c>
      <c r="D9" s="1">
        <f>+SUM($C$5:C9)</f>
        <v>0.222</v>
      </c>
      <c r="E9" s="1">
        <f>+E5+E7</f>
        <v>6</v>
      </c>
      <c r="F9" s="1">
        <f t="shared" si="0"/>
        <v>2.4E-2</v>
      </c>
      <c r="G9" s="47"/>
      <c r="H9" s="29"/>
      <c r="I9" s="29"/>
    </row>
    <row r="10" spans="1:9">
      <c r="A10" s="64"/>
      <c r="B10" s="96" t="s">
        <v>88</v>
      </c>
      <c r="C10" s="39">
        <v>4.0000000000000001E-3</v>
      </c>
      <c r="D10" s="1">
        <f>+SUM($C$5:C10)</f>
        <v>0.22600000000000001</v>
      </c>
      <c r="E10" s="1">
        <f>+E6+E7</f>
        <v>6</v>
      </c>
      <c r="F10" s="1">
        <f t="shared" si="0"/>
        <v>2.4E-2</v>
      </c>
      <c r="G10" s="47"/>
      <c r="H10" s="29"/>
      <c r="I10" s="29"/>
    </row>
    <row r="11" spans="1:9">
      <c r="A11" s="64"/>
      <c r="B11" s="96" t="s">
        <v>89</v>
      </c>
      <c r="C11" s="40">
        <v>5.0000000000000001E-3</v>
      </c>
      <c r="D11" s="1">
        <f>+SUM($C$5:C11)</f>
        <v>0.23100000000000001</v>
      </c>
      <c r="E11" s="1">
        <f>+E5+E6+E7</f>
        <v>8</v>
      </c>
      <c r="F11" s="1">
        <f t="shared" si="0"/>
        <v>0.04</v>
      </c>
      <c r="G11" s="47">
        <v>1</v>
      </c>
      <c r="H11" s="64" t="s">
        <v>91</v>
      </c>
      <c r="I11" s="29"/>
    </row>
    <row r="12" spans="1:9">
      <c r="A12" s="64"/>
      <c r="B12" s="11" t="s">
        <v>12</v>
      </c>
      <c r="C12" s="11">
        <f>+SUM(C5:C11)</f>
        <v>0.23100000000000001</v>
      </c>
      <c r="D12" s="11"/>
      <c r="E12" s="11"/>
      <c r="F12" s="15">
        <f>+SUM(F5:F11)</f>
        <v>0.60000000000000009</v>
      </c>
      <c r="G12" s="48"/>
      <c r="H12" s="29"/>
      <c r="I12" s="29"/>
    </row>
    <row r="13" spans="1:9">
      <c r="A13" s="64"/>
      <c r="B13" s="16" t="s">
        <v>90</v>
      </c>
      <c r="G13" s="45"/>
      <c r="H13" s="29"/>
      <c r="I13" s="29"/>
    </row>
    <row r="14" spans="1:9">
      <c r="A14" s="64"/>
      <c r="G14" s="45"/>
      <c r="H14" s="29"/>
      <c r="I14" s="29"/>
    </row>
    <row r="15" spans="1:9">
      <c r="A15" s="67" t="s">
        <v>14</v>
      </c>
      <c r="B15" s="14" t="s">
        <v>85</v>
      </c>
      <c r="C15" s="14" t="s">
        <v>11</v>
      </c>
      <c r="D15" s="14" t="s">
        <v>20</v>
      </c>
      <c r="E15" s="14" t="s">
        <v>9</v>
      </c>
      <c r="F15" s="14" t="s">
        <v>1</v>
      </c>
      <c r="G15" s="44" t="s">
        <v>52</v>
      </c>
      <c r="H15" s="29"/>
      <c r="I15" s="29"/>
    </row>
    <row r="16" spans="1:9">
      <c r="A16" s="64" t="s">
        <v>93</v>
      </c>
      <c r="B16" s="95">
        <v>2</v>
      </c>
      <c r="C16" s="106">
        <v>0.25</v>
      </c>
      <c r="D16" s="10">
        <f>+SUM(C16:$C$16)</f>
        <v>0.25</v>
      </c>
      <c r="E16" s="10">
        <f>+E6</f>
        <v>2</v>
      </c>
      <c r="F16" s="10">
        <f>+C16*E16</f>
        <v>0.5</v>
      </c>
      <c r="G16" s="47"/>
      <c r="H16" s="29"/>
      <c r="I16" s="29"/>
    </row>
    <row r="17" spans="1:10">
      <c r="A17" s="64" t="s">
        <v>94</v>
      </c>
      <c r="B17" s="95">
        <v>3</v>
      </c>
      <c r="C17" s="41">
        <v>1.2999999999999999E-2</v>
      </c>
      <c r="D17" s="10">
        <f>+SUM(C$16:$C17)</f>
        <v>0.26300000000000001</v>
      </c>
      <c r="E17" s="10">
        <f>+E7</f>
        <v>4</v>
      </c>
      <c r="F17" s="10">
        <f t="shared" ref="F17:F18" si="1">+C17*E17</f>
        <v>5.1999999999999998E-2</v>
      </c>
      <c r="G17" s="47"/>
      <c r="H17" s="29"/>
      <c r="I17" s="29"/>
    </row>
    <row r="18" spans="1:10">
      <c r="A18" s="64"/>
      <c r="B18" s="95" t="s">
        <v>88</v>
      </c>
      <c r="C18" s="41">
        <v>8.0000000000000002E-3</v>
      </c>
      <c r="D18" s="10">
        <f>+SUM(C$16:$C18)</f>
        <v>0.27100000000000002</v>
      </c>
      <c r="E18" s="10">
        <f>+E16+E17</f>
        <v>6</v>
      </c>
      <c r="F18" s="10">
        <f t="shared" si="1"/>
        <v>4.8000000000000001E-2</v>
      </c>
      <c r="G18" s="47">
        <v>0.625</v>
      </c>
      <c r="H18" s="64" t="s">
        <v>91</v>
      </c>
      <c r="I18" s="29"/>
    </row>
    <row r="19" spans="1:10">
      <c r="A19" s="64"/>
      <c r="B19" s="11" t="s">
        <v>6</v>
      </c>
      <c r="C19" s="11">
        <f>+SUM(C16:C18)</f>
        <v>0.27100000000000002</v>
      </c>
      <c r="D19" s="11"/>
      <c r="E19" s="11"/>
      <c r="F19" s="13">
        <f>+SUM(F16:F18)</f>
        <v>0.60000000000000009</v>
      </c>
      <c r="G19" s="49"/>
      <c r="H19" s="29"/>
      <c r="I19" s="29"/>
    </row>
    <row r="20" spans="1:10">
      <c r="A20" s="64"/>
      <c r="B20" s="12"/>
      <c r="C20" s="12"/>
      <c r="D20" s="12"/>
      <c r="E20" s="12"/>
      <c r="F20" s="8"/>
      <c r="G20" s="50"/>
      <c r="H20" s="29"/>
      <c r="I20" s="29"/>
    </row>
    <row r="21" spans="1:10">
      <c r="A21" s="64"/>
      <c r="B21" s="12"/>
      <c r="C21" s="12"/>
      <c r="D21" s="12"/>
      <c r="E21" s="12"/>
      <c r="F21" s="8"/>
      <c r="G21" s="50"/>
      <c r="H21" s="29"/>
      <c r="I21" s="29"/>
    </row>
    <row r="22" spans="1:10">
      <c r="A22" s="67" t="s">
        <v>15</v>
      </c>
      <c r="B22" s="14" t="s">
        <v>85</v>
      </c>
      <c r="C22" s="14" t="s">
        <v>11</v>
      </c>
      <c r="D22" s="14" t="s">
        <v>20</v>
      </c>
      <c r="E22" s="14" t="s">
        <v>9</v>
      </c>
      <c r="F22" s="14" t="s">
        <v>1</v>
      </c>
      <c r="G22" s="44" t="s">
        <v>52</v>
      </c>
      <c r="H22" s="29"/>
      <c r="I22" s="29"/>
    </row>
    <row r="23" spans="1:10">
      <c r="A23" s="64" t="s">
        <v>93</v>
      </c>
      <c r="B23" s="95">
        <v>1</v>
      </c>
      <c r="C23" s="106">
        <v>0.25</v>
      </c>
      <c r="D23" s="10">
        <f>+SUM(C23:$C$23)</f>
        <v>0.25</v>
      </c>
      <c r="E23" s="10">
        <f>+E5</f>
        <v>2</v>
      </c>
      <c r="F23" s="10">
        <f>+C23*E23</f>
        <v>0.5</v>
      </c>
      <c r="G23" s="47"/>
      <c r="H23" s="29"/>
      <c r="I23" s="29"/>
    </row>
    <row r="24" spans="1:10">
      <c r="A24" s="64" t="s">
        <v>95</v>
      </c>
      <c r="B24" s="95">
        <v>3</v>
      </c>
      <c r="C24" s="42">
        <v>1.2999999999999999E-2</v>
      </c>
      <c r="D24" s="10">
        <f>+SUM(C$23:$C24)</f>
        <v>0.26300000000000001</v>
      </c>
      <c r="E24" s="10">
        <f>+E7</f>
        <v>4</v>
      </c>
      <c r="F24" s="10">
        <f t="shared" ref="F24:F25" si="2">+C24*E24</f>
        <v>5.1999999999999998E-2</v>
      </c>
      <c r="G24" s="47"/>
      <c r="H24" s="29"/>
      <c r="I24" s="29"/>
    </row>
    <row r="25" spans="1:10">
      <c r="A25" s="64"/>
      <c r="B25" s="95" t="s">
        <v>87</v>
      </c>
      <c r="C25" s="42">
        <v>8.0000000000000002E-3</v>
      </c>
      <c r="D25" s="10">
        <f>+SUM(C$23:$C25)</f>
        <v>0.27100000000000002</v>
      </c>
      <c r="E25" s="10">
        <f>+E23+E24</f>
        <v>6</v>
      </c>
      <c r="F25" s="10">
        <f t="shared" si="2"/>
        <v>4.8000000000000001E-2</v>
      </c>
      <c r="G25" s="47">
        <v>0.625</v>
      </c>
      <c r="H25" s="64" t="s">
        <v>91</v>
      </c>
      <c r="I25" s="29"/>
      <c r="J25" s="37"/>
    </row>
    <row r="26" spans="1:10">
      <c r="A26" s="64"/>
      <c r="B26" s="11" t="s">
        <v>6</v>
      </c>
      <c r="C26" s="11">
        <f>+SUM(C23:C25)</f>
        <v>0.27100000000000002</v>
      </c>
      <c r="D26" s="11"/>
      <c r="E26" s="11"/>
      <c r="F26" s="13">
        <f>+SUM(F23:F25)</f>
        <v>0.60000000000000009</v>
      </c>
      <c r="G26" s="49"/>
      <c r="H26" s="29"/>
      <c r="I26" s="29"/>
    </row>
    <row r="27" spans="1:10">
      <c r="A27" s="64"/>
      <c r="B27" s="12"/>
      <c r="C27" s="12"/>
      <c r="D27" s="12"/>
      <c r="E27" s="12"/>
      <c r="F27" s="8"/>
      <c r="G27" s="50"/>
      <c r="H27" s="29"/>
      <c r="I27" s="29"/>
    </row>
    <row r="28" spans="1:10">
      <c r="A28" s="64"/>
      <c r="G28" s="45"/>
      <c r="H28" s="29"/>
      <c r="I28" s="29"/>
    </row>
    <row r="29" spans="1:10">
      <c r="A29" s="67" t="s">
        <v>16</v>
      </c>
      <c r="B29" s="14" t="s">
        <v>85</v>
      </c>
      <c r="C29" s="14" t="s">
        <v>11</v>
      </c>
      <c r="D29" s="14" t="s">
        <v>20</v>
      </c>
      <c r="E29" s="14" t="s">
        <v>9</v>
      </c>
      <c r="F29" s="14" t="s">
        <v>1</v>
      </c>
      <c r="G29" s="44" t="s">
        <v>52</v>
      </c>
      <c r="H29" s="29"/>
      <c r="I29" s="29"/>
    </row>
    <row r="30" spans="1:10">
      <c r="A30" s="64" t="s">
        <v>93</v>
      </c>
      <c r="B30" s="95">
        <v>3</v>
      </c>
      <c r="C30" s="106">
        <v>0.15</v>
      </c>
      <c r="D30" s="10">
        <f>+SUM(C30:$C$30)</f>
        <v>0.15</v>
      </c>
      <c r="E30" s="10">
        <f>+E7</f>
        <v>4</v>
      </c>
      <c r="F30" s="10">
        <f>+C30*E30</f>
        <v>0.6</v>
      </c>
      <c r="G30" s="107">
        <v>3.3333333333333298E-2</v>
      </c>
      <c r="H30" s="64" t="s">
        <v>91</v>
      </c>
      <c r="I30" s="29"/>
    </row>
    <row r="31" spans="1:10">
      <c r="A31" s="64" t="s">
        <v>94</v>
      </c>
      <c r="B31" s="11" t="s">
        <v>6</v>
      </c>
      <c r="C31" s="11">
        <f>+SUM(C30:C30)</f>
        <v>0.15</v>
      </c>
      <c r="D31" s="11"/>
      <c r="E31" s="11"/>
      <c r="F31" s="13">
        <f>+SUM(F30:F30)</f>
        <v>0.6</v>
      </c>
      <c r="G31" s="49"/>
      <c r="H31" s="29"/>
      <c r="I31" s="64"/>
    </row>
    <row r="32" spans="1:10">
      <c r="A32" s="64" t="s">
        <v>95</v>
      </c>
      <c r="G32" s="45"/>
      <c r="H32" s="29"/>
      <c r="I32" s="64"/>
    </row>
    <row r="33" spans="1:9">
      <c r="A33" s="64"/>
      <c r="G33" s="45"/>
      <c r="H33" s="29"/>
      <c r="I33" s="64"/>
    </row>
    <row r="34" spans="1:9">
      <c r="A34" s="67" t="s">
        <v>17</v>
      </c>
      <c r="B34" s="14" t="s">
        <v>85</v>
      </c>
      <c r="C34" s="14" t="s">
        <v>11</v>
      </c>
      <c r="D34" s="14" t="s">
        <v>20</v>
      </c>
      <c r="E34" s="14" t="s">
        <v>9</v>
      </c>
      <c r="F34" s="14" t="s">
        <v>1</v>
      </c>
      <c r="G34" s="44" t="s">
        <v>52</v>
      </c>
      <c r="H34" s="29"/>
      <c r="I34" s="64"/>
    </row>
    <row r="35" spans="1:9">
      <c r="A35" s="64" t="s">
        <v>93</v>
      </c>
      <c r="B35" s="95">
        <v>1</v>
      </c>
      <c r="C35" s="106">
        <v>0.14000000000000001</v>
      </c>
      <c r="D35" s="10">
        <f>+SUM(C35:$C$35)</f>
        <v>0.14000000000000001</v>
      </c>
      <c r="E35" s="10">
        <f>+E5</f>
        <v>2</v>
      </c>
      <c r="F35" s="10">
        <f>+C35*E35</f>
        <v>0.28000000000000003</v>
      </c>
      <c r="G35" s="47"/>
      <c r="H35" s="29"/>
      <c r="I35" s="64"/>
    </row>
    <row r="36" spans="1:9">
      <c r="A36" s="64" t="s">
        <v>96</v>
      </c>
      <c r="B36" s="95">
        <v>2</v>
      </c>
      <c r="C36" s="106">
        <v>0.14000000000000001</v>
      </c>
      <c r="D36" s="10">
        <f>+SUM(C$35:$C36)</f>
        <v>0.28000000000000003</v>
      </c>
      <c r="E36" s="10">
        <f>+E6</f>
        <v>2</v>
      </c>
      <c r="F36" s="10">
        <f t="shared" ref="F36:F37" si="3">+C36*E36</f>
        <v>0.28000000000000003</v>
      </c>
      <c r="G36" s="47"/>
      <c r="H36" s="29"/>
      <c r="I36" s="64"/>
    </row>
    <row r="37" spans="1:9">
      <c r="A37" s="64"/>
      <c r="B37" s="95" t="s">
        <v>86</v>
      </c>
      <c r="C37" s="43">
        <v>0.01</v>
      </c>
      <c r="D37" s="10">
        <f>+SUM(C$35:$C37)</f>
        <v>0.29000000000000004</v>
      </c>
      <c r="E37" s="10">
        <f>+E35+E36</f>
        <v>4</v>
      </c>
      <c r="F37" s="10">
        <f t="shared" si="3"/>
        <v>0.04</v>
      </c>
      <c r="G37" s="47">
        <v>0.5</v>
      </c>
      <c r="H37" s="64" t="s">
        <v>91</v>
      </c>
      <c r="I37" s="64"/>
    </row>
    <row r="38" spans="1:9">
      <c r="A38" s="73"/>
      <c r="B38" s="11" t="s">
        <v>6</v>
      </c>
      <c r="C38" s="11">
        <f>+SUM(C35:C37)</f>
        <v>0.29000000000000004</v>
      </c>
      <c r="D38" s="11"/>
      <c r="E38" s="11"/>
      <c r="F38" s="13">
        <f>+SUM(F35:F37)</f>
        <v>0.60000000000000009</v>
      </c>
      <c r="G38" s="49"/>
      <c r="H38" s="29"/>
      <c r="I38" s="64"/>
    </row>
    <row r="39" spans="1:9">
      <c r="A39" s="73"/>
      <c r="G39" s="45"/>
      <c r="H39" s="29"/>
      <c r="I39" s="64"/>
    </row>
    <row r="40" spans="1:9">
      <c r="A40" s="64"/>
      <c r="G40" s="45"/>
      <c r="H40" s="29"/>
      <c r="I40" s="64"/>
    </row>
    <row r="41" spans="1:9">
      <c r="A41" s="67" t="s">
        <v>18</v>
      </c>
      <c r="B41" s="14" t="s">
        <v>85</v>
      </c>
      <c r="C41" s="14" t="s">
        <v>11</v>
      </c>
      <c r="D41" s="14" t="s">
        <v>20</v>
      </c>
      <c r="E41" s="14" t="s">
        <v>9</v>
      </c>
      <c r="F41" s="14" t="s">
        <v>1</v>
      </c>
      <c r="G41" s="69" t="s">
        <v>52</v>
      </c>
      <c r="H41" s="29"/>
      <c r="I41" s="64"/>
    </row>
    <row r="42" spans="1:9">
      <c r="A42" s="64" t="s">
        <v>93</v>
      </c>
      <c r="B42" s="95">
        <v>1</v>
      </c>
      <c r="C42" s="106">
        <v>0.3</v>
      </c>
      <c r="D42" s="10">
        <f>+SUM(C42:$C$42)</f>
        <v>0.3</v>
      </c>
      <c r="E42" s="10">
        <f>+E5</f>
        <v>2</v>
      </c>
      <c r="F42" s="10">
        <f>+E42*C42</f>
        <v>0.6</v>
      </c>
      <c r="G42" s="107">
        <v>1.6666666666600001E-2</v>
      </c>
      <c r="H42" s="64" t="s">
        <v>91</v>
      </c>
      <c r="I42" s="64"/>
    </row>
    <row r="43" spans="1:9">
      <c r="A43" s="64" t="s">
        <v>95</v>
      </c>
      <c r="B43" s="11" t="s">
        <v>6</v>
      </c>
      <c r="C43" s="11">
        <f>+SUM(C42:C42)</f>
        <v>0.3</v>
      </c>
      <c r="D43" s="11"/>
      <c r="E43" s="11"/>
      <c r="F43" s="13">
        <f>+SUM(F42:F42)</f>
        <v>0.6</v>
      </c>
      <c r="G43" s="49"/>
      <c r="H43" s="29"/>
      <c r="I43" s="64"/>
    </row>
    <row r="44" spans="1:9">
      <c r="A44" s="64" t="s">
        <v>96</v>
      </c>
      <c r="G44" s="45"/>
      <c r="H44" s="29"/>
      <c r="I44" s="64"/>
    </row>
    <row r="45" spans="1:9">
      <c r="A45" s="64"/>
      <c r="G45" s="45"/>
      <c r="H45" s="29"/>
      <c r="I45" s="64"/>
    </row>
    <row r="46" spans="1:9">
      <c r="A46" s="67" t="s">
        <v>19</v>
      </c>
      <c r="B46" s="14" t="s">
        <v>85</v>
      </c>
      <c r="C46" s="14" t="s">
        <v>11</v>
      </c>
      <c r="D46" s="14" t="s">
        <v>20</v>
      </c>
      <c r="E46" s="14" t="s">
        <v>9</v>
      </c>
      <c r="F46" s="14" t="s">
        <v>1</v>
      </c>
      <c r="G46" s="69" t="s">
        <v>52</v>
      </c>
      <c r="H46" s="29"/>
      <c r="I46" s="64"/>
    </row>
    <row r="47" spans="1:9">
      <c r="A47" s="64" t="s">
        <v>93</v>
      </c>
      <c r="B47" s="95">
        <v>2</v>
      </c>
      <c r="C47" s="106">
        <v>0.3</v>
      </c>
      <c r="D47" s="10">
        <f>+SUM(C$47:$C47)</f>
        <v>0.3</v>
      </c>
      <c r="E47" s="10">
        <f>+E6</f>
        <v>2</v>
      </c>
      <c r="F47" s="10">
        <f>+E47*C47</f>
        <v>0.6</v>
      </c>
      <c r="G47" s="107">
        <v>1.6666666666600001E-2</v>
      </c>
      <c r="H47" s="64" t="s">
        <v>91</v>
      </c>
      <c r="I47" s="64"/>
    </row>
    <row r="48" spans="1:9">
      <c r="A48" s="64" t="s">
        <v>94</v>
      </c>
      <c r="B48" s="11" t="s">
        <v>6</v>
      </c>
      <c r="C48" s="11">
        <f>+SUM(C47:C47)</f>
        <v>0.3</v>
      </c>
      <c r="D48" s="11"/>
      <c r="E48" s="11"/>
      <c r="F48" s="13">
        <f>+SUM(F47:F47)</f>
        <v>0.6</v>
      </c>
      <c r="G48" s="49"/>
      <c r="H48" s="29"/>
      <c r="I48" s="29"/>
    </row>
    <row r="49" spans="1:9">
      <c r="A49" s="64" t="s">
        <v>96</v>
      </c>
      <c r="G49" s="46"/>
      <c r="H49" s="29"/>
      <c r="I49" s="29"/>
    </row>
    <row r="50" spans="1:9">
      <c r="A50" s="64"/>
      <c r="G50" s="46"/>
      <c r="H50" s="29"/>
      <c r="I50" s="29"/>
    </row>
    <row r="51" spans="1:9">
      <c r="A51" s="64"/>
      <c r="G51" s="46"/>
      <c r="H51" s="29"/>
      <c r="I51" s="29"/>
    </row>
    <row r="52" spans="1:9">
      <c r="A52" s="64"/>
      <c r="G52" s="46"/>
      <c r="H52" s="29"/>
      <c r="I52" s="29"/>
    </row>
    <row r="53" spans="1:9">
      <c r="A53" s="64"/>
      <c r="G53" s="46"/>
      <c r="H53" s="29"/>
      <c r="I53" s="29"/>
    </row>
    <row r="54" spans="1:9">
      <c r="A54" s="64"/>
      <c r="G54" s="46"/>
      <c r="H54" s="29"/>
      <c r="I54" s="29"/>
    </row>
    <row r="55" spans="1:9">
      <c r="A55" s="64"/>
      <c r="G55" s="46"/>
      <c r="H55" s="29"/>
      <c r="I55" s="29"/>
    </row>
    <row r="56" spans="1:9">
      <c r="A56" s="64"/>
      <c r="G56" s="46"/>
      <c r="H56" s="29"/>
      <c r="I56" s="29"/>
    </row>
    <row r="57" spans="1:9">
      <c r="A57" s="64"/>
      <c r="G57" s="46"/>
      <c r="H57" s="29"/>
      <c r="I57" s="29"/>
    </row>
    <row r="58" spans="1:9">
      <c r="A58" s="64"/>
      <c r="G58" s="46"/>
      <c r="H58" s="29"/>
      <c r="I58" s="29"/>
    </row>
    <row r="59" spans="1:9">
      <c r="A59" s="64"/>
      <c r="G59" s="46"/>
      <c r="H59" s="29"/>
      <c r="I59" s="29"/>
    </row>
    <row r="60" spans="1:9">
      <c r="A60" s="64"/>
      <c r="G60" s="46"/>
      <c r="H60" s="29"/>
      <c r="I60" s="29"/>
    </row>
    <row r="61" spans="1:9">
      <c r="A61" s="64"/>
      <c r="G61" s="46"/>
      <c r="H61" s="29"/>
      <c r="I61" s="29"/>
    </row>
    <row r="62" spans="1:9">
      <c r="A62" s="64"/>
      <c r="G62" s="46"/>
      <c r="H62" s="29"/>
      <c r="I62" s="29"/>
    </row>
    <row r="63" spans="1:9">
      <c r="A63" s="64"/>
      <c r="G63" s="46"/>
      <c r="H63" s="29"/>
      <c r="I63" s="29"/>
    </row>
    <row r="64" spans="1:9">
      <c r="A64" s="64"/>
      <c r="G64" s="46"/>
      <c r="H64" s="29"/>
      <c r="I64" s="29"/>
    </row>
    <row r="65" spans="1:9">
      <c r="A65" s="64"/>
      <c r="G65" s="46"/>
      <c r="H65" s="29"/>
      <c r="I65" s="29"/>
    </row>
    <row r="66" spans="1:9">
      <c r="A66" s="64"/>
      <c r="G66" s="46"/>
      <c r="H66" s="29"/>
      <c r="I66" s="29"/>
    </row>
    <row r="67" spans="1:9">
      <c r="A67" s="64"/>
      <c r="G67" s="46"/>
      <c r="H67" s="29"/>
      <c r="I67" s="29"/>
    </row>
    <row r="68" spans="1:9">
      <c r="A68" s="64"/>
      <c r="G68" s="46"/>
      <c r="H68" s="29"/>
      <c r="I68" s="29"/>
    </row>
    <row r="69" spans="1:9">
      <c r="A69" s="64"/>
      <c r="G69" s="46"/>
      <c r="H69" s="29"/>
      <c r="I69" s="29"/>
    </row>
    <row r="70" spans="1:9">
      <c r="A70" s="64"/>
      <c r="G70" s="46"/>
      <c r="H70" s="29"/>
      <c r="I70" s="29"/>
    </row>
    <row r="71" spans="1:9">
      <c r="A71" s="64"/>
      <c r="G71" s="45"/>
      <c r="H71" s="29"/>
      <c r="I71" s="29"/>
    </row>
    <row r="72" spans="1:9">
      <c r="A72" s="64"/>
      <c r="G72" s="45"/>
      <c r="H72" s="29"/>
      <c r="I72" s="29"/>
    </row>
    <row r="73" spans="1:9">
      <c r="A73" s="64"/>
      <c r="G73" s="45"/>
      <c r="H73" s="29"/>
      <c r="I73" s="29"/>
    </row>
    <row r="74" spans="1:9">
      <c r="A74" s="64"/>
      <c r="G74" s="45"/>
      <c r="H74" s="29"/>
      <c r="I74" s="29"/>
    </row>
    <row r="75" spans="1:9">
      <c r="A75" s="64"/>
      <c r="G75" s="45"/>
      <c r="H75" s="29"/>
      <c r="I75" s="29"/>
    </row>
    <row r="76" spans="1:9">
      <c r="A76" s="64"/>
      <c r="G76" s="45"/>
      <c r="H76" s="29"/>
      <c r="I76" s="29"/>
    </row>
    <row r="77" spans="1:9">
      <c r="A77" s="64"/>
      <c r="G77" s="45"/>
      <c r="H77" s="29"/>
      <c r="I77" s="29"/>
    </row>
    <row r="78" spans="1:9">
      <c r="A78" s="64"/>
      <c r="G78" s="45"/>
      <c r="H78" s="29"/>
      <c r="I78" s="29"/>
    </row>
    <row r="79" spans="1:9">
      <c r="A79" s="64"/>
      <c r="G79" s="45"/>
      <c r="H79" s="29"/>
      <c r="I79" s="29"/>
    </row>
    <row r="80" spans="1:9">
      <c r="A80" s="64"/>
      <c r="G80" s="45"/>
      <c r="H80" s="29"/>
      <c r="I80" s="29"/>
    </row>
    <row r="81" spans="1:9">
      <c r="A81" s="64"/>
      <c r="G81" s="45"/>
      <c r="H81" s="29"/>
      <c r="I81" s="29"/>
    </row>
    <row r="82" spans="1:9">
      <c r="A82" s="64"/>
      <c r="G82" s="45"/>
      <c r="H82" s="29"/>
      <c r="I82" s="29"/>
    </row>
    <row r="83" spans="1:9">
      <c r="A83" s="64"/>
      <c r="G83" s="45"/>
      <c r="H83" s="29"/>
      <c r="I83" s="29"/>
    </row>
    <row r="84" spans="1:9">
      <c r="A84" s="64"/>
      <c r="G84" s="45"/>
      <c r="H84" s="29"/>
      <c r="I84" s="29"/>
    </row>
    <row r="85" spans="1:9">
      <c r="A85" s="64"/>
      <c r="G85" s="45"/>
      <c r="H85" s="29"/>
      <c r="I85" s="29"/>
    </row>
    <row r="86" spans="1:9">
      <c r="A86" s="64"/>
      <c r="G86" s="45"/>
      <c r="H86" s="29"/>
      <c r="I86" s="29"/>
    </row>
    <row r="87" spans="1:9">
      <c r="A87" s="64"/>
      <c r="G87" s="45"/>
      <c r="H87" s="29"/>
      <c r="I87" s="29"/>
    </row>
    <row r="88" spans="1:9">
      <c r="A88" s="64"/>
      <c r="G88" s="45"/>
      <c r="H88" s="29"/>
      <c r="I88" s="29"/>
    </row>
    <row r="89" spans="1:9">
      <c r="A89" s="64"/>
      <c r="G89" s="45"/>
      <c r="H89" s="29"/>
      <c r="I89" s="29"/>
    </row>
    <row r="90" spans="1:9">
      <c r="A90" s="64"/>
      <c r="G90" s="45"/>
      <c r="H90" s="29"/>
      <c r="I90" s="29"/>
    </row>
    <row r="91" spans="1:9">
      <c r="A91" s="64"/>
      <c r="G91" s="45"/>
      <c r="H91" s="29"/>
      <c r="I91" s="29"/>
    </row>
    <row r="92" spans="1:9">
      <c r="A92" s="64"/>
      <c r="G92" s="45"/>
      <c r="H92" s="29"/>
      <c r="I92" s="29"/>
    </row>
    <row r="93" spans="1:9">
      <c r="A93" s="64"/>
      <c r="G93" s="45"/>
      <c r="H93" s="29"/>
      <c r="I93" s="29"/>
    </row>
    <row r="94" spans="1:9">
      <c r="A94" s="64"/>
      <c r="G94" s="45"/>
      <c r="H94" s="29"/>
      <c r="I94" s="29"/>
    </row>
    <row r="95" spans="1:9">
      <c r="A95" s="64"/>
      <c r="G95" s="45"/>
      <c r="H95" s="29"/>
      <c r="I95" s="29"/>
    </row>
    <row r="96" spans="1:9">
      <c r="A96" s="64"/>
      <c r="G96" s="45"/>
      <c r="H96" s="29"/>
      <c r="I96" s="29"/>
    </row>
    <row r="97" spans="1:9">
      <c r="A97" s="64"/>
      <c r="G97" s="45"/>
      <c r="H97" s="29"/>
      <c r="I97" s="29"/>
    </row>
    <row r="98" spans="1:9">
      <c r="A98" s="64"/>
      <c r="G98" s="45"/>
      <c r="H98" s="29"/>
      <c r="I98" s="29"/>
    </row>
    <row r="99" spans="1:9">
      <c r="A99" s="64"/>
      <c r="G99" s="45"/>
      <c r="H99" s="29"/>
      <c r="I99" s="29"/>
    </row>
    <row r="100" spans="1:9">
      <c r="A100" s="64"/>
      <c r="G100" s="45"/>
      <c r="H100" s="29"/>
      <c r="I100" s="29"/>
    </row>
    <row r="101" spans="1:9">
      <c r="A101" s="64"/>
      <c r="G101" s="45"/>
      <c r="H101" s="29"/>
      <c r="I101" s="29"/>
    </row>
    <row r="102" spans="1:9">
      <c r="A102" s="64"/>
      <c r="G102" s="45"/>
      <c r="H102" s="29"/>
      <c r="I102" s="29"/>
    </row>
    <row r="103" spans="1:9">
      <c r="A103" s="64"/>
      <c r="G103" s="45"/>
      <c r="H103" s="29"/>
      <c r="I103" s="29"/>
    </row>
    <row r="104" spans="1:9">
      <c r="A104" s="64"/>
      <c r="G104" s="45"/>
      <c r="H104" s="29"/>
      <c r="I104" s="29"/>
    </row>
    <row r="105" spans="1:9">
      <c r="A105" s="64"/>
      <c r="G105" s="45"/>
      <c r="H105" s="29"/>
      <c r="I105" s="29"/>
    </row>
    <row r="106" spans="1:9">
      <c r="A106" s="64"/>
      <c r="G106" s="45"/>
      <c r="H106" s="29"/>
      <c r="I106" s="29"/>
    </row>
    <row r="107" spans="1:9">
      <c r="A107" s="64"/>
      <c r="G107" s="45"/>
      <c r="H107" s="29"/>
      <c r="I107" s="29"/>
    </row>
    <row r="108" spans="1:9">
      <c r="A108" s="64"/>
      <c r="G108" s="45"/>
      <c r="H108" s="29"/>
      <c r="I108" s="29"/>
    </row>
    <row r="109" spans="1:9">
      <c r="A109" s="64"/>
      <c r="G109" s="45"/>
      <c r="H109" s="29"/>
      <c r="I109" s="29"/>
    </row>
    <row r="110" spans="1:9">
      <c r="A110" s="64"/>
      <c r="G110" s="45"/>
      <c r="H110" s="29"/>
      <c r="I110" s="29"/>
    </row>
    <row r="111" spans="1:9">
      <c r="A111" s="64"/>
      <c r="G111" s="45"/>
      <c r="H111" s="29"/>
      <c r="I111" s="29"/>
    </row>
    <row r="112" spans="1:9">
      <c r="A112" s="64"/>
      <c r="G112" s="45"/>
      <c r="H112" s="29"/>
      <c r="I112" s="29"/>
    </row>
    <row r="113" spans="1:9">
      <c r="A113" s="64"/>
      <c r="G113" s="45"/>
      <c r="H113" s="29"/>
      <c r="I113" s="29"/>
    </row>
    <row r="114" spans="1:9">
      <c r="A114" s="64"/>
      <c r="G114" s="45"/>
      <c r="H114" s="29"/>
      <c r="I114" s="29"/>
    </row>
    <row r="115" spans="1:9">
      <c r="A115" s="64"/>
      <c r="G115" s="45"/>
      <c r="H115" s="29"/>
      <c r="I115" s="29"/>
    </row>
    <row r="116" spans="1:9">
      <c r="A116" s="64"/>
      <c r="G116" s="45"/>
      <c r="H116" s="29"/>
      <c r="I116" s="29"/>
    </row>
    <row r="117" spans="1:9">
      <c r="A117" s="64"/>
      <c r="G117" s="45"/>
      <c r="H117" s="29"/>
      <c r="I117" s="29"/>
    </row>
    <row r="118" spans="1:9">
      <c r="G118" s="45"/>
      <c r="H118" s="29"/>
      <c r="I118" s="29"/>
    </row>
    <row r="119" spans="1:9">
      <c r="G119" s="45"/>
      <c r="H119" s="29"/>
      <c r="I119" s="29"/>
    </row>
    <row r="120" spans="1:9">
      <c r="G120" s="4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5.xml><?xml version="1.0" encoding="utf-8"?>
<worksheet xmlns="http://schemas.openxmlformats.org/spreadsheetml/2006/main" xmlns:r="http://schemas.openxmlformats.org/officeDocument/2006/relationships">
  <sheetPr codeName="Hoja4"/>
  <dimension ref="A1:L126"/>
  <sheetViews>
    <sheetView workbookViewId="0">
      <selection activeCell="G47" sqref="G47"/>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88671875" style="9" customWidth="1"/>
    <col min="9" max="9" width="12" style="9" customWidth="1"/>
    <col min="10" max="16384" width="11.5546875" style="9"/>
  </cols>
  <sheetData>
    <row r="1" spans="1:12" ht="18">
      <c r="A1" s="103" t="s">
        <v>101</v>
      </c>
      <c r="B1" s="103"/>
      <c r="C1" s="103"/>
      <c r="D1" s="103"/>
      <c r="E1" s="103"/>
    </row>
    <row r="2" spans="1:12">
      <c r="A2" s="74" t="s">
        <v>98</v>
      </c>
    </row>
    <row r="4" spans="1:12">
      <c r="A4" s="67" t="s">
        <v>10</v>
      </c>
      <c r="B4" s="69" t="s">
        <v>85</v>
      </c>
      <c r="C4" s="14" t="s">
        <v>11</v>
      </c>
      <c r="D4" s="14" t="s">
        <v>20</v>
      </c>
      <c r="E4" s="14" t="s">
        <v>9</v>
      </c>
      <c r="F4" s="14" t="s">
        <v>1</v>
      </c>
      <c r="G4" s="55" t="s">
        <v>52</v>
      </c>
      <c r="H4" s="29"/>
      <c r="I4" s="29"/>
    </row>
    <row r="5" spans="1:12">
      <c r="A5" s="64" t="s">
        <v>92</v>
      </c>
      <c r="B5" s="96">
        <v>1</v>
      </c>
      <c r="C5" s="105">
        <v>7.0000000000000007E-2</v>
      </c>
      <c r="D5" s="1">
        <f>+SUM($C$5:C5)</f>
        <v>7.0000000000000007E-2</v>
      </c>
      <c r="E5" s="1">
        <f>+Summary!K26</f>
        <v>3</v>
      </c>
      <c r="F5" s="1">
        <f>+C5*E5</f>
        <v>0.21000000000000002</v>
      </c>
      <c r="G5" s="58"/>
      <c r="H5" s="29"/>
      <c r="I5" s="29"/>
      <c r="L5" s="64"/>
    </row>
    <row r="6" spans="1:12">
      <c r="A6" s="64"/>
      <c r="B6" s="96">
        <v>2</v>
      </c>
      <c r="C6" s="105">
        <v>7.0000000000000007E-2</v>
      </c>
      <c r="D6" s="1">
        <f>+SUM($C$5:C6)</f>
        <v>0.14000000000000001</v>
      </c>
      <c r="E6" s="1">
        <f>+Summary!K27</f>
        <v>3</v>
      </c>
      <c r="F6" s="1">
        <f t="shared" ref="F6:F11" si="0">+C6*E6</f>
        <v>0.21000000000000002</v>
      </c>
      <c r="G6" s="58"/>
      <c r="H6" s="29"/>
      <c r="I6" s="29"/>
      <c r="L6" s="64"/>
    </row>
    <row r="7" spans="1:12">
      <c r="A7" s="64"/>
      <c r="B7" s="96">
        <v>3</v>
      </c>
      <c r="C7" s="105">
        <v>0.01</v>
      </c>
      <c r="D7" s="1">
        <f>+SUM($C$5:C7)</f>
        <v>0.15000000000000002</v>
      </c>
      <c r="E7" s="1">
        <f>+Summary!K28</f>
        <v>6</v>
      </c>
      <c r="F7" s="1">
        <f t="shared" si="0"/>
        <v>0.06</v>
      </c>
      <c r="G7" s="58"/>
      <c r="H7" s="29"/>
      <c r="I7" s="36"/>
      <c r="L7" s="64"/>
    </row>
    <row r="8" spans="1:12">
      <c r="A8" s="64"/>
      <c r="B8" s="96" t="s">
        <v>86</v>
      </c>
      <c r="C8" s="105">
        <v>5.4999999999999997E-3</v>
      </c>
      <c r="D8" s="1">
        <f>+SUM($C$5:C8)</f>
        <v>0.15550000000000003</v>
      </c>
      <c r="E8" s="1">
        <f>+E5+E6</f>
        <v>6</v>
      </c>
      <c r="F8" s="1">
        <f t="shared" si="0"/>
        <v>3.3000000000000002E-2</v>
      </c>
      <c r="G8" s="58"/>
      <c r="H8" s="29"/>
      <c r="I8" s="98"/>
      <c r="L8" s="64"/>
    </row>
    <row r="9" spans="1:12">
      <c r="A9" s="64"/>
      <c r="B9" s="96" t="s">
        <v>87</v>
      </c>
      <c r="C9" s="51">
        <v>1.5E-3</v>
      </c>
      <c r="D9" s="1">
        <f>+SUM($C$5:C9)</f>
        <v>0.15700000000000003</v>
      </c>
      <c r="E9" s="1">
        <f>+E5+E7</f>
        <v>9</v>
      </c>
      <c r="F9" s="1">
        <f t="shared" si="0"/>
        <v>1.35E-2</v>
      </c>
      <c r="G9" s="58"/>
      <c r="H9" s="29"/>
      <c r="I9" s="29"/>
      <c r="L9" s="64"/>
    </row>
    <row r="10" spans="1:12">
      <c r="A10" s="64"/>
      <c r="B10" s="96" t="s">
        <v>88</v>
      </c>
      <c r="C10" s="51">
        <v>1.5E-3</v>
      </c>
      <c r="D10" s="1">
        <f>+SUM($C$5:C10)</f>
        <v>0.15850000000000003</v>
      </c>
      <c r="E10" s="1">
        <f>+E6+E7</f>
        <v>9</v>
      </c>
      <c r="F10" s="1">
        <f t="shared" si="0"/>
        <v>1.35E-2</v>
      </c>
      <c r="G10" s="58"/>
      <c r="H10" s="29"/>
      <c r="I10" s="29"/>
      <c r="L10" s="64"/>
    </row>
    <row r="11" spans="1:12">
      <c r="A11" s="64"/>
      <c r="B11" s="96" t="s">
        <v>89</v>
      </c>
      <c r="C11" s="51">
        <v>5.0000000000000001E-3</v>
      </c>
      <c r="D11" s="1">
        <f>+SUM($C$5:C11)</f>
        <v>0.16350000000000003</v>
      </c>
      <c r="E11" s="1">
        <f>+E5+E6+E7</f>
        <v>12</v>
      </c>
      <c r="F11" s="1">
        <f t="shared" si="0"/>
        <v>0.06</v>
      </c>
      <c r="G11" s="58">
        <v>1</v>
      </c>
      <c r="H11" s="64" t="s">
        <v>91</v>
      </c>
      <c r="I11" s="29"/>
    </row>
    <row r="12" spans="1:12">
      <c r="A12" s="64"/>
      <c r="B12" s="71" t="s">
        <v>12</v>
      </c>
      <c r="C12" s="11">
        <f>+SUM(C5:C11)</f>
        <v>0.16350000000000003</v>
      </c>
      <c r="D12" s="11"/>
      <c r="E12" s="11"/>
      <c r="F12" s="15">
        <f>+SUM(F5:F11)</f>
        <v>0.59999999999999987</v>
      </c>
      <c r="G12" s="59"/>
      <c r="H12" s="29"/>
      <c r="I12" s="29"/>
      <c r="J12" s="29"/>
    </row>
    <row r="13" spans="1:12">
      <c r="A13" s="64"/>
      <c r="B13" s="72" t="s">
        <v>90</v>
      </c>
      <c r="G13" s="56"/>
      <c r="H13" s="29"/>
      <c r="I13" s="29"/>
      <c r="J13" s="29"/>
    </row>
    <row r="14" spans="1:12">
      <c r="A14" s="64"/>
      <c r="B14" s="64"/>
      <c r="G14" s="56"/>
      <c r="H14" s="29"/>
      <c r="I14" s="29"/>
      <c r="J14" s="29"/>
    </row>
    <row r="15" spans="1:12">
      <c r="A15" s="67" t="s">
        <v>14</v>
      </c>
      <c r="B15" s="69" t="s">
        <v>85</v>
      </c>
      <c r="C15" s="14" t="s">
        <v>11</v>
      </c>
      <c r="D15" s="14" t="s">
        <v>20</v>
      </c>
      <c r="E15" s="14" t="s">
        <v>9</v>
      </c>
      <c r="F15" s="14" t="s">
        <v>1</v>
      </c>
      <c r="G15" s="55" t="s">
        <v>52</v>
      </c>
      <c r="H15" s="29"/>
      <c r="I15" s="29"/>
      <c r="J15" s="29"/>
    </row>
    <row r="16" spans="1:12">
      <c r="A16" s="64" t="s">
        <v>93</v>
      </c>
      <c r="B16" s="95">
        <v>2</v>
      </c>
      <c r="C16" s="106">
        <v>0.11</v>
      </c>
      <c r="D16" s="10">
        <f>+SUM(C16:$C$16)</f>
        <v>0.11</v>
      </c>
      <c r="E16" s="10">
        <f>+E6</f>
        <v>3</v>
      </c>
      <c r="F16" s="10">
        <f>+C16*E16</f>
        <v>0.33</v>
      </c>
      <c r="G16" s="58"/>
      <c r="H16" s="29"/>
      <c r="I16" s="29"/>
      <c r="J16" s="29"/>
    </row>
    <row r="17" spans="1:10">
      <c r="A17" s="64" t="s">
        <v>94</v>
      </c>
      <c r="B17" s="95">
        <v>3</v>
      </c>
      <c r="C17" s="106">
        <v>0.03</v>
      </c>
      <c r="D17" s="10">
        <f>+SUM(C$16:$C17)</f>
        <v>0.14000000000000001</v>
      </c>
      <c r="E17" s="10">
        <f>+E7</f>
        <v>6</v>
      </c>
      <c r="F17" s="10">
        <f t="shared" ref="F17:F18" si="1">+C17*E17</f>
        <v>0.18</v>
      </c>
      <c r="G17" s="58"/>
      <c r="H17" s="29"/>
      <c r="I17" s="29"/>
      <c r="J17" s="29"/>
    </row>
    <row r="18" spans="1:10">
      <c r="A18" s="64"/>
      <c r="B18" s="95" t="s">
        <v>88</v>
      </c>
      <c r="C18" s="52">
        <v>0.01</v>
      </c>
      <c r="D18" s="10">
        <f>+SUM(C$16:$C18)</f>
        <v>0.15000000000000002</v>
      </c>
      <c r="E18" s="10">
        <f>+E16+E17</f>
        <v>9</v>
      </c>
      <c r="F18" s="10">
        <f t="shared" si="1"/>
        <v>0.09</v>
      </c>
      <c r="G18" s="58">
        <v>0.5</v>
      </c>
      <c r="H18" s="64" t="s">
        <v>91</v>
      </c>
      <c r="I18" s="29"/>
      <c r="J18" s="29"/>
    </row>
    <row r="19" spans="1:10">
      <c r="A19" s="64"/>
      <c r="B19" s="71" t="s">
        <v>6</v>
      </c>
      <c r="C19" s="11">
        <f>+SUM(C16:C18)</f>
        <v>0.15000000000000002</v>
      </c>
      <c r="D19" s="11"/>
      <c r="E19" s="11"/>
      <c r="F19" s="13">
        <f>+SUM(F16:F18)</f>
        <v>0.6</v>
      </c>
      <c r="G19" s="60"/>
      <c r="H19" s="29"/>
      <c r="I19" s="29"/>
      <c r="J19" s="29"/>
    </row>
    <row r="20" spans="1:10">
      <c r="A20" s="64"/>
      <c r="B20" s="75"/>
      <c r="C20" s="12"/>
      <c r="D20" s="12"/>
      <c r="E20" s="12"/>
      <c r="F20" s="8"/>
      <c r="G20" s="61"/>
      <c r="H20" s="29"/>
      <c r="I20" s="29"/>
      <c r="J20" s="29"/>
    </row>
    <row r="21" spans="1:10">
      <c r="A21" s="64"/>
      <c r="B21" s="75"/>
      <c r="C21" s="12"/>
      <c r="D21" s="12"/>
      <c r="E21" s="12"/>
      <c r="F21" s="8"/>
      <c r="G21" s="61"/>
      <c r="H21" s="29"/>
      <c r="I21" s="29"/>
      <c r="J21" s="29"/>
    </row>
    <row r="22" spans="1:10">
      <c r="A22" s="67" t="s">
        <v>15</v>
      </c>
      <c r="B22" s="69" t="s">
        <v>85</v>
      </c>
      <c r="C22" s="14" t="s">
        <v>11</v>
      </c>
      <c r="D22" s="14" t="s">
        <v>20</v>
      </c>
      <c r="E22" s="14" t="s">
        <v>9</v>
      </c>
      <c r="F22" s="14" t="s">
        <v>1</v>
      </c>
      <c r="G22" s="55" t="s">
        <v>52</v>
      </c>
      <c r="H22" s="29"/>
      <c r="I22" s="29"/>
      <c r="J22" s="29"/>
    </row>
    <row r="23" spans="1:10">
      <c r="A23" s="64" t="s">
        <v>93</v>
      </c>
      <c r="B23" s="95">
        <v>1</v>
      </c>
      <c r="C23" s="106">
        <v>0.11</v>
      </c>
      <c r="D23" s="10">
        <f>+SUM(C23:$C$23)</f>
        <v>0.11</v>
      </c>
      <c r="E23" s="10">
        <f>+E5</f>
        <v>3</v>
      </c>
      <c r="F23" s="10">
        <f>+C23*E23</f>
        <v>0.33</v>
      </c>
      <c r="G23" s="58"/>
      <c r="H23" s="29"/>
      <c r="I23" s="29"/>
      <c r="J23" s="29"/>
    </row>
    <row r="24" spans="1:10">
      <c r="A24" s="64" t="s">
        <v>95</v>
      </c>
      <c r="B24" s="95">
        <v>3</v>
      </c>
      <c r="C24" s="106">
        <v>0.03</v>
      </c>
      <c r="D24" s="10">
        <f>+SUM(C$23:$C24)</f>
        <v>0.14000000000000001</v>
      </c>
      <c r="E24" s="10">
        <f>+E7</f>
        <v>6</v>
      </c>
      <c r="F24" s="10">
        <f t="shared" ref="F24:F25" si="2">+C24*E24</f>
        <v>0.18</v>
      </c>
      <c r="G24" s="58"/>
      <c r="H24" s="29"/>
      <c r="I24" s="29"/>
      <c r="J24" s="29"/>
    </row>
    <row r="25" spans="1:10">
      <c r="A25" s="64"/>
      <c r="B25" s="95" t="s">
        <v>87</v>
      </c>
      <c r="C25" s="53">
        <v>0.01</v>
      </c>
      <c r="D25" s="10">
        <f>+SUM(C$23:$C25)</f>
        <v>0.15000000000000002</v>
      </c>
      <c r="E25" s="10">
        <f>+E23+E24</f>
        <v>9</v>
      </c>
      <c r="F25" s="10">
        <f t="shared" si="2"/>
        <v>0.09</v>
      </c>
      <c r="G25" s="58">
        <v>0.5</v>
      </c>
      <c r="H25" s="64" t="s">
        <v>91</v>
      </c>
      <c r="I25" s="29"/>
      <c r="J25" s="29"/>
    </row>
    <row r="26" spans="1:10">
      <c r="A26" s="64"/>
      <c r="B26" s="71" t="s">
        <v>6</v>
      </c>
      <c r="C26" s="11">
        <f>+SUM(C23:C25)</f>
        <v>0.15000000000000002</v>
      </c>
      <c r="D26" s="11"/>
      <c r="E26" s="11"/>
      <c r="F26" s="13">
        <f>+SUM(F23:F25)</f>
        <v>0.6</v>
      </c>
      <c r="G26" s="60"/>
      <c r="H26" s="29"/>
      <c r="I26" s="29"/>
      <c r="J26" s="29"/>
    </row>
    <row r="27" spans="1:10">
      <c r="A27" s="64"/>
      <c r="B27" s="75"/>
      <c r="C27" s="12"/>
      <c r="D27" s="12"/>
      <c r="E27" s="12"/>
      <c r="F27" s="8"/>
      <c r="G27" s="61"/>
      <c r="H27" s="29"/>
      <c r="I27" s="29"/>
      <c r="J27" s="29"/>
    </row>
    <row r="28" spans="1:10">
      <c r="A28" s="64"/>
      <c r="B28" s="64"/>
      <c r="G28" s="56"/>
      <c r="H28" s="29"/>
      <c r="I28" s="29"/>
      <c r="J28" s="29"/>
    </row>
    <row r="29" spans="1:10">
      <c r="A29" s="67" t="s">
        <v>16</v>
      </c>
      <c r="B29" s="69" t="s">
        <v>85</v>
      </c>
      <c r="C29" s="14" t="s">
        <v>11</v>
      </c>
      <c r="D29" s="14" t="s">
        <v>20</v>
      </c>
      <c r="E29" s="14" t="s">
        <v>9</v>
      </c>
      <c r="F29" s="14" t="s">
        <v>1</v>
      </c>
      <c r="G29" s="55" t="s">
        <v>52</v>
      </c>
      <c r="H29" s="29"/>
      <c r="I29" s="29"/>
      <c r="J29" s="29"/>
    </row>
    <row r="30" spans="1:10">
      <c r="A30" s="64" t="s">
        <v>93</v>
      </c>
      <c r="B30" s="95">
        <v>3</v>
      </c>
      <c r="C30" s="106">
        <v>0.1</v>
      </c>
      <c r="D30" s="10">
        <f>+SUM(C30:$C$30)</f>
        <v>0.1</v>
      </c>
      <c r="E30" s="10">
        <f>+E7</f>
        <v>6</v>
      </c>
      <c r="F30" s="10">
        <f>+C30*E30</f>
        <v>0.60000000000000009</v>
      </c>
      <c r="G30" s="107">
        <v>0.05</v>
      </c>
      <c r="H30" s="64" t="s">
        <v>91</v>
      </c>
      <c r="I30" s="29"/>
      <c r="J30" s="29"/>
    </row>
    <row r="31" spans="1:10">
      <c r="A31" s="64" t="s">
        <v>94</v>
      </c>
      <c r="B31" s="71" t="s">
        <v>6</v>
      </c>
      <c r="C31" s="11">
        <f>+SUM(C30:C30)</f>
        <v>0.1</v>
      </c>
      <c r="D31" s="11"/>
      <c r="E31" s="11"/>
      <c r="F31" s="13">
        <f>+SUM(F30:F30)</f>
        <v>0.60000000000000009</v>
      </c>
      <c r="G31" s="60"/>
      <c r="H31" s="29"/>
      <c r="I31" s="64"/>
      <c r="J31" s="29"/>
    </row>
    <row r="32" spans="1:10">
      <c r="A32" s="64" t="s">
        <v>95</v>
      </c>
      <c r="B32" s="64"/>
      <c r="G32" s="56"/>
      <c r="H32" s="29"/>
      <c r="I32" s="64"/>
      <c r="J32" s="29"/>
    </row>
    <row r="33" spans="1:10">
      <c r="A33" s="64"/>
      <c r="B33" s="64"/>
      <c r="G33" s="56"/>
      <c r="H33" s="29"/>
      <c r="I33" s="64"/>
      <c r="J33" s="29"/>
    </row>
    <row r="34" spans="1:10">
      <c r="A34" s="67" t="s">
        <v>17</v>
      </c>
      <c r="B34" s="69" t="s">
        <v>85</v>
      </c>
      <c r="C34" s="14" t="s">
        <v>11</v>
      </c>
      <c r="D34" s="14" t="s">
        <v>20</v>
      </c>
      <c r="E34" s="14" t="s">
        <v>9</v>
      </c>
      <c r="F34" s="14" t="s">
        <v>1</v>
      </c>
      <c r="G34" s="55" t="s">
        <v>52</v>
      </c>
      <c r="H34" s="29"/>
      <c r="I34" s="64"/>
      <c r="J34" s="29"/>
    </row>
    <row r="35" spans="1:10">
      <c r="A35" s="64" t="s">
        <v>93</v>
      </c>
      <c r="B35" s="95">
        <v>1</v>
      </c>
      <c r="C35" s="106">
        <v>0.09</v>
      </c>
      <c r="D35" s="10">
        <f>+SUM(C35:$C$35)</f>
        <v>0.09</v>
      </c>
      <c r="E35" s="10">
        <f>+E5</f>
        <v>3</v>
      </c>
      <c r="F35" s="10">
        <f>+C35*E35</f>
        <v>0.27</v>
      </c>
      <c r="G35" s="58"/>
      <c r="H35" s="29"/>
      <c r="I35" s="64"/>
      <c r="J35" s="29"/>
    </row>
    <row r="36" spans="1:10">
      <c r="A36" s="64" t="s">
        <v>96</v>
      </c>
      <c r="B36" s="95">
        <v>2</v>
      </c>
      <c r="C36" s="106">
        <v>8.3333333333333301E-2</v>
      </c>
      <c r="D36" s="10">
        <f>+SUM(C$35:$C36)</f>
        <v>0.17333333333333328</v>
      </c>
      <c r="E36" s="10">
        <f>+E6</f>
        <v>3</v>
      </c>
      <c r="F36" s="10">
        <f t="shared" ref="F36:F37" si="3">+C36*E36</f>
        <v>0.24999999999999989</v>
      </c>
      <c r="G36" s="58"/>
      <c r="H36" s="29"/>
      <c r="I36" s="64"/>
      <c r="J36" s="29"/>
    </row>
    <row r="37" spans="1:10">
      <c r="A37" s="64"/>
      <c r="B37" s="95" t="s">
        <v>86</v>
      </c>
      <c r="C37" s="54">
        <v>1.3333333333333334E-2</v>
      </c>
      <c r="D37" s="10">
        <f>+SUM(C$35:$C37)</f>
        <v>0.18666666666666662</v>
      </c>
      <c r="E37" s="10">
        <f>+E35+E36</f>
        <v>6</v>
      </c>
      <c r="F37" s="10">
        <f t="shared" si="3"/>
        <v>0.08</v>
      </c>
      <c r="G37" s="58">
        <v>0.375</v>
      </c>
      <c r="H37" s="64" t="s">
        <v>91</v>
      </c>
      <c r="I37" s="64"/>
      <c r="J37" s="29"/>
    </row>
    <row r="38" spans="1:10">
      <c r="A38" s="73"/>
      <c r="B38" s="71" t="s">
        <v>6</v>
      </c>
      <c r="C38" s="11">
        <f>+SUM(C35:C37)</f>
        <v>0.18666666666666662</v>
      </c>
      <c r="D38" s="11"/>
      <c r="E38" s="11"/>
      <c r="F38" s="13">
        <f>+SUM(F35:F37)</f>
        <v>0.59999999999999987</v>
      </c>
      <c r="G38" s="60"/>
      <c r="H38" s="29"/>
      <c r="I38" s="64"/>
      <c r="J38" s="29"/>
    </row>
    <row r="39" spans="1:10">
      <c r="A39" s="73"/>
      <c r="B39" s="64"/>
      <c r="G39" s="56"/>
      <c r="H39" s="29"/>
      <c r="I39" s="64"/>
      <c r="J39" s="29"/>
    </row>
    <row r="40" spans="1:10">
      <c r="A40" s="64"/>
      <c r="B40" s="64"/>
      <c r="G40" s="56"/>
      <c r="H40" s="29"/>
      <c r="I40" s="64"/>
      <c r="J40" s="29"/>
    </row>
    <row r="41" spans="1:10">
      <c r="A41" s="67" t="s">
        <v>18</v>
      </c>
      <c r="B41" s="69" t="s">
        <v>85</v>
      </c>
      <c r="C41" s="14" t="s">
        <v>11</v>
      </c>
      <c r="D41" s="14" t="s">
        <v>20</v>
      </c>
      <c r="E41" s="14" t="s">
        <v>9</v>
      </c>
      <c r="F41" s="14" t="s">
        <v>1</v>
      </c>
      <c r="G41" s="55" t="s">
        <v>52</v>
      </c>
      <c r="H41" s="29"/>
      <c r="I41" s="64"/>
      <c r="J41" s="29"/>
    </row>
    <row r="42" spans="1:10">
      <c r="A42" s="64" t="s">
        <v>93</v>
      </c>
      <c r="B42" s="95">
        <v>1</v>
      </c>
      <c r="C42" s="106">
        <v>0.2</v>
      </c>
      <c r="D42" s="10">
        <f>+SUM(C42:$C$42)</f>
        <v>0.2</v>
      </c>
      <c r="E42" s="10">
        <f>+E5</f>
        <v>3</v>
      </c>
      <c r="F42" s="10">
        <f>+E42*C42</f>
        <v>0.60000000000000009</v>
      </c>
      <c r="G42" s="107">
        <v>2.5000000000000001E-2</v>
      </c>
      <c r="H42" s="64" t="s">
        <v>91</v>
      </c>
      <c r="I42" s="64"/>
      <c r="J42" s="29"/>
    </row>
    <row r="43" spans="1:10">
      <c r="A43" s="64" t="s">
        <v>95</v>
      </c>
      <c r="B43" s="71" t="s">
        <v>6</v>
      </c>
      <c r="C43" s="11">
        <f>+SUM(C42:C42)</f>
        <v>0.2</v>
      </c>
      <c r="D43" s="11"/>
      <c r="E43" s="11"/>
      <c r="F43" s="13">
        <f>+SUM(F42:F42)</f>
        <v>0.60000000000000009</v>
      </c>
      <c r="G43" s="60"/>
      <c r="H43" s="29"/>
      <c r="I43" s="64"/>
      <c r="J43" s="29"/>
    </row>
    <row r="44" spans="1:10">
      <c r="A44" s="64" t="s">
        <v>96</v>
      </c>
      <c r="B44" s="64"/>
      <c r="G44" s="56"/>
      <c r="H44" s="29"/>
      <c r="I44" s="64"/>
      <c r="J44" s="29"/>
    </row>
    <row r="45" spans="1:10">
      <c r="A45" s="64"/>
      <c r="B45" s="64"/>
      <c r="G45" s="56"/>
      <c r="H45" s="29"/>
      <c r="I45" s="64"/>
      <c r="J45" s="29"/>
    </row>
    <row r="46" spans="1:10">
      <c r="A46" s="67" t="s">
        <v>19</v>
      </c>
      <c r="B46" s="69" t="s">
        <v>85</v>
      </c>
      <c r="C46" s="14" t="s">
        <v>11</v>
      </c>
      <c r="D46" s="14" t="s">
        <v>20</v>
      </c>
      <c r="E46" s="14" t="s">
        <v>9</v>
      </c>
      <c r="F46" s="14" t="s">
        <v>1</v>
      </c>
      <c r="G46" s="55" t="s">
        <v>52</v>
      </c>
      <c r="H46" s="29"/>
      <c r="I46" s="64"/>
      <c r="J46" s="29"/>
    </row>
    <row r="47" spans="1:10">
      <c r="A47" s="64" t="s">
        <v>93</v>
      </c>
      <c r="B47" s="95">
        <v>2</v>
      </c>
      <c r="C47" s="106">
        <v>0.2</v>
      </c>
      <c r="D47" s="10">
        <f>+SUM(C$47:$C47)</f>
        <v>0.2</v>
      </c>
      <c r="E47" s="10">
        <f>+E6</f>
        <v>3</v>
      </c>
      <c r="F47" s="10">
        <f>+E47*C47</f>
        <v>0.60000000000000009</v>
      </c>
      <c r="G47" s="107">
        <v>2.5000000000000001E-2</v>
      </c>
      <c r="H47" s="64" t="s">
        <v>91</v>
      </c>
      <c r="I47" s="64"/>
      <c r="J47" s="29"/>
    </row>
    <row r="48" spans="1:10">
      <c r="A48" s="64" t="s">
        <v>94</v>
      </c>
      <c r="B48" s="71" t="s">
        <v>6</v>
      </c>
      <c r="C48" s="11">
        <f>+SUM(C47:C47)</f>
        <v>0.2</v>
      </c>
      <c r="D48" s="11"/>
      <c r="E48" s="11"/>
      <c r="F48" s="13">
        <f>+SUM(F47:F47)</f>
        <v>0.60000000000000009</v>
      </c>
      <c r="G48" s="60"/>
      <c r="H48" s="29"/>
      <c r="I48" s="64"/>
      <c r="J48" s="29"/>
    </row>
    <row r="49" spans="1:10">
      <c r="A49" s="64" t="s">
        <v>96</v>
      </c>
      <c r="B49" s="64"/>
      <c r="G49" s="57"/>
      <c r="H49" s="29"/>
      <c r="I49" s="64"/>
      <c r="J49" s="29"/>
    </row>
    <row r="50" spans="1:10">
      <c r="A50" s="64"/>
      <c r="B50" s="64"/>
      <c r="G50" s="57"/>
      <c r="H50" s="29"/>
      <c r="I50" s="29"/>
      <c r="J50" s="29"/>
    </row>
    <row r="51" spans="1:10">
      <c r="A51" s="64"/>
      <c r="B51" s="64"/>
      <c r="G51" s="57"/>
      <c r="H51" s="29"/>
      <c r="I51" s="29"/>
      <c r="J51" s="29"/>
    </row>
    <row r="52" spans="1:10">
      <c r="A52" s="64"/>
      <c r="B52" s="64"/>
      <c r="G52" s="57"/>
      <c r="H52" s="29"/>
      <c r="I52" s="29"/>
      <c r="J52" s="29"/>
    </row>
    <row r="53" spans="1:10">
      <c r="A53" s="64"/>
      <c r="B53" s="64"/>
      <c r="G53" s="57"/>
      <c r="H53" s="29"/>
      <c r="I53" s="29"/>
      <c r="J53" s="29"/>
    </row>
    <row r="54" spans="1:10">
      <c r="A54" s="64"/>
      <c r="G54" s="57"/>
      <c r="H54" s="29"/>
      <c r="I54" s="29"/>
    </row>
    <row r="55" spans="1:10">
      <c r="A55" s="64"/>
      <c r="G55" s="57"/>
      <c r="H55" s="29"/>
      <c r="I55" s="29"/>
    </row>
    <row r="56" spans="1:10">
      <c r="A56" s="64"/>
      <c r="G56" s="57"/>
      <c r="H56" s="29"/>
      <c r="I56" s="29"/>
    </row>
    <row r="57" spans="1:10">
      <c r="A57" s="64"/>
      <c r="G57" s="57"/>
      <c r="H57" s="29"/>
      <c r="I57" s="29"/>
    </row>
    <row r="58" spans="1:10">
      <c r="A58" s="64"/>
      <c r="G58" s="57"/>
      <c r="H58" s="29"/>
      <c r="I58" s="29"/>
    </row>
    <row r="59" spans="1:10">
      <c r="A59" s="64"/>
      <c r="G59" s="57"/>
      <c r="H59" s="29"/>
      <c r="I59" s="29"/>
    </row>
    <row r="60" spans="1:10">
      <c r="A60" s="64"/>
      <c r="G60" s="57"/>
      <c r="H60" s="29"/>
      <c r="I60" s="29"/>
    </row>
    <row r="61" spans="1:10">
      <c r="A61" s="64"/>
      <c r="G61" s="57"/>
      <c r="H61" s="29"/>
      <c r="I61" s="29"/>
    </row>
    <row r="62" spans="1:10">
      <c r="A62" s="64"/>
      <c r="G62" s="57"/>
      <c r="H62" s="29"/>
      <c r="I62" s="29"/>
    </row>
    <row r="63" spans="1:10">
      <c r="A63" s="64"/>
      <c r="G63" s="57"/>
      <c r="H63" s="29"/>
      <c r="I63" s="29"/>
    </row>
    <row r="64" spans="1:10">
      <c r="A64" s="64"/>
      <c r="G64" s="57"/>
      <c r="H64" s="29"/>
      <c r="I64" s="29"/>
    </row>
    <row r="65" spans="1:9">
      <c r="A65" s="64"/>
      <c r="G65" s="57"/>
      <c r="H65" s="29"/>
      <c r="I65" s="29"/>
    </row>
    <row r="66" spans="1:9">
      <c r="A66" s="64"/>
      <c r="G66" s="57"/>
      <c r="H66" s="29"/>
      <c r="I66" s="29"/>
    </row>
    <row r="67" spans="1:9">
      <c r="A67" s="64"/>
      <c r="G67" s="57"/>
      <c r="H67" s="29"/>
      <c r="I67" s="29"/>
    </row>
    <row r="68" spans="1:9">
      <c r="A68" s="64"/>
      <c r="G68" s="57"/>
      <c r="H68" s="29"/>
      <c r="I68" s="29"/>
    </row>
    <row r="69" spans="1:9">
      <c r="A69" s="64"/>
      <c r="G69" s="57"/>
      <c r="H69" s="29"/>
      <c r="I69" s="29"/>
    </row>
    <row r="70" spans="1:9">
      <c r="A70" s="64"/>
      <c r="G70" s="57"/>
      <c r="H70" s="29"/>
      <c r="I70" s="29"/>
    </row>
    <row r="71" spans="1:9">
      <c r="A71" s="64"/>
      <c r="G71" s="56"/>
      <c r="H71" s="29"/>
      <c r="I71" s="29"/>
    </row>
    <row r="72" spans="1:9">
      <c r="A72" s="64"/>
      <c r="G72" s="56"/>
      <c r="H72" s="29"/>
      <c r="I72" s="29"/>
    </row>
    <row r="73" spans="1:9">
      <c r="A73" s="64"/>
      <c r="G73" s="56"/>
      <c r="H73" s="29"/>
      <c r="I73" s="29"/>
    </row>
    <row r="74" spans="1:9">
      <c r="A74" s="64"/>
      <c r="G74" s="56"/>
      <c r="H74" s="29"/>
      <c r="I74" s="29"/>
    </row>
    <row r="75" spans="1:9">
      <c r="A75" s="64"/>
      <c r="G75" s="56"/>
      <c r="H75" s="29"/>
      <c r="I75" s="29"/>
    </row>
    <row r="76" spans="1:9">
      <c r="A76" s="64"/>
      <c r="G76" s="56"/>
      <c r="H76" s="29"/>
      <c r="I76" s="29"/>
    </row>
    <row r="77" spans="1:9">
      <c r="A77" s="64"/>
      <c r="G77" s="56"/>
      <c r="H77" s="29"/>
      <c r="I77" s="29"/>
    </row>
    <row r="78" spans="1:9">
      <c r="A78" s="64"/>
      <c r="G78" s="56"/>
      <c r="H78" s="29"/>
      <c r="I78" s="29"/>
    </row>
    <row r="79" spans="1:9">
      <c r="A79" s="64"/>
      <c r="G79" s="56"/>
      <c r="H79" s="29"/>
      <c r="I79" s="29"/>
    </row>
    <row r="80" spans="1:9">
      <c r="A80" s="64"/>
      <c r="G80" s="56"/>
      <c r="H80" s="29"/>
      <c r="I80" s="29"/>
    </row>
    <row r="81" spans="1:9">
      <c r="A81" s="64"/>
      <c r="G81" s="56"/>
      <c r="H81" s="29"/>
      <c r="I81" s="29"/>
    </row>
    <row r="82" spans="1:9">
      <c r="A82" s="64"/>
      <c r="G82" s="56"/>
      <c r="H82" s="29"/>
      <c r="I82" s="29"/>
    </row>
    <row r="83" spans="1:9">
      <c r="A83" s="64"/>
      <c r="G83" s="56"/>
      <c r="H83" s="29"/>
      <c r="I83" s="29"/>
    </row>
    <row r="84" spans="1:9">
      <c r="A84" s="64"/>
      <c r="G84" s="56"/>
      <c r="H84" s="29"/>
      <c r="I84" s="29"/>
    </row>
    <row r="85" spans="1:9">
      <c r="A85" s="64"/>
      <c r="G85" s="56"/>
      <c r="H85" s="29"/>
      <c r="I85" s="29"/>
    </row>
    <row r="86" spans="1:9">
      <c r="A86" s="64"/>
      <c r="G86" s="56"/>
      <c r="H86" s="29"/>
      <c r="I86" s="29"/>
    </row>
    <row r="87" spans="1:9">
      <c r="A87" s="64"/>
      <c r="G87" s="56"/>
      <c r="H87" s="29"/>
      <c r="I87" s="29"/>
    </row>
    <row r="88" spans="1:9">
      <c r="A88" s="64"/>
      <c r="G88" s="56"/>
      <c r="H88" s="29"/>
      <c r="I88" s="29"/>
    </row>
    <row r="89" spans="1:9">
      <c r="A89" s="64"/>
      <c r="G89" s="56"/>
      <c r="H89" s="29"/>
      <c r="I89" s="29"/>
    </row>
    <row r="90" spans="1:9">
      <c r="A90" s="64"/>
      <c r="G90" s="56"/>
      <c r="H90" s="29"/>
      <c r="I90" s="29"/>
    </row>
    <row r="91" spans="1:9">
      <c r="A91" s="64"/>
      <c r="G91" s="56"/>
      <c r="H91" s="29"/>
      <c r="I91" s="29"/>
    </row>
    <row r="92" spans="1:9">
      <c r="A92" s="64"/>
      <c r="G92" s="56"/>
      <c r="H92" s="29"/>
      <c r="I92" s="29"/>
    </row>
    <row r="93" spans="1:9">
      <c r="A93" s="64"/>
      <c r="G93" s="56"/>
      <c r="H93" s="29"/>
      <c r="I93" s="29"/>
    </row>
    <row r="94" spans="1:9">
      <c r="A94" s="64"/>
      <c r="G94" s="56"/>
      <c r="H94" s="29"/>
      <c r="I94" s="29"/>
    </row>
    <row r="95" spans="1:9">
      <c r="A95" s="64"/>
      <c r="G95" s="56"/>
      <c r="H95" s="29"/>
      <c r="I95" s="29"/>
    </row>
    <row r="96" spans="1:9">
      <c r="A96" s="64"/>
      <c r="G96" s="56"/>
      <c r="H96" s="29"/>
      <c r="I96" s="29"/>
    </row>
    <row r="97" spans="1:9">
      <c r="A97" s="64"/>
      <c r="G97" s="56"/>
      <c r="H97" s="29"/>
      <c r="I97" s="29"/>
    </row>
    <row r="98" spans="1:9">
      <c r="A98" s="64"/>
      <c r="G98" s="56"/>
      <c r="H98" s="29"/>
      <c r="I98" s="29"/>
    </row>
    <row r="99" spans="1:9">
      <c r="A99" s="64"/>
      <c r="G99" s="56"/>
      <c r="H99" s="29"/>
      <c r="I99" s="29"/>
    </row>
    <row r="100" spans="1:9">
      <c r="A100" s="64"/>
      <c r="G100" s="56"/>
      <c r="H100" s="29"/>
      <c r="I100" s="29"/>
    </row>
    <row r="101" spans="1:9">
      <c r="A101" s="64"/>
      <c r="G101" s="56"/>
      <c r="H101" s="29"/>
      <c r="I101" s="29"/>
    </row>
    <row r="102" spans="1:9">
      <c r="A102" s="64"/>
      <c r="G102" s="56"/>
      <c r="H102" s="29"/>
      <c r="I102" s="29"/>
    </row>
    <row r="103" spans="1:9">
      <c r="A103" s="64"/>
      <c r="G103" s="56"/>
      <c r="H103" s="29"/>
      <c r="I103" s="29"/>
    </row>
    <row r="104" spans="1:9">
      <c r="A104" s="64"/>
      <c r="G104" s="56"/>
      <c r="H104" s="29"/>
      <c r="I104" s="29"/>
    </row>
    <row r="105" spans="1:9">
      <c r="A105" s="64"/>
      <c r="G105" s="56"/>
      <c r="H105" s="29"/>
      <c r="I105" s="29"/>
    </row>
    <row r="106" spans="1:9">
      <c r="A106" s="64"/>
      <c r="G106" s="56"/>
      <c r="H106" s="29"/>
      <c r="I106" s="29"/>
    </row>
    <row r="107" spans="1:9">
      <c r="A107" s="64"/>
      <c r="G107" s="56"/>
      <c r="H107" s="29"/>
      <c r="I107" s="29"/>
    </row>
    <row r="108" spans="1:9">
      <c r="A108" s="64"/>
      <c r="G108" s="56"/>
      <c r="H108" s="29"/>
      <c r="I108" s="29"/>
    </row>
    <row r="109" spans="1:9">
      <c r="A109" s="64"/>
      <c r="G109" s="56"/>
      <c r="H109" s="29"/>
      <c r="I109" s="29"/>
    </row>
    <row r="110" spans="1:9">
      <c r="A110" s="64"/>
      <c r="G110" s="56"/>
      <c r="H110" s="29"/>
      <c r="I110" s="29"/>
    </row>
    <row r="111" spans="1:9">
      <c r="A111" s="64"/>
      <c r="G111" s="56"/>
      <c r="H111" s="29"/>
      <c r="I111" s="29"/>
    </row>
    <row r="112" spans="1:9">
      <c r="A112" s="64"/>
      <c r="G112" s="56"/>
      <c r="H112" s="29"/>
      <c r="I112" s="29"/>
    </row>
    <row r="113" spans="1:9">
      <c r="A113" s="64"/>
      <c r="G113" s="56"/>
      <c r="H113" s="29"/>
      <c r="I113" s="29"/>
    </row>
    <row r="114" spans="1:9">
      <c r="A114" s="64"/>
      <c r="G114" s="56"/>
      <c r="H114" s="29"/>
      <c r="I114" s="29"/>
    </row>
    <row r="115" spans="1:9">
      <c r="A115" s="64"/>
      <c r="G115" s="56"/>
      <c r="H115" s="29"/>
      <c r="I115" s="29"/>
    </row>
    <row r="116" spans="1:9">
      <c r="A116" s="64"/>
      <c r="G116" s="56"/>
      <c r="H116" s="29"/>
      <c r="I116" s="29"/>
    </row>
    <row r="117" spans="1:9">
      <c r="A117" s="64"/>
      <c r="G117" s="56"/>
      <c r="H117" s="29"/>
      <c r="I117" s="29"/>
    </row>
    <row r="118" spans="1:9">
      <c r="G118" s="56"/>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6.xml><?xml version="1.0" encoding="utf-8"?>
<worksheet xmlns="http://schemas.openxmlformats.org/spreadsheetml/2006/main" xmlns:r="http://schemas.openxmlformats.org/officeDocument/2006/relationships">
  <dimension ref="A1:H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8" ht="18">
      <c r="A1" s="103" t="s">
        <v>78</v>
      </c>
      <c r="B1" s="103"/>
      <c r="C1" s="103"/>
      <c r="D1" s="103"/>
      <c r="E1" s="103"/>
    </row>
    <row r="2" spans="1:8">
      <c r="A2" s="74" t="s">
        <v>98</v>
      </c>
    </row>
    <row r="4" spans="1:8">
      <c r="A4" s="67" t="s">
        <v>10</v>
      </c>
      <c r="B4" s="69" t="s">
        <v>85</v>
      </c>
      <c r="C4" s="69" t="s">
        <v>11</v>
      </c>
      <c r="D4" s="69" t="s">
        <v>20</v>
      </c>
      <c r="E4" s="69" t="s">
        <v>9</v>
      </c>
      <c r="F4" s="69" t="s">
        <v>1</v>
      </c>
      <c r="G4" s="69" t="s">
        <v>52</v>
      </c>
    </row>
    <row r="5" spans="1:8">
      <c r="A5" s="64" t="s">
        <v>92</v>
      </c>
      <c r="B5" s="96">
        <v>1</v>
      </c>
      <c r="C5" s="105">
        <v>0.125</v>
      </c>
      <c r="D5" s="65">
        <f>+SUM($C$5:C5)</f>
        <v>0.125</v>
      </c>
      <c r="E5" s="65">
        <f>+Summary!B26</f>
        <v>2</v>
      </c>
      <c r="F5" s="65">
        <f>+C5*E5</f>
        <v>0.25</v>
      </c>
      <c r="G5" s="58"/>
    </row>
    <row r="6" spans="1:8">
      <c r="B6" s="96">
        <v>2</v>
      </c>
      <c r="C6" s="105">
        <v>0.1</v>
      </c>
      <c r="D6" s="65">
        <f>+SUM($C$5:C6)</f>
        <v>0.22500000000000001</v>
      </c>
      <c r="E6" s="65">
        <f>+Summary!B27</f>
        <v>3</v>
      </c>
      <c r="F6" s="65">
        <f t="shared" ref="F6:F7" si="0">+C6*E6</f>
        <v>0.30000000000000004</v>
      </c>
      <c r="G6" s="58"/>
    </row>
    <row r="7" spans="1:8">
      <c r="B7" s="96" t="s">
        <v>86</v>
      </c>
      <c r="C7" s="51">
        <v>0.01</v>
      </c>
      <c r="D7" s="65">
        <f>+SUM($C$5:C7)</f>
        <v>0.23500000000000001</v>
      </c>
      <c r="E7" s="65">
        <f>+E5+E6</f>
        <v>5</v>
      </c>
      <c r="F7" s="65">
        <f t="shared" si="0"/>
        <v>0.05</v>
      </c>
      <c r="G7" s="58">
        <v>0.5</v>
      </c>
      <c r="H7" s="64" t="s">
        <v>91</v>
      </c>
    </row>
    <row r="8" spans="1:8">
      <c r="B8" s="71" t="s">
        <v>12</v>
      </c>
      <c r="C8" s="71">
        <f>+SUM(C5:C7)</f>
        <v>0.23500000000000001</v>
      </c>
      <c r="D8" s="71"/>
      <c r="E8" s="71"/>
      <c r="F8" s="62">
        <f>+SUM(F5:F7)</f>
        <v>0.60000000000000009</v>
      </c>
      <c r="G8" s="59"/>
    </row>
    <row r="9" spans="1:8">
      <c r="B9" s="72" t="s">
        <v>90</v>
      </c>
      <c r="G9" s="56"/>
    </row>
    <row r="10" spans="1:8">
      <c r="G10" s="56"/>
    </row>
    <row r="11" spans="1:8">
      <c r="G11" s="56"/>
    </row>
    <row r="12" spans="1:8">
      <c r="A12" s="67" t="s">
        <v>18</v>
      </c>
      <c r="B12" s="69" t="s">
        <v>85</v>
      </c>
      <c r="C12" s="69" t="s">
        <v>11</v>
      </c>
      <c r="D12" s="69" t="s">
        <v>20</v>
      </c>
      <c r="E12" s="69" t="s">
        <v>9</v>
      </c>
      <c r="F12" s="69" t="s">
        <v>1</v>
      </c>
      <c r="G12" s="69" t="s">
        <v>52</v>
      </c>
    </row>
    <row r="13" spans="1:8">
      <c r="A13" s="64" t="s">
        <v>93</v>
      </c>
      <c r="B13" s="95">
        <v>1</v>
      </c>
      <c r="C13" s="106">
        <v>0.3</v>
      </c>
      <c r="D13" s="68">
        <f>+SUM(C13:$C$13)</f>
        <v>0.3</v>
      </c>
      <c r="E13" s="68">
        <f>+E5</f>
        <v>2</v>
      </c>
      <c r="F13" s="68">
        <f>+E13*C13</f>
        <v>0.6</v>
      </c>
      <c r="G13" s="107">
        <v>1.6666666666600001E-2</v>
      </c>
      <c r="H13" s="64" t="s">
        <v>91</v>
      </c>
    </row>
    <row r="14" spans="1:8">
      <c r="A14" s="64" t="s">
        <v>95</v>
      </c>
      <c r="B14" s="71" t="s">
        <v>6</v>
      </c>
      <c r="C14" s="71">
        <f>+SUM(C13:C13)</f>
        <v>0.3</v>
      </c>
      <c r="D14" s="71"/>
      <c r="E14" s="71"/>
      <c r="F14" s="76">
        <f>+SUM(F13:F13)</f>
        <v>0.6</v>
      </c>
      <c r="G14" s="60"/>
    </row>
    <row r="15" spans="1:8">
      <c r="G15" s="56"/>
    </row>
    <row r="16" spans="1:8">
      <c r="G16" s="56"/>
    </row>
    <row r="17" spans="1:8">
      <c r="A17" s="67" t="s">
        <v>19</v>
      </c>
      <c r="B17" s="69" t="s">
        <v>85</v>
      </c>
      <c r="C17" s="69" t="s">
        <v>11</v>
      </c>
      <c r="D17" s="69" t="s">
        <v>20</v>
      </c>
      <c r="E17" s="69" t="s">
        <v>9</v>
      </c>
      <c r="F17" s="69" t="s">
        <v>1</v>
      </c>
      <c r="G17" s="69" t="s">
        <v>52</v>
      </c>
    </row>
    <row r="18" spans="1:8">
      <c r="A18" s="64" t="s">
        <v>93</v>
      </c>
      <c r="B18" s="95">
        <v>2</v>
      </c>
      <c r="C18" s="106">
        <v>0.2</v>
      </c>
      <c r="D18" s="68">
        <f>+SUM(C$18:$C18)</f>
        <v>0.2</v>
      </c>
      <c r="E18" s="68">
        <f>+E6</f>
        <v>3</v>
      </c>
      <c r="F18" s="68">
        <f>+E18*C18</f>
        <v>0.60000000000000009</v>
      </c>
      <c r="G18" s="107">
        <v>2.5000000000000001E-2</v>
      </c>
      <c r="H18" s="64" t="s">
        <v>91</v>
      </c>
    </row>
    <row r="19" spans="1:8">
      <c r="A19" s="64" t="s">
        <v>94</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108</v>
      </c>
      <c r="B1" s="103"/>
      <c r="C1" s="103"/>
      <c r="D1" s="103"/>
      <c r="E1" s="103"/>
    </row>
    <row r="2" spans="1:8">
      <c r="A2" s="74"/>
    </row>
    <row r="4" spans="1:8">
      <c r="A4" s="67" t="s">
        <v>74</v>
      </c>
      <c r="B4" s="69" t="s">
        <v>85</v>
      </c>
      <c r="C4" s="69" t="s">
        <v>11</v>
      </c>
      <c r="D4" s="69" t="s">
        <v>20</v>
      </c>
      <c r="E4" s="69" t="s">
        <v>9</v>
      </c>
      <c r="F4" s="69" t="s">
        <v>1</v>
      </c>
      <c r="G4" s="69" t="s">
        <v>52</v>
      </c>
    </row>
    <row r="5" spans="1:8">
      <c r="B5" s="95">
        <v>1</v>
      </c>
      <c r="C5" s="106">
        <v>0.3</v>
      </c>
      <c r="D5" s="68">
        <f>+SUM(C5:$C$5)</f>
        <v>0.3</v>
      </c>
      <c r="E5" s="68">
        <f>+Summary!B20</f>
        <v>2</v>
      </c>
      <c r="F5" s="68">
        <f>+E5*C5</f>
        <v>0.6</v>
      </c>
      <c r="G5" s="107">
        <v>1.6666666666666601E-2</v>
      </c>
      <c r="H5" s="64" t="s">
        <v>91</v>
      </c>
    </row>
    <row r="6" spans="1:8">
      <c r="B6" s="71" t="s">
        <v>6</v>
      </c>
      <c r="C6" s="71">
        <f>+SUM(C5:C5)</f>
        <v>0.3</v>
      </c>
      <c r="D6" s="71"/>
      <c r="E6" s="71"/>
      <c r="F6" s="76">
        <f>+SUM(F5:F5)</f>
        <v>0.6</v>
      </c>
      <c r="G6" s="60"/>
    </row>
    <row r="7" spans="1:8">
      <c r="G7" s="56"/>
    </row>
    <row r="8" spans="1:8">
      <c r="G8" s="56"/>
    </row>
    <row r="9" spans="1:8">
      <c r="A9" s="67" t="s">
        <v>75</v>
      </c>
      <c r="B9" s="69" t="s">
        <v>85</v>
      </c>
      <c r="C9" s="69" t="s">
        <v>11</v>
      </c>
      <c r="D9" s="69" t="s">
        <v>20</v>
      </c>
      <c r="E9" s="69" t="s">
        <v>9</v>
      </c>
      <c r="F9" s="69" t="s">
        <v>1</v>
      </c>
      <c r="G9" s="69" t="s">
        <v>52</v>
      </c>
    </row>
    <row r="10" spans="1:8">
      <c r="B10" s="95">
        <v>1</v>
      </c>
      <c r="C10" s="106">
        <v>0.2</v>
      </c>
      <c r="D10" s="68">
        <f>1/6</f>
        <v>0.16666666666666666</v>
      </c>
      <c r="E10" s="68">
        <f>+Summary!E20</f>
        <v>3</v>
      </c>
      <c r="F10" s="68">
        <f>+E10*C10</f>
        <v>0.60000000000000009</v>
      </c>
      <c r="G10" s="107">
        <v>2.5000000000000001E-2</v>
      </c>
      <c r="H10" s="64" t="s">
        <v>91</v>
      </c>
    </row>
    <row r="11" spans="1:8">
      <c r="B11" s="71" t="s">
        <v>6</v>
      </c>
      <c r="C11" s="71">
        <f>+SUM(C10:C10)</f>
        <v>0.2</v>
      </c>
      <c r="D11" s="71"/>
      <c r="E11" s="71"/>
      <c r="F11" s="76">
        <f>+SUM(F10:F10)</f>
        <v>0.60000000000000009</v>
      </c>
      <c r="G11" s="60"/>
    </row>
    <row r="12" spans="1:8">
      <c r="G12" s="57"/>
    </row>
    <row r="13" spans="1:8">
      <c r="G13" s="57"/>
    </row>
    <row r="14" spans="1:8">
      <c r="A14" s="67" t="s">
        <v>76</v>
      </c>
      <c r="B14" s="69" t="s">
        <v>85</v>
      </c>
      <c r="C14" s="69" t="s">
        <v>11</v>
      </c>
      <c r="D14" s="69" t="s">
        <v>20</v>
      </c>
      <c r="E14" s="69" t="s">
        <v>9</v>
      </c>
      <c r="F14" s="69" t="s">
        <v>1</v>
      </c>
      <c r="G14" s="69" t="s">
        <v>52</v>
      </c>
    </row>
    <row r="15" spans="1:8">
      <c r="B15" s="95">
        <v>1</v>
      </c>
      <c r="C15" s="106">
        <v>0.15</v>
      </c>
      <c r="D15" s="68">
        <f>+SUM(C$15:$C15)</f>
        <v>0.15</v>
      </c>
      <c r="E15" s="68">
        <f>+Summary!H20</f>
        <v>4</v>
      </c>
      <c r="F15" s="68">
        <f>+E15*C15</f>
        <v>0.6</v>
      </c>
      <c r="G15" s="107">
        <v>3.3333333333333298E-2</v>
      </c>
      <c r="H15" s="64" t="s">
        <v>91</v>
      </c>
    </row>
    <row r="16" spans="1:8">
      <c r="B16" s="71" t="s">
        <v>6</v>
      </c>
      <c r="C16" s="71">
        <f>+SUM(C15:C15)</f>
        <v>0.15</v>
      </c>
      <c r="D16" s="71"/>
      <c r="E16" s="71"/>
      <c r="F16" s="76">
        <f>+SUM(F15:F15)</f>
        <v>0.6</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109</v>
      </c>
      <c r="B1" s="103"/>
      <c r="C1" s="103"/>
      <c r="D1" s="103"/>
      <c r="E1" s="103"/>
    </row>
    <row r="2" spans="1:9">
      <c r="A2" s="74" t="s">
        <v>98</v>
      </c>
    </row>
    <row r="4" spans="1:9">
      <c r="A4" s="67" t="s">
        <v>10</v>
      </c>
      <c r="B4" s="69" t="s">
        <v>85</v>
      </c>
      <c r="C4" s="69" t="s">
        <v>11</v>
      </c>
      <c r="D4" s="69" t="s">
        <v>20</v>
      </c>
      <c r="E4" s="69" t="s">
        <v>9</v>
      </c>
      <c r="F4" s="69" t="s">
        <v>1</v>
      </c>
      <c r="G4" s="69" t="s">
        <v>52</v>
      </c>
    </row>
    <row r="5" spans="1:9">
      <c r="A5" s="64" t="s">
        <v>92</v>
      </c>
      <c r="B5" s="96">
        <v>1</v>
      </c>
      <c r="C5" s="105">
        <v>0.08</v>
      </c>
      <c r="D5" s="65">
        <f>+SUM($C$5:C5)</f>
        <v>0.08</v>
      </c>
      <c r="E5" s="65">
        <f>+Summary!B35</f>
        <v>2</v>
      </c>
      <c r="F5" s="65">
        <f>+C5*E5</f>
        <v>0.16</v>
      </c>
      <c r="G5" s="58"/>
    </row>
    <row r="6" spans="1:9">
      <c r="B6" s="96">
        <v>2</v>
      </c>
      <c r="C6" s="105">
        <v>2.5000000000000001E-2</v>
      </c>
      <c r="D6" s="65">
        <f>+SUM($C$5:C6)</f>
        <v>0.10500000000000001</v>
      </c>
      <c r="E6" s="65">
        <f>+Summary!B36</f>
        <v>5</v>
      </c>
      <c r="F6" s="65">
        <f t="shared" ref="F6:F11" si="0">+C6*E6</f>
        <v>0.125</v>
      </c>
      <c r="G6" s="58"/>
    </row>
    <row r="7" spans="1:9">
      <c r="B7" s="96">
        <v>3</v>
      </c>
      <c r="C7" s="51">
        <v>0.01</v>
      </c>
      <c r="D7" s="65">
        <f>+SUM($C$5:C7)</f>
        <v>0.115</v>
      </c>
      <c r="E7" s="65">
        <f>+Summary!B37</f>
        <v>8</v>
      </c>
      <c r="F7" s="65">
        <f t="shared" si="0"/>
        <v>0.08</v>
      </c>
      <c r="G7" s="58"/>
      <c r="I7" s="36"/>
    </row>
    <row r="8" spans="1:9">
      <c r="B8" s="96" t="s">
        <v>86</v>
      </c>
      <c r="C8" s="51">
        <v>5.0000000000000001E-3</v>
      </c>
      <c r="D8" s="65">
        <f>+SUM($C$5:C8)</f>
        <v>0.12000000000000001</v>
      </c>
      <c r="E8" s="65">
        <f>+E5+E6</f>
        <v>7</v>
      </c>
      <c r="F8" s="65">
        <f t="shared" si="0"/>
        <v>3.5000000000000003E-2</v>
      </c>
      <c r="G8" s="58"/>
      <c r="I8" s="98"/>
    </row>
    <row r="9" spans="1:9">
      <c r="B9" s="96" t="s">
        <v>87</v>
      </c>
      <c r="C9" s="51">
        <v>6.0000000000000001E-3</v>
      </c>
      <c r="D9" s="65">
        <f>+SUM($C$5:C9)</f>
        <v>0.126</v>
      </c>
      <c r="E9" s="65">
        <f>+E5+E7</f>
        <v>10</v>
      </c>
      <c r="F9" s="65">
        <f t="shared" si="0"/>
        <v>0.06</v>
      </c>
      <c r="G9" s="58"/>
    </row>
    <row r="10" spans="1:9">
      <c r="B10" s="96" t="s">
        <v>88</v>
      </c>
      <c r="C10" s="51">
        <v>5.0000000000000001E-3</v>
      </c>
      <c r="D10" s="65">
        <f>+SUM($C$5:C10)</f>
        <v>0.13100000000000001</v>
      </c>
      <c r="E10" s="65">
        <f>+E6+E7</f>
        <v>13</v>
      </c>
      <c r="F10" s="65">
        <f t="shared" si="0"/>
        <v>6.5000000000000002E-2</v>
      </c>
      <c r="G10" s="58"/>
    </row>
    <row r="11" spans="1:9">
      <c r="B11" s="96" t="s">
        <v>89</v>
      </c>
      <c r="C11" s="51">
        <v>5.0000000000000001E-3</v>
      </c>
      <c r="D11" s="65">
        <f>+SUM($C$5:C11)</f>
        <v>0.13600000000000001</v>
      </c>
      <c r="E11" s="65">
        <f>+E5+E6+E7</f>
        <v>15</v>
      </c>
      <c r="F11" s="65">
        <f t="shared" si="0"/>
        <v>7.4999999999999997E-2</v>
      </c>
      <c r="G11" s="58">
        <v>1</v>
      </c>
      <c r="H11" s="64" t="s">
        <v>91</v>
      </c>
    </row>
    <row r="12" spans="1:9">
      <c r="B12" s="71" t="s">
        <v>12</v>
      </c>
      <c r="C12" s="71">
        <f>+SUM(C5:C11)</f>
        <v>0.13600000000000001</v>
      </c>
      <c r="D12" s="71"/>
      <c r="E12" s="71"/>
      <c r="F12" s="62">
        <f>+SUM(F5:F11)</f>
        <v>0.6</v>
      </c>
      <c r="G12" s="59"/>
    </row>
    <row r="13" spans="1:9">
      <c r="B13" s="72" t="s">
        <v>90</v>
      </c>
      <c r="G13" s="56"/>
    </row>
    <row r="14" spans="1:9">
      <c r="G14" s="56"/>
    </row>
    <row r="15" spans="1:9">
      <c r="A15" s="67" t="s">
        <v>14</v>
      </c>
      <c r="B15" s="69" t="s">
        <v>85</v>
      </c>
      <c r="C15" s="69" t="s">
        <v>11</v>
      </c>
      <c r="D15" s="69" t="s">
        <v>20</v>
      </c>
      <c r="E15" s="69" t="s">
        <v>9</v>
      </c>
      <c r="F15" s="69" t="s">
        <v>1</v>
      </c>
      <c r="G15" s="69" t="s">
        <v>52</v>
      </c>
    </row>
    <row r="16" spans="1:9">
      <c r="A16" s="64" t="s">
        <v>93</v>
      </c>
      <c r="B16" s="95">
        <v>2</v>
      </c>
      <c r="C16" s="68">
        <v>0.08</v>
      </c>
      <c r="D16" s="68">
        <f>+SUM(C16:$C$16)</f>
        <v>0.08</v>
      </c>
      <c r="E16" s="68">
        <f>+E6</f>
        <v>5</v>
      </c>
      <c r="F16" s="68">
        <f>+C16*E16</f>
        <v>0.4</v>
      </c>
      <c r="G16" s="58"/>
    </row>
    <row r="17" spans="1:9">
      <c r="A17" s="64" t="s">
        <v>94</v>
      </c>
      <c r="B17" s="95">
        <v>3</v>
      </c>
      <c r="C17" s="106">
        <v>1.6875000000000001E-2</v>
      </c>
      <c r="D17" s="68">
        <f>+SUM(C$16:$C17)</f>
        <v>9.6875000000000003E-2</v>
      </c>
      <c r="E17" s="68">
        <f>+E7</f>
        <v>8</v>
      </c>
      <c r="F17" s="68">
        <f t="shared" ref="F17:F18" si="1">+C17*E17</f>
        <v>0.13500000000000001</v>
      </c>
      <c r="G17" s="58"/>
      <c r="I17" s="97"/>
    </row>
    <row r="18" spans="1:9">
      <c r="B18" s="95" t="s">
        <v>88</v>
      </c>
      <c r="C18" s="68">
        <v>5.0000000000000001E-3</v>
      </c>
      <c r="D18" s="68">
        <f>+SUM(C$16:$C18)</f>
        <v>0.10187500000000001</v>
      </c>
      <c r="E18" s="68">
        <f>+E16+E17</f>
        <v>13</v>
      </c>
      <c r="F18" s="68">
        <f t="shared" si="1"/>
        <v>6.5000000000000002E-2</v>
      </c>
      <c r="G18" s="58">
        <v>1</v>
      </c>
      <c r="H18" s="64" t="s">
        <v>91</v>
      </c>
    </row>
    <row r="19" spans="1:9">
      <c r="B19" s="71" t="s">
        <v>6</v>
      </c>
      <c r="C19" s="71">
        <f>+SUM(C16:C18)</f>
        <v>0.10187500000000001</v>
      </c>
      <c r="D19" s="71"/>
      <c r="E19" s="71"/>
      <c r="F19" s="76">
        <f>+SUM(F16:F18)</f>
        <v>0.60000000000000009</v>
      </c>
      <c r="G19" s="60"/>
    </row>
    <row r="20" spans="1:9">
      <c r="B20" s="75"/>
      <c r="C20" s="75"/>
      <c r="D20" s="75"/>
      <c r="E20" s="75"/>
      <c r="F20" s="70"/>
      <c r="G20" s="61"/>
    </row>
    <row r="21" spans="1:9">
      <c r="B21" s="75"/>
      <c r="C21" s="75"/>
      <c r="D21" s="75"/>
      <c r="E21" s="75"/>
      <c r="F21" s="70"/>
      <c r="G21" s="61"/>
    </row>
    <row r="22" spans="1:9">
      <c r="A22" s="67" t="s">
        <v>15</v>
      </c>
      <c r="B22" s="69" t="s">
        <v>85</v>
      </c>
      <c r="C22" s="69" t="s">
        <v>11</v>
      </c>
      <c r="D22" s="69" t="s">
        <v>20</v>
      </c>
      <c r="E22" s="69" t="s">
        <v>9</v>
      </c>
      <c r="F22" s="69" t="s">
        <v>1</v>
      </c>
      <c r="G22" s="69" t="s">
        <v>52</v>
      </c>
    </row>
    <row r="23" spans="1:9">
      <c r="A23" s="64" t="s">
        <v>93</v>
      </c>
      <c r="B23" s="95">
        <v>1</v>
      </c>
      <c r="C23" s="68">
        <v>0.12</v>
      </c>
      <c r="D23" s="68">
        <f>+SUM(C23:$C$23)</f>
        <v>0.12</v>
      </c>
      <c r="E23" s="68">
        <f>+E5</f>
        <v>2</v>
      </c>
      <c r="F23" s="68">
        <f>+C23*E23</f>
        <v>0.24</v>
      </c>
      <c r="G23" s="58"/>
    </row>
    <row r="24" spans="1:9">
      <c r="A24" s="64" t="s">
        <v>95</v>
      </c>
      <c r="B24" s="95">
        <v>3</v>
      </c>
      <c r="C24" s="106">
        <v>3.2500000000000001E-2</v>
      </c>
      <c r="D24" s="68">
        <f>+SUM(C$23:$C24)</f>
        <v>0.1525</v>
      </c>
      <c r="E24" s="68">
        <f>+E7</f>
        <v>8</v>
      </c>
      <c r="F24" s="68">
        <f t="shared" ref="F24:F25" si="2">+C24*E24</f>
        <v>0.26</v>
      </c>
      <c r="G24" s="58"/>
    </row>
    <row r="25" spans="1:9">
      <c r="B25" s="95" t="s">
        <v>87</v>
      </c>
      <c r="C25" s="68">
        <v>0.01</v>
      </c>
      <c r="D25" s="68">
        <f>+SUM(C$23:$C25)</f>
        <v>0.16250000000000001</v>
      </c>
      <c r="E25" s="68">
        <f>+E23+E24</f>
        <v>10</v>
      </c>
      <c r="F25" s="68">
        <f t="shared" si="2"/>
        <v>0.1</v>
      </c>
      <c r="G25" s="58">
        <v>0.5</v>
      </c>
      <c r="H25" s="64" t="s">
        <v>91</v>
      </c>
    </row>
    <row r="26" spans="1:9">
      <c r="B26" s="71" t="s">
        <v>6</v>
      </c>
      <c r="C26" s="71">
        <f>+SUM(C23:C25)</f>
        <v>0.16250000000000001</v>
      </c>
      <c r="D26" s="71"/>
      <c r="E26" s="71"/>
      <c r="F26" s="76">
        <f>+SUM(F23:F25)</f>
        <v>0.6</v>
      </c>
      <c r="G26" s="60"/>
    </row>
    <row r="27" spans="1:9">
      <c r="B27" s="75"/>
      <c r="C27" s="75"/>
      <c r="D27" s="75"/>
      <c r="E27" s="75"/>
      <c r="F27" s="70"/>
      <c r="G27" s="61"/>
    </row>
    <row r="28" spans="1:9">
      <c r="G28" s="56"/>
    </row>
    <row r="29" spans="1:9">
      <c r="A29" s="67" t="s">
        <v>16</v>
      </c>
      <c r="B29" s="69" t="s">
        <v>85</v>
      </c>
      <c r="C29" s="69" t="s">
        <v>11</v>
      </c>
      <c r="D29" s="69" t="s">
        <v>20</v>
      </c>
      <c r="E29" s="69" t="s">
        <v>9</v>
      </c>
      <c r="F29" s="69" t="s">
        <v>1</v>
      </c>
      <c r="G29" s="69" t="s">
        <v>52</v>
      </c>
    </row>
    <row r="30" spans="1:9">
      <c r="A30" s="64" t="s">
        <v>93</v>
      </c>
      <c r="B30" s="95">
        <v>3</v>
      </c>
      <c r="C30" s="106">
        <v>7.4999999999999997E-2</v>
      </c>
      <c r="D30" s="68">
        <f>+SUM(C30:$C$30)</f>
        <v>7.4999999999999997E-2</v>
      </c>
      <c r="E30" s="68">
        <f>+E7</f>
        <v>8</v>
      </c>
      <c r="F30" s="68">
        <f>+C30*E30</f>
        <v>0.6</v>
      </c>
      <c r="G30" s="107">
        <v>6.6666666666666596E-2</v>
      </c>
      <c r="H30" s="64" t="s">
        <v>91</v>
      </c>
    </row>
    <row r="31" spans="1:9">
      <c r="A31" s="64" t="s">
        <v>94</v>
      </c>
      <c r="B31" s="71" t="s">
        <v>6</v>
      </c>
      <c r="C31" s="71">
        <f>+SUM(C30:C30)</f>
        <v>7.4999999999999997E-2</v>
      </c>
      <c r="D31" s="71"/>
      <c r="E31" s="71"/>
      <c r="F31" s="76">
        <f>+SUM(F30:F30)</f>
        <v>0.6</v>
      </c>
      <c r="G31" s="60"/>
    </row>
    <row r="32" spans="1:9">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106">
        <v>0.14000000000000001</v>
      </c>
      <c r="D35" s="68">
        <f>+SUM(C35:$C$35)</f>
        <v>0.14000000000000001</v>
      </c>
      <c r="E35" s="68">
        <f>+E5</f>
        <v>2</v>
      </c>
      <c r="F35" s="68">
        <f>+C35*E35</f>
        <v>0.28000000000000003</v>
      </c>
      <c r="G35" s="58"/>
    </row>
    <row r="36" spans="1:8">
      <c r="A36" s="64" t="s">
        <v>96</v>
      </c>
      <c r="B36" s="95">
        <v>2</v>
      </c>
      <c r="C36" s="106">
        <v>0.05</v>
      </c>
      <c r="D36" s="68">
        <f>+SUM(C$35:$C36)</f>
        <v>0.19</v>
      </c>
      <c r="E36" s="68">
        <f>+E6</f>
        <v>5</v>
      </c>
      <c r="F36" s="68">
        <f t="shared" ref="F36:F37" si="3">+C36*E36</f>
        <v>0.25</v>
      </c>
      <c r="G36" s="58"/>
    </row>
    <row r="37" spans="1:8">
      <c r="B37" s="95" t="s">
        <v>86</v>
      </c>
      <c r="C37" s="68">
        <v>0.01</v>
      </c>
      <c r="D37" s="68">
        <f>+SUM(C$35:$C37)</f>
        <v>0.2</v>
      </c>
      <c r="E37" s="68">
        <f>+E35+E36</f>
        <v>7</v>
      </c>
      <c r="F37" s="68">
        <f t="shared" si="3"/>
        <v>7.0000000000000007E-2</v>
      </c>
      <c r="G37" s="58">
        <v>0.5</v>
      </c>
      <c r="H37" s="64" t="s">
        <v>91</v>
      </c>
    </row>
    <row r="38" spans="1:8">
      <c r="A38" s="73"/>
      <c r="B38" s="71" t="s">
        <v>6</v>
      </c>
      <c r="C38" s="71">
        <f>+SUM(C35:C37)</f>
        <v>0.2</v>
      </c>
      <c r="D38" s="71"/>
      <c r="E38" s="71"/>
      <c r="F38" s="76">
        <f>+SUM(F35:F37)</f>
        <v>0.60000000000000009</v>
      </c>
      <c r="G38" s="60"/>
    </row>
    <row r="39" spans="1:8">
      <c r="A39" s="73"/>
      <c r="G39" s="56"/>
    </row>
    <row r="40" spans="1:8">
      <c r="G40" s="56"/>
    </row>
    <row r="41" spans="1:8">
      <c r="A41" s="67" t="s">
        <v>18</v>
      </c>
      <c r="B41" s="69" t="s">
        <v>85</v>
      </c>
      <c r="C41" s="69" t="s">
        <v>11</v>
      </c>
      <c r="D41" s="69" t="s">
        <v>20</v>
      </c>
      <c r="E41" s="69" t="s">
        <v>9</v>
      </c>
      <c r="F41" s="69" t="s">
        <v>1</v>
      </c>
      <c r="G41" s="69" t="s">
        <v>52</v>
      </c>
    </row>
    <row r="42" spans="1:8">
      <c r="A42" s="64" t="s">
        <v>93</v>
      </c>
      <c r="B42" s="95">
        <v>1</v>
      </c>
      <c r="C42" s="106">
        <v>0.3</v>
      </c>
      <c r="D42" s="68">
        <f>+SUM(C42:$C$42)</f>
        <v>0.3</v>
      </c>
      <c r="E42" s="68">
        <f>+E5</f>
        <v>2</v>
      </c>
      <c r="F42" s="68">
        <f>+E42*C42</f>
        <v>0.6</v>
      </c>
      <c r="G42" s="107">
        <v>1.6666666666666601E-2</v>
      </c>
      <c r="H42" s="64" t="s">
        <v>91</v>
      </c>
    </row>
    <row r="43" spans="1:8">
      <c r="A43" s="64" t="s">
        <v>95</v>
      </c>
      <c r="B43" s="71" t="s">
        <v>6</v>
      </c>
      <c r="C43" s="71">
        <f>+SUM(C42:C42)</f>
        <v>0.3</v>
      </c>
      <c r="D43" s="71"/>
      <c r="E43" s="71"/>
      <c r="F43" s="76">
        <f>+SUM(F42:F42)</f>
        <v>0.6</v>
      </c>
      <c r="G43" s="60"/>
    </row>
    <row r="44" spans="1:8">
      <c r="A44" s="64" t="s">
        <v>96</v>
      </c>
      <c r="G44" s="56"/>
    </row>
    <row r="45" spans="1:8">
      <c r="G45" s="56"/>
    </row>
    <row r="46" spans="1:8">
      <c r="A46" s="67" t="s">
        <v>19</v>
      </c>
      <c r="B46" s="69" t="s">
        <v>85</v>
      </c>
      <c r="C46" s="69" t="s">
        <v>11</v>
      </c>
      <c r="D46" s="69" t="s">
        <v>20</v>
      </c>
      <c r="E46" s="69" t="s">
        <v>9</v>
      </c>
      <c r="F46" s="69" t="s">
        <v>1</v>
      </c>
      <c r="G46" s="69" t="s">
        <v>52</v>
      </c>
    </row>
    <row r="47" spans="1:8">
      <c r="A47" s="64" t="s">
        <v>93</v>
      </c>
      <c r="B47" s="95">
        <v>2</v>
      </c>
      <c r="C47" s="106">
        <v>0.12</v>
      </c>
      <c r="D47" s="68">
        <f>+SUM(C$47:$C47)</f>
        <v>0.12</v>
      </c>
      <c r="E47" s="68">
        <f>+E6</f>
        <v>5</v>
      </c>
      <c r="F47" s="68">
        <f>+E47*C47</f>
        <v>0.6</v>
      </c>
      <c r="G47" s="107">
        <v>4.1666666666665998E-2</v>
      </c>
      <c r="H47" s="64" t="s">
        <v>91</v>
      </c>
    </row>
    <row r="48" spans="1:8">
      <c r="A48" s="64" t="s">
        <v>94</v>
      </c>
      <c r="B48" s="71" t="s">
        <v>6</v>
      </c>
      <c r="C48" s="71">
        <f>+SUM(C47:C47)</f>
        <v>0.12</v>
      </c>
      <c r="D48" s="71"/>
      <c r="E48" s="71"/>
      <c r="F48" s="76">
        <f>+SUM(F47:F47)</f>
        <v>0.6</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127</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0.375</v>
      </c>
      <c r="D5" s="65">
        <f>+SUM($C$5:C5)</f>
        <v>0.375</v>
      </c>
      <c r="E5" s="65">
        <f>+Summary!E26</f>
        <v>2</v>
      </c>
      <c r="F5" s="65">
        <f>+C5*E5</f>
        <v>0.75</v>
      </c>
      <c r="G5" s="58"/>
    </row>
    <row r="6" spans="1:9">
      <c r="B6" s="96">
        <v>2</v>
      </c>
      <c r="C6" s="51">
        <v>7.5000000000000011E-2</v>
      </c>
      <c r="D6" s="65">
        <f>+SUM($C$5:C6)</f>
        <v>0.45</v>
      </c>
      <c r="E6" s="65">
        <f>+Summary!E27</f>
        <v>3</v>
      </c>
      <c r="F6" s="65">
        <f t="shared" ref="F6:F7" si="0">+C6*E6</f>
        <v>0.22500000000000003</v>
      </c>
      <c r="G6" s="58"/>
    </row>
    <row r="7" spans="1:9">
      <c r="B7" s="96" t="s">
        <v>86</v>
      </c>
      <c r="C7" s="51">
        <v>4.4999999999999998E-2</v>
      </c>
      <c r="D7" s="65">
        <f>+SUM($C$5:C7)</f>
        <v>0.495</v>
      </c>
      <c r="E7" s="65">
        <f>+E5+E6</f>
        <v>5</v>
      </c>
      <c r="F7" s="65">
        <f t="shared" si="0"/>
        <v>0.22499999999999998</v>
      </c>
      <c r="G7" s="58">
        <v>0</v>
      </c>
      <c r="H7" s="64" t="s">
        <v>91</v>
      </c>
      <c r="I7" s="98"/>
    </row>
    <row r="8" spans="1:9">
      <c r="B8" s="71" t="s">
        <v>12</v>
      </c>
      <c r="C8" s="71">
        <f>+SUM(C5:C7)</f>
        <v>0.495</v>
      </c>
      <c r="D8" s="71"/>
      <c r="E8" s="71"/>
      <c r="F8" s="62">
        <f>+SUM(F5:F7)</f>
        <v>1.2000000000000002</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0.6</v>
      </c>
      <c r="D13" s="68">
        <f>+SUM(C13:$C$13)</f>
        <v>0.6</v>
      </c>
      <c r="E13" s="68">
        <f>+E5</f>
        <v>2</v>
      </c>
      <c r="F13" s="68">
        <f>+E13*C13</f>
        <v>1.2</v>
      </c>
      <c r="G13" s="58">
        <v>0</v>
      </c>
      <c r="H13" s="64" t="s">
        <v>91</v>
      </c>
    </row>
    <row r="14" spans="1:9">
      <c r="A14" s="64" t="s">
        <v>95</v>
      </c>
      <c r="B14" s="71" t="s">
        <v>6</v>
      </c>
      <c r="C14" s="71">
        <f>+SUM(C13:C13)</f>
        <v>0.6</v>
      </c>
      <c r="D14" s="71"/>
      <c r="E14" s="71"/>
      <c r="F14" s="76">
        <f>+SUM(F13:F13)</f>
        <v>1.2</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0.4</v>
      </c>
      <c r="D18" s="68">
        <f>+SUM(C$18:$C18)</f>
        <v>0.4</v>
      </c>
      <c r="E18" s="68">
        <f>+E6</f>
        <v>3</v>
      </c>
      <c r="F18" s="68">
        <f>+E18*C18</f>
        <v>1.2000000000000002</v>
      </c>
      <c r="G18" s="58">
        <v>0</v>
      </c>
      <c r="H18" s="64" t="s">
        <v>91</v>
      </c>
    </row>
    <row r="19" spans="1:8">
      <c r="A19" s="64" t="s">
        <v>94</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sheetPr codeName="Hoja9"/>
  <dimension ref="A1:J126"/>
  <sheetViews>
    <sheetView workbookViewId="0">
      <selection activeCell="D18" sqref="D18"/>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102</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0.2</v>
      </c>
      <c r="D5" s="65">
        <f>+SUM($C$5:C5)</f>
        <v>0.2</v>
      </c>
      <c r="E5" s="65">
        <f>+Summary!H26</f>
        <v>2</v>
      </c>
      <c r="F5" s="65">
        <f>+C5*E5</f>
        <v>0.4</v>
      </c>
      <c r="G5" s="58"/>
    </row>
    <row r="6" spans="1:8">
      <c r="B6" s="96">
        <v>2</v>
      </c>
      <c r="C6" s="65">
        <v>0.2</v>
      </c>
      <c r="D6" s="65">
        <f>+SUM($C$5:C6)</f>
        <v>0.4</v>
      </c>
      <c r="E6" s="65">
        <f>+Summary!H27</f>
        <v>2</v>
      </c>
      <c r="F6" s="65">
        <f t="shared" ref="F6:F11" si="0">+C6*E6</f>
        <v>0.4</v>
      </c>
      <c r="G6" s="58"/>
    </row>
    <row r="7" spans="1:8">
      <c r="B7" s="96">
        <v>3</v>
      </c>
      <c r="C7" s="65">
        <v>0.01</v>
      </c>
      <c r="D7" s="65">
        <f>+SUM($C$5:C7)</f>
        <v>0.41000000000000003</v>
      </c>
      <c r="E7" s="65">
        <f>+Summary!H28</f>
        <v>4</v>
      </c>
      <c r="F7" s="65">
        <f t="shared" si="0"/>
        <v>0.04</v>
      </c>
      <c r="G7" s="58"/>
    </row>
    <row r="8" spans="1:8">
      <c r="B8" s="96" t="s">
        <v>86</v>
      </c>
      <c r="C8" s="65">
        <v>0.05</v>
      </c>
      <c r="D8" s="65">
        <f>+SUM($C$5:C8)</f>
        <v>0.46</v>
      </c>
      <c r="E8" s="65">
        <f>+E5+E6</f>
        <v>4</v>
      </c>
      <c r="F8" s="65">
        <f t="shared" si="0"/>
        <v>0.2</v>
      </c>
      <c r="G8" s="58"/>
    </row>
    <row r="9" spans="1:8">
      <c r="B9" s="96" t="s">
        <v>87</v>
      </c>
      <c r="C9" s="65">
        <v>0.01</v>
      </c>
      <c r="D9" s="65">
        <f>+SUM($C$5:C9)</f>
        <v>0.47000000000000003</v>
      </c>
      <c r="E9" s="65">
        <f>+E5+E7</f>
        <v>6</v>
      </c>
      <c r="F9" s="65">
        <f t="shared" si="0"/>
        <v>0.06</v>
      </c>
      <c r="G9" s="58"/>
    </row>
    <row r="10" spans="1:8">
      <c r="B10" s="96" t="s">
        <v>88</v>
      </c>
      <c r="C10" s="65">
        <v>0.01</v>
      </c>
      <c r="D10" s="65">
        <f>+SUM($C$5:C10)</f>
        <v>0.48000000000000004</v>
      </c>
      <c r="E10" s="65">
        <f>+E6+E7</f>
        <v>6</v>
      </c>
      <c r="F10" s="65">
        <f t="shared" si="0"/>
        <v>0.06</v>
      </c>
      <c r="G10" s="58"/>
    </row>
    <row r="11" spans="1:8">
      <c r="B11" s="96" t="s">
        <v>89</v>
      </c>
      <c r="C11" s="65">
        <v>5.0000000000000001E-3</v>
      </c>
      <c r="D11" s="65">
        <f>+SUM($C$5:C11)</f>
        <v>0.48500000000000004</v>
      </c>
      <c r="E11" s="65">
        <f>+E5+E6+E7</f>
        <v>8</v>
      </c>
      <c r="F11" s="65">
        <f t="shared" si="0"/>
        <v>0.04</v>
      </c>
      <c r="G11" s="58">
        <v>0</v>
      </c>
      <c r="H11" s="64" t="s">
        <v>91</v>
      </c>
    </row>
    <row r="12" spans="1:8">
      <c r="B12" s="71" t="s">
        <v>12</v>
      </c>
      <c r="C12" s="71">
        <f>+SUM(C5:C11)</f>
        <v>0.48500000000000004</v>
      </c>
      <c r="D12" s="71"/>
      <c r="E12" s="71"/>
      <c r="F12" s="78">
        <f>+SUM(F5:F11)</f>
        <v>1.2000000000000002</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0.5</v>
      </c>
      <c r="D16" s="68">
        <f>+SUM(C16:$C$16)</f>
        <v>0.5</v>
      </c>
      <c r="E16" s="68">
        <f>+E6</f>
        <v>2</v>
      </c>
      <c r="F16" s="68">
        <f>+C16*E16</f>
        <v>1</v>
      </c>
      <c r="G16" s="58"/>
    </row>
    <row r="17" spans="1:10">
      <c r="A17" s="64" t="s">
        <v>94</v>
      </c>
      <c r="B17" s="95">
        <v>3</v>
      </c>
      <c r="C17" s="68">
        <v>0.02</v>
      </c>
      <c r="D17" s="68">
        <f>+SUM(C$16:$C17)</f>
        <v>0.52</v>
      </c>
      <c r="E17" s="68">
        <f>+E7</f>
        <v>4</v>
      </c>
      <c r="F17" s="68">
        <f t="shared" ref="F17:F18" si="1">+C17*E17</f>
        <v>0.08</v>
      </c>
      <c r="G17" s="58"/>
    </row>
    <row r="18" spans="1:10">
      <c r="B18" s="95" t="s">
        <v>88</v>
      </c>
      <c r="C18" s="68">
        <v>0.02</v>
      </c>
      <c r="D18" s="68">
        <f>+SUM(C$16:$C18)</f>
        <v>0.54</v>
      </c>
      <c r="E18" s="68">
        <f>+E16+E17</f>
        <v>6</v>
      </c>
      <c r="F18" s="68">
        <f t="shared" si="1"/>
        <v>0.12</v>
      </c>
      <c r="G18" s="58">
        <v>0</v>
      </c>
      <c r="H18" s="64" t="s">
        <v>91</v>
      </c>
    </row>
    <row r="19" spans="1:10">
      <c r="B19" s="71" t="s">
        <v>6</v>
      </c>
      <c r="C19" s="71">
        <f>+SUM(C16:C18)</f>
        <v>0.54</v>
      </c>
      <c r="D19" s="71"/>
      <c r="E19" s="71"/>
      <c r="F19" s="76">
        <f>+SUM(F16:F18)</f>
        <v>1.2000000000000002</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0.5</v>
      </c>
      <c r="D23" s="68">
        <f>+SUM(C23:$C$23)</f>
        <v>0.5</v>
      </c>
      <c r="E23" s="68">
        <f>+E5</f>
        <v>2</v>
      </c>
      <c r="F23" s="68">
        <f>+C23*E23</f>
        <v>1</v>
      </c>
      <c r="G23" s="58"/>
    </row>
    <row r="24" spans="1:10">
      <c r="A24" s="64" t="s">
        <v>95</v>
      </c>
      <c r="B24" s="95">
        <v>3</v>
      </c>
      <c r="C24" s="68">
        <v>0.02</v>
      </c>
      <c r="D24" s="68">
        <f>+SUM(C$23:$C24)</f>
        <v>0.52</v>
      </c>
      <c r="E24" s="68">
        <f>+E7</f>
        <v>4</v>
      </c>
      <c r="F24" s="68">
        <f t="shared" ref="F24:F25" si="2">+C24*E24</f>
        <v>0.08</v>
      </c>
      <c r="G24" s="58"/>
    </row>
    <row r="25" spans="1:10">
      <c r="B25" s="95" t="s">
        <v>87</v>
      </c>
      <c r="C25" s="68">
        <v>0.02</v>
      </c>
      <c r="D25" s="68">
        <f>+SUM(C$23:$C25)</f>
        <v>0.54</v>
      </c>
      <c r="E25" s="68">
        <f>+E23+E24</f>
        <v>6</v>
      </c>
      <c r="F25" s="68">
        <f t="shared" si="2"/>
        <v>0.12</v>
      </c>
      <c r="G25" s="58">
        <v>0</v>
      </c>
      <c r="H25" s="64" t="s">
        <v>91</v>
      </c>
      <c r="J25" s="77"/>
    </row>
    <row r="26" spans="1:10">
      <c r="B26" s="71" t="s">
        <v>6</v>
      </c>
      <c r="C26" s="71">
        <f>+SUM(C23:C25)</f>
        <v>0.54</v>
      </c>
      <c r="D26" s="71"/>
      <c r="E26" s="71"/>
      <c r="F26" s="76">
        <f>+SUM(F23:F25)</f>
        <v>1.2000000000000002</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0.3</v>
      </c>
      <c r="D30" s="68">
        <f>+SUM(C30:$C$30)</f>
        <v>0.3</v>
      </c>
      <c r="E30" s="68">
        <f>+E7</f>
        <v>4</v>
      </c>
      <c r="F30" s="68">
        <f>+C30*E30</f>
        <v>1.2</v>
      </c>
      <c r="G30" s="58">
        <v>0</v>
      </c>
      <c r="H30" s="64" t="s">
        <v>91</v>
      </c>
    </row>
    <row r="31" spans="1:10">
      <c r="A31" s="64" t="s">
        <v>94</v>
      </c>
      <c r="B31" s="71" t="s">
        <v>6</v>
      </c>
      <c r="C31" s="71">
        <f>+SUM(C30:C30)</f>
        <v>0.3</v>
      </c>
      <c r="D31" s="71"/>
      <c r="E31" s="71"/>
      <c r="F31" s="76">
        <f>+SUM(F30:F30)</f>
        <v>1.2</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0.28000000000000003</v>
      </c>
      <c r="D35" s="68">
        <f>+SUM(C35:$C$35)</f>
        <v>0.28000000000000003</v>
      </c>
      <c r="E35" s="68">
        <f>+E5</f>
        <v>2</v>
      </c>
      <c r="F35" s="68">
        <f>+C35*E35</f>
        <v>0.56000000000000005</v>
      </c>
      <c r="G35" s="58"/>
    </row>
    <row r="36" spans="1:8">
      <c r="A36" s="64" t="s">
        <v>96</v>
      </c>
      <c r="B36" s="95">
        <v>2</v>
      </c>
      <c r="C36" s="68">
        <v>0.28000000000000003</v>
      </c>
      <c r="D36" s="68">
        <f>+SUM(C$35:$C36)</f>
        <v>0.56000000000000005</v>
      </c>
      <c r="E36" s="68">
        <f>+E6</f>
        <v>2</v>
      </c>
      <c r="F36" s="68">
        <f t="shared" ref="F36:F37" si="3">+C36*E36</f>
        <v>0.56000000000000005</v>
      </c>
      <c r="G36" s="58"/>
    </row>
    <row r="37" spans="1:8">
      <c r="B37" s="95" t="s">
        <v>86</v>
      </c>
      <c r="C37" s="68">
        <v>0.02</v>
      </c>
      <c r="D37" s="68">
        <f>+SUM(C$35:$C37)</f>
        <v>0.58000000000000007</v>
      </c>
      <c r="E37" s="68">
        <f>+E35+E36</f>
        <v>4</v>
      </c>
      <c r="F37" s="68">
        <f t="shared" si="3"/>
        <v>0.08</v>
      </c>
      <c r="G37" s="58">
        <v>0</v>
      </c>
      <c r="H37" s="64" t="s">
        <v>91</v>
      </c>
    </row>
    <row r="38" spans="1:8">
      <c r="A38" s="73"/>
      <c r="B38" s="71" t="s">
        <v>6</v>
      </c>
      <c r="C38" s="71">
        <f>+SUM(C35:C37)</f>
        <v>0.58000000000000007</v>
      </c>
      <c r="D38" s="71"/>
      <c r="E38" s="71"/>
      <c r="F38" s="76">
        <f>+SUM(F35:F37)</f>
        <v>1.2000000000000002</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0.6</v>
      </c>
      <c r="D42" s="68">
        <f>+SUM(C42:$C$42)</f>
        <v>0.6</v>
      </c>
      <c r="E42" s="68">
        <f>+E5</f>
        <v>2</v>
      </c>
      <c r="F42" s="68">
        <f>+E42*C42</f>
        <v>1.2</v>
      </c>
      <c r="G42" s="58">
        <v>0</v>
      </c>
      <c r="H42" s="64" t="s">
        <v>91</v>
      </c>
    </row>
    <row r="43" spans="1:8">
      <c r="A43" s="64" t="s">
        <v>95</v>
      </c>
      <c r="B43" s="71" t="s">
        <v>6</v>
      </c>
      <c r="C43" s="71">
        <f>+SUM(C42:C42)</f>
        <v>0.6</v>
      </c>
      <c r="D43" s="71"/>
      <c r="E43" s="71"/>
      <c r="F43" s="76">
        <f>+SUM(F42:F42)</f>
        <v>1.2</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0.6</v>
      </c>
      <c r="D47" s="68">
        <f>+SUM(C$47:$C47)</f>
        <v>0.6</v>
      </c>
      <c r="E47" s="68">
        <f>+E6</f>
        <v>2</v>
      </c>
      <c r="F47" s="68">
        <f>+E47*C47</f>
        <v>1.2</v>
      </c>
      <c r="G47" s="58">
        <v>0</v>
      </c>
      <c r="H47" s="64" t="s">
        <v>91</v>
      </c>
    </row>
    <row r="48" spans="1:8">
      <c r="A48" s="64" t="s">
        <v>94</v>
      </c>
      <c r="B48" s="71" t="s">
        <v>6</v>
      </c>
      <c r="C48" s="71">
        <f>+SUM(C47:C47)</f>
        <v>0.6</v>
      </c>
      <c r="D48" s="71"/>
      <c r="E48" s="71"/>
      <c r="F48" s="76">
        <f>+SUM(F47:F47)</f>
        <v>1.2</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105</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0.12</v>
      </c>
      <c r="D5" s="65">
        <f>+SUM($C$5:C5)</f>
        <v>0.12</v>
      </c>
      <c r="E5" s="79">
        <f>Summary!K26</f>
        <v>3</v>
      </c>
      <c r="F5" s="65">
        <f>+C5*E5</f>
        <v>0.36</v>
      </c>
      <c r="G5" s="58"/>
    </row>
    <row r="6" spans="1:8">
      <c r="B6" s="96">
        <v>2</v>
      </c>
      <c r="C6" s="65">
        <v>0.12</v>
      </c>
      <c r="D6" s="65">
        <f>+SUM($C$5:C6)</f>
        <v>0.24</v>
      </c>
      <c r="E6" s="79">
        <f>Summary!K27</f>
        <v>3</v>
      </c>
      <c r="F6" s="65">
        <f t="shared" ref="F6:F11" si="0">+C6*E6</f>
        <v>0.36</v>
      </c>
      <c r="G6" s="58"/>
    </row>
    <row r="7" spans="1:8">
      <c r="B7" s="96">
        <v>3</v>
      </c>
      <c r="C7" s="65">
        <v>0.02</v>
      </c>
      <c r="D7" s="65">
        <f>+SUM($C$5:C7)</f>
        <v>0.26</v>
      </c>
      <c r="E7" s="79">
        <f>Summary!K28</f>
        <v>6</v>
      </c>
      <c r="F7" s="65">
        <f t="shared" si="0"/>
        <v>0.12</v>
      </c>
      <c r="G7" s="58"/>
    </row>
    <row r="8" spans="1:8">
      <c r="B8" s="96" t="s">
        <v>86</v>
      </c>
      <c r="C8" s="65">
        <v>0.02</v>
      </c>
      <c r="D8" s="65">
        <f>+SUM($C$5:C8)</f>
        <v>0.28000000000000003</v>
      </c>
      <c r="E8" s="65">
        <f>+E5+E6</f>
        <v>6</v>
      </c>
      <c r="F8" s="65">
        <f t="shared" si="0"/>
        <v>0.12</v>
      </c>
      <c r="G8" s="58"/>
    </row>
    <row r="9" spans="1:8">
      <c r="B9" s="96" t="s">
        <v>87</v>
      </c>
      <c r="C9" s="65">
        <v>0.01</v>
      </c>
      <c r="D9" s="65">
        <f>+SUM($C$5:C9)</f>
        <v>0.29000000000000004</v>
      </c>
      <c r="E9" s="65">
        <f>+E5+E7</f>
        <v>9</v>
      </c>
      <c r="F9" s="65">
        <f t="shared" si="0"/>
        <v>0.09</v>
      </c>
      <c r="G9" s="58"/>
    </row>
    <row r="10" spans="1:8">
      <c r="B10" s="96" t="s">
        <v>88</v>
      </c>
      <c r="C10" s="65">
        <v>0.01</v>
      </c>
      <c r="D10" s="65">
        <f>+SUM($C$5:C10)</f>
        <v>0.30000000000000004</v>
      </c>
      <c r="E10" s="65">
        <f>+E6+E7</f>
        <v>9</v>
      </c>
      <c r="F10" s="65">
        <f t="shared" si="0"/>
        <v>0.09</v>
      </c>
      <c r="G10" s="58"/>
    </row>
    <row r="11" spans="1:8">
      <c r="B11" s="96" t="s">
        <v>89</v>
      </c>
      <c r="C11" s="65">
        <v>5.0000000000000001E-3</v>
      </c>
      <c r="D11" s="65">
        <f>+SUM($C$5:C11)</f>
        <v>0.30500000000000005</v>
      </c>
      <c r="E11" s="65">
        <f>+E5+E6+E7</f>
        <v>12</v>
      </c>
      <c r="F11" s="65">
        <f t="shared" si="0"/>
        <v>0.06</v>
      </c>
      <c r="G11" s="58">
        <v>0</v>
      </c>
      <c r="H11" s="64" t="s">
        <v>91</v>
      </c>
    </row>
    <row r="12" spans="1:8">
      <c r="B12" s="71" t="s">
        <v>12</v>
      </c>
      <c r="C12" s="71">
        <f>+SUM(C5:C11)</f>
        <v>0.30500000000000005</v>
      </c>
      <c r="D12" s="71"/>
      <c r="E12" s="71"/>
      <c r="F12" s="78">
        <f>+SUM(F5:F11)</f>
        <v>1.2000000000000002</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0.3</v>
      </c>
      <c r="D16" s="68">
        <f>+SUM(C16:$C$16)</f>
        <v>0.3</v>
      </c>
      <c r="E16" s="68">
        <f>+E6</f>
        <v>3</v>
      </c>
      <c r="F16" s="68">
        <f>+C16*E16</f>
        <v>0.89999999999999991</v>
      </c>
      <c r="G16" s="58"/>
    </row>
    <row r="17" spans="1:10">
      <c r="A17" s="64" t="s">
        <v>94</v>
      </c>
      <c r="B17" s="95">
        <v>3</v>
      </c>
      <c r="C17" s="68">
        <v>0.02</v>
      </c>
      <c r="D17" s="68">
        <f>+SUM(C$16:$C17)</f>
        <v>0.32</v>
      </c>
      <c r="E17" s="68">
        <f>+E7</f>
        <v>6</v>
      </c>
      <c r="F17" s="68">
        <f t="shared" ref="F17:F18" si="1">+C17*E17</f>
        <v>0.12</v>
      </c>
      <c r="G17" s="58"/>
    </row>
    <row r="18" spans="1:10">
      <c r="B18" s="95" t="s">
        <v>88</v>
      </c>
      <c r="C18" s="68">
        <v>0.02</v>
      </c>
      <c r="D18" s="68">
        <f>+SUM(C$16:$C18)</f>
        <v>0.34</v>
      </c>
      <c r="E18" s="68">
        <f>+E16+E17</f>
        <v>9</v>
      </c>
      <c r="F18" s="68">
        <f t="shared" si="1"/>
        <v>0.18</v>
      </c>
      <c r="G18" s="58">
        <v>0</v>
      </c>
      <c r="H18" s="64" t="s">
        <v>91</v>
      </c>
    </row>
    <row r="19" spans="1:10">
      <c r="B19" s="71" t="s">
        <v>6</v>
      </c>
      <c r="C19" s="71">
        <f>+SUM(C16:C18)</f>
        <v>0.34</v>
      </c>
      <c r="D19" s="71"/>
      <c r="E19" s="71"/>
      <c r="F19" s="76">
        <f>+SUM(F16:F18)</f>
        <v>1.2</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0.3</v>
      </c>
      <c r="D23" s="68">
        <f>+SUM(C23:$C$23)</f>
        <v>0.3</v>
      </c>
      <c r="E23" s="68">
        <f>+E5</f>
        <v>3</v>
      </c>
      <c r="F23" s="68">
        <f>+C23*E23</f>
        <v>0.89999999999999991</v>
      </c>
      <c r="G23" s="58"/>
    </row>
    <row r="24" spans="1:10">
      <c r="A24" s="64" t="s">
        <v>95</v>
      </c>
      <c r="B24" s="95">
        <v>3</v>
      </c>
      <c r="C24" s="68">
        <v>0.02</v>
      </c>
      <c r="D24" s="68">
        <f>+SUM(C$23:$C24)</f>
        <v>0.32</v>
      </c>
      <c r="E24" s="68">
        <f>+E7</f>
        <v>6</v>
      </c>
      <c r="F24" s="68">
        <f t="shared" ref="F24:F25" si="2">+C24*E24</f>
        <v>0.12</v>
      </c>
      <c r="G24" s="58"/>
    </row>
    <row r="25" spans="1:10">
      <c r="B25" s="95" t="s">
        <v>87</v>
      </c>
      <c r="C25" s="68">
        <v>0.02</v>
      </c>
      <c r="D25" s="68">
        <f>+SUM(C$23:$C25)</f>
        <v>0.34</v>
      </c>
      <c r="E25" s="68">
        <f>+E23+E24</f>
        <v>9</v>
      </c>
      <c r="F25" s="68">
        <f t="shared" si="2"/>
        <v>0.18</v>
      </c>
      <c r="G25" s="58">
        <v>0</v>
      </c>
      <c r="H25" s="64" t="s">
        <v>91</v>
      </c>
      <c r="J25" s="77"/>
    </row>
    <row r="26" spans="1:10">
      <c r="B26" s="71" t="s">
        <v>6</v>
      </c>
      <c r="C26" s="71">
        <f>+SUM(C23:C25)</f>
        <v>0.34</v>
      </c>
      <c r="D26" s="71"/>
      <c r="E26" s="71"/>
      <c r="F26" s="76">
        <f>+SUM(F23:F25)</f>
        <v>1.2</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0.2</v>
      </c>
      <c r="D30" s="68">
        <f>+SUM(C30:$C$30)</f>
        <v>0.2</v>
      </c>
      <c r="E30" s="68">
        <f>+E7</f>
        <v>6</v>
      </c>
      <c r="F30" s="68">
        <f>+C30*E30</f>
        <v>1.2000000000000002</v>
      </c>
      <c r="G30" s="58">
        <v>0</v>
      </c>
      <c r="H30" s="64" t="s">
        <v>91</v>
      </c>
    </row>
    <row r="31" spans="1:10">
      <c r="A31" s="64" t="s">
        <v>94</v>
      </c>
      <c r="B31" s="71" t="s">
        <v>6</v>
      </c>
      <c r="C31" s="71">
        <f>+SUM(C30:C30)</f>
        <v>0.2</v>
      </c>
      <c r="D31" s="71"/>
      <c r="E31" s="71"/>
      <c r="F31" s="76">
        <f>+SUM(F30:F30)</f>
        <v>1.2000000000000002</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0.16</v>
      </c>
      <c r="D35" s="68">
        <f>+SUM(C35:$C$35)</f>
        <v>0.16</v>
      </c>
      <c r="E35" s="68">
        <f>+E5</f>
        <v>3</v>
      </c>
      <c r="F35" s="68">
        <f>+C35*E35</f>
        <v>0.48</v>
      </c>
      <c r="G35" s="58"/>
    </row>
    <row r="36" spans="1:8">
      <c r="A36" s="64" t="s">
        <v>96</v>
      </c>
      <c r="B36" s="95">
        <v>2</v>
      </c>
      <c r="C36" s="68">
        <v>0.16</v>
      </c>
      <c r="D36" s="68">
        <f>+SUM(C$35:$C36)</f>
        <v>0.32</v>
      </c>
      <c r="E36" s="68">
        <f>+E6</f>
        <v>3</v>
      </c>
      <c r="F36" s="68">
        <f t="shared" ref="F36:F37" si="3">+C36*E36</f>
        <v>0.48</v>
      </c>
      <c r="G36" s="58"/>
    </row>
    <row r="37" spans="1:8">
      <c r="B37" s="95" t="s">
        <v>86</v>
      </c>
      <c r="C37" s="68">
        <v>0.04</v>
      </c>
      <c r="D37" s="68">
        <f>+SUM(C$35:$C37)</f>
        <v>0.36</v>
      </c>
      <c r="E37" s="68">
        <f>+E35+E36</f>
        <v>6</v>
      </c>
      <c r="F37" s="68">
        <f t="shared" si="3"/>
        <v>0.24</v>
      </c>
      <c r="G37" s="58">
        <v>0</v>
      </c>
      <c r="H37" s="64" t="s">
        <v>91</v>
      </c>
    </row>
    <row r="38" spans="1:8">
      <c r="A38" s="73"/>
      <c r="B38" s="71" t="s">
        <v>6</v>
      </c>
      <c r="C38" s="71">
        <f>+SUM(C35:C37)</f>
        <v>0.36</v>
      </c>
      <c r="D38" s="71"/>
      <c r="E38" s="71"/>
      <c r="F38" s="76">
        <f>+SUM(F35:F37)</f>
        <v>1.2</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0.4</v>
      </c>
      <c r="D42" s="68">
        <f>+SUM(C42:$C$42)</f>
        <v>0.4</v>
      </c>
      <c r="E42" s="68">
        <f>+E5</f>
        <v>3</v>
      </c>
      <c r="F42" s="68">
        <f>+E42*C42</f>
        <v>1.2000000000000002</v>
      </c>
      <c r="G42" s="58">
        <v>0</v>
      </c>
      <c r="H42" s="64" t="s">
        <v>91</v>
      </c>
    </row>
    <row r="43" spans="1:8">
      <c r="A43" s="64" t="s">
        <v>95</v>
      </c>
      <c r="B43" s="71" t="s">
        <v>6</v>
      </c>
      <c r="C43" s="71">
        <f>+SUM(C42:C42)</f>
        <v>0.4</v>
      </c>
      <c r="D43" s="71"/>
      <c r="E43" s="71"/>
      <c r="F43" s="76">
        <f>+SUM(F42:F42)</f>
        <v>1.2000000000000002</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0.4</v>
      </c>
      <c r="D47" s="68">
        <f>+SUM(C$47:$C47)</f>
        <v>0.4</v>
      </c>
      <c r="E47" s="68">
        <f>+E6</f>
        <v>3</v>
      </c>
      <c r="F47" s="68">
        <f>+E47*C47</f>
        <v>1.2000000000000002</v>
      </c>
      <c r="G47" s="58">
        <v>0</v>
      </c>
      <c r="H47" s="64" t="s">
        <v>91</v>
      </c>
    </row>
    <row r="48" spans="1:8">
      <c r="A48" s="64" t="s">
        <v>94</v>
      </c>
      <c r="B48" s="71" t="s">
        <v>6</v>
      </c>
      <c r="C48" s="71">
        <f>+SUM(C47:C47)</f>
        <v>0.4</v>
      </c>
      <c r="D48" s="71"/>
      <c r="E48" s="71"/>
      <c r="F48" s="76">
        <f>+SUM(F47:F47)</f>
        <v>1.2000000000000002</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110</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0.26</v>
      </c>
      <c r="D5" s="65">
        <f>+SUM($C$5:C5)</f>
        <v>0.26</v>
      </c>
      <c r="E5" s="65">
        <f>+Summary!B26</f>
        <v>2</v>
      </c>
      <c r="F5" s="65">
        <f>+C5*E5</f>
        <v>0.52</v>
      </c>
      <c r="G5" s="58"/>
    </row>
    <row r="6" spans="1:9">
      <c r="B6" s="96">
        <v>2</v>
      </c>
      <c r="C6" s="51">
        <v>0.16</v>
      </c>
      <c r="D6" s="65">
        <f>+SUM($C$5:C6)</f>
        <v>0.42000000000000004</v>
      </c>
      <c r="E6" s="65">
        <f>+Summary!B27</f>
        <v>3</v>
      </c>
      <c r="F6" s="65">
        <f t="shared" ref="F6:F7" si="0">+C6*E6</f>
        <v>0.48</v>
      </c>
      <c r="G6" s="58"/>
    </row>
    <row r="7" spans="1:9">
      <c r="B7" s="96" t="s">
        <v>86</v>
      </c>
      <c r="C7" s="51">
        <v>0.04</v>
      </c>
      <c r="D7" s="65">
        <f>+SUM($C$5:C7)</f>
        <v>0.46</v>
      </c>
      <c r="E7" s="65">
        <f>+E5+E6</f>
        <v>5</v>
      </c>
      <c r="F7" s="65">
        <f t="shared" si="0"/>
        <v>0.2</v>
      </c>
      <c r="G7" s="58">
        <v>0</v>
      </c>
      <c r="H7" s="64" t="s">
        <v>91</v>
      </c>
      <c r="I7" s="98"/>
    </row>
    <row r="8" spans="1:9">
      <c r="B8" s="71" t="s">
        <v>12</v>
      </c>
      <c r="C8" s="71">
        <f>+SUM(C5:C7)</f>
        <v>0.46</v>
      </c>
      <c r="D8" s="71"/>
      <c r="E8" s="71"/>
      <c r="F8" s="62">
        <f>+SUM(F5:F7)</f>
        <v>1.2</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0.6</v>
      </c>
      <c r="D13" s="68">
        <f>+SUM(C13:$C$13)</f>
        <v>0.6</v>
      </c>
      <c r="E13" s="68">
        <f>+E5</f>
        <v>2</v>
      </c>
      <c r="F13" s="68">
        <f>+E13*C13</f>
        <v>1.2</v>
      </c>
      <c r="G13" s="58">
        <v>0</v>
      </c>
      <c r="H13" s="64" t="s">
        <v>91</v>
      </c>
    </row>
    <row r="14" spans="1:9">
      <c r="A14" s="64" t="s">
        <v>95</v>
      </c>
      <c r="B14" s="71" t="s">
        <v>6</v>
      </c>
      <c r="C14" s="71">
        <f>+SUM(C13:C13)</f>
        <v>0.6</v>
      </c>
      <c r="D14" s="71"/>
      <c r="E14" s="71"/>
      <c r="F14" s="76">
        <f>+SUM(F13:F13)</f>
        <v>1.2</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0.4</v>
      </c>
      <c r="D18" s="68">
        <f>+SUM(C$18:$C18)</f>
        <v>0.4</v>
      </c>
      <c r="E18" s="68">
        <f>+E6</f>
        <v>3</v>
      </c>
      <c r="F18" s="68">
        <f>+E18*C18</f>
        <v>1.2000000000000002</v>
      </c>
      <c r="G18" s="58">
        <v>0</v>
      </c>
      <c r="H18" s="64" t="s">
        <v>91</v>
      </c>
    </row>
    <row r="19" spans="1:8">
      <c r="A19" s="64" t="s">
        <v>94</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111</v>
      </c>
      <c r="B1" s="103"/>
      <c r="C1" s="103"/>
      <c r="D1" s="103"/>
      <c r="E1" s="103"/>
    </row>
    <row r="2" spans="1:8">
      <c r="A2" s="74" t="s">
        <v>125</v>
      </c>
    </row>
    <row r="4" spans="1:8">
      <c r="A4" s="67" t="s">
        <v>74</v>
      </c>
      <c r="B4" s="69" t="s">
        <v>85</v>
      </c>
      <c r="C4" s="69" t="s">
        <v>11</v>
      </c>
      <c r="D4" s="69" t="s">
        <v>20</v>
      </c>
      <c r="E4" s="69" t="s">
        <v>9</v>
      </c>
      <c r="F4" s="69" t="s">
        <v>1</v>
      </c>
      <c r="G4" s="69" t="s">
        <v>52</v>
      </c>
    </row>
    <row r="5" spans="1:8">
      <c r="B5" s="95">
        <v>1</v>
      </c>
      <c r="C5" s="68">
        <v>0.6</v>
      </c>
      <c r="D5" s="68">
        <f>+SUM(C5:$C$5)</f>
        <v>0.6</v>
      </c>
      <c r="E5" s="68">
        <f>+Summary!B20</f>
        <v>2</v>
      </c>
      <c r="F5" s="68">
        <f>+E5*C5</f>
        <v>1.2</v>
      </c>
      <c r="G5" s="58">
        <v>0</v>
      </c>
      <c r="H5" s="64" t="s">
        <v>91</v>
      </c>
    </row>
    <row r="6" spans="1:8">
      <c r="B6" s="71" t="s">
        <v>6</v>
      </c>
      <c r="C6" s="71">
        <f>+SUM(C5:C5)</f>
        <v>0.6</v>
      </c>
      <c r="D6" s="71"/>
      <c r="E6" s="71"/>
      <c r="F6" s="76">
        <f>+SUM(F5:F5)</f>
        <v>1.2</v>
      </c>
      <c r="G6" s="60"/>
    </row>
    <row r="7" spans="1:8">
      <c r="G7" s="56"/>
    </row>
    <row r="8" spans="1:8">
      <c r="G8" s="56"/>
    </row>
    <row r="9" spans="1:8">
      <c r="A9" s="67" t="s">
        <v>75</v>
      </c>
      <c r="B9" s="69" t="s">
        <v>85</v>
      </c>
      <c r="C9" s="69" t="s">
        <v>11</v>
      </c>
      <c r="D9" s="69" t="s">
        <v>20</v>
      </c>
      <c r="E9" s="69" t="s">
        <v>9</v>
      </c>
      <c r="F9" s="69" t="s">
        <v>1</v>
      </c>
      <c r="G9" s="69" t="s">
        <v>52</v>
      </c>
    </row>
    <row r="10" spans="1:8">
      <c r="B10" s="95">
        <v>1</v>
      </c>
      <c r="C10" s="68">
        <v>0.4</v>
      </c>
      <c r="D10" s="68">
        <f>1/6</f>
        <v>0.16666666666666666</v>
      </c>
      <c r="E10" s="68">
        <f>+Summary!E20</f>
        <v>3</v>
      </c>
      <c r="F10" s="68">
        <f>+E10*C10</f>
        <v>1.2000000000000002</v>
      </c>
      <c r="G10" s="58">
        <v>0</v>
      </c>
      <c r="H10" s="64" t="s">
        <v>91</v>
      </c>
    </row>
    <row r="11" spans="1:8">
      <c r="B11" s="71" t="s">
        <v>6</v>
      </c>
      <c r="C11" s="71">
        <f>+SUM(C10:C10)</f>
        <v>0.4</v>
      </c>
      <c r="D11" s="71"/>
      <c r="E11" s="71"/>
      <c r="F11" s="76">
        <f>+SUM(F10:F10)</f>
        <v>1.2000000000000002</v>
      </c>
      <c r="G11" s="60"/>
    </row>
    <row r="12" spans="1:8">
      <c r="G12" s="57"/>
    </row>
    <row r="13" spans="1:8">
      <c r="G13" s="57"/>
    </row>
    <row r="14" spans="1:8">
      <c r="A14" s="67" t="s">
        <v>76</v>
      </c>
      <c r="B14" s="69" t="s">
        <v>85</v>
      </c>
      <c r="C14" s="69" t="s">
        <v>11</v>
      </c>
      <c r="D14" s="69" t="s">
        <v>20</v>
      </c>
      <c r="E14" s="69" t="s">
        <v>9</v>
      </c>
      <c r="F14" s="69" t="s">
        <v>1</v>
      </c>
      <c r="G14" s="69" t="s">
        <v>52</v>
      </c>
    </row>
    <row r="15" spans="1:8">
      <c r="B15" s="95">
        <v>1</v>
      </c>
      <c r="C15" s="68">
        <v>0.3</v>
      </c>
      <c r="D15" s="68">
        <f>+SUM(C$15:$C15)</f>
        <v>0.3</v>
      </c>
      <c r="E15" s="68">
        <f>+Summary!H20</f>
        <v>4</v>
      </c>
      <c r="F15" s="68">
        <f>+E15*C15</f>
        <v>1.2</v>
      </c>
      <c r="G15" s="58">
        <v>0</v>
      </c>
      <c r="H15" s="64" t="s">
        <v>91</v>
      </c>
    </row>
    <row r="16" spans="1:8">
      <c r="B16" s="71" t="s">
        <v>6</v>
      </c>
      <c r="C16" s="71">
        <f>+SUM(C15:C15)</f>
        <v>0.3</v>
      </c>
      <c r="D16" s="71"/>
      <c r="E16" s="71"/>
      <c r="F16" s="76">
        <f>+SUM(F15:F15)</f>
        <v>1.2</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112</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99">
        <v>0.12</v>
      </c>
      <c r="D5" s="65">
        <f>+SUM($C$5:C5)</f>
        <v>0.12</v>
      </c>
      <c r="E5" s="65">
        <f>+Summary!B35</f>
        <v>2</v>
      </c>
      <c r="F5" s="65">
        <f>+C5*E5</f>
        <v>0.24</v>
      </c>
      <c r="G5" s="58"/>
    </row>
    <row r="6" spans="1:9">
      <c r="B6" s="96">
        <v>2</v>
      </c>
      <c r="C6" s="99">
        <v>0.01</v>
      </c>
      <c r="D6" s="65">
        <f>+SUM($C$5:C6)</f>
        <v>0.13</v>
      </c>
      <c r="E6" s="65">
        <f>+Summary!B36</f>
        <v>5</v>
      </c>
      <c r="F6" s="65">
        <f t="shared" ref="F6:F11" si="0">+C6*E6</f>
        <v>0.05</v>
      </c>
      <c r="G6" s="58"/>
    </row>
    <row r="7" spans="1:9">
      <c r="B7" s="96">
        <v>3</v>
      </c>
      <c r="C7" s="99">
        <v>0.01</v>
      </c>
      <c r="D7" s="65">
        <f>+SUM($C$5:C7)</f>
        <v>0.14000000000000001</v>
      </c>
      <c r="E7" s="65">
        <f>+Summary!B37</f>
        <v>8</v>
      </c>
      <c r="F7" s="65">
        <f t="shared" si="0"/>
        <v>0.08</v>
      </c>
      <c r="G7" s="58"/>
      <c r="I7" s="36"/>
    </row>
    <row r="8" spans="1:9">
      <c r="B8" s="96" t="s">
        <v>86</v>
      </c>
      <c r="C8" s="99">
        <v>0.01</v>
      </c>
      <c r="D8" s="65">
        <f>+SUM($C$5:C8)</f>
        <v>0.15000000000000002</v>
      </c>
      <c r="E8" s="65">
        <f>+E5+E6</f>
        <v>7</v>
      </c>
      <c r="F8" s="65">
        <f t="shared" si="0"/>
        <v>7.0000000000000007E-2</v>
      </c>
      <c r="G8" s="58"/>
      <c r="I8" s="98"/>
    </row>
    <row r="9" spans="1:9">
      <c r="B9" s="96" t="s">
        <v>87</v>
      </c>
      <c r="C9" s="99">
        <v>0.02</v>
      </c>
      <c r="D9" s="65">
        <f>+SUM($C$5:C9)</f>
        <v>0.17</v>
      </c>
      <c r="E9" s="65">
        <f>+E5+E7</f>
        <v>10</v>
      </c>
      <c r="F9" s="65">
        <f t="shared" si="0"/>
        <v>0.2</v>
      </c>
      <c r="G9" s="58"/>
    </row>
    <row r="10" spans="1:9">
      <c r="B10" s="96" t="s">
        <v>88</v>
      </c>
      <c r="C10" s="99">
        <v>0.02</v>
      </c>
      <c r="D10" s="65">
        <f>+SUM($C$5:C10)</f>
        <v>0.19</v>
      </c>
      <c r="E10" s="65">
        <f>+E6+E7</f>
        <v>13</v>
      </c>
      <c r="F10" s="65">
        <f t="shared" si="0"/>
        <v>0.26</v>
      </c>
      <c r="G10" s="58"/>
    </row>
    <row r="11" spans="1:9">
      <c r="B11" s="96" t="s">
        <v>89</v>
      </c>
      <c r="C11" s="99">
        <v>0.02</v>
      </c>
      <c r="D11" s="65">
        <f>+SUM($C$5:C11)</f>
        <v>0.21</v>
      </c>
      <c r="E11" s="65">
        <f>+E5+E6+E7</f>
        <v>15</v>
      </c>
      <c r="F11" s="65">
        <f t="shared" si="0"/>
        <v>0.3</v>
      </c>
      <c r="G11" s="58">
        <v>0</v>
      </c>
      <c r="H11" s="64" t="s">
        <v>91</v>
      </c>
    </row>
    <row r="12" spans="1:9">
      <c r="B12" s="71" t="s">
        <v>12</v>
      </c>
      <c r="C12" s="71">
        <f>+SUM(C5:C11)</f>
        <v>0.21</v>
      </c>
      <c r="D12" s="71"/>
      <c r="E12" s="71"/>
      <c r="F12" s="62">
        <f>+SUM(F5:F11)</f>
        <v>1.2</v>
      </c>
      <c r="G12" s="59"/>
    </row>
    <row r="13" spans="1:9">
      <c r="B13" s="72" t="s">
        <v>90</v>
      </c>
      <c r="G13" s="56"/>
    </row>
    <row r="14" spans="1:9">
      <c r="G14" s="56"/>
    </row>
    <row r="15" spans="1:9">
      <c r="A15" s="67" t="s">
        <v>14</v>
      </c>
      <c r="B15" s="69" t="s">
        <v>85</v>
      </c>
      <c r="C15" s="69" t="s">
        <v>11</v>
      </c>
      <c r="D15" s="69" t="s">
        <v>20</v>
      </c>
      <c r="E15" s="69" t="s">
        <v>9</v>
      </c>
      <c r="F15" s="69" t="s">
        <v>1</v>
      </c>
      <c r="G15" s="69" t="s">
        <v>52</v>
      </c>
    </row>
    <row r="16" spans="1:9">
      <c r="A16" s="64" t="s">
        <v>93</v>
      </c>
      <c r="B16" s="95">
        <v>2</v>
      </c>
      <c r="C16" s="68">
        <v>0.12</v>
      </c>
      <c r="D16" s="68">
        <f>+SUM(C16:$C$16)</f>
        <v>0.12</v>
      </c>
      <c r="E16" s="68">
        <f>+E6</f>
        <v>5</v>
      </c>
      <c r="F16" s="68">
        <f>+C16*E16</f>
        <v>0.6</v>
      </c>
      <c r="G16" s="58"/>
    </row>
    <row r="17" spans="1:9">
      <c r="A17" s="64" t="s">
        <v>94</v>
      </c>
      <c r="B17" s="95">
        <v>3</v>
      </c>
      <c r="C17" s="68">
        <v>0.01</v>
      </c>
      <c r="D17" s="68">
        <f>+SUM(C$16:$C17)</f>
        <v>0.13</v>
      </c>
      <c r="E17" s="68">
        <f>+E7</f>
        <v>8</v>
      </c>
      <c r="F17" s="68">
        <f t="shared" ref="F17:F18" si="1">+C17*E17</f>
        <v>0.08</v>
      </c>
      <c r="G17" s="58"/>
      <c r="I17" s="97"/>
    </row>
    <row r="18" spans="1:9">
      <c r="B18" s="95" t="s">
        <v>88</v>
      </c>
      <c r="C18" s="68">
        <v>0.04</v>
      </c>
      <c r="D18" s="68">
        <f>+SUM(C$16:$C18)</f>
        <v>0.17</v>
      </c>
      <c r="E18" s="68">
        <f>+E16+E17</f>
        <v>13</v>
      </c>
      <c r="F18" s="68">
        <f t="shared" si="1"/>
        <v>0.52</v>
      </c>
      <c r="G18" s="58">
        <v>0</v>
      </c>
      <c r="H18" s="64" t="s">
        <v>91</v>
      </c>
    </row>
    <row r="19" spans="1:9">
      <c r="B19" s="71" t="s">
        <v>6</v>
      </c>
      <c r="C19" s="71">
        <f>+SUM(C16:C18)</f>
        <v>0.17</v>
      </c>
      <c r="D19" s="71"/>
      <c r="E19" s="71"/>
      <c r="F19" s="76">
        <f>+SUM(F16:F18)</f>
        <v>1.2</v>
      </c>
      <c r="G19" s="60"/>
    </row>
    <row r="20" spans="1:9">
      <c r="B20" s="75"/>
      <c r="C20" s="75"/>
      <c r="D20" s="75"/>
      <c r="E20" s="75"/>
      <c r="F20" s="70"/>
      <c r="G20" s="61"/>
    </row>
    <row r="21" spans="1:9">
      <c r="B21" s="75"/>
      <c r="C21" s="75"/>
      <c r="D21" s="75"/>
      <c r="E21" s="75"/>
      <c r="F21" s="70"/>
      <c r="G21" s="61"/>
    </row>
    <row r="22" spans="1:9">
      <c r="A22" s="67" t="s">
        <v>15</v>
      </c>
      <c r="B22" s="69" t="s">
        <v>85</v>
      </c>
      <c r="C22" s="69" t="s">
        <v>11</v>
      </c>
      <c r="D22" s="69" t="s">
        <v>20</v>
      </c>
      <c r="E22" s="69" t="s">
        <v>9</v>
      </c>
      <c r="F22" s="69" t="s">
        <v>1</v>
      </c>
      <c r="G22" s="69" t="s">
        <v>52</v>
      </c>
    </row>
    <row r="23" spans="1:9">
      <c r="A23" s="64" t="s">
        <v>93</v>
      </c>
      <c r="B23" s="95">
        <v>1</v>
      </c>
      <c r="C23" s="68">
        <v>0.15</v>
      </c>
      <c r="D23" s="68">
        <f>+SUM(C23:$C$23)</f>
        <v>0.15</v>
      </c>
      <c r="E23" s="68">
        <f>+E5</f>
        <v>2</v>
      </c>
      <c r="F23" s="68">
        <f>+C23*E23</f>
        <v>0.3</v>
      </c>
      <c r="G23" s="58"/>
    </row>
    <row r="24" spans="1:9">
      <c r="A24" s="64" t="s">
        <v>95</v>
      </c>
      <c r="B24" s="95">
        <v>3</v>
      </c>
      <c r="C24" s="68">
        <v>0.05</v>
      </c>
      <c r="D24" s="68">
        <f>+SUM(C$23:$C24)</f>
        <v>0.2</v>
      </c>
      <c r="E24" s="68">
        <f>+E7</f>
        <v>8</v>
      </c>
      <c r="F24" s="68">
        <f t="shared" ref="F24:F25" si="2">+C24*E24</f>
        <v>0.4</v>
      </c>
      <c r="G24" s="58"/>
    </row>
    <row r="25" spans="1:9">
      <c r="B25" s="95" t="s">
        <v>87</v>
      </c>
      <c r="C25" s="68">
        <v>0.05</v>
      </c>
      <c r="D25" s="68">
        <f>+SUM(C$23:$C25)</f>
        <v>0.25</v>
      </c>
      <c r="E25" s="68">
        <f>+E23+E24</f>
        <v>10</v>
      </c>
      <c r="F25" s="68">
        <f t="shared" si="2"/>
        <v>0.5</v>
      </c>
      <c r="G25" s="58">
        <v>0</v>
      </c>
      <c r="H25" s="64" t="s">
        <v>91</v>
      </c>
    </row>
    <row r="26" spans="1:9">
      <c r="B26" s="71" t="s">
        <v>6</v>
      </c>
      <c r="C26" s="71">
        <f>+SUM(C23:C25)</f>
        <v>0.25</v>
      </c>
      <c r="D26" s="71"/>
      <c r="E26" s="71"/>
      <c r="F26" s="76">
        <f>+SUM(F23:F25)</f>
        <v>1.2</v>
      </c>
      <c r="G26" s="60"/>
    </row>
    <row r="27" spans="1:9">
      <c r="B27" s="75"/>
      <c r="C27" s="75"/>
      <c r="D27" s="75"/>
      <c r="E27" s="75"/>
      <c r="F27" s="70"/>
      <c r="G27" s="61"/>
    </row>
    <row r="28" spans="1:9">
      <c r="G28" s="56"/>
    </row>
    <row r="29" spans="1:9">
      <c r="A29" s="67" t="s">
        <v>16</v>
      </c>
      <c r="B29" s="69" t="s">
        <v>85</v>
      </c>
      <c r="C29" s="69" t="s">
        <v>11</v>
      </c>
      <c r="D29" s="69" t="s">
        <v>20</v>
      </c>
      <c r="E29" s="69" t="s">
        <v>9</v>
      </c>
      <c r="F29" s="69" t="s">
        <v>1</v>
      </c>
      <c r="G29" s="69" t="s">
        <v>52</v>
      </c>
    </row>
    <row r="30" spans="1:9">
      <c r="A30" s="64" t="s">
        <v>93</v>
      </c>
      <c r="B30" s="95">
        <v>3</v>
      </c>
      <c r="C30" s="68">
        <v>0.15</v>
      </c>
      <c r="D30" s="68">
        <f>+SUM(C30:$C$30)</f>
        <v>0.15</v>
      </c>
      <c r="E30" s="68">
        <f>+E7</f>
        <v>8</v>
      </c>
      <c r="F30" s="68">
        <f>+C30*E30</f>
        <v>1.2</v>
      </c>
      <c r="G30" s="58">
        <v>0</v>
      </c>
      <c r="H30" s="64" t="s">
        <v>91</v>
      </c>
    </row>
    <row r="31" spans="1:9">
      <c r="A31" s="64" t="s">
        <v>94</v>
      </c>
      <c r="B31" s="71" t="s">
        <v>6</v>
      </c>
      <c r="C31" s="71">
        <f>+SUM(C30:C30)</f>
        <v>0.15</v>
      </c>
      <c r="D31" s="71"/>
      <c r="E31" s="71"/>
      <c r="F31" s="76">
        <f>+SUM(F30:F30)</f>
        <v>1.2</v>
      </c>
      <c r="G31" s="60"/>
    </row>
    <row r="32" spans="1:9">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0.14000000000000001</v>
      </c>
      <c r="D35" s="68">
        <f>+SUM(C35:$C$35)</f>
        <v>0.14000000000000001</v>
      </c>
      <c r="E35" s="68">
        <f>+E5</f>
        <v>2</v>
      </c>
      <c r="F35" s="68">
        <f>+C35*E35</f>
        <v>0.28000000000000003</v>
      </c>
      <c r="G35" s="58"/>
    </row>
    <row r="36" spans="1:8">
      <c r="A36" s="64" t="s">
        <v>96</v>
      </c>
      <c r="B36" s="95">
        <v>2</v>
      </c>
      <c r="C36" s="68">
        <v>0.1</v>
      </c>
      <c r="D36" s="68">
        <f>+SUM(C$35:$C36)</f>
        <v>0.24000000000000002</v>
      </c>
      <c r="E36" s="68">
        <f>+E6</f>
        <v>5</v>
      </c>
      <c r="F36" s="68">
        <f t="shared" ref="F36:F37" si="3">+C36*E36</f>
        <v>0.5</v>
      </c>
      <c r="G36" s="58"/>
    </row>
    <row r="37" spans="1:8">
      <c r="B37" s="95" t="s">
        <v>86</v>
      </c>
      <c r="C37" s="68">
        <v>0.06</v>
      </c>
      <c r="D37" s="68">
        <f>+SUM(C$35:$C37)</f>
        <v>0.30000000000000004</v>
      </c>
      <c r="E37" s="68">
        <f>+E35+E36</f>
        <v>7</v>
      </c>
      <c r="F37" s="68">
        <f t="shared" si="3"/>
        <v>0.42</v>
      </c>
      <c r="G37" s="58">
        <v>0</v>
      </c>
      <c r="H37" s="64" t="s">
        <v>91</v>
      </c>
    </row>
    <row r="38" spans="1:8">
      <c r="A38" s="73"/>
      <c r="B38" s="71" t="s">
        <v>6</v>
      </c>
      <c r="C38" s="71">
        <f>+SUM(C35:C37)</f>
        <v>0.30000000000000004</v>
      </c>
      <c r="D38" s="71"/>
      <c r="E38" s="71"/>
      <c r="F38" s="76">
        <f>+SUM(F35:F37)</f>
        <v>1.2</v>
      </c>
      <c r="G38" s="60"/>
    </row>
    <row r="39" spans="1:8">
      <c r="A39" s="73"/>
      <c r="G39" s="56"/>
    </row>
    <row r="40" spans="1:8">
      <c r="G40" s="56"/>
    </row>
    <row r="41" spans="1:8">
      <c r="A41" s="67" t="s">
        <v>18</v>
      </c>
      <c r="B41" s="69" t="s">
        <v>85</v>
      </c>
      <c r="C41" s="69" t="s">
        <v>11</v>
      </c>
      <c r="D41" s="69" t="s">
        <v>20</v>
      </c>
      <c r="E41" s="69" t="s">
        <v>9</v>
      </c>
      <c r="F41" s="69" t="s">
        <v>1</v>
      </c>
      <c r="G41" s="69" t="s">
        <v>52</v>
      </c>
    </row>
    <row r="42" spans="1:8">
      <c r="A42" s="64" t="s">
        <v>93</v>
      </c>
      <c r="B42" s="95">
        <v>1</v>
      </c>
      <c r="C42" s="68">
        <v>0.6</v>
      </c>
      <c r="D42" s="68">
        <f>+SUM(C42:$C$42)</f>
        <v>0.6</v>
      </c>
      <c r="E42" s="68">
        <f>+E5</f>
        <v>2</v>
      </c>
      <c r="F42" s="68">
        <f>+E42*C42</f>
        <v>1.2</v>
      </c>
      <c r="G42" s="58">
        <v>0</v>
      </c>
      <c r="H42" s="64" t="s">
        <v>91</v>
      </c>
    </row>
    <row r="43" spans="1:8">
      <c r="A43" s="64" t="s">
        <v>95</v>
      </c>
      <c r="B43" s="71" t="s">
        <v>6</v>
      </c>
      <c r="C43" s="71">
        <f>+SUM(C42:C42)</f>
        <v>0.6</v>
      </c>
      <c r="D43" s="71"/>
      <c r="E43" s="71"/>
      <c r="F43" s="76">
        <f>+SUM(F42:F42)</f>
        <v>1.2</v>
      </c>
      <c r="G43" s="60"/>
    </row>
    <row r="44" spans="1:8">
      <c r="A44" s="64" t="s">
        <v>96</v>
      </c>
      <c r="G44" s="56"/>
    </row>
    <row r="45" spans="1:8">
      <c r="G45" s="56"/>
    </row>
    <row r="46" spans="1:8">
      <c r="A46" s="67" t="s">
        <v>19</v>
      </c>
      <c r="B46" s="69" t="s">
        <v>85</v>
      </c>
      <c r="C46" s="69" t="s">
        <v>11</v>
      </c>
      <c r="D46" s="69" t="s">
        <v>20</v>
      </c>
      <c r="E46" s="69" t="s">
        <v>9</v>
      </c>
      <c r="F46" s="69" t="s">
        <v>1</v>
      </c>
      <c r="G46" s="69" t="s">
        <v>52</v>
      </c>
    </row>
    <row r="47" spans="1:8">
      <c r="A47" s="64" t="s">
        <v>93</v>
      </c>
      <c r="B47" s="95">
        <v>2</v>
      </c>
      <c r="C47" s="68">
        <v>0.24</v>
      </c>
      <c r="D47" s="68">
        <f>+SUM(C$47:$C47)</f>
        <v>0.24</v>
      </c>
      <c r="E47" s="68">
        <f>+E6</f>
        <v>5</v>
      </c>
      <c r="F47" s="68">
        <f>+E47*C47</f>
        <v>1.2</v>
      </c>
      <c r="G47" s="58">
        <v>0</v>
      </c>
      <c r="H47" s="64" t="s">
        <v>91</v>
      </c>
    </row>
    <row r="48" spans="1:8">
      <c r="A48" s="64" t="s">
        <v>94</v>
      </c>
      <c r="B48" s="71" t="s">
        <v>6</v>
      </c>
      <c r="C48" s="71">
        <f>+SUM(C47:C47)</f>
        <v>0.24</v>
      </c>
      <c r="D48" s="71"/>
      <c r="E48" s="71"/>
      <c r="F48" s="76">
        <f>+SUM(F47:F47)</f>
        <v>1.2</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99</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0.40500000000000003</v>
      </c>
      <c r="D5" s="65">
        <f>+SUM($C$5:C5)</f>
        <v>0.40500000000000003</v>
      </c>
      <c r="E5" s="65">
        <f>+Summary!E26</f>
        <v>2</v>
      </c>
      <c r="F5" s="65">
        <f>+C5*E5</f>
        <v>0.81</v>
      </c>
      <c r="G5" s="58"/>
    </row>
    <row r="6" spans="1:9">
      <c r="B6" s="96">
        <v>2</v>
      </c>
      <c r="C6" s="51">
        <v>5.5E-2</v>
      </c>
      <c r="D6" s="65">
        <f>+SUM($C$5:C6)</f>
        <v>0.46</v>
      </c>
      <c r="E6" s="65">
        <f>+Summary!E27</f>
        <v>3</v>
      </c>
      <c r="F6" s="65">
        <f t="shared" ref="F6:F7" si="0">+C6*E6</f>
        <v>0.16500000000000001</v>
      </c>
      <c r="G6" s="58"/>
    </row>
    <row r="7" spans="1:9">
      <c r="B7" s="96" t="s">
        <v>86</v>
      </c>
      <c r="C7" s="51">
        <v>1.4999999999999999E-2</v>
      </c>
      <c r="D7" s="65">
        <f>+SUM($C$5:C7)</f>
        <v>0.47500000000000003</v>
      </c>
      <c r="E7" s="65">
        <f>+E5+E6</f>
        <v>5</v>
      </c>
      <c r="F7" s="65">
        <f t="shared" si="0"/>
        <v>7.4999999999999997E-2</v>
      </c>
      <c r="G7" s="58">
        <v>0</v>
      </c>
      <c r="H7" s="64" t="s">
        <v>91</v>
      </c>
      <c r="I7" s="98"/>
    </row>
    <row r="8" spans="1:9">
      <c r="B8" s="71" t="s">
        <v>12</v>
      </c>
      <c r="C8" s="71">
        <f>+SUM(C5:C7)</f>
        <v>0.47500000000000003</v>
      </c>
      <c r="D8" s="71"/>
      <c r="E8" s="71"/>
      <c r="F8" s="62">
        <f>+SUM(F5:F7)</f>
        <v>1.05</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0.52500000000000002</v>
      </c>
      <c r="D13" s="68">
        <f>+SUM(C13:$C$13)</f>
        <v>0.52500000000000002</v>
      </c>
      <c r="E13" s="68">
        <f>+E5</f>
        <v>2</v>
      </c>
      <c r="F13" s="68">
        <f>+E13*C13</f>
        <v>1.05</v>
      </c>
      <c r="G13" s="58">
        <v>0</v>
      </c>
      <c r="H13" s="64" t="s">
        <v>91</v>
      </c>
    </row>
    <row r="14" spans="1:9">
      <c r="A14" s="64" t="s">
        <v>95</v>
      </c>
      <c r="B14" s="71" t="s">
        <v>6</v>
      </c>
      <c r="C14" s="71">
        <f>+SUM(C13:C13)</f>
        <v>0.52500000000000002</v>
      </c>
      <c r="D14" s="71"/>
      <c r="E14" s="71"/>
      <c r="F14" s="76">
        <f>+SUM(F13:F13)</f>
        <v>1.05</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0.35</v>
      </c>
      <c r="D18" s="68">
        <f>+SUM(C$18:$C18)</f>
        <v>0.35</v>
      </c>
      <c r="E18" s="68">
        <f>+E6</f>
        <v>3</v>
      </c>
      <c r="F18" s="68">
        <f>+E18*C18</f>
        <v>1.0499999999999998</v>
      </c>
      <c r="G18" s="58">
        <v>0</v>
      </c>
      <c r="H18" s="64" t="s">
        <v>91</v>
      </c>
    </row>
    <row r="19" spans="1:8">
      <c r="A19" s="64" t="s">
        <v>94</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codeName="Hoja13"/>
  <dimension ref="A1:J126"/>
  <sheetViews>
    <sheetView topLeftCell="A28"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103</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0.15</v>
      </c>
      <c r="D5" s="65">
        <f>+SUM($C$5:C5)</f>
        <v>0.15</v>
      </c>
      <c r="E5" s="65">
        <f>+Summary!H26</f>
        <v>2</v>
      </c>
      <c r="F5" s="65">
        <f>+C5*E5</f>
        <v>0.3</v>
      </c>
      <c r="G5" s="58"/>
    </row>
    <row r="6" spans="1:8">
      <c r="B6" s="96">
        <v>2</v>
      </c>
      <c r="C6" s="65">
        <v>0.15</v>
      </c>
      <c r="D6" s="65">
        <f>+SUM($C$5:C6)</f>
        <v>0.3</v>
      </c>
      <c r="E6" s="65">
        <f>+Summary!H27</f>
        <v>2</v>
      </c>
      <c r="F6" s="65">
        <f t="shared" ref="F6:F11" si="0">+C6*E6</f>
        <v>0.3</v>
      </c>
      <c r="G6" s="58"/>
    </row>
    <row r="7" spans="1:8">
      <c r="B7" s="96">
        <v>3</v>
      </c>
      <c r="C7" s="65">
        <v>2.2499999999999999E-2</v>
      </c>
      <c r="D7" s="65">
        <f>+SUM($C$5:C7)</f>
        <v>0.32250000000000001</v>
      </c>
      <c r="E7" s="65">
        <f>+Summary!H28</f>
        <v>4</v>
      </c>
      <c r="F7" s="65">
        <f t="shared" si="0"/>
        <v>0.09</v>
      </c>
      <c r="G7" s="58"/>
    </row>
    <row r="8" spans="1:8">
      <c r="B8" s="96" t="s">
        <v>86</v>
      </c>
      <c r="C8" s="65">
        <v>0.05</v>
      </c>
      <c r="D8" s="65">
        <f>+SUM($C$5:C8)</f>
        <v>0.3725</v>
      </c>
      <c r="E8" s="65">
        <f>+E5+E6</f>
        <v>4</v>
      </c>
      <c r="F8" s="65">
        <f t="shared" si="0"/>
        <v>0.2</v>
      </c>
      <c r="G8" s="58"/>
    </row>
    <row r="9" spans="1:8">
      <c r="B9" s="96" t="s">
        <v>87</v>
      </c>
      <c r="C9" s="65">
        <v>0.01</v>
      </c>
      <c r="D9" s="65">
        <f>+SUM($C$5:C9)</f>
        <v>0.38250000000000001</v>
      </c>
      <c r="E9" s="65">
        <f>+E5+E7</f>
        <v>6</v>
      </c>
      <c r="F9" s="65">
        <f t="shared" si="0"/>
        <v>0.06</v>
      </c>
      <c r="G9" s="58"/>
    </row>
    <row r="10" spans="1:8">
      <c r="B10" s="96" t="s">
        <v>88</v>
      </c>
      <c r="C10" s="65">
        <v>0.01</v>
      </c>
      <c r="D10" s="65">
        <f>+SUM($C$5:C10)</f>
        <v>0.39250000000000002</v>
      </c>
      <c r="E10" s="65">
        <f>+E6+E7</f>
        <v>6</v>
      </c>
      <c r="F10" s="65">
        <f t="shared" si="0"/>
        <v>0.06</v>
      </c>
      <c r="G10" s="58"/>
    </row>
    <row r="11" spans="1:8">
      <c r="B11" s="96" t="s">
        <v>89</v>
      </c>
      <c r="C11" s="65">
        <v>5.0000000000000001E-3</v>
      </c>
      <c r="D11" s="65">
        <f>+SUM($C$5:C11)</f>
        <v>0.39750000000000002</v>
      </c>
      <c r="E11" s="65">
        <f>+E5+E6+E7</f>
        <v>8</v>
      </c>
      <c r="F11" s="65">
        <f t="shared" si="0"/>
        <v>0.04</v>
      </c>
      <c r="G11" s="58">
        <v>0</v>
      </c>
      <c r="H11" s="64" t="s">
        <v>91</v>
      </c>
    </row>
    <row r="12" spans="1:8">
      <c r="B12" s="71" t="s">
        <v>12</v>
      </c>
      <c r="C12" s="71">
        <f>+SUM(C5:C11)</f>
        <v>0.39750000000000002</v>
      </c>
      <c r="D12" s="71"/>
      <c r="E12" s="71"/>
      <c r="F12" s="78">
        <f>+SUM(F5:F11)</f>
        <v>1.05</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0.4</v>
      </c>
      <c r="D16" s="68">
        <f>+SUM(C16:$C$16)</f>
        <v>0.4</v>
      </c>
      <c r="E16" s="68">
        <f>+E6</f>
        <v>2</v>
      </c>
      <c r="F16" s="68">
        <f>+C16*E16</f>
        <v>0.8</v>
      </c>
      <c r="G16" s="58"/>
    </row>
    <row r="17" spans="1:10">
      <c r="A17" s="64" t="s">
        <v>94</v>
      </c>
      <c r="B17" s="95">
        <v>3</v>
      </c>
      <c r="C17" s="68">
        <v>3.2500000000000001E-2</v>
      </c>
      <c r="D17" s="68">
        <f>+SUM(C$16:$C17)</f>
        <v>0.4325</v>
      </c>
      <c r="E17" s="68">
        <f>+E7</f>
        <v>4</v>
      </c>
      <c r="F17" s="68">
        <f t="shared" ref="F17:F18" si="1">+C17*E17</f>
        <v>0.13</v>
      </c>
      <c r="G17" s="58"/>
    </row>
    <row r="18" spans="1:10">
      <c r="B18" s="95" t="s">
        <v>88</v>
      </c>
      <c r="C18" s="68">
        <v>0.02</v>
      </c>
      <c r="D18" s="68">
        <f>+SUM(C$16:$C18)</f>
        <v>0.45250000000000001</v>
      </c>
      <c r="E18" s="68">
        <f>+E16+E17</f>
        <v>6</v>
      </c>
      <c r="F18" s="68">
        <f t="shared" si="1"/>
        <v>0.12</v>
      </c>
      <c r="G18" s="58">
        <v>0</v>
      </c>
      <c r="H18" s="64" t="s">
        <v>91</v>
      </c>
    </row>
    <row r="19" spans="1:10">
      <c r="B19" s="71" t="s">
        <v>6</v>
      </c>
      <c r="C19" s="71">
        <f>+SUM(C16:C18)</f>
        <v>0.45250000000000001</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0.4</v>
      </c>
      <c r="D23" s="68">
        <f>+SUM(C23:$C$23)</f>
        <v>0.4</v>
      </c>
      <c r="E23" s="68">
        <f>+E5</f>
        <v>2</v>
      </c>
      <c r="F23" s="68">
        <f>+C23*E23</f>
        <v>0.8</v>
      </c>
      <c r="G23" s="58"/>
    </row>
    <row r="24" spans="1:10">
      <c r="A24" s="64" t="s">
        <v>95</v>
      </c>
      <c r="B24" s="95">
        <v>3</v>
      </c>
      <c r="C24" s="68">
        <v>3.2500000000000001E-2</v>
      </c>
      <c r="D24" s="68">
        <f>+SUM(C$23:$C24)</f>
        <v>0.4325</v>
      </c>
      <c r="E24" s="68">
        <f>+E7</f>
        <v>4</v>
      </c>
      <c r="F24" s="68">
        <f t="shared" ref="F24:F25" si="2">+C24*E24</f>
        <v>0.13</v>
      </c>
      <c r="G24" s="58"/>
    </row>
    <row r="25" spans="1:10">
      <c r="B25" s="95" t="s">
        <v>87</v>
      </c>
      <c r="C25" s="68">
        <v>0.02</v>
      </c>
      <c r="D25" s="68">
        <f>+SUM(C$23:$C25)</f>
        <v>0.45250000000000001</v>
      </c>
      <c r="E25" s="68">
        <f>+E23+E24</f>
        <v>6</v>
      </c>
      <c r="F25" s="68">
        <f t="shared" si="2"/>
        <v>0.12</v>
      </c>
      <c r="G25" s="58">
        <v>0</v>
      </c>
      <c r="H25" s="64" t="s">
        <v>91</v>
      </c>
      <c r="J25" s="77"/>
    </row>
    <row r="26" spans="1:10">
      <c r="B26" s="71" t="s">
        <v>6</v>
      </c>
      <c r="C26" s="71">
        <f>+SUM(C23:C25)</f>
        <v>0.45250000000000001</v>
      </c>
      <c r="D26" s="71"/>
      <c r="E26" s="71"/>
      <c r="F26" s="76">
        <f>+SUM(F23:F25)</f>
        <v>1.05</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0.26250000000000001</v>
      </c>
      <c r="D30" s="68">
        <f>+SUM(C30:$C$30)</f>
        <v>0.26250000000000001</v>
      </c>
      <c r="E30" s="68">
        <f>+E7</f>
        <v>4</v>
      </c>
      <c r="F30" s="68">
        <f>+C30*E30</f>
        <v>1.05</v>
      </c>
      <c r="G30" s="58">
        <v>0</v>
      </c>
      <c r="H30" s="64" t="s">
        <v>91</v>
      </c>
    </row>
    <row r="31" spans="1:10">
      <c r="A31" s="64" t="s">
        <v>94</v>
      </c>
      <c r="B31" s="71" t="s">
        <v>6</v>
      </c>
      <c r="C31" s="71">
        <f>+SUM(C30:C30)</f>
        <v>0.26250000000000001</v>
      </c>
      <c r="D31" s="71"/>
      <c r="E31" s="71"/>
      <c r="F31" s="76">
        <f>+SUM(F30:F30)</f>
        <v>1.05</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0.24</v>
      </c>
      <c r="D35" s="68">
        <f>+SUM(C35:$C$35)</f>
        <v>0.24</v>
      </c>
      <c r="E35" s="68">
        <f>+E5</f>
        <v>2</v>
      </c>
      <c r="F35" s="68">
        <f>+C35*E35</f>
        <v>0.48</v>
      </c>
      <c r="G35" s="58"/>
    </row>
    <row r="36" spans="1:8">
      <c r="A36" s="64" t="s">
        <v>96</v>
      </c>
      <c r="B36" s="95">
        <v>2</v>
      </c>
      <c r="C36" s="68">
        <v>0.24</v>
      </c>
      <c r="D36" s="68">
        <f>+SUM(C$35:$C36)</f>
        <v>0.48</v>
      </c>
      <c r="E36" s="68">
        <f>+E6</f>
        <v>2</v>
      </c>
      <c r="F36" s="68">
        <f t="shared" ref="F36:F37" si="3">+C36*E36</f>
        <v>0.48</v>
      </c>
      <c r="G36" s="58"/>
    </row>
    <row r="37" spans="1:8">
      <c r="B37" s="95" t="s">
        <v>86</v>
      </c>
      <c r="C37" s="68">
        <v>2.2499999999999999E-2</v>
      </c>
      <c r="D37" s="68">
        <f>+SUM(C$35:$C37)</f>
        <v>0.50249999999999995</v>
      </c>
      <c r="E37" s="68">
        <f>+E35+E36</f>
        <v>4</v>
      </c>
      <c r="F37" s="68">
        <f t="shared" si="3"/>
        <v>0.09</v>
      </c>
      <c r="G37" s="58">
        <v>0</v>
      </c>
      <c r="H37" s="64" t="s">
        <v>91</v>
      </c>
    </row>
    <row r="38" spans="1:8">
      <c r="A38" s="73"/>
      <c r="B38" s="71" t="s">
        <v>6</v>
      </c>
      <c r="C38" s="71">
        <f>+SUM(C35:C37)</f>
        <v>0.50249999999999995</v>
      </c>
      <c r="D38" s="71"/>
      <c r="E38" s="71"/>
      <c r="F38" s="76">
        <f>+SUM(F35:F37)</f>
        <v>1.05</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0.52500000000000002</v>
      </c>
      <c r="D42" s="68">
        <f>+SUM(C42:$C$42)</f>
        <v>0.52500000000000002</v>
      </c>
      <c r="E42" s="68">
        <f>+E5</f>
        <v>2</v>
      </c>
      <c r="F42" s="68">
        <f>+E42*C42</f>
        <v>1.05</v>
      </c>
      <c r="G42" s="58">
        <v>0</v>
      </c>
      <c r="H42" s="64" t="s">
        <v>91</v>
      </c>
    </row>
    <row r="43" spans="1:8">
      <c r="A43" s="64" t="s">
        <v>95</v>
      </c>
      <c r="B43" s="71" t="s">
        <v>6</v>
      </c>
      <c r="C43" s="71">
        <f>+SUM(C42:C42)</f>
        <v>0.52500000000000002</v>
      </c>
      <c r="D43" s="71"/>
      <c r="E43" s="71"/>
      <c r="F43" s="76">
        <f>+SUM(F42:F42)</f>
        <v>1.05</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0.52500000000000002</v>
      </c>
      <c r="D47" s="68">
        <f>+SUM(C$47:$C47)</f>
        <v>0.52500000000000002</v>
      </c>
      <c r="E47" s="68">
        <f>+E6</f>
        <v>2</v>
      </c>
      <c r="F47" s="68">
        <f>+E47*C47</f>
        <v>1.05</v>
      </c>
      <c r="G47" s="58">
        <v>0</v>
      </c>
      <c r="H47" s="64" t="s">
        <v>91</v>
      </c>
    </row>
    <row r="48" spans="1:8">
      <c r="A48" s="64" t="s">
        <v>94</v>
      </c>
      <c r="B48" s="71" t="s">
        <v>6</v>
      </c>
      <c r="C48" s="71">
        <f>+SUM(C47:C47)</f>
        <v>0.52500000000000002</v>
      </c>
      <c r="D48" s="71"/>
      <c r="E48" s="71"/>
      <c r="F48" s="76">
        <f>+SUM(F47:F47)</f>
        <v>1.05</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106</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0.1</v>
      </c>
      <c r="D5" s="65">
        <f>+SUM($C$5:C5)</f>
        <v>0.1</v>
      </c>
      <c r="E5" s="79">
        <f>Summary!K26</f>
        <v>3</v>
      </c>
      <c r="F5" s="65">
        <f>+C5*E5</f>
        <v>0.30000000000000004</v>
      </c>
      <c r="G5" s="58"/>
    </row>
    <row r="6" spans="1:8">
      <c r="B6" s="96">
        <v>2</v>
      </c>
      <c r="C6" s="65">
        <v>0.1</v>
      </c>
      <c r="D6" s="65">
        <f>+SUM($C$5:C6)</f>
        <v>0.2</v>
      </c>
      <c r="E6" s="79">
        <f>Summary!K27</f>
        <v>3</v>
      </c>
      <c r="F6" s="65">
        <f t="shared" ref="F6:F11" si="0">+C6*E6</f>
        <v>0.30000000000000004</v>
      </c>
      <c r="G6" s="58"/>
    </row>
    <row r="7" spans="1:8">
      <c r="B7" s="96">
        <v>3</v>
      </c>
      <c r="C7" s="65">
        <v>1.4999999999999999E-2</v>
      </c>
      <c r="D7" s="65">
        <f>+SUM($C$5:C7)</f>
        <v>0.21500000000000002</v>
      </c>
      <c r="E7" s="79">
        <f>Summary!K28</f>
        <v>6</v>
      </c>
      <c r="F7" s="65">
        <f t="shared" si="0"/>
        <v>0.09</v>
      </c>
      <c r="G7" s="58"/>
    </row>
    <row r="8" spans="1:8">
      <c r="B8" s="96" t="s">
        <v>86</v>
      </c>
      <c r="C8" s="65">
        <v>0.02</v>
      </c>
      <c r="D8" s="65">
        <f>+SUM($C$5:C8)</f>
        <v>0.23500000000000001</v>
      </c>
      <c r="E8" s="65">
        <f>+E5+E6</f>
        <v>6</v>
      </c>
      <c r="F8" s="65">
        <f t="shared" si="0"/>
        <v>0.12</v>
      </c>
      <c r="G8" s="58"/>
    </row>
    <row r="9" spans="1:8">
      <c r="B9" s="96" t="s">
        <v>87</v>
      </c>
      <c r="C9" s="65">
        <v>0.01</v>
      </c>
      <c r="D9" s="65">
        <f>+SUM($C$5:C9)</f>
        <v>0.24500000000000002</v>
      </c>
      <c r="E9" s="65">
        <f>+E5+E7</f>
        <v>9</v>
      </c>
      <c r="F9" s="65">
        <f t="shared" si="0"/>
        <v>0.09</v>
      </c>
      <c r="G9" s="58"/>
    </row>
    <row r="10" spans="1:8">
      <c r="B10" s="96" t="s">
        <v>88</v>
      </c>
      <c r="C10" s="65">
        <v>0.01</v>
      </c>
      <c r="D10" s="65">
        <f>+SUM($C$5:C10)</f>
        <v>0.255</v>
      </c>
      <c r="E10" s="65">
        <f>+E6+E7</f>
        <v>9</v>
      </c>
      <c r="F10" s="65">
        <f t="shared" si="0"/>
        <v>0.09</v>
      </c>
      <c r="G10" s="58"/>
    </row>
    <row r="11" spans="1:8">
      <c r="B11" s="96" t="s">
        <v>89</v>
      </c>
      <c r="C11" s="65">
        <v>5.0000000000000001E-3</v>
      </c>
      <c r="D11" s="65">
        <f>+SUM($C$5:C11)</f>
        <v>0.26</v>
      </c>
      <c r="E11" s="65">
        <f>+E5+E6+E7</f>
        <v>12</v>
      </c>
      <c r="F11" s="65">
        <f t="shared" si="0"/>
        <v>0.06</v>
      </c>
      <c r="G11" s="58">
        <v>0</v>
      </c>
      <c r="H11" s="64" t="s">
        <v>91</v>
      </c>
    </row>
    <row r="12" spans="1:8">
      <c r="B12" s="71" t="s">
        <v>12</v>
      </c>
      <c r="C12" s="71">
        <f>+SUM(C5:C11)</f>
        <v>0.26</v>
      </c>
      <c r="D12" s="71"/>
      <c r="E12" s="71"/>
      <c r="F12" s="78">
        <f>+SUM(F5:F11)</f>
        <v>1.05</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0.25</v>
      </c>
      <c r="D16" s="68">
        <f>+SUM(C16:$C$16)</f>
        <v>0.25</v>
      </c>
      <c r="E16" s="68">
        <f>+E6</f>
        <v>3</v>
      </c>
      <c r="F16" s="68">
        <f>+C16*E16</f>
        <v>0.75</v>
      </c>
      <c r="G16" s="58"/>
    </row>
    <row r="17" spans="1:10">
      <c r="A17" s="64" t="s">
        <v>94</v>
      </c>
      <c r="B17" s="95">
        <v>3</v>
      </c>
      <c r="C17" s="68">
        <v>0.02</v>
      </c>
      <c r="D17" s="68">
        <f>+SUM(C$16:$C17)</f>
        <v>0.27</v>
      </c>
      <c r="E17" s="68">
        <f>+E7</f>
        <v>6</v>
      </c>
      <c r="F17" s="68">
        <f t="shared" ref="F17:F18" si="1">+C17*E17</f>
        <v>0.12</v>
      </c>
      <c r="G17" s="58"/>
    </row>
    <row r="18" spans="1:10">
      <c r="B18" s="95" t="s">
        <v>88</v>
      </c>
      <c r="C18" s="68">
        <v>0.02</v>
      </c>
      <c r="D18" s="68">
        <f>+SUM(C$16:$C18)</f>
        <v>0.29000000000000004</v>
      </c>
      <c r="E18" s="68">
        <f>+E16+E17</f>
        <v>9</v>
      </c>
      <c r="F18" s="68">
        <f t="shared" si="1"/>
        <v>0.18</v>
      </c>
      <c r="G18" s="58">
        <v>0</v>
      </c>
      <c r="H18" s="64" t="s">
        <v>91</v>
      </c>
    </row>
    <row r="19" spans="1:10">
      <c r="B19" s="71" t="s">
        <v>6</v>
      </c>
      <c r="C19" s="71">
        <f>+SUM(C16:C18)</f>
        <v>0.29000000000000004</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0.25</v>
      </c>
      <c r="D23" s="68">
        <f>+SUM(C23:$C$23)</f>
        <v>0.25</v>
      </c>
      <c r="E23" s="68">
        <f>+E5</f>
        <v>3</v>
      </c>
      <c r="F23" s="68">
        <f>+C23*E23</f>
        <v>0.75</v>
      </c>
      <c r="G23" s="58"/>
    </row>
    <row r="24" spans="1:10">
      <c r="A24" s="64" t="s">
        <v>95</v>
      </c>
      <c r="B24" s="95">
        <v>3</v>
      </c>
      <c r="C24" s="68">
        <v>0.02</v>
      </c>
      <c r="D24" s="68">
        <f>+SUM(C$23:$C24)</f>
        <v>0.27</v>
      </c>
      <c r="E24" s="68">
        <f>+E7</f>
        <v>6</v>
      </c>
      <c r="F24" s="68">
        <f t="shared" ref="F24:F25" si="2">+C24*E24</f>
        <v>0.12</v>
      </c>
      <c r="G24" s="58"/>
    </row>
    <row r="25" spans="1:10">
      <c r="B25" s="95" t="s">
        <v>87</v>
      </c>
      <c r="C25" s="68">
        <v>0.02</v>
      </c>
      <c r="D25" s="68">
        <f>+SUM(C$23:$C25)</f>
        <v>0.29000000000000004</v>
      </c>
      <c r="E25" s="68">
        <f>+E23+E24</f>
        <v>9</v>
      </c>
      <c r="F25" s="68">
        <f t="shared" si="2"/>
        <v>0.18</v>
      </c>
      <c r="G25" s="58">
        <v>0</v>
      </c>
      <c r="H25" s="64" t="s">
        <v>91</v>
      </c>
      <c r="J25" s="77"/>
    </row>
    <row r="26" spans="1:10">
      <c r="B26" s="71" t="s">
        <v>6</v>
      </c>
      <c r="C26" s="71">
        <f>+SUM(C23:C25)</f>
        <v>0.29000000000000004</v>
      </c>
      <c r="D26" s="71"/>
      <c r="E26" s="71"/>
      <c r="F26" s="76">
        <f>+SUM(F23:F25)</f>
        <v>1.05</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0.17499999999999999</v>
      </c>
      <c r="D30" s="68">
        <f>+SUM(C30:$C$30)</f>
        <v>0.17499999999999999</v>
      </c>
      <c r="E30" s="68">
        <f>+E7</f>
        <v>6</v>
      </c>
      <c r="F30" s="68">
        <f>+C30*E30</f>
        <v>1.0499999999999998</v>
      </c>
      <c r="G30" s="58">
        <v>0</v>
      </c>
      <c r="H30" s="64" t="s">
        <v>91</v>
      </c>
    </row>
    <row r="31" spans="1:10">
      <c r="A31" s="64" t="s">
        <v>94</v>
      </c>
      <c r="B31" s="71" t="s">
        <v>6</v>
      </c>
      <c r="C31" s="71">
        <f>+SUM(C30:C30)</f>
        <v>0.17499999999999999</v>
      </c>
      <c r="D31" s="71"/>
      <c r="E31" s="71"/>
      <c r="F31" s="76">
        <f>+SUM(F30:F30)</f>
        <v>1.0499999999999998</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0.15</v>
      </c>
      <c r="D35" s="68">
        <f>+SUM(C35:$C$35)</f>
        <v>0.15</v>
      </c>
      <c r="E35" s="68">
        <f>+E5</f>
        <v>3</v>
      </c>
      <c r="F35" s="68">
        <f>+C35*E35</f>
        <v>0.44999999999999996</v>
      </c>
      <c r="G35" s="58"/>
    </row>
    <row r="36" spans="1:8">
      <c r="A36" s="64" t="s">
        <v>96</v>
      </c>
      <c r="B36" s="95">
        <v>2</v>
      </c>
      <c r="C36" s="68">
        <v>0.15</v>
      </c>
      <c r="D36" s="68">
        <f>+SUM(C$35:$C36)</f>
        <v>0.3</v>
      </c>
      <c r="E36" s="68">
        <f>+E6</f>
        <v>3</v>
      </c>
      <c r="F36" s="68">
        <f t="shared" ref="F36:F37" si="3">+C36*E36</f>
        <v>0.44999999999999996</v>
      </c>
      <c r="G36" s="58"/>
    </row>
    <row r="37" spans="1:8">
      <c r="B37" s="95" t="s">
        <v>86</v>
      </c>
      <c r="C37" s="68">
        <v>2.5000000000000001E-2</v>
      </c>
      <c r="D37" s="68">
        <f>+SUM(C$35:$C37)</f>
        <v>0.32500000000000001</v>
      </c>
      <c r="E37" s="68">
        <f>+E35+E36</f>
        <v>6</v>
      </c>
      <c r="F37" s="68">
        <f t="shared" si="3"/>
        <v>0.15000000000000002</v>
      </c>
      <c r="G37" s="58">
        <v>0</v>
      </c>
      <c r="H37" s="64" t="s">
        <v>91</v>
      </c>
    </row>
    <row r="38" spans="1:8">
      <c r="A38" s="73"/>
      <c r="B38" s="71" t="s">
        <v>6</v>
      </c>
      <c r="C38" s="71">
        <f>+SUM(C35:C37)</f>
        <v>0.32500000000000001</v>
      </c>
      <c r="D38" s="71"/>
      <c r="E38" s="71"/>
      <c r="F38" s="76">
        <f>+SUM(F35:F37)</f>
        <v>1.0499999999999998</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0.35</v>
      </c>
      <c r="D42" s="68">
        <f>+SUM(C42:$C$42)</f>
        <v>0.35</v>
      </c>
      <c r="E42" s="68">
        <f>+E5</f>
        <v>3</v>
      </c>
      <c r="F42" s="68">
        <f>+E42*C42</f>
        <v>1.0499999999999998</v>
      </c>
      <c r="G42" s="58">
        <v>0</v>
      </c>
      <c r="H42" s="64" t="s">
        <v>91</v>
      </c>
    </row>
    <row r="43" spans="1:8">
      <c r="A43" s="64" t="s">
        <v>95</v>
      </c>
      <c r="B43" s="71" t="s">
        <v>6</v>
      </c>
      <c r="C43" s="71">
        <f>+SUM(C42:C42)</f>
        <v>0.35</v>
      </c>
      <c r="D43" s="71"/>
      <c r="E43" s="71"/>
      <c r="F43" s="76">
        <f>+SUM(F42:F42)</f>
        <v>1.0499999999999998</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0.35</v>
      </c>
      <c r="D47" s="68">
        <f>+SUM(C$47:$C47)</f>
        <v>0.35</v>
      </c>
      <c r="E47" s="68">
        <f>+E6</f>
        <v>3</v>
      </c>
      <c r="F47" s="68">
        <f>+E47*C47</f>
        <v>1.0499999999999998</v>
      </c>
      <c r="G47" s="58">
        <v>0</v>
      </c>
      <c r="H47" s="64" t="s">
        <v>91</v>
      </c>
    </row>
    <row r="48" spans="1:8">
      <c r="A48" s="64" t="s">
        <v>94</v>
      </c>
      <c r="B48" s="71" t="s">
        <v>6</v>
      </c>
      <c r="C48" s="71">
        <f>+SUM(C47:C47)</f>
        <v>0.35</v>
      </c>
      <c r="D48" s="71"/>
      <c r="E48" s="71"/>
      <c r="F48" s="76">
        <f>+SUM(F47:F47)</f>
        <v>1.0499999999999998</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113</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0.25</v>
      </c>
      <c r="D5" s="65">
        <f>+SUM($C$5:C5)</f>
        <v>0.25</v>
      </c>
      <c r="E5" s="65">
        <f>+Summary!B26</f>
        <v>2</v>
      </c>
      <c r="F5" s="65">
        <f>+C5*E5</f>
        <v>0.5</v>
      </c>
      <c r="G5" s="58"/>
    </row>
    <row r="6" spans="1:9">
      <c r="B6" s="96">
        <v>2</v>
      </c>
      <c r="C6" s="51">
        <v>0.1</v>
      </c>
      <c r="D6" s="65">
        <f>+SUM($C$5:C6)</f>
        <v>0.35</v>
      </c>
      <c r="E6" s="65">
        <f>+Summary!B27</f>
        <v>3</v>
      </c>
      <c r="F6" s="65">
        <f t="shared" ref="F6:F7" si="0">+C6*E6</f>
        <v>0.30000000000000004</v>
      </c>
      <c r="G6" s="58"/>
    </row>
    <row r="7" spans="1:9">
      <c r="B7" s="96" t="s">
        <v>86</v>
      </c>
      <c r="C7" s="51">
        <v>0.05</v>
      </c>
      <c r="D7" s="65">
        <f>+SUM($C$5:C7)</f>
        <v>0.39999999999999997</v>
      </c>
      <c r="E7" s="65">
        <f>+E5+E6</f>
        <v>5</v>
      </c>
      <c r="F7" s="65">
        <f t="shared" si="0"/>
        <v>0.25</v>
      </c>
      <c r="G7" s="58">
        <v>0</v>
      </c>
      <c r="H7" s="64" t="s">
        <v>91</v>
      </c>
      <c r="I7" s="98"/>
    </row>
    <row r="8" spans="1:9">
      <c r="B8" s="71" t="s">
        <v>12</v>
      </c>
      <c r="C8" s="71">
        <f>+SUM(C5:C7)</f>
        <v>0.39999999999999997</v>
      </c>
      <c r="D8" s="71"/>
      <c r="E8" s="71"/>
      <c r="F8" s="62">
        <f>+SUM(F5:F7)</f>
        <v>1.05</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0.52500000000000002</v>
      </c>
      <c r="D13" s="68">
        <f>+SUM(C13:$C$13)</f>
        <v>0.52500000000000002</v>
      </c>
      <c r="E13" s="68">
        <f>+E5</f>
        <v>2</v>
      </c>
      <c r="F13" s="68">
        <f>+E13*C13</f>
        <v>1.05</v>
      </c>
      <c r="G13" s="58">
        <v>0</v>
      </c>
      <c r="H13" s="64" t="s">
        <v>91</v>
      </c>
    </row>
    <row r="14" spans="1:9">
      <c r="A14" s="64" t="s">
        <v>95</v>
      </c>
      <c r="B14" s="71" t="s">
        <v>6</v>
      </c>
      <c r="C14" s="71">
        <f>+SUM(C13:C13)</f>
        <v>0.52500000000000002</v>
      </c>
      <c r="D14" s="71"/>
      <c r="E14" s="71"/>
      <c r="F14" s="76">
        <f>+SUM(F13:F13)</f>
        <v>1.05</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0.35</v>
      </c>
      <c r="D18" s="68">
        <f>+SUM(C$18:$C18)</f>
        <v>0.35</v>
      </c>
      <c r="E18" s="68">
        <f>+E6</f>
        <v>3</v>
      </c>
      <c r="F18" s="68">
        <f>+E18*C18</f>
        <v>1.0499999999999998</v>
      </c>
      <c r="G18" s="58">
        <v>0</v>
      </c>
      <c r="H18" s="64" t="s">
        <v>91</v>
      </c>
    </row>
    <row r="19" spans="1:8">
      <c r="A19" s="64" t="s">
        <v>94</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114</v>
      </c>
      <c r="B1" s="103"/>
      <c r="C1" s="103"/>
      <c r="D1" s="103"/>
      <c r="E1" s="103"/>
    </row>
    <row r="2" spans="1:8">
      <c r="A2" s="74" t="s">
        <v>125</v>
      </c>
    </row>
    <row r="4" spans="1:8">
      <c r="A4" s="67" t="s">
        <v>74</v>
      </c>
      <c r="B4" s="69" t="s">
        <v>85</v>
      </c>
      <c r="C4" s="69" t="s">
        <v>11</v>
      </c>
      <c r="D4" s="69" t="s">
        <v>20</v>
      </c>
      <c r="E4" s="69" t="s">
        <v>9</v>
      </c>
      <c r="F4" s="69" t="s">
        <v>1</v>
      </c>
      <c r="G4" s="69" t="s">
        <v>52</v>
      </c>
    </row>
    <row r="5" spans="1:8">
      <c r="B5" s="95">
        <v>1</v>
      </c>
      <c r="C5" s="68">
        <v>0.52500000000000002</v>
      </c>
      <c r="D5" s="68">
        <f>+SUM(C5:$C$5)</f>
        <v>0.52500000000000002</v>
      </c>
      <c r="E5" s="68">
        <f>+Summary!B20</f>
        <v>2</v>
      </c>
      <c r="F5" s="68">
        <f>+E5*C5</f>
        <v>1.05</v>
      </c>
      <c r="G5" s="58">
        <v>0</v>
      </c>
      <c r="H5" s="64" t="s">
        <v>91</v>
      </c>
    </row>
    <row r="6" spans="1:8">
      <c r="B6" s="71" t="s">
        <v>6</v>
      </c>
      <c r="C6" s="71">
        <f>+SUM(C5:C5)</f>
        <v>0.52500000000000002</v>
      </c>
      <c r="D6" s="71"/>
      <c r="E6" s="71"/>
      <c r="F6" s="76">
        <f>+SUM(F5:F5)</f>
        <v>1.05</v>
      </c>
      <c r="G6" s="60"/>
    </row>
    <row r="7" spans="1:8">
      <c r="G7" s="56"/>
    </row>
    <row r="8" spans="1:8">
      <c r="G8" s="56"/>
    </row>
    <row r="9" spans="1:8">
      <c r="A9" s="67" t="s">
        <v>75</v>
      </c>
      <c r="B9" s="69" t="s">
        <v>85</v>
      </c>
      <c r="C9" s="69" t="s">
        <v>11</v>
      </c>
      <c r="D9" s="69" t="s">
        <v>20</v>
      </c>
      <c r="E9" s="69" t="s">
        <v>9</v>
      </c>
      <c r="F9" s="69" t="s">
        <v>1</v>
      </c>
      <c r="G9" s="69" t="s">
        <v>52</v>
      </c>
    </row>
    <row r="10" spans="1:8">
      <c r="B10" s="95">
        <v>1</v>
      </c>
      <c r="C10" s="68">
        <v>0.35</v>
      </c>
      <c r="D10" s="68">
        <f>1/6</f>
        <v>0.16666666666666666</v>
      </c>
      <c r="E10" s="68">
        <f>+Summary!E20</f>
        <v>3</v>
      </c>
      <c r="F10" s="68">
        <f>+E10*C10</f>
        <v>1.0499999999999998</v>
      </c>
      <c r="G10" s="58">
        <v>0</v>
      </c>
      <c r="H10" s="64" t="s">
        <v>91</v>
      </c>
    </row>
    <row r="11" spans="1:8">
      <c r="B11" s="71" t="s">
        <v>6</v>
      </c>
      <c r="C11" s="71">
        <f>+SUM(C10:C10)</f>
        <v>0.35</v>
      </c>
      <c r="D11" s="71"/>
      <c r="E11" s="71"/>
      <c r="F11" s="76">
        <f>+SUM(F10:F10)</f>
        <v>1.0499999999999998</v>
      </c>
      <c r="G11" s="60"/>
    </row>
    <row r="12" spans="1:8">
      <c r="G12" s="57"/>
    </row>
    <row r="13" spans="1:8">
      <c r="G13" s="57"/>
    </row>
    <row r="14" spans="1:8">
      <c r="A14" s="67" t="s">
        <v>76</v>
      </c>
      <c r="B14" s="69" t="s">
        <v>85</v>
      </c>
      <c r="C14" s="69" t="s">
        <v>11</v>
      </c>
      <c r="D14" s="69" t="s">
        <v>20</v>
      </c>
      <c r="E14" s="69" t="s">
        <v>9</v>
      </c>
      <c r="F14" s="69" t="s">
        <v>1</v>
      </c>
      <c r="G14" s="69" t="s">
        <v>52</v>
      </c>
    </row>
    <row r="15" spans="1:8">
      <c r="B15" s="95">
        <v>1</v>
      </c>
      <c r="C15" s="68">
        <v>0.26250000000000001</v>
      </c>
      <c r="D15" s="68">
        <f>+SUM(C$15:$C15)</f>
        <v>0.26250000000000001</v>
      </c>
      <c r="E15" s="68">
        <f>+Summary!H20</f>
        <v>4</v>
      </c>
      <c r="F15" s="68">
        <f>+E15*C15</f>
        <v>1.05</v>
      </c>
      <c r="G15" s="58">
        <v>0</v>
      </c>
      <c r="H15" s="64" t="s">
        <v>91</v>
      </c>
    </row>
    <row r="16" spans="1:8">
      <c r="B16" s="71" t="s">
        <v>6</v>
      </c>
      <c r="C16" s="71">
        <f>+SUM(C15:C15)</f>
        <v>0.26250000000000001</v>
      </c>
      <c r="D16" s="71"/>
      <c r="E16" s="71"/>
      <c r="F16" s="76">
        <f>+SUM(F15:F15)</f>
        <v>1.05</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115</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99">
        <v>0.12</v>
      </c>
      <c r="D5" s="65">
        <f>+SUM($C$5:C5)</f>
        <v>0.12</v>
      </c>
      <c r="E5" s="65">
        <f>+Summary!B35</f>
        <v>2</v>
      </c>
      <c r="F5" s="65">
        <f>+C5*E5</f>
        <v>0.24</v>
      </c>
      <c r="G5" s="58"/>
    </row>
    <row r="6" spans="1:9">
      <c r="B6" s="96">
        <v>2</v>
      </c>
      <c r="C6" s="99">
        <v>0.01</v>
      </c>
      <c r="D6" s="65">
        <f>+SUM($C$5:C6)</f>
        <v>0.13</v>
      </c>
      <c r="E6" s="65">
        <f>+Summary!B36</f>
        <v>5</v>
      </c>
      <c r="F6" s="65">
        <f t="shared" ref="F6:F11" si="0">+C6*E6</f>
        <v>0.05</v>
      </c>
      <c r="G6" s="58"/>
    </row>
    <row r="7" spans="1:9">
      <c r="B7" s="96">
        <v>3</v>
      </c>
      <c r="C7" s="99">
        <v>0.01</v>
      </c>
      <c r="D7" s="65">
        <f>+SUM($C$5:C7)</f>
        <v>0.14000000000000001</v>
      </c>
      <c r="E7" s="65">
        <f>+Summary!B37</f>
        <v>8</v>
      </c>
      <c r="F7" s="65">
        <f t="shared" si="0"/>
        <v>0.08</v>
      </c>
      <c r="G7" s="58"/>
      <c r="I7" s="36"/>
    </row>
    <row r="8" spans="1:9">
      <c r="B8" s="96" t="s">
        <v>86</v>
      </c>
      <c r="C8" s="99">
        <v>0.01</v>
      </c>
      <c r="D8" s="65">
        <f>+SUM($C$5:C8)</f>
        <v>0.15000000000000002</v>
      </c>
      <c r="E8" s="65">
        <f>+E5+E6</f>
        <v>7</v>
      </c>
      <c r="F8" s="65">
        <f t="shared" si="0"/>
        <v>7.0000000000000007E-2</v>
      </c>
      <c r="G8" s="58"/>
      <c r="I8" s="98"/>
    </row>
    <row r="9" spans="1:9">
      <c r="B9" s="96" t="s">
        <v>87</v>
      </c>
      <c r="C9" s="99">
        <v>0.02</v>
      </c>
      <c r="D9" s="65">
        <f>+SUM($C$5:C9)</f>
        <v>0.17</v>
      </c>
      <c r="E9" s="65">
        <f>+E5+E7</f>
        <v>10</v>
      </c>
      <c r="F9" s="65">
        <f t="shared" si="0"/>
        <v>0.2</v>
      </c>
      <c r="G9" s="58"/>
    </row>
    <row r="10" spans="1:9">
      <c r="B10" s="96" t="s">
        <v>88</v>
      </c>
      <c r="C10" s="99">
        <v>0.02</v>
      </c>
      <c r="D10" s="65">
        <f>+SUM($C$5:C10)</f>
        <v>0.19</v>
      </c>
      <c r="E10" s="65">
        <f>+E6+E7</f>
        <v>13</v>
      </c>
      <c r="F10" s="65">
        <f t="shared" si="0"/>
        <v>0.26</v>
      </c>
      <c r="G10" s="58"/>
    </row>
    <row r="11" spans="1:9">
      <c r="B11" s="96" t="s">
        <v>89</v>
      </c>
      <c r="C11" s="99">
        <v>0.01</v>
      </c>
      <c r="D11" s="65">
        <f>+SUM($C$5:C11)</f>
        <v>0.2</v>
      </c>
      <c r="E11" s="65">
        <f>+E5+E6+E7</f>
        <v>15</v>
      </c>
      <c r="F11" s="65">
        <f t="shared" si="0"/>
        <v>0.15</v>
      </c>
      <c r="G11" s="58">
        <v>0</v>
      </c>
      <c r="H11" s="64" t="s">
        <v>91</v>
      </c>
    </row>
    <row r="12" spans="1:9">
      <c r="B12" s="71" t="s">
        <v>12</v>
      </c>
      <c r="C12" s="71">
        <f>+SUM(C5:C11)</f>
        <v>0.2</v>
      </c>
      <c r="D12" s="71"/>
      <c r="E12" s="71"/>
      <c r="F12" s="62">
        <f>+SUM(F5:F11)</f>
        <v>1.05</v>
      </c>
      <c r="G12" s="59"/>
    </row>
    <row r="13" spans="1:9">
      <c r="B13" s="72" t="s">
        <v>90</v>
      </c>
      <c r="G13" s="56"/>
    </row>
    <row r="14" spans="1:9">
      <c r="G14" s="56"/>
    </row>
    <row r="15" spans="1:9">
      <c r="A15" s="67" t="s">
        <v>14</v>
      </c>
      <c r="B15" s="69" t="s">
        <v>85</v>
      </c>
      <c r="C15" s="69" t="s">
        <v>11</v>
      </c>
      <c r="D15" s="69" t="s">
        <v>20</v>
      </c>
      <c r="E15" s="69" t="s">
        <v>9</v>
      </c>
      <c r="F15" s="69" t="s">
        <v>1</v>
      </c>
      <c r="G15" s="69" t="s">
        <v>52</v>
      </c>
    </row>
    <row r="16" spans="1:9">
      <c r="A16" s="64" t="s">
        <v>93</v>
      </c>
      <c r="B16" s="95">
        <v>2</v>
      </c>
      <c r="C16" s="68">
        <v>0.09</v>
      </c>
      <c r="D16" s="68">
        <f>+SUM(C16:$C$16)</f>
        <v>0.09</v>
      </c>
      <c r="E16" s="68">
        <f>+E6</f>
        <v>5</v>
      </c>
      <c r="F16" s="68">
        <f>+C16*E16</f>
        <v>0.44999999999999996</v>
      </c>
      <c r="G16" s="58"/>
    </row>
    <row r="17" spans="1:9">
      <c r="A17" s="64" t="s">
        <v>94</v>
      </c>
      <c r="B17" s="95">
        <v>3</v>
      </c>
      <c r="C17" s="68">
        <v>0.01</v>
      </c>
      <c r="D17" s="68">
        <f>+SUM(C$16:$C17)</f>
        <v>9.9999999999999992E-2</v>
      </c>
      <c r="E17" s="68">
        <f>+E7</f>
        <v>8</v>
      </c>
      <c r="F17" s="68">
        <f t="shared" ref="F17:F18" si="1">+C17*E17</f>
        <v>0.08</v>
      </c>
      <c r="G17" s="58"/>
      <c r="I17" s="97"/>
    </row>
    <row r="18" spans="1:9">
      <c r="B18" s="95" t="s">
        <v>88</v>
      </c>
      <c r="C18" s="68">
        <v>0.04</v>
      </c>
      <c r="D18" s="68">
        <f>+SUM(C$16:$C18)</f>
        <v>0.13999999999999999</v>
      </c>
      <c r="E18" s="68">
        <f>+E16+E17</f>
        <v>13</v>
      </c>
      <c r="F18" s="68">
        <f t="shared" si="1"/>
        <v>0.52</v>
      </c>
      <c r="G18" s="58">
        <v>0</v>
      </c>
      <c r="H18" s="64" t="s">
        <v>91</v>
      </c>
    </row>
    <row r="19" spans="1:9">
      <c r="B19" s="71" t="s">
        <v>6</v>
      </c>
      <c r="C19" s="71">
        <f>+SUM(C16:C18)</f>
        <v>0.13999999999999999</v>
      </c>
      <c r="D19" s="71"/>
      <c r="E19" s="71"/>
      <c r="F19" s="76">
        <f>+SUM(F16:F18)</f>
        <v>1.0499999999999998</v>
      </c>
      <c r="G19" s="60"/>
    </row>
    <row r="20" spans="1:9">
      <c r="B20" s="75"/>
      <c r="C20" s="75"/>
      <c r="D20" s="75"/>
      <c r="E20" s="75"/>
      <c r="F20" s="70"/>
      <c r="G20" s="61"/>
    </row>
    <row r="21" spans="1:9">
      <c r="B21" s="75"/>
      <c r="C21" s="75"/>
      <c r="D21" s="75"/>
      <c r="E21" s="75"/>
      <c r="F21" s="70"/>
      <c r="G21" s="61"/>
    </row>
    <row r="22" spans="1:9">
      <c r="A22" s="67" t="s">
        <v>15</v>
      </c>
      <c r="B22" s="69" t="s">
        <v>85</v>
      </c>
      <c r="C22" s="69" t="s">
        <v>11</v>
      </c>
      <c r="D22" s="69" t="s">
        <v>20</v>
      </c>
      <c r="E22" s="69" t="s">
        <v>9</v>
      </c>
      <c r="F22" s="69" t="s">
        <v>1</v>
      </c>
      <c r="G22" s="69" t="s">
        <v>52</v>
      </c>
    </row>
    <row r="23" spans="1:9">
      <c r="A23" s="64" t="s">
        <v>93</v>
      </c>
      <c r="B23" s="95">
        <v>1</v>
      </c>
      <c r="C23" s="68">
        <v>0.12</v>
      </c>
      <c r="D23" s="68">
        <f>+SUM(C23:$C$23)</f>
        <v>0.12</v>
      </c>
      <c r="E23" s="68">
        <f>+E5</f>
        <v>2</v>
      </c>
      <c r="F23" s="68">
        <f>+C23*E23</f>
        <v>0.24</v>
      </c>
      <c r="G23" s="58"/>
    </row>
    <row r="24" spans="1:9">
      <c r="A24" s="64" t="s">
        <v>95</v>
      </c>
      <c r="B24" s="95">
        <v>3</v>
      </c>
      <c r="C24" s="68">
        <v>0.04</v>
      </c>
      <c r="D24" s="68">
        <f>+SUM(C$23:$C24)</f>
        <v>0.16</v>
      </c>
      <c r="E24" s="68">
        <f>+E7</f>
        <v>8</v>
      </c>
      <c r="F24" s="68">
        <f t="shared" ref="F24:F25" si="2">+C24*E24</f>
        <v>0.32</v>
      </c>
      <c r="G24" s="58"/>
    </row>
    <row r="25" spans="1:9">
      <c r="B25" s="95" t="s">
        <v>87</v>
      </c>
      <c r="C25" s="68">
        <v>4.9000000000000002E-2</v>
      </c>
      <c r="D25" s="68">
        <f>+SUM(C$23:$C25)</f>
        <v>0.20900000000000002</v>
      </c>
      <c r="E25" s="68">
        <f>+E23+E24</f>
        <v>10</v>
      </c>
      <c r="F25" s="68">
        <f t="shared" si="2"/>
        <v>0.49</v>
      </c>
      <c r="G25" s="58">
        <v>0</v>
      </c>
      <c r="H25" s="64" t="s">
        <v>91</v>
      </c>
    </row>
    <row r="26" spans="1:9">
      <c r="B26" s="71" t="s">
        <v>6</v>
      </c>
      <c r="C26" s="71">
        <f>+SUM(C23:C25)</f>
        <v>0.20900000000000002</v>
      </c>
      <c r="D26" s="71"/>
      <c r="E26" s="71"/>
      <c r="F26" s="76">
        <f>+SUM(F23:F25)</f>
        <v>1.05</v>
      </c>
      <c r="G26" s="60"/>
    </row>
    <row r="27" spans="1:9">
      <c r="B27" s="75"/>
      <c r="C27" s="75"/>
      <c r="D27" s="75"/>
      <c r="E27" s="75"/>
      <c r="F27" s="70"/>
      <c r="G27" s="61"/>
    </row>
    <row r="28" spans="1:9">
      <c r="G28" s="56"/>
    </row>
    <row r="29" spans="1:9">
      <c r="A29" s="67" t="s">
        <v>16</v>
      </c>
      <c r="B29" s="69" t="s">
        <v>85</v>
      </c>
      <c r="C29" s="69" t="s">
        <v>11</v>
      </c>
      <c r="D29" s="69" t="s">
        <v>20</v>
      </c>
      <c r="E29" s="69" t="s">
        <v>9</v>
      </c>
      <c r="F29" s="69" t="s">
        <v>1</v>
      </c>
      <c r="G29" s="69" t="s">
        <v>52</v>
      </c>
    </row>
    <row r="30" spans="1:9">
      <c r="A30" s="64" t="s">
        <v>93</v>
      </c>
      <c r="B30" s="95">
        <v>3</v>
      </c>
      <c r="C30" s="68">
        <v>0.13125000000000001</v>
      </c>
      <c r="D30" s="68">
        <f>+SUM(C30:$C$30)</f>
        <v>0.13125000000000001</v>
      </c>
      <c r="E30" s="68">
        <f>+E7</f>
        <v>8</v>
      </c>
      <c r="F30" s="68">
        <f>+C30*E30</f>
        <v>1.05</v>
      </c>
      <c r="G30" s="58">
        <v>0</v>
      </c>
      <c r="H30" s="64" t="s">
        <v>91</v>
      </c>
    </row>
    <row r="31" spans="1:9">
      <c r="A31" s="64" t="s">
        <v>94</v>
      </c>
      <c r="B31" s="71" t="s">
        <v>6</v>
      </c>
      <c r="C31" s="71">
        <f>+SUM(C30:C30)</f>
        <v>0.13125000000000001</v>
      </c>
      <c r="D31" s="71"/>
      <c r="E31" s="71"/>
      <c r="F31" s="76">
        <f>+SUM(F30:F30)</f>
        <v>1.05</v>
      </c>
      <c r="G31" s="60"/>
    </row>
    <row r="32" spans="1:9">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0.12</v>
      </c>
      <c r="D35" s="68">
        <f>+SUM(C35:$C$35)</f>
        <v>0.12</v>
      </c>
      <c r="E35" s="68">
        <f>+E5</f>
        <v>2</v>
      </c>
      <c r="F35" s="68">
        <f>+C35*E35</f>
        <v>0.24</v>
      </c>
      <c r="G35" s="58"/>
    </row>
    <row r="36" spans="1:8">
      <c r="A36" s="64" t="s">
        <v>96</v>
      </c>
      <c r="B36" s="95">
        <v>2</v>
      </c>
      <c r="C36" s="68">
        <v>7.8E-2</v>
      </c>
      <c r="D36" s="68">
        <f>+SUM(C$35:$C36)</f>
        <v>0.19800000000000001</v>
      </c>
      <c r="E36" s="68">
        <f>+E6</f>
        <v>5</v>
      </c>
      <c r="F36" s="68">
        <f t="shared" ref="F36:F37" si="3">+C36*E36</f>
        <v>0.39</v>
      </c>
      <c r="G36" s="58"/>
    </row>
    <row r="37" spans="1:8">
      <c r="B37" s="95" t="s">
        <v>86</v>
      </c>
      <c r="C37" s="68">
        <v>0.06</v>
      </c>
      <c r="D37" s="68">
        <f>+SUM(C$35:$C37)</f>
        <v>0.25800000000000001</v>
      </c>
      <c r="E37" s="68">
        <f>+E35+E36</f>
        <v>7</v>
      </c>
      <c r="F37" s="68">
        <f t="shared" si="3"/>
        <v>0.42</v>
      </c>
      <c r="G37" s="58">
        <v>0</v>
      </c>
      <c r="H37" s="64" t="s">
        <v>91</v>
      </c>
    </row>
    <row r="38" spans="1:8">
      <c r="A38" s="73"/>
      <c r="B38" s="71" t="s">
        <v>6</v>
      </c>
      <c r="C38" s="71">
        <f>+SUM(C35:C37)</f>
        <v>0.25800000000000001</v>
      </c>
      <c r="D38" s="71"/>
      <c r="E38" s="71"/>
      <c r="F38" s="76">
        <f>+SUM(F35:F37)</f>
        <v>1.05</v>
      </c>
      <c r="G38" s="60"/>
    </row>
    <row r="39" spans="1:8">
      <c r="A39" s="73"/>
      <c r="G39" s="56"/>
    </row>
    <row r="40" spans="1:8">
      <c r="G40" s="56"/>
    </row>
    <row r="41" spans="1:8">
      <c r="A41" s="67" t="s">
        <v>18</v>
      </c>
      <c r="B41" s="69" t="s">
        <v>85</v>
      </c>
      <c r="C41" s="69" t="s">
        <v>11</v>
      </c>
      <c r="D41" s="69" t="s">
        <v>20</v>
      </c>
      <c r="E41" s="69" t="s">
        <v>9</v>
      </c>
      <c r="F41" s="69" t="s">
        <v>1</v>
      </c>
      <c r="G41" s="69" t="s">
        <v>52</v>
      </c>
    </row>
    <row r="42" spans="1:8">
      <c r="A42" s="64" t="s">
        <v>93</v>
      </c>
      <c r="B42" s="95">
        <v>1</v>
      </c>
      <c r="C42" s="68">
        <v>0.52500000000000002</v>
      </c>
      <c r="D42" s="68">
        <f>+SUM(C42:$C$42)</f>
        <v>0.52500000000000002</v>
      </c>
      <c r="E42" s="68">
        <f>+E5</f>
        <v>2</v>
      </c>
      <c r="F42" s="68">
        <f>+E42*C42</f>
        <v>1.05</v>
      </c>
      <c r="G42" s="58">
        <v>0</v>
      </c>
      <c r="H42" s="64" t="s">
        <v>91</v>
      </c>
    </row>
    <row r="43" spans="1:8">
      <c r="A43" s="64" t="s">
        <v>95</v>
      </c>
      <c r="B43" s="71" t="s">
        <v>6</v>
      </c>
      <c r="C43" s="71">
        <f>+SUM(C42:C42)</f>
        <v>0.52500000000000002</v>
      </c>
      <c r="D43" s="71"/>
      <c r="E43" s="71"/>
      <c r="F43" s="76">
        <f>+SUM(F42:F42)</f>
        <v>1.05</v>
      </c>
      <c r="G43" s="60"/>
    </row>
    <row r="44" spans="1:8">
      <c r="A44" s="64" t="s">
        <v>96</v>
      </c>
      <c r="G44" s="56"/>
    </row>
    <row r="45" spans="1:8">
      <c r="G45" s="56"/>
    </row>
    <row r="46" spans="1:8">
      <c r="A46" s="67" t="s">
        <v>19</v>
      </c>
      <c r="B46" s="69" t="s">
        <v>85</v>
      </c>
      <c r="C46" s="69" t="s">
        <v>11</v>
      </c>
      <c r="D46" s="69" t="s">
        <v>20</v>
      </c>
      <c r="E46" s="69" t="s">
        <v>9</v>
      </c>
      <c r="F46" s="69" t="s">
        <v>1</v>
      </c>
      <c r="G46" s="69" t="s">
        <v>52</v>
      </c>
    </row>
    <row r="47" spans="1:8">
      <c r="A47" s="64" t="s">
        <v>93</v>
      </c>
      <c r="B47" s="95">
        <v>2</v>
      </c>
      <c r="C47" s="68">
        <v>0.21</v>
      </c>
      <c r="D47" s="68">
        <f>+SUM(C$47:$C47)</f>
        <v>0.21</v>
      </c>
      <c r="E47" s="68">
        <f>+E6</f>
        <v>5</v>
      </c>
      <c r="F47" s="68">
        <f>+E47*C47</f>
        <v>1.05</v>
      </c>
      <c r="G47" s="58">
        <v>0</v>
      </c>
      <c r="H47" s="64" t="s">
        <v>91</v>
      </c>
    </row>
    <row r="48" spans="1:8">
      <c r="A48" s="64" t="s">
        <v>94</v>
      </c>
      <c r="B48" s="71" t="s">
        <v>6</v>
      </c>
      <c r="C48" s="71">
        <f>+SUM(C47:C47)</f>
        <v>0.21</v>
      </c>
      <c r="D48" s="71"/>
      <c r="E48" s="71"/>
      <c r="F48" s="76">
        <f>+SUM(F47:F47)</f>
        <v>1.05</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100</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0.35000000000000003</v>
      </c>
      <c r="D5" s="65">
        <f>+SUM($C$5:C5)</f>
        <v>0.35000000000000003</v>
      </c>
      <c r="E5" s="65">
        <f>+Summary!E26</f>
        <v>2</v>
      </c>
      <c r="F5" s="65">
        <f>+C5*E5</f>
        <v>0.70000000000000007</v>
      </c>
      <c r="G5" s="58"/>
    </row>
    <row r="6" spans="1:9">
      <c r="B6" s="96">
        <v>2</v>
      </c>
      <c r="C6" s="51">
        <v>0.05</v>
      </c>
      <c r="D6" s="65">
        <f>+SUM($C$5:C6)</f>
        <v>0.4</v>
      </c>
      <c r="E6" s="65">
        <f>+Summary!E27</f>
        <v>3</v>
      </c>
      <c r="F6" s="65">
        <f t="shared" ref="F6:F7" si="0">+C6*E6</f>
        <v>0.15000000000000002</v>
      </c>
      <c r="G6" s="58"/>
    </row>
    <row r="7" spans="1:9">
      <c r="B7" s="96" t="s">
        <v>86</v>
      </c>
      <c r="C7" s="51">
        <v>0.01</v>
      </c>
      <c r="D7" s="65">
        <f>+SUM($C$5:C7)</f>
        <v>0.41000000000000003</v>
      </c>
      <c r="E7" s="65">
        <f>+E5+E6</f>
        <v>5</v>
      </c>
      <c r="F7" s="65">
        <f t="shared" si="0"/>
        <v>0.05</v>
      </c>
      <c r="G7" s="58">
        <v>0</v>
      </c>
      <c r="H7" s="64" t="s">
        <v>91</v>
      </c>
      <c r="I7" s="98"/>
    </row>
    <row r="8" spans="1:9">
      <c r="B8" s="71" t="s">
        <v>12</v>
      </c>
      <c r="C8" s="71">
        <f>+SUM(C5:C7)</f>
        <v>0.41000000000000003</v>
      </c>
      <c r="D8" s="71"/>
      <c r="E8" s="71"/>
      <c r="F8" s="62">
        <f>+SUM(F5:F7)</f>
        <v>0.90000000000000013</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0.45</v>
      </c>
      <c r="D13" s="68">
        <f>+SUM(C13:$C$13)</f>
        <v>0.45</v>
      </c>
      <c r="E13" s="68">
        <f>+E5</f>
        <v>2</v>
      </c>
      <c r="F13" s="68">
        <f>+E13*C13</f>
        <v>0.9</v>
      </c>
      <c r="G13" s="58">
        <v>0</v>
      </c>
      <c r="H13" s="64" t="s">
        <v>91</v>
      </c>
    </row>
    <row r="14" spans="1:9">
      <c r="A14" s="64" t="s">
        <v>95</v>
      </c>
      <c r="B14" s="71" t="s">
        <v>6</v>
      </c>
      <c r="C14" s="71">
        <f>+SUM(C13:C13)</f>
        <v>0.45</v>
      </c>
      <c r="D14" s="71"/>
      <c r="E14" s="71"/>
      <c r="F14" s="76">
        <f>+SUM(F13:F13)</f>
        <v>0.9</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0.3</v>
      </c>
      <c r="D18" s="68">
        <f>+SUM(C$18:$C18)</f>
        <v>0.3</v>
      </c>
      <c r="E18" s="68">
        <f>+E6</f>
        <v>3</v>
      </c>
      <c r="F18" s="68">
        <f>+E18*C18</f>
        <v>0.89999999999999991</v>
      </c>
      <c r="G18" s="58">
        <v>0</v>
      </c>
      <c r="H18" s="64" t="s">
        <v>91</v>
      </c>
    </row>
    <row r="19" spans="1:8">
      <c r="A19" s="64" t="s">
        <v>94</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104</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0.12</v>
      </c>
      <c r="D5" s="65">
        <f>+SUM($C$5:C5)</f>
        <v>0.12</v>
      </c>
      <c r="E5" s="65">
        <f>+Summary!H26</f>
        <v>2</v>
      </c>
      <c r="F5" s="65">
        <f>+C5*E5</f>
        <v>0.24</v>
      </c>
      <c r="G5" s="58"/>
    </row>
    <row r="6" spans="1:8">
      <c r="B6" s="96">
        <v>2</v>
      </c>
      <c r="C6" s="65">
        <v>0.12</v>
      </c>
      <c r="D6" s="65">
        <f>+SUM($C$5:C6)</f>
        <v>0.24</v>
      </c>
      <c r="E6" s="65">
        <f>+Summary!H27</f>
        <v>2</v>
      </c>
      <c r="F6" s="65">
        <f t="shared" ref="F6:F11" si="0">+C6*E6</f>
        <v>0.24</v>
      </c>
      <c r="G6" s="58"/>
    </row>
    <row r="7" spans="1:8">
      <c r="B7" s="96">
        <v>3</v>
      </c>
      <c r="C7" s="65">
        <v>0.02</v>
      </c>
      <c r="D7" s="65">
        <f>+SUM($C$5:C7)</f>
        <v>0.26</v>
      </c>
      <c r="E7" s="65">
        <f>+Summary!H28</f>
        <v>4</v>
      </c>
      <c r="F7" s="65">
        <f t="shared" si="0"/>
        <v>0.08</v>
      </c>
      <c r="G7" s="58"/>
    </row>
    <row r="8" spans="1:8">
      <c r="B8" s="96" t="s">
        <v>86</v>
      </c>
      <c r="C8" s="65">
        <v>4.4999999999999998E-2</v>
      </c>
      <c r="D8" s="65">
        <f>+SUM($C$5:C8)</f>
        <v>0.30499999999999999</v>
      </c>
      <c r="E8" s="65">
        <f>+E5+E6</f>
        <v>4</v>
      </c>
      <c r="F8" s="65">
        <f t="shared" si="0"/>
        <v>0.18</v>
      </c>
      <c r="G8" s="58"/>
    </row>
    <row r="9" spans="1:8">
      <c r="B9" s="96" t="s">
        <v>87</v>
      </c>
      <c r="C9" s="65">
        <v>0.01</v>
      </c>
      <c r="D9" s="65">
        <f>+SUM($C$5:C9)</f>
        <v>0.315</v>
      </c>
      <c r="E9" s="65">
        <f>+E5+E7</f>
        <v>6</v>
      </c>
      <c r="F9" s="65">
        <f t="shared" si="0"/>
        <v>0.06</v>
      </c>
      <c r="G9" s="58"/>
    </row>
    <row r="10" spans="1:8">
      <c r="B10" s="96" t="s">
        <v>88</v>
      </c>
      <c r="C10" s="65">
        <v>0.01</v>
      </c>
      <c r="D10" s="65">
        <f>+SUM($C$5:C10)</f>
        <v>0.32500000000000001</v>
      </c>
      <c r="E10" s="65">
        <f>+E6+E7</f>
        <v>6</v>
      </c>
      <c r="F10" s="65">
        <f t="shared" si="0"/>
        <v>0.06</v>
      </c>
      <c r="G10" s="58"/>
    </row>
    <row r="11" spans="1:8">
      <c r="B11" s="96" t="s">
        <v>89</v>
      </c>
      <c r="C11" s="65">
        <v>5.0000000000000001E-3</v>
      </c>
      <c r="D11" s="65">
        <f>+SUM($C$5:C11)</f>
        <v>0.33</v>
      </c>
      <c r="E11" s="65">
        <f>+E5+E6+E7</f>
        <v>8</v>
      </c>
      <c r="F11" s="65">
        <f t="shared" si="0"/>
        <v>0.04</v>
      </c>
      <c r="G11" s="58">
        <v>0</v>
      </c>
      <c r="H11" s="64" t="s">
        <v>91</v>
      </c>
    </row>
    <row r="12" spans="1:8">
      <c r="B12" s="71" t="s">
        <v>12</v>
      </c>
      <c r="C12" s="71">
        <f>+SUM(C5:C11)</f>
        <v>0.33</v>
      </c>
      <c r="D12" s="71"/>
      <c r="E12" s="71"/>
      <c r="F12" s="78">
        <f>+SUM(F5:F11)</f>
        <v>0.90000000000000013</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0.33</v>
      </c>
      <c r="D16" s="68">
        <f>+SUM(C16:$C$16)</f>
        <v>0.33</v>
      </c>
      <c r="E16" s="68">
        <f>+E6</f>
        <v>2</v>
      </c>
      <c r="F16" s="68">
        <f>+C16*E16</f>
        <v>0.66</v>
      </c>
      <c r="G16" s="58"/>
    </row>
    <row r="17" spans="1:10">
      <c r="A17" s="64" t="s">
        <v>94</v>
      </c>
      <c r="B17" s="95">
        <v>3</v>
      </c>
      <c r="C17" s="68">
        <v>0.03</v>
      </c>
      <c r="D17" s="68">
        <f>+SUM(C$16:$C17)</f>
        <v>0.36</v>
      </c>
      <c r="E17" s="68">
        <f>+E7</f>
        <v>4</v>
      </c>
      <c r="F17" s="68">
        <f t="shared" ref="F17:F18" si="1">+C17*E17</f>
        <v>0.12</v>
      </c>
      <c r="G17" s="58"/>
    </row>
    <row r="18" spans="1:10">
      <c r="B18" s="95" t="s">
        <v>88</v>
      </c>
      <c r="C18" s="68">
        <v>0.02</v>
      </c>
      <c r="D18" s="68">
        <f>+SUM(C$16:$C18)</f>
        <v>0.38</v>
      </c>
      <c r="E18" s="68">
        <f>+E16+E17</f>
        <v>6</v>
      </c>
      <c r="F18" s="68">
        <f t="shared" si="1"/>
        <v>0.12</v>
      </c>
      <c r="G18" s="58">
        <v>0</v>
      </c>
      <c r="H18" s="64" t="s">
        <v>91</v>
      </c>
    </row>
    <row r="19" spans="1:10">
      <c r="B19" s="71" t="s">
        <v>6</v>
      </c>
      <c r="C19" s="71">
        <f>+SUM(C16:C18)</f>
        <v>0.38</v>
      </c>
      <c r="D19" s="71"/>
      <c r="E19" s="71"/>
      <c r="F19" s="76">
        <f>+SUM(F16:F18)</f>
        <v>0.9</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0.33</v>
      </c>
      <c r="D23" s="68">
        <f>+SUM(C23:$C$23)</f>
        <v>0.33</v>
      </c>
      <c r="E23" s="68">
        <f>+E5</f>
        <v>2</v>
      </c>
      <c r="F23" s="68">
        <f>+C23*E23</f>
        <v>0.66</v>
      </c>
      <c r="G23" s="58"/>
    </row>
    <row r="24" spans="1:10">
      <c r="A24" s="64" t="s">
        <v>95</v>
      </c>
      <c r="B24" s="95">
        <v>3</v>
      </c>
      <c r="C24" s="68">
        <v>0.03</v>
      </c>
      <c r="D24" s="68">
        <f>+SUM(C$23:$C24)</f>
        <v>0.36</v>
      </c>
      <c r="E24" s="68">
        <f>+E7</f>
        <v>4</v>
      </c>
      <c r="F24" s="68">
        <f t="shared" ref="F24:F25" si="2">+C24*E24</f>
        <v>0.12</v>
      </c>
      <c r="G24" s="58"/>
    </row>
    <row r="25" spans="1:10">
      <c r="B25" s="95" t="s">
        <v>87</v>
      </c>
      <c r="C25" s="68">
        <v>0.02</v>
      </c>
      <c r="D25" s="68">
        <f>+SUM(C$23:$C25)</f>
        <v>0.38</v>
      </c>
      <c r="E25" s="68">
        <f>+E23+E24</f>
        <v>6</v>
      </c>
      <c r="F25" s="68">
        <f t="shared" si="2"/>
        <v>0.12</v>
      </c>
      <c r="G25" s="58">
        <v>0</v>
      </c>
      <c r="H25" s="64" t="s">
        <v>91</v>
      </c>
      <c r="J25" s="77"/>
    </row>
    <row r="26" spans="1:10">
      <c r="B26" s="71" t="s">
        <v>6</v>
      </c>
      <c r="C26" s="71">
        <f>+SUM(C23:C25)</f>
        <v>0.38</v>
      </c>
      <c r="D26" s="71"/>
      <c r="E26" s="71"/>
      <c r="F26" s="76">
        <f>+SUM(F23:F25)</f>
        <v>0.9</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0.22500000000000001</v>
      </c>
      <c r="D30" s="68">
        <f>+SUM(C30:$C$30)</f>
        <v>0.22500000000000001</v>
      </c>
      <c r="E30" s="68">
        <f>+E7</f>
        <v>4</v>
      </c>
      <c r="F30" s="68">
        <f>+C30*E30</f>
        <v>0.9</v>
      </c>
      <c r="G30" s="58">
        <v>0</v>
      </c>
      <c r="H30" s="64" t="s">
        <v>91</v>
      </c>
    </row>
    <row r="31" spans="1:10">
      <c r="A31" s="64" t="s">
        <v>94</v>
      </c>
      <c r="B31" s="71" t="s">
        <v>6</v>
      </c>
      <c r="C31" s="71">
        <f>+SUM(C30:C30)</f>
        <v>0.22500000000000001</v>
      </c>
      <c r="D31" s="71"/>
      <c r="E31" s="71"/>
      <c r="F31" s="76">
        <f>+SUM(F30:F30)</f>
        <v>0.9</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0.2</v>
      </c>
      <c r="D35" s="68">
        <f>+SUM(C35:$C$35)</f>
        <v>0.2</v>
      </c>
      <c r="E35" s="68">
        <f>+E5</f>
        <v>2</v>
      </c>
      <c r="F35" s="68">
        <f>+C35*E35</f>
        <v>0.4</v>
      </c>
      <c r="G35" s="58"/>
    </row>
    <row r="36" spans="1:8">
      <c r="A36" s="64" t="s">
        <v>96</v>
      </c>
      <c r="B36" s="95">
        <v>2</v>
      </c>
      <c r="C36" s="68">
        <v>0.2</v>
      </c>
      <c r="D36" s="68">
        <f>+SUM(C$35:$C36)</f>
        <v>0.4</v>
      </c>
      <c r="E36" s="68">
        <f>+E6</f>
        <v>2</v>
      </c>
      <c r="F36" s="68">
        <f t="shared" ref="F36:F37" si="3">+C36*E36</f>
        <v>0.4</v>
      </c>
      <c r="G36" s="58"/>
    </row>
    <row r="37" spans="1:8">
      <c r="B37" s="95" t="s">
        <v>86</v>
      </c>
      <c r="C37" s="68">
        <v>2.5000000000000001E-2</v>
      </c>
      <c r="D37" s="68">
        <f>+SUM(C$35:$C37)</f>
        <v>0.42500000000000004</v>
      </c>
      <c r="E37" s="68">
        <f>+E35+E36</f>
        <v>4</v>
      </c>
      <c r="F37" s="68">
        <f t="shared" si="3"/>
        <v>0.1</v>
      </c>
      <c r="G37" s="58">
        <v>0</v>
      </c>
      <c r="H37" s="64" t="s">
        <v>91</v>
      </c>
    </row>
    <row r="38" spans="1:8">
      <c r="A38" s="73"/>
      <c r="B38" s="71" t="s">
        <v>6</v>
      </c>
      <c r="C38" s="71">
        <f>+SUM(C35:C37)</f>
        <v>0.42500000000000004</v>
      </c>
      <c r="D38" s="71"/>
      <c r="E38" s="71"/>
      <c r="F38" s="76">
        <f>+SUM(F35:F37)</f>
        <v>0.9</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0.45</v>
      </c>
      <c r="D42" s="68">
        <f>+SUM(C42:$C$42)</f>
        <v>0.45</v>
      </c>
      <c r="E42" s="68">
        <f>+E5</f>
        <v>2</v>
      </c>
      <c r="F42" s="68">
        <f>+E42*C42</f>
        <v>0.9</v>
      </c>
      <c r="G42" s="58">
        <v>0</v>
      </c>
      <c r="H42" s="64" t="s">
        <v>91</v>
      </c>
    </row>
    <row r="43" spans="1:8">
      <c r="A43" s="64" t="s">
        <v>95</v>
      </c>
      <c r="B43" s="71" t="s">
        <v>6</v>
      </c>
      <c r="C43" s="71">
        <f>+SUM(C42:C42)</f>
        <v>0.45</v>
      </c>
      <c r="D43" s="71"/>
      <c r="E43" s="71"/>
      <c r="F43" s="76">
        <f>+SUM(F42:F42)</f>
        <v>0.9</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0.45</v>
      </c>
      <c r="D47" s="68">
        <f>+SUM(C$47:$C47)</f>
        <v>0.45</v>
      </c>
      <c r="E47" s="68">
        <f>+E6</f>
        <v>2</v>
      </c>
      <c r="F47" s="68">
        <f>+E47*C47</f>
        <v>0.9</v>
      </c>
      <c r="G47" s="58">
        <v>0</v>
      </c>
      <c r="H47" s="64" t="s">
        <v>91</v>
      </c>
    </row>
    <row r="48" spans="1:8">
      <c r="A48" s="64" t="s">
        <v>94</v>
      </c>
      <c r="B48" s="71" t="s">
        <v>6</v>
      </c>
      <c r="C48" s="71">
        <f>+SUM(C47:C47)</f>
        <v>0.45</v>
      </c>
      <c r="D48" s="71"/>
      <c r="E48" s="71"/>
      <c r="F48" s="76">
        <f>+SUM(F47:F47)</f>
        <v>0.9</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107</v>
      </c>
      <c r="B1" s="103"/>
      <c r="C1" s="103"/>
      <c r="D1" s="103"/>
      <c r="E1" s="103"/>
    </row>
    <row r="2" spans="1:8">
      <c r="A2" s="74" t="s">
        <v>125</v>
      </c>
    </row>
    <row r="4" spans="1:8">
      <c r="A4" s="67" t="s">
        <v>10</v>
      </c>
      <c r="B4" s="69" t="s">
        <v>85</v>
      </c>
      <c r="C4" s="69" t="s">
        <v>11</v>
      </c>
      <c r="D4" s="69" t="s">
        <v>20</v>
      </c>
      <c r="E4" s="69" t="s">
        <v>9</v>
      </c>
      <c r="F4" s="69" t="s">
        <v>1</v>
      </c>
      <c r="G4" s="69" t="s">
        <v>52</v>
      </c>
    </row>
    <row r="5" spans="1:8">
      <c r="A5" s="64" t="s">
        <v>92</v>
      </c>
      <c r="B5" s="96">
        <v>1</v>
      </c>
      <c r="C5" s="65">
        <v>0.09</v>
      </c>
      <c r="D5" s="65">
        <f>+SUM($C$5:C5)</f>
        <v>0.09</v>
      </c>
      <c r="E5" s="79">
        <f>Summary!K26</f>
        <v>3</v>
      </c>
      <c r="F5" s="65">
        <f>+C5*E5</f>
        <v>0.27</v>
      </c>
      <c r="G5" s="58"/>
    </row>
    <row r="6" spans="1:8">
      <c r="B6" s="96">
        <v>2</v>
      </c>
      <c r="C6" s="65">
        <v>0.09</v>
      </c>
      <c r="D6" s="65">
        <f>+SUM($C$5:C6)</f>
        <v>0.18</v>
      </c>
      <c r="E6" s="79">
        <f>Summary!K27</f>
        <v>3</v>
      </c>
      <c r="F6" s="65">
        <f t="shared" ref="F6:F11" si="0">+C6*E6</f>
        <v>0.27</v>
      </c>
      <c r="G6" s="58"/>
    </row>
    <row r="7" spans="1:8">
      <c r="B7" s="96">
        <v>3</v>
      </c>
      <c r="C7" s="65">
        <v>0.01</v>
      </c>
      <c r="D7" s="65">
        <f>+SUM($C$5:C7)</f>
        <v>0.19</v>
      </c>
      <c r="E7" s="79">
        <f>Summary!K28</f>
        <v>6</v>
      </c>
      <c r="F7" s="65">
        <f t="shared" si="0"/>
        <v>0.06</v>
      </c>
      <c r="G7" s="58"/>
    </row>
    <row r="8" spans="1:8">
      <c r="B8" s="96" t="s">
        <v>86</v>
      </c>
      <c r="C8" s="65">
        <v>0.01</v>
      </c>
      <c r="D8" s="65">
        <f>+SUM($C$5:C8)</f>
        <v>0.2</v>
      </c>
      <c r="E8" s="65">
        <f>+E5+E6</f>
        <v>6</v>
      </c>
      <c r="F8" s="65">
        <f t="shared" si="0"/>
        <v>0.06</v>
      </c>
      <c r="G8" s="58"/>
    </row>
    <row r="9" spans="1:8">
      <c r="B9" s="96" t="s">
        <v>87</v>
      </c>
      <c r="C9" s="65">
        <v>0.01</v>
      </c>
      <c r="D9" s="65">
        <f>+SUM($C$5:C9)</f>
        <v>0.21000000000000002</v>
      </c>
      <c r="E9" s="65">
        <f>+E5+E7</f>
        <v>9</v>
      </c>
      <c r="F9" s="65">
        <f t="shared" si="0"/>
        <v>0.09</v>
      </c>
      <c r="G9" s="58"/>
    </row>
    <row r="10" spans="1:8">
      <c r="B10" s="96" t="s">
        <v>88</v>
      </c>
      <c r="C10" s="65">
        <v>0.01</v>
      </c>
      <c r="D10" s="65">
        <f>+SUM($C$5:C10)</f>
        <v>0.22000000000000003</v>
      </c>
      <c r="E10" s="65">
        <f>+E6+E7</f>
        <v>9</v>
      </c>
      <c r="F10" s="65">
        <f t="shared" si="0"/>
        <v>0.09</v>
      </c>
      <c r="G10" s="58"/>
    </row>
    <row r="11" spans="1:8">
      <c r="B11" s="96" t="s">
        <v>89</v>
      </c>
      <c r="C11" s="65">
        <v>5.0000000000000001E-3</v>
      </c>
      <c r="D11" s="65">
        <f>+SUM($C$5:C11)</f>
        <v>0.22500000000000003</v>
      </c>
      <c r="E11" s="65">
        <f>+E5+E6+E7</f>
        <v>12</v>
      </c>
      <c r="F11" s="65">
        <f t="shared" si="0"/>
        <v>0.06</v>
      </c>
      <c r="G11" s="58">
        <v>0</v>
      </c>
      <c r="H11" s="64" t="s">
        <v>91</v>
      </c>
    </row>
    <row r="12" spans="1:8">
      <c r="B12" s="71" t="s">
        <v>12</v>
      </c>
      <c r="C12" s="71">
        <f>+SUM(C5:C11)</f>
        <v>0.22500000000000003</v>
      </c>
      <c r="D12" s="71"/>
      <c r="E12" s="71"/>
      <c r="F12" s="78">
        <f>+SUM(F5:F11)</f>
        <v>0.90000000000000013</v>
      </c>
      <c r="G12" s="59"/>
    </row>
    <row r="13" spans="1:8">
      <c r="B13" s="72" t="s">
        <v>90</v>
      </c>
      <c r="G13" s="56"/>
    </row>
    <row r="14" spans="1:8">
      <c r="G14" s="56"/>
    </row>
    <row r="15" spans="1:8">
      <c r="A15" s="67" t="s">
        <v>14</v>
      </c>
      <c r="B15" s="69" t="s">
        <v>85</v>
      </c>
      <c r="C15" s="69" t="s">
        <v>11</v>
      </c>
      <c r="D15" s="69" t="s">
        <v>20</v>
      </c>
      <c r="E15" s="69" t="s">
        <v>9</v>
      </c>
      <c r="F15" s="69" t="s">
        <v>1</v>
      </c>
      <c r="G15" s="69" t="s">
        <v>52</v>
      </c>
    </row>
    <row r="16" spans="1:8">
      <c r="A16" s="64" t="s">
        <v>93</v>
      </c>
      <c r="B16" s="95">
        <v>2</v>
      </c>
      <c r="C16" s="68">
        <v>0.2</v>
      </c>
      <c r="D16" s="68">
        <f>+SUM(C16:$C$16)</f>
        <v>0.2</v>
      </c>
      <c r="E16" s="68">
        <f>+E6</f>
        <v>3</v>
      </c>
      <c r="F16" s="68">
        <f>+C16*E16</f>
        <v>0.60000000000000009</v>
      </c>
      <c r="G16" s="58"/>
    </row>
    <row r="17" spans="1:10">
      <c r="A17" s="64" t="s">
        <v>94</v>
      </c>
      <c r="B17" s="95">
        <v>3</v>
      </c>
      <c r="C17" s="68">
        <v>0.02</v>
      </c>
      <c r="D17" s="68">
        <f>+SUM(C$16:$C17)</f>
        <v>0.22</v>
      </c>
      <c r="E17" s="68">
        <f>+E7</f>
        <v>6</v>
      </c>
      <c r="F17" s="68">
        <f t="shared" ref="F17:F18" si="1">+C17*E17</f>
        <v>0.12</v>
      </c>
      <c r="G17" s="58"/>
    </row>
    <row r="18" spans="1:10">
      <c r="B18" s="95" t="s">
        <v>88</v>
      </c>
      <c r="C18" s="68">
        <v>0.02</v>
      </c>
      <c r="D18" s="68">
        <f>+SUM(C$16:$C18)</f>
        <v>0.24</v>
      </c>
      <c r="E18" s="68">
        <f>+E16+E17</f>
        <v>9</v>
      </c>
      <c r="F18" s="68">
        <f t="shared" si="1"/>
        <v>0.18</v>
      </c>
      <c r="G18" s="58">
        <v>0</v>
      </c>
      <c r="H18" s="64" t="s">
        <v>91</v>
      </c>
    </row>
    <row r="19" spans="1:10">
      <c r="B19" s="71" t="s">
        <v>6</v>
      </c>
      <c r="C19" s="71">
        <f>+SUM(C16:C18)</f>
        <v>0.24</v>
      </c>
      <c r="D19" s="71"/>
      <c r="E19" s="71"/>
      <c r="F19" s="76">
        <f>+SUM(F16:F18)</f>
        <v>0.90000000000000013</v>
      </c>
      <c r="G19" s="60"/>
    </row>
    <row r="20" spans="1:10">
      <c r="B20" s="75"/>
      <c r="C20" s="75"/>
      <c r="D20" s="75"/>
      <c r="E20" s="75"/>
      <c r="F20" s="70"/>
      <c r="G20" s="61"/>
    </row>
    <row r="21" spans="1:10">
      <c r="B21" s="75"/>
      <c r="C21" s="75"/>
      <c r="D21" s="75"/>
      <c r="E21" s="75"/>
      <c r="F21" s="70"/>
      <c r="G21" s="61"/>
    </row>
    <row r="22" spans="1:10">
      <c r="A22" s="67" t="s">
        <v>15</v>
      </c>
      <c r="B22" s="69" t="s">
        <v>85</v>
      </c>
      <c r="C22" s="69" t="s">
        <v>11</v>
      </c>
      <c r="D22" s="69" t="s">
        <v>20</v>
      </c>
      <c r="E22" s="69" t="s">
        <v>9</v>
      </c>
      <c r="F22" s="69" t="s">
        <v>1</v>
      </c>
      <c r="G22" s="69" t="s">
        <v>52</v>
      </c>
    </row>
    <row r="23" spans="1:10">
      <c r="A23" s="64" t="s">
        <v>93</v>
      </c>
      <c r="B23" s="95">
        <v>1</v>
      </c>
      <c r="C23" s="68">
        <v>0.2</v>
      </c>
      <c r="D23" s="68">
        <f>+SUM(C23:$C$23)</f>
        <v>0.2</v>
      </c>
      <c r="E23" s="68">
        <f>+E5</f>
        <v>3</v>
      </c>
      <c r="F23" s="68">
        <f>+C23*E23</f>
        <v>0.60000000000000009</v>
      </c>
      <c r="G23" s="58"/>
    </row>
    <row r="24" spans="1:10">
      <c r="A24" s="64" t="s">
        <v>95</v>
      </c>
      <c r="B24" s="95">
        <v>3</v>
      </c>
      <c r="C24" s="68">
        <v>0.02</v>
      </c>
      <c r="D24" s="68">
        <f>+SUM(C$23:$C24)</f>
        <v>0.22</v>
      </c>
      <c r="E24" s="68">
        <f>+E7</f>
        <v>6</v>
      </c>
      <c r="F24" s="68">
        <f t="shared" ref="F24:F25" si="2">+C24*E24</f>
        <v>0.12</v>
      </c>
      <c r="G24" s="58"/>
    </row>
    <row r="25" spans="1:10">
      <c r="B25" s="95" t="s">
        <v>87</v>
      </c>
      <c r="C25" s="68">
        <v>0.02</v>
      </c>
      <c r="D25" s="68">
        <f>+SUM(C$23:$C25)</f>
        <v>0.24</v>
      </c>
      <c r="E25" s="68">
        <f>+E23+E24</f>
        <v>9</v>
      </c>
      <c r="F25" s="68">
        <f t="shared" si="2"/>
        <v>0.18</v>
      </c>
      <c r="G25" s="58">
        <v>0</v>
      </c>
      <c r="H25" s="64" t="s">
        <v>91</v>
      </c>
      <c r="J25" s="77"/>
    </row>
    <row r="26" spans="1:10">
      <c r="B26" s="71" t="s">
        <v>6</v>
      </c>
      <c r="C26" s="71">
        <f>+SUM(C23:C25)</f>
        <v>0.24</v>
      </c>
      <c r="D26" s="71"/>
      <c r="E26" s="71"/>
      <c r="F26" s="76">
        <f>+SUM(F23:F25)</f>
        <v>0.90000000000000013</v>
      </c>
      <c r="G26" s="60"/>
    </row>
    <row r="27" spans="1:10">
      <c r="B27" s="75"/>
      <c r="C27" s="75"/>
      <c r="D27" s="75"/>
      <c r="E27" s="75"/>
      <c r="F27" s="70"/>
      <c r="G27" s="61"/>
    </row>
    <row r="28" spans="1:10">
      <c r="G28" s="56"/>
    </row>
    <row r="29" spans="1:10">
      <c r="A29" s="67" t="s">
        <v>16</v>
      </c>
      <c r="B29" s="69" t="s">
        <v>85</v>
      </c>
      <c r="C29" s="69" t="s">
        <v>11</v>
      </c>
      <c r="D29" s="69" t="s">
        <v>20</v>
      </c>
      <c r="E29" s="69" t="s">
        <v>9</v>
      </c>
      <c r="F29" s="69" t="s">
        <v>1</v>
      </c>
      <c r="G29" s="69" t="s">
        <v>52</v>
      </c>
    </row>
    <row r="30" spans="1:10">
      <c r="A30" s="64" t="s">
        <v>93</v>
      </c>
      <c r="B30" s="95">
        <v>3</v>
      </c>
      <c r="C30" s="68">
        <v>0.15</v>
      </c>
      <c r="D30" s="68">
        <f>+SUM(C30:$C$30)</f>
        <v>0.15</v>
      </c>
      <c r="E30" s="68">
        <f>+E7</f>
        <v>6</v>
      </c>
      <c r="F30" s="68">
        <f>+C30*E30</f>
        <v>0.89999999999999991</v>
      </c>
      <c r="G30" s="58">
        <v>0</v>
      </c>
      <c r="H30" s="64" t="s">
        <v>91</v>
      </c>
    </row>
    <row r="31" spans="1:10">
      <c r="A31" s="64" t="s">
        <v>94</v>
      </c>
      <c r="B31" s="71" t="s">
        <v>6</v>
      </c>
      <c r="C31" s="71">
        <f>+SUM(C30:C30)</f>
        <v>0.15</v>
      </c>
      <c r="D31" s="71"/>
      <c r="E31" s="71"/>
      <c r="F31" s="76">
        <f>+SUM(F30:F30)</f>
        <v>0.89999999999999991</v>
      </c>
      <c r="G31" s="60"/>
    </row>
    <row r="32" spans="1:10">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0.125</v>
      </c>
      <c r="D35" s="68">
        <f>+SUM(C35:$C$35)</f>
        <v>0.125</v>
      </c>
      <c r="E35" s="68">
        <f>+E5</f>
        <v>3</v>
      </c>
      <c r="F35" s="68">
        <f>+C35*E35</f>
        <v>0.375</v>
      </c>
      <c r="G35" s="58"/>
    </row>
    <row r="36" spans="1:8">
      <c r="A36" s="64" t="s">
        <v>96</v>
      </c>
      <c r="B36" s="95">
        <v>2</v>
      </c>
      <c r="C36" s="68">
        <v>0.125</v>
      </c>
      <c r="D36" s="68">
        <f>+SUM(C$35:$C36)</f>
        <v>0.25</v>
      </c>
      <c r="E36" s="68">
        <f>+E6</f>
        <v>3</v>
      </c>
      <c r="F36" s="68">
        <f t="shared" ref="F36:F37" si="3">+C36*E36</f>
        <v>0.375</v>
      </c>
      <c r="G36" s="58"/>
    </row>
    <row r="37" spans="1:8">
      <c r="B37" s="95" t="s">
        <v>86</v>
      </c>
      <c r="C37" s="68">
        <v>2.5000000000000001E-2</v>
      </c>
      <c r="D37" s="68">
        <f>+SUM(C$35:$C37)</f>
        <v>0.27500000000000002</v>
      </c>
      <c r="E37" s="68">
        <f>+E35+E36</f>
        <v>6</v>
      </c>
      <c r="F37" s="68">
        <f t="shared" si="3"/>
        <v>0.15000000000000002</v>
      </c>
      <c r="G37" s="58">
        <v>0</v>
      </c>
      <c r="H37" s="64" t="s">
        <v>91</v>
      </c>
    </row>
    <row r="38" spans="1:8">
      <c r="A38" s="73"/>
      <c r="B38" s="71" t="s">
        <v>6</v>
      </c>
      <c r="C38" s="71">
        <f>+SUM(C35:C37)</f>
        <v>0.27500000000000002</v>
      </c>
      <c r="D38" s="71"/>
      <c r="E38" s="71"/>
      <c r="F38" s="76">
        <f>+SUM(F35:F37)</f>
        <v>0.9</v>
      </c>
      <c r="G38" s="60"/>
    </row>
    <row r="39" spans="1:8">
      <c r="A39" s="73"/>
      <c r="G39" s="56"/>
    </row>
    <row r="40" spans="1:8">
      <c r="G40" s="56"/>
    </row>
    <row r="41" spans="1:8">
      <c r="A41" s="67" t="s">
        <v>18</v>
      </c>
      <c r="B41" s="69" t="s">
        <v>85</v>
      </c>
      <c r="C41" s="69" t="s">
        <v>11</v>
      </c>
      <c r="D41" s="69" t="s">
        <v>20</v>
      </c>
      <c r="E41" s="69" t="s">
        <v>9</v>
      </c>
      <c r="F41" s="69" t="s">
        <v>1</v>
      </c>
      <c r="G41" s="63"/>
    </row>
    <row r="42" spans="1:8">
      <c r="A42" s="64" t="s">
        <v>93</v>
      </c>
      <c r="B42" s="95">
        <v>1</v>
      </c>
      <c r="C42" s="68">
        <v>0.3</v>
      </c>
      <c r="D42" s="68">
        <f>+SUM(C42:$C$42)</f>
        <v>0.3</v>
      </c>
      <c r="E42" s="68">
        <f>+E5</f>
        <v>3</v>
      </c>
      <c r="F42" s="68">
        <f>+E42*C42</f>
        <v>0.89999999999999991</v>
      </c>
      <c r="G42" s="58">
        <v>0</v>
      </c>
      <c r="H42" s="64" t="s">
        <v>91</v>
      </c>
    </row>
    <row r="43" spans="1:8">
      <c r="A43" s="64" t="s">
        <v>95</v>
      </c>
      <c r="B43" s="71" t="s">
        <v>6</v>
      </c>
      <c r="C43" s="71">
        <f>+SUM(C42:C42)</f>
        <v>0.3</v>
      </c>
      <c r="D43" s="71"/>
      <c r="E43" s="71"/>
      <c r="F43" s="76">
        <f>+SUM(F42:F42)</f>
        <v>0.89999999999999991</v>
      </c>
      <c r="G43" s="60"/>
    </row>
    <row r="44" spans="1:8">
      <c r="A44" s="64" t="s">
        <v>96</v>
      </c>
      <c r="G44" s="56"/>
    </row>
    <row r="45" spans="1:8">
      <c r="G45" s="56"/>
    </row>
    <row r="46" spans="1:8">
      <c r="A46" s="67" t="s">
        <v>19</v>
      </c>
      <c r="B46" s="69" t="s">
        <v>85</v>
      </c>
      <c r="C46" s="69" t="s">
        <v>11</v>
      </c>
      <c r="D46" s="69" t="s">
        <v>20</v>
      </c>
      <c r="E46" s="69" t="s">
        <v>9</v>
      </c>
      <c r="F46" s="69" t="s">
        <v>1</v>
      </c>
      <c r="G46" s="63"/>
    </row>
    <row r="47" spans="1:8">
      <c r="A47" s="64" t="s">
        <v>93</v>
      </c>
      <c r="B47" s="95">
        <v>2</v>
      </c>
      <c r="C47" s="68">
        <v>0.3</v>
      </c>
      <c r="D47" s="68">
        <f>+SUM(C$47:$C47)</f>
        <v>0.3</v>
      </c>
      <c r="E47" s="68">
        <f>+E6</f>
        <v>3</v>
      </c>
      <c r="F47" s="68">
        <f>+E47*C47</f>
        <v>0.89999999999999991</v>
      </c>
      <c r="G47" s="58">
        <v>0</v>
      </c>
      <c r="H47" s="64" t="s">
        <v>91</v>
      </c>
    </row>
    <row r="48" spans="1:8">
      <c r="A48" s="64" t="s">
        <v>94</v>
      </c>
      <c r="B48" s="71" t="s">
        <v>6</v>
      </c>
      <c r="C48" s="71">
        <f>+SUM(C47:C47)</f>
        <v>0.3</v>
      </c>
      <c r="D48" s="71"/>
      <c r="E48" s="71"/>
      <c r="F48" s="76">
        <f>+SUM(F47:F47)</f>
        <v>0.89999999999999991</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116</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51">
        <v>0.2</v>
      </c>
      <c r="D5" s="65">
        <f>+SUM($C$5:C5)</f>
        <v>0.2</v>
      </c>
      <c r="E5" s="65">
        <f>+Summary!B26</f>
        <v>2</v>
      </c>
      <c r="F5" s="65">
        <f>+C5*E5</f>
        <v>0.4</v>
      </c>
      <c r="G5" s="58"/>
    </row>
    <row r="6" spans="1:9">
      <c r="B6" s="96">
        <v>2</v>
      </c>
      <c r="C6" s="51">
        <v>0.1</v>
      </c>
      <c r="D6" s="65">
        <f>+SUM($C$5:C6)</f>
        <v>0.30000000000000004</v>
      </c>
      <c r="E6" s="65">
        <f>+Summary!B27</f>
        <v>3</v>
      </c>
      <c r="F6" s="65">
        <f t="shared" ref="F6:F7" si="0">+C6*E6</f>
        <v>0.30000000000000004</v>
      </c>
      <c r="G6" s="58"/>
    </row>
    <row r="7" spans="1:9">
      <c r="B7" s="96" t="s">
        <v>86</v>
      </c>
      <c r="C7" s="51">
        <v>0.04</v>
      </c>
      <c r="D7" s="65">
        <f>+SUM($C$5:C7)</f>
        <v>0.34</v>
      </c>
      <c r="E7" s="65">
        <f>+E5+E6</f>
        <v>5</v>
      </c>
      <c r="F7" s="65">
        <f t="shared" si="0"/>
        <v>0.2</v>
      </c>
      <c r="G7" s="58">
        <v>0</v>
      </c>
      <c r="H7" s="64" t="s">
        <v>91</v>
      </c>
      <c r="I7" s="98"/>
    </row>
    <row r="8" spans="1:9">
      <c r="B8" s="71" t="s">
        <v>12</v>
      </c>
      <c r="C8" s="71">
        <f>+SUM(C5:C7)</f>
        <v>0.34</v>
      </c>
      <c r="D8" s="71"/>
      <c r="E8" s="71"/>
      <c r="F8" s="62">
        <f>+SUM(F5:F7)</f>
        <v>0.90000000000000013</v>
      </c>
      <c r="G8" s="59"/>
    </row>
    <row r="9" spans="1:9">
      <c r="B9" s="72" t="s">
        <v>90</v>
      </c>
      <c r="G9" s="56"/>
    </row>
    <row r="10" spans="1:9">
      <c r="G10" s="56"/>
    </row>
    <row r="11" spans="1:9">
      <c r="G11" s="56"/>
    </row>
    <row r="12" spans="1:9">
      <c r="A12" s="67" t="s">
        <v>18</v>
      </c>
      <c r="B12" s="69" t="s">
        <v>85</v>
      </c>
      <c r="C12" s="69" t="s">
        <v>11</v>
      </c>
      <c r="D12" s="69" t="s">
        <v>20</v>
      </c>
      <c r="E12" s="69" t="s">
        <v>9</v>
      </c>
      <c r="F12" s="69" t="s">
        <v>1</v>
      </c>
      <c r="G12" s="69" t="s">
        <v>52</v>
      </c>
    </row>
    <row r="13" spans="1:9">
      <c r="A13" s="64" t="s">
        <v>93</v>
      </c>
      <c r="B13" s="95">
        <v>1</v>
      </c>
      <c r="C13" s="68">
        <v>0.45</v>
      </c>
      <c r="D13" s="68">
        <f>+SUM(C13:$C$13)</f>
        <v>0.45</v>
      </c>
      <c r="E13" s="68">
        <f>+E5</f>
        <v>2</v>
      </c>
      <c r="F13" s="68">
        <f>+E13*C13</f>
        <v>0.9</v>
      </c>
      <c r="G13" s="58">
        <v>0</v>
      </c>
      <c r="H13" s="64" t="s">
        <v>91</v>
      </c>
    </row>
    <row r="14" spans="1:9">
      <c r="A14" s="64" t="s">
        <v>95</v>
      </c>
      <c r="B14" s="71" t="s">
        <v>6</v>
      </c>
      <c r="C14" s="71">
        <f>+SUM(C13:C13)</f>
        <v>0.45</v>
      </c>
      <c r="D14" s="71"/>
      <c r="E14" s="71"/>
      <c r="F14" s="76">
        <f>+SUM(F13:F13)</f>
        <v>0.9</v>
      </c>
      <c r="G14" s="60"/>
    </row>
    <row r="15" spans="1:9">
      <c r="G15" s="56"/>
    </row>
    <row r="16" spans="1:9">
      <c r="G16" s="56"/>
    </row>
    <row r="17" spans="1:8">
      <c r="A17" s="67" t="s">
        <v>19</v>
      </c>
      <c r="B17" s="69" t="s">
        <v>85</v>
      </c>
      <c r="C17" s="69" t="s">
        <v>11</v>
      </c>
      <c r="D17" s="69" t="s">
        <v>20</v>
      </c>
      <c r="E17" s="69" t="s">
        <v>9</v>
      </c>
      <c r="F17" s="69" t="s">
        <v>1</v>
      </c>
      <c r="G17" s="69" t="s">
        <v>52</v>
      </c>
    </row>
    <row r="18" spans="1:8">
      <c r="A18" s="64" t="s">
        <v>93</v>
      </c>
      <c r="B18" s="95">
        <v>2</v>
      </c>
      <c r="C18" s="68">
        <v>0.3</v>
      </c>
      <c r="D18" s="68">
        <f>+SUM(C$18:$C18)</f>
        <v>0.3</v>
      </c>
      <c r="E18" s="68">
        <f>+E6</f>
        <v>3</v>
      </c>
      <c r="F18" s="68">
        <f>+E18*C18</f>
        <v>0.89999999999999991</v>
      </c>
      <c r="G18" s="58">
        <v>0</v>
      </c>
      <c r="H18" s="64" t="s">
        <v>91</v>
      </c>
    </row>
    <row r="19" spans="1:8">
      <c r="A19" s="64" t="s">
        <v>94</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03" t="s">
        <v>114</v>
      </c>
      <c r="B1" s="103"/>
      <c r="C1" s="103"/>
      <c r="D1" s="103"/>
      <c r="E1" s="103"/>
    </row>
    <row r="2" spans="1:8">
      <c r="A2" s="74"/>
    </row>
    <row r="4" spans="1:8">
      <c r="A4" s="67" t="s">
        <v>74</v>
      </c>
      <c r="B4" s="69" t="s">
        <v>85</v>
      </c>
      <c r="C4" s="69" t="s">
        <v>11</v>
      </c>
      <c r="D4" s="69" t="s">
        <v>20</v>
      </c>
      <c r="E4" s="69" t="s">
        <v>9</v>
      </c>
      <c r="F4" s="69" t="s">
        <v>1</v>
      </c>
      <c r="G4" s="69" t="s">
        <v>52</v>
      </c>
    </row>
    <row r="5" spans="1:8">
      <c r="B5" s="95">
        <v>1</v>
      </c>
      <c r="C5" s="68">
        <v>0.45</v>
      </c>
      <c r="D5" s="68">
        <f>+SUM(C5:$C$5)</f>
        <v>0.45</v>
      </c>
      <c r="E5" s="68">
        <f>+Summary!B20</f>
        <v>2</v>
      </c>
      <c r="F5" s="68">
        <f>+E5*C5</f>
        <v>0.9</v>
      </c>
      <c r="G5" s="58">
        <v>0</v>
      </c>
      <c r="H5" s="64" t="s">
        <v>91</v>
      </c>
    </row>
    <row r="6" spans="1:8">
      <c r="B6" s="71" t="s">
        <v>6</v>
      </c>
      <c r="C6" s="71">
        <f>+SUM(C5:C5)</f>
        <v>0.45</v>
      </c>
      <c r="D6" s="71"/>
      <c r="E6" s="71"/>
      <c r="F6" s="76">
        <f>+SUM(F5:F5)</f>
        <v>0.9</v>
      </c>
      <c r="G6" s="60"/>
    </row>
    <row r="7" spans="1:8">
      <c r="G7" s="56"/>
    </row>
    <row r="8" spans="1:8">
      <c r="G8" s="56"/>
    </row>
    <row r="9" spans="1:8">
      <c r="A9" s="67" t="s">
        <v>75</v>
      </c>
      <c r="B9" s="69" t="s">
        <v>85</v>
      </c>
      <c r="C9" s="69" t="s">
        <v>11</v>
      </c>
      <c r="D9" s="69" t="s">
        <v>20</v>
      </c>
      <c r="E9" s="69" t="s">
        <v>9</v>
      </c>
      <c r="F9" s="69" t="s">
        <v>1</v>
      </c>
      <c r="G9" s="69" t="s">
        <v>52</v>
      </c>
    </row>
    <row r="10" spans="1:8">
      <c r="B10" s="95">
        <v>1</v>
      </c>
      <c r="C10" s="68">
        <v>0.3</v>
      </c>
      <c r="D10" s="68">
        <f>1/6</f>
        <v>0.16666666666666666</v>
      </c>
      <c r="E10" s="68">
        <f>+Summary!E20</f>
        <v>3</v>
      </c>
      <c r="F10" s="68">
        <f>+E10*C10</f>
        <v>0.89999999999999991</v>
      </c>
      <c r="G10" s="58">
        <v>0</v>
      </c>
      <c r="H10" s="64" t="s">
        <v>91</v>
      </c>
    </row>
    <row r="11" spans="1:8">
      <c r="B11" s="71" t="s">
        <v>6</v>
      </c>
      <c r="C11" s="71">
        <f>+SUM(C10:C10)</f>
        <v>0.3</v>
      </c>
      <c r="D11" s="71"/>
      <c r="E11" s="71"/>
      <c r="F11" s="76">
        <f>+SUM(F10:F10)</f>
        <v>0.89999999999999991</v>
      </c>
      <c r="G11" s="60"/>
    </row>
    <row r="12" spans="1:8">
      <c r="G12" s="57"/>
    </row>
    <row r="13" spans="1:8">
      <c r="G13" s="57"/>
    </row>
    <row r="14" spans="1:8">
      <c r="A14" s="67" t="s">
        <v>76</v>
      </c>
      <c r="B14" s="69" t="s">
        <v>85</v>
      </c>
      <c r="C14" s="69" t="s">
        <v>11</v>
      </c>
      <c r="D14" s="69" t="s">
        <v>20</v>
      </c>
      <c r="E14" s="69" t="s">
        <v>9</v>
      </c>
      <c r="F14" s="69" t="s">
        <v>1</v>
      </c>
      <c r="G14" s="69" t="s">
        <v>52</v>
      </c>
    </row>
    <row r="15" spans="1:8">
      <c r="B15" s="95">
        <v>1</v>
      </c>
      <c r="C15" s="68">
        <v>0.22500000000000001</v>
      </c>
      <c r="D15" s="68">
        <f>+SUM(C$15:$C15)</f>
        <v>0.22500000000000001</v>
      </c>
      <c r="E15" s="68">
        <f>+Summary!H20</f>
        <v>4</v>
      </c>
      <c r="F15" s="68">
        <f>+E15*C15</f>
        <v>0.9</v>
      </c>
      <c r="G15" s="58">
        <v>0</v>
      </c>
      <c r="H15" s="64" t="s">
        <v>91</v>
      </c>
    </row>
    <row r="16" spans="1:8">
      <c r="B16" s="71" t="s">
        <v>6</v>
      </c>
      <c r="C16" s="71">
        <f>+SUM(C15:C15)</f>
        <v>0.22500000000000001</v>
      </c>
      <c r="D16" s="71"/>
      <c r="E16" s="71"/>
      <c r="F16" s="76">
        <f>+SUM(F15:F15)</f>
        <v>0.9</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03" t="s">
        <v>117</v>
      </c>
      <c r="B1" s="103"/>
      <c r="C1" s="103"/>
      <c r="D1" s="103"/>
      <c r="E1" s="103"/>
    </row>
    <row r="2" spans="1:9">
      <c r="A2" s="74" t="s">
        <v>125</v>
      </c>
    </row>
    <row r="4" spans="1:9">
      <c r="A4" s="67" t="s">
        <v>10</v>
      </c>
      <c r="B4" s="69" t="s">
        <v>85</v>
      </c>
      <c r="C4" s="69" t="s">
        <v>11</v>
      </c>
      <c r="D4" s="69" t="s">
        <v>20</v>
      </c>
      <c r="E4" s="69" t="s">
        <v>9</v>
      </c>
      <c r="F4" s="69" t="s">
        <v>1</v>
      </c>
      <c r="G4" s="69" t="s">
        <v>52</v>
      </c>
    </row>
    <row r="5" spans="1:9">
      <c r="A5" s="64" t="s">
        <v>92</v>
      </c>
      <c r="B5" s="96">
        <v>1</v>
      </c>
      <c r="C5" s="40">
        <v>9.5000000000000001E-2</v>
      </c>
      <c r="D5" s="65">
        <f>+SUM($C$5:C5)</f>
        <v>9.5000000000000001E-2</v>
      </c>
      <c r="E5" s="65">
        <f>+Summary!B35</f>
        <v>2</v>
      </c>
      <c r="F5" s="65">
        <f>+C5*E5</f>
        <v>0.19</v>
      </c>
      <c r="G5" s="58"/>
    </row>
    <row r="6" spans="1:9">
      <c r="B6" s="96">
        <v>2</v>
      </c>
      <c r="C6" s="99">
        <v>0.01</v>
      </c>
      <c r="D6" s="65">
        <f>+SUM($C$5:C6)</f>
        <v>0.105</v>
      </c>
      <c r="E6" s="65">
        <f>+Summary!B36</f>
        <v>5</v>
      </c>
      <c r="F6" s="65">
        <f t="shared" ref="F6:F11" si="0">+C6*E6</f>
        <v>0.05</v>
      </c>
      <c r="G6" s="58"/>
    </row>
    <row r="7" spans="1:9">
      <c r="B7" s="96">
        <v>3</v>
      </c>
      <c r="C7" s="99">
        <v>0.01</v>
      </c>
      <c r="D7" s="65">
        <f>+SUM($C$5:C7)</f>
        <v>0.11499999999999999</v>
      </c>
      <c r="E7" s="65">
        <f>+Summary!B37</f>
        <v>8</v>
      </c>
      <c r="F7" s="65">
        <f t="shared" si="0"/>
        <v>0.08</v>
      </c>
      <c r="G7" s="58"/>
      <c r="I7" s="36"/>
    </row>
    <row r="8" spans="1:9">
      <c r="B8" s="96" t="s">
        <v>86</v>
      </c>
      <c r="C8" s="99">
        <v>0.01</v>
      </c>
      <c r="D8" s="65">
        <f>+SUM($C$5:C8)</f>
        <v>0.12499999999999999</v>
      </c>
      <c r="E8" s="65">
        <f>+E5+E6</f>
        <v>7</v>
      </c>
      <c r="F8" s="65">
        <f t="shared" si="0"/>
        <v>7.0000000000000007E-2</v>
      </c>
      <c r="G8" s="58"/>
      <c r="I8" s="98"/>
    </row>
    <row r="9" spans="1:9">
      <c r="B9" s="96" t="s">
        <v>87</v>
      </c>
      <c r="C9" s="99">
        <v>0.01</v>
      </c>
      <c r="D9" s="65">
        <f>+SUM($C$5:C9)</f>
        <v>0.13499999999999998</v>
      </c>
      <c r="E9" s="65">
        <f>+E5+E7</f>
        <v>10</v>
      </c>
      <c r="F9" s="65">
        <f t="shared" si="0"/>
        <v>0.1</v>
      </c>
      <c r="G9" s="58"/>
    </row>
    <row r="10" spans="1:9">
      <c r="B10" s="96" t="s">
        <v>88</v>
      </c>
      <c r="C10" s="99">
        <v>0.02</v>
      </c>
      <c r="D10" s="65">
        <f>+SUM($C$5:C10)</f>
        <v>0.15499999999999997</v>
      </c>
      <c r="E10" s="65">
        <f>+E6+E7</f>
        <v>13</v>
      </c>
      <c r="F10" s="65">
        <f t="shared" si="0"/>
        <v>0.26</v>
      </c>
      <c r="G10" s="58"/>
    </row>
    <row r="11" spans="1:9">
      <c r="B11" s="96" t="s">
        <v>89</v>
      </c>
      <c r="C11" s="99">
        <v>0.01</v>
      </c>
      <c r="D11" s="65">
        <f>+SUM($C$5:C11)</f>
        <v>0.16499999999999998</v>
      </c>
      <c r="E11" s="65">
        <f>+E5+E6+E7</f>
        <v>15</v>
      </c>
      <c r="F11" s="65">
        <f t="shared" si="0"/>
        <v>0.15</v>
      </c>
      <c r="G11" s="58">
        <v>0</v>
      </c>
      <c r="H11" s="64" t="s">
        <v>91</v>
      </c>
    </row>
    <row r="12" spans="1:9">
      <c r="B12" s="71" t="s">
        <v>12</v>
      </c>
      <c r="C12" s="71">
        <f>+SUM(C5:C11)</f>
        <v>0.16499999999999998</v>
      </c>
      <c r="D12" s="71"/>
      <c r="E12" s="71"/>
      <c r="F12" s="62">
        <f>+SUM(F5:F11)</f>
        <v>0.9</v>
      </c>
      <c r="G12" s="59"/>
    </row>
    <row r="13" spans="1:9">
      <c r="B13" s="72" t="s">
        <v>90</v>
      </c>
      <c r="G13" s="56"/>
    </row>
    <row r="14" spans="1:9">
      <c r="G14" s="56"/>
    </row>
    <row r="15" spans="1:9">
      <c r="A15" s="67" t="s">
        <v>14</v>
      </c>
      <c r="B15" s="69" t="s">
        <v>85</v>
      </c>
      <c r="C15" s="69" t="s">
        <v>11</v>
      </c>
      <c r="D15" s="69" t="s">
        <v>20</v>
      </c>
      <c r="E15" s="69" t="s">
        <v>9</v>
      </c>
      <c r="F15" s="69" t="s">
        <v>1</v>
      </c>
      <c r="G15" s="69" t="s">
        <v>52</v>
      </c>
    </row>
    <row r="16" spans="1:9">
      <c r="A16" s="64" t="s">
        <v>93</v>
      </c>
      <c r="B16" s="95">
        <v>2</v>
      </c>
      <c r="C16" s="68">
        <v>0.08</v>
      </c>
      <c r="D16" s="68">
        <f>+SUM(C16:$C$16)</f>
        <v>0.08</v>
      </c>
      <c r="E16" s="68">
        <f>+E6</f>
        <v>5</v>
      </c>
      <c r="F16" s="68">
        <f>+C16*E16</f>
        <v>0.4</v>
      </c>
      <c r="G16" s="58"/>
    </row>
    <row r="17" spans="1:9">
      <c r="A17" s="64" t="s">
        <v>94</v>
      </c>
      <c r="B17" s="95">
        <v>3</v>
      </c>
      <c r="C17" s="68">
        <v>0.03</v>
      </c>
      <c r="D17" s="68">
        <f>+SUM(C$16:$C17)</f>
        <v>0.11</v>
      </c>
      <c r="E17" s="68">
        <f>+E7</f>
        <v>8</v>
      </c>
      <c r="F17" s="68">
        <f t="shared" ref="F17:F18" si="1">+C17*E17</f>
        <v>0.24</v>
      </c>
      <c r="G17" s="58"/>
      <c r="I17" s="97"/>
    </row>
    <row r="18" spans="1:9">
      <c r="B18" s="95" t="s">
        <v>88</v>
      </c>
      <c r="C18" s="68">
        <v>0.02</v>
      </c>
      <c r="D18" s="68">
        <f>+SUM(C$16:$C18)</f>
        <v>0.13</v>
      </c>
      <c r="E18" s="68">
        <f>+E16+E17</f>
        <v>13</v>
      </c>
      <c r="F18" s="68">
        <f t="shared" si="1"/>
        <v>0.26</v>
      </c>
      <c r="G18" s="58">
        <v>0</v>
      </c>
      <c r="H18" s="64" t="s">
        <v>91</v>
      </c>
    </row>
    <row r="19" spans="1:9">
      <c r="B19" s="71" t="s">
        <v>6</v>
      </c>
      <c r="C19" s="71">
        <f>+SUM(C16:C18)</f>
        <v>0.13</v>
      </c>
      <c r="D19" s="71"/>
      <c r="E19" s="71"/>
      <c r="F19" s="76">
        <f>+SUM(F16:F18)</f>
        <v>0.9</v>
      </c>
      <c r="G19" s="60"/>
    </row>
    <row r="20" spans="1:9">
      <c r="B20" s="75"/>
      <c r="C20" s="75"/>
      <c r="D20" s="75"/>
      <c r="E20" s="75"/>
      <c r="F20" s="70"/>
      <c r="G20" s="61"/>
    </row>
    <row r="21" spans="1:9">
      <c r="B21" s="75"/>
      <c r="C21" s="75"/>
      <c r="D21" s="75"/>
      <c r="E21" s="75"/>
      <c r="F21" s="70"/>
      <c r="G21" s="61"/>
    </row>
    <row r="22" spans="1:9">
      <c r="A22" s="67" t="s">
        <v>15</v>
      </c>
      <c r="B22" s="69" t="s">
        <v>85</v>
      </c>
      <c r="C22" s="69" t="s">
        <v>11</v>
      </c>
      <c r="D22" s="69" t="s">
        <v>20</v>
      </c>
      <c r="E22" s="69" t="s">
        <v>9</v>
      </c>
      <c r="F22" s="69" t="s">
        <v>1</v>
      </c>
      <c r="G22" s="69" t="s">
        <v>52</v>
      </c>
    </row>
    <row r="23" spans="1:9">
      <c r="A23" s="64" t="s">
        <v>93</v>
      </c>
      <c r="B23" s="95">
        <v>1</v>
      </c>
      <c r="C23" s="68">
        <v>0.09</v>
      </c>
      <c r="D23" s="68">
        <f>+SUM(C23:$C$23)</f>
        <v>0.09</v>
      </c>
      <c r="E23" s="68">
        <f>+E5</f>
        <v>2</v>
      </c>
      <c r="F23" s="68">
        <f>+C23*E23</f>
        <v>0.18</v>
      </c>
      <c r="G23" s="58"/>
    </row>
    <row r="24" spans="1:9">
      <c r="A24" s="64" t="s">
        <v>95</v>
      </c>
      <c r="B24" s="95">
        <v>3</v>
      </c>
      <c r="C24" s="68">
        <v>0.04</v>
      </c>
      <c r="D24" s="68">
        <f>+SUM(C$23:$C24)</f>
        <v>0.13</v>
      </c>
      <c r="E24" s="68">
        <f>+E7</f>
        <v>8</v>
      </c>
      <c r="F24" s="68">
        <f t="shared" ref="F24:F25" si="2">+C24*E24</f>
        <v>0.32</v>
      </c>
      <c r="G24" s="58"/>
    </row>
    <row r="25" spans="1:9">
      <c r="B25" s="95" t="s">
        <v>87</v>
      </c>
      <c r="C25" s="68">
        <v>0.04</v>
      </c>
      <c r="D25" s="68">
        <f>+SUM(C$23:$C25)</f>
        <v>0.17</v>
      </c>
      <c r="E25" s="68">
        <f>+E23+E24</f>
        <v>10</v>
      </c>
      <c r="F25" s="68">
        <f t="shared" si="2"/>
        <v>0.4</v>
      </c>
      <c r="G25" s="58">
        <v>0</v>
      </c>
      <c r="H25" s="64" t="s">
        <v>91</v>
      </c>
    </row>
    <row r="26" spans="1:9">
      <c r="B26" s="71" t="s">
        <v>6</v>
      </c>
      <c r="C26" s="71">
        <f>+SUM(C23:C25)</f>
        <v>0.17</v>
      </c>
      <c r="D26" s="71"/>
      <c r="E26" s="71"/>
      <c r="F26" s="76">
        <f>+SUM(F23:F25)</f>
        <v>0.9</v>
      </c>
      <c r="G26" s="60"/>
    </row>
    <row r="27" spans="1:9">
      <c r="B27" s="75"/>
      <c r="C27" s="75"/>
      <c r="D27" s="75"/>
      <c r="E27" s="75"/>
      <c r="F27" s="70"/>
      <c r="G27" s="61"/>
    </row>
    <row r="28" spans="1:9">
      <c r="G28" s="56"/>
    </row>
    <row r="29" spans="1:9">
      <c r="A29" s="67" t="s">
        <v>16</v>
      </c>
      <c r="B29" s="69" t="s">
        <v>85</v>
      </c>
      <c r="C29" s="69" t="s">
        <v>11</v>
      </c>
      <c r="D29" s="69" t="s">
        <v>20</v>
      </c>
      <c r="E29" s="69" t="s">
        <v>9</v>
      </c>
      <c r="F29" s="69" t="s">
        <v>1</v>
      </c>
      <c r="G29" s="69" t="s">
        <v>52</v>
      </c>
    </row>
    <row r="30" spans="1:9">
      <c r="A30" s="64" t="s">
        <v>93</v>
      </c>
      <c r="B30" s="95">
        <v>3</v>
      </c>
      <c r="C30" s="68">
        <v>0.1125</v>
      </c>
      <c r="D30" s="68">
        <f>+SUM(C30:$C$30)</f>
        <v>0.1125</v>
      </c>
      <c r="E30" s="68">
        <f>+E7</f>
        <v>8</v>
      </c>
      <c r="F30" s="68">
        <f>+C30*E30</f>
        <v>0.9</v>
      </c>
      <c r="G30" s="58">
        <v>0</v>
      </c>
      <c r="H30" s="64" t="s">
        <v>91</v>
      </c>
    </row>
    <row r="31" spans="1:9">
      <c r="A31" s="64" t="s">
        <v>94</v>
      </c>
      <c r="B31" s="71" t="s">
        <v>6</v>
      </c>
      <c r="C31" s="71">
        <f>+SUM(C30:C30)</f>
        <v>0.1125</v>
      </c>
      <c r="D31" s="71"/>
      <c r="E31" s="71"/>
      <c r="F31" s="76">
        <f>+SUM(F30:F30)</f>
        <v>0.9</v>
      </c>
      <c r="G31" s="60"/>
    </row>
    <row r="32" spans="1:9">
      <c r="A32" s="64" t="s">
        <v>95</v>
      </c>
      <c r="G32" s="56"/>
    </row>
    <row r="33" spans="1:8">
      <c r="G33" s="56"/>
    </row>
    <row r="34" spans="1:8">
      <c r="A34" s="67" t="s">
        <v>17</v>
      </c>
      <c r="B34" s="69" t="s">
        <v>85</v>
      </c>
      <c r="C34" s="69" t="s">
        <v>11</v>
      </c>
      <c r="D34" s="69" t="s">
        <v>20</v>
      </c>
      <c r="E34" s="69" t="s">
        <v>9</v>
      </c>
      <c r="F34" s="69" t="s">
        <v>1</v>
      </c>
      <c r="G34" s="69" t="s">
        <v>52</v>
      </c>
    </row>
    <row r="35" spans="1:8">
      <c r="A35" s="64" t="s">
        <v>93</v>
      </c>
      <c r="B35" s="95">
        <v>1</v>
      </c>
      <c r="C35" s="68">
        <v>0.1</v>
      </c>
      <c r="D35" s="68">
        <f>+SUM(C35:$C$35)</f>
        <v>0.1</v>
      </c>
      <c r="E35" s="68">
        <f>+E5</f>
        <v>2</v>
      </c>
      <c r="F35" s="68">
        <f>+C35*E35</f>
        <v>0.2</v>
      </c>
      <c r="G35" s="58"/>
    </row>
    <row r="36" spans="1:8">
      <c r="A36" s="64" t="s">
        <v>96</v>
      </c>
      <c r="B36" s="95">
        <v>2</v>
      </c>
      <c r="C36" s="68">
        <v>7.0000000000000007E-2</v>
      </c>
      <c r="D36" s="68">
        <f>+SUM(C$35:$C36)</f>
        <v>0.17</v>
      </c>
      <c r="E36" s="68">
        <f>+E6</f>
        <v>5</v>
      </c>
      <c r="F36" s="68">
        <f t="shared" ref="F36:F37" si="3">+C36*E36</f>
        <v>0.35000000000000003</v>
      </c>
      <c r="G36" s="58"/>
    </row>
    <row r="37" spans="1:8">
      <c r="B37" s="95" t="s">
        <v>86</v>
      </c>
      <c r="C37" s="68">
        <v>0.05</v>
      </c>
      <c r="D37" s="68">
        <f>+SUM(C$35:$C37)</f>
        <v>0.22000000000000003</v>
      </c>
      <c r="E37" s="68">
        <f>+E35+E36</f>
        <v>7</v>
      </c>
      <c r="F37" s="68">
        <f t="shared" si="3"/>
        <v>0.35000000000000003</v>
      </c>
      <c r="G37" s="58">
        <v>0</v>
      </c>
      <c r="H37" s="64" t="s">
        <v>91</v>
      </c>
    </row>
    <row r="38" spans="1:8">
      <c r="A38" s="73"/>
      <c r="B38" s="71" t="s">
        <v>6</v>
      </c>
      <c r="C38" s="71">
        <f>+SUM(C35:C37)</f>
        <v>0.22000000000000003</v>
      </c>
      <c r="D38" s="71"/>
      <c r="E38" s="71"/>
      <c r="F38" s="76">
        <f>+SUM(F35:F37)</f>
        <v>0.90000000000000013</v>
      </c>
      <c r="G38" s="60"/>
    </row>
    <row r="39" spans="1:8">
      <c r="A39" s="73"/>
      <c r="G39" s="56"/>
    </row>
    <row r="40" spans="1:8">
      <c r="G40" s="56"/>
    </row>
    <row r="41" spans="1:8">
      <c r="A41" s="67" t="s">
        <v>18</v>
      </c>
      <c r="B41" s="69" t="s">
        <v>85</v>
      </c>
      <c r="C41" s="69" t="s">
        <v>11</v>
      </c>
      <c r="D41" s="69" t="s">
        <v>20</v>
      </c>
      <c r="E41" s="69" t="s">
        <v>9</v>
      </c>
      <c r="F41" s="69" t="s">
        <v>1</v>
      </c>
      <c r="G41" s="69" t="s">
        <v>52</v>
      </c>
    </row>
    <row r="42" spans="1:8">
      <c r="A42" s="64" t="s">
        <v>93</v>
      </c>
      <c r="B42" s="95">
        <v>1</v>
      </c>
      <c r="C42" s="68">
        <v>0.45</v>
      </c>
      <c r="D42" s="68">
        <f>+SUM(C42:$C$42)</f>
        <v>0.45</v>
      </c>
      <c r="E42" s="68">
        <f>+E5</f>
        <v>2</v>
      </c>
      <c r="F42" s="68">
        <f>+E42*C42</f>
        <v>0.9</v>
      </c>
      <c r="G42" s="58">
        <v>0</v>
      </c>
      <c r="H42" s="64" t="s">
        <v>91</v>
      </c>
    </row>
    <row r="43" spans="1:8">
      <c r="A43" s="64" t="s">
        <v>95</v>
      </c>
      <c r="B43" s="71" t="s">
        <v>6</v>
      </c>
      <c r="C43" s="71">
        <f>+SUM(C42:C42)</f>
        <v>0.45</v>
      </c>
      <c r="D43" s="71"/>
      <c r="E43" s="71"/>
      <c r="F43" s="76">
        <f>+SUM(F42:F42)</f>
        <v>0.9</v>
      </c>
      <c r="G43" s="60"/>
    </row>
    <row r="44" spans="1:8">
      <c r="A44" s="64" t="s">
        <v>96</v>
      </c>
      <c r="G44" s="56"/>
    </row>
    <row r="45" spans="1:8">
      <c r="G45" s="56"/>
    </row>
    <row r="46" spans="1:8">
      <c r="A46" s="67" t="s">
        <v>19</v>
      </c>
      <c r="B46" s="69" t="s">
        <v>85</v>
      </c>
      <c r="C46" s="69" t="s">
        <v>11</v>
      </c>
      <c r="D46" s="69" t="s">
        <v>20</v>
      </c>
      <c r="E46" s="69" t="s">
        <v>9</v>
      </c>
      <c r="F46" s="69" t="s">
        <v>1</v>
      </c>
      <c r="G46" s="69" t="s">
        <v>52</v>
      </c>
    </row>
    <row r="47" spans="1:8">
      <c r="A47" s="64" t="s">
        <v>93</v>
      </c>
      <c r="B47" s="95">
        <v>2</v>
      </c>
      <c r="C47" s="68">
        <v>0.18</v>
      </c>
      <c r="D47" s="68">
        <f>+SUM(C$47:$C47)</f>
        <v>0.18</v>
      </c>
      <c r="E47" s="68">
        <f>+E6</f>
        <v>5</v>
      </c>
      <c r="F47" s="68">
        <f>+E47*C47</f>
        <v>0.89999999999999991</v>
      </c>
      <c r="G47" s="58">
        <v>0</v>
      </c>
      <c r="H47" s="64" t="s">
        <v>91</v>
      </c>
    </row>
    <row r="48" spans="1:8">
      <c r="A48" s="64" t="s">
        <v>94</v>
      </c>
      <c r="B48" s="71" t="s">
        <v>6</v>
      </c>
      <c r="C48" s="71">
        <f>+SUM(C47:C47)</f>
        <v>0.18</v>
      </c>
      <c r="D48" s="71"/>
      <c r="E48" s="71"/>
      <c r="F48" s="76">
        <f>+SUM(F47:F47)</f>
        <v>0.89999999999999991</v>
      </c>
      <c r="G48" s="60"/>
    </row>
    <row r="49" spans="1:7">
      <c r="A49" s="64" t="s">
        <v>96</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sheetPr codeName="Hoja5"/>
  <dimension ref="A1:F70"/>
  <sheetViews>
    <sheetView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03" t="s">
        <v>23</v>
      </c>
      <c r="B1" s="103"/>
      <c r="C1" s="103"/>
      <c r="D1" s="103"/>
      <c r="E1" s="103"/>
    </row>
    <row r="2" spans="1:5">
      <c r="A2" s="18" t="s">
        <v>22</v>
      </c>
    </row>
    <row r="3" spans="1:5" s="18" customFormat="1">
      <c r="A3" s="64" t="s">
        <v>70</v>
      </c>
    </row>
    <row r="4" spans="1:5" s="18" customFormat="1">
      <c r="A4" s="18" t="s">
        <v>25</v>
      </c>
    </row>
    <row r="5" spans="1:5" s="18" customFormat="1">
      <c r="A5" s="18" t="s">
        <v>26</v>
      </c>
    </row>
    <row r="6" spans="1:5" s="18" customFormat="1">
      <c r="A6" s="30" t="s">
        <v>49</v>
      </c>
    </row>
    <row r="7" spans="1:5" s="18" customFormat="1">
      <c r="A7" s="64"/>
    </row>
    <row r="8" spans="1:5" s="18" customFormat="1" ht="18">
      <c r="A8" s="104" t="s">
        <v>21</v>
      </c>
      <c r="B8" s="104"/>
      <c r="C8" s="104"/>
      <c r="D8" s="104"/>
      <c r="E8" s="104"/>
    </row>
    <row r="9" spans="1:5" s="18" customFormat="1"/>
    <row r="10" spans="1:5">
      <c r="A10" s="19" t="s">
        <v>10</v>
      </c>
      <c r="B10" s="22" t="s">
        <v>21</v>
      </c>
      <c r="C10" s="22" t="s">
        <v>11</v>
      </c>
      <c r="D10" s="22" t="s">
        <v>20</v>
      </c>
      <c r="E10" s="22" t="s">
        <v>1</v>
      </c>
    </row>
    <row r="11" spans="1:5">
      <c r="A11" s="18"/>
      <c r="B11" s="92">
        <v>1</v>
      </c>
      <c r="C11" s="20">
        <v>0.5</v>
      </c>
      <c r="D11" s="20">
        <f>+SUM(C11:$C$11)</f>
        <v>0.5</v>
      </c>
      <c r="E11" s="20">
        <v>0.5</v>
      </c>
    </row>
    <row r="12" spans="1:5">
      <c r="A12" s="18"/>
      <c r="B12" s="92">
        <v>2</v>
      </c>
      <c r="C12" s="20">
        <v>0.2</v>
      </c>
      <c r="D12" s="20">
        <f>+SUM(C$11:$C12)</f>
        <v>0.7</v>
      </c>
      <c r="E12" s="20">
        <v>0.4</v>
      </c>
    </row>
    <row r="13" spans="1:5">
      <c r="A13" s="18"/>
      <c r="B13" s="92">
        <v>3</v>
      </c>
      <c r="C13" s="20">
        <v>0.01</v>
      </c>
      <c r="D13" s="20">
        <f>+SUM(C$11:$C13)</f>
        <v>0.71</v>
      </c>
      <c r="E13" s="20">
        <v>0.03</v>
      </c>
    </row>
    <row r="14" spans="1:5">
      <c r="A14" s="18"/>
      <c r="B14" s="92">
        <v>4</v>
      </c>
      <c r="C14" s="20">
        <v>5.0000000000000001E-3</v>
      </c>
      <c r="D14" s="20">
        <f>+SUM(C$11:$C14)</f>
        <v>0.71499999999999997</v>
      </c>
      <c r="E14" s="20">
        <v>0.02</v>
      </c>
    </row>
    <row r="15" spans="1:5">
      <c r="A15" s="18"/>
      <c r="B15" s="21" t="s">
        <v>12</v>
      </c>
      <c r="C15" s="21">
        <v>0.71499999999999997</v>
      </c>
      <c r="D15" s="21"/>
      <c r="E15" s="23">
        <v>0.95000000000000007</v>
      </c>
    </row>
    <row r="16" spans="1:5">
      <c r="A16" s="18"/>
      <c r="B16" s="24" t="s">
        <v>13</v>
      </c>
      <c r="C16" s="18"/>
      <c r="D16" s="18"/>
    </row>
    <row r="19" spans="1:5" ht="18">
      <c r="A19" s="104" t="s">
        <v>27</v>
      </c>
      <c r="B19" s="104"/>
      <c r="C19" s="104"/>
      <c r="D19" s="104"/>
      <c r="E19" s="104"/>
    </row>
    <row r="20" spans="1:5" ht="15" thickBot="1"/>
    <row r="21" spans="1:5" ht="15" thickBot="1">
      <c r="A21" s="25" t="s">
        <v>24</v>
      </c>
      <c r="B21" s="26">
        <f>+Summary!E7</f>
        <v>50</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0">+B30*C30</f>
        <v>0.14000000000000001</v>
      </c>
    </row>
    <row r="31" spans="1:5">
      <c r="B31" s="31">
        <v>3</v>
      </c>
      <c r="C31" s="31">
        <v>0.05</v>
      </c>
      <c r="D31" s="31">
        <f t="shared" si="0"/>
        <v>0.15000000000000002</v>
      </c>
    </row>
    <row r="32" spans="1:5">
      <c r="B32" s="31">
        <v>4</v>
      </c>
      <c r="C32" s="31">
        <v>0.02</v>
      </c>
      <c r="D32" s="31">
        <f t="shared" si="0"/>
        <v>0.08</v>
      </c>
    </row>
    <row r="33" spans="1:5">
      <c r="B33" s="31">
        <v>5</v>
      </c>
      <c r="C33" s="31">
        <v>0.01</v>
      </c>
      <c r="D33" s="31">
        <f t="shared" si="0"/>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1">25/75</f>
        <v>0.33333333333333331</v>
      </c>
      <c r="E52" s="31">
        <f t="shared" ref="E52:E55" si="2">+C52*D52</f>
        <v>2.3333333333333334E-2</v>
      </c>
      <c r="F52" s="31">
        <f t="shared" ref="F52:F55" si="3">+E52*B52</f>
        <v>4.6666666666666669E-2</v>
      </c>
    </row>
    <row r="53" spans="2:6">
      <c r="B53" s="31">
        <v>3</v>
      </c>
      <c r="C53" s="31">
        <v>0.05</v>
      </c>
      <c r="D53" s="31">
        <f t="shared" si="1"/>
        <v>0.33333333333333331</v>
      </c>
      <c r="E53" s="31">
        <f t="shared" si="2"/>
        <v>1.6666666666666666E-2</v>
      </c>
      <c r="F53" s="31">
        <f t="shared" si="3"/>
        <v>0.05</v>
      </c>
    </row>
    <row r="54" spans="2:6">
      <c r="B54" s="31">
        <v>4</v>
      </c>
      <c r="C54" s="31">
        <v>0.02</v>
      </c>
      <c r="D54" s="31">
        <f t="shared" si="1"/>
        <v>0.33333333333333331</v>
      </c>
      <c r="E54" s="31">
        <f t="shared" si="2"/>
        <v>6.6666666666666662E-3</v>
      </c>
      <c r="F54" s="31">
        <f t="shared" si="3"/>
        <v>2.6666666666666665E-2</v>
      </c>
    </row>
    <row r="55" spans="2:6">
      <c r="B55" s="31">
        <v>5</v>
      </c>
      <c r="C55" s="31">
        <v>0.01</v>
      </c>
      <c r="D55" s="31">
        <f t="shared" si="1"/>
        <v>0.33333333333333331</v>
      </c>
      <c r="E55" s="31">
        <f t="shared" si="2"/>
        <v>3.3333333333333331E-3</v>
      </c>
      <c r="F55" s="31">
        <f t="shared" si="3"/>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4">50/75</f>
        <v>0.66666666666666663</v>
      </c>
      <c r="E61" s="31">
        <f t="shared" ref="E61:E64" si="5">+C61*D61</f>
        <v>4.6666666666666669E-2</v>
      </c>
      <c r="F61" s="31">
        <f t="shared" ref="F61:F64" si="6">+E61*B61</f>
        <v>9.3333333333333338E-2</v>
      </c>
    </row>
    <row r="62" spans="2:6">
      <c r="B62" s="31">
        <v>3</v>
      </c>
      <c r="C62" s="31">
        <v>0.05</v>
      </c>
      <c r="D62" s="31">
        <f t="shared" si="4"/>
        <v>0.66666666666666663</v>
      </c>
      <c r="E62" s="31">
        <f t="shared" si="5"/>
        <v>3.3333333333333333E-2</v>
      </c>
      <c r="F62" s="31">
        <f t="shared" si="6"/>
        <v>0.1</v>
      </c>
    </row>
    <row r="63" spans="2:6">
      <c r="B63" s="31">
        <v>4</v>
      </c>
      <c r="C63" s="31">
        <v>0.02</v>
      </c>
      <c r="D63" s="31">
        <f t="shared" si="4"/>
        <v>0.66666666666666663</v>
      </c>
      <c r="E63" s="31">
        <f t="shared" si="5"/>
        <v>1.3333333333333332E-2</v>
      </c>
      <c r="F63" s="31">
        <f t="shared" si="6"/>
        <v>5.333333333333333E-2</v>
      </c>
    </row>
    <row r="64" spans="2:6">
      <c r="B64" s="31">
        <v>5</v>
      </c>
      <c r="C64" s="31">
        <v>0.01</v>
      </c>
      <c r="D64" s="31">
        <f t="shared" si="4"/>
        <v>0.66666666666666663</v>
      </c>
      <c r="E64" s="31">
        <f t="shared" si="5"/>
        <v>6.6666666666666662E-3</v>
      </c>
      <c r="F64" s="31">
        <f t="shared" si="6"/>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Summary</vt:lpstr>
      <vt:lpstr>Special weapon</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Boss round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2018-04-16T04:03:45Z</dcterms:modified>
</cp:coreProperties>
</file>