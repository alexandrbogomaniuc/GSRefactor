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Info and Rules" sheetId="1" state="visible" r:id="rId2"/>
    <sheet name="Model Stat" sheetId="2" state="visible" r:id="rId3"/>
    <sheet name="BSG Game Info" sheetId="3" state="visible" r:id="rId4"/>
    <sheet name="Game Stat ( Internal Testing )" sheetId="4" state="visible" r:id="rId5"/>
    <sheet name="Game Stat ( Bot Testing )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<sst xmlns="http://schemas.openxmlformats.org/spreadsheetml/2006/main" count="92" uniqueCount="83">
  <si>
    <t xml:space="preserve">Информация о игре от математика.  Правила игры, описание бонусов.</t>
  </si>
  <si>
    <t xml:space="preserve">Total game RTP is 97%.</t>
  </si>
  <si>
    <t xml:space="preserve">Volatility - Medium</t>
  </si>
  <si>
    <t xml:space="preserve">Dropped Weapons RTP - 12% (from math.)</t>
  </si>
  <si>
    <t xml:space="preserve">Quests RTP - 15% (from math.)</t>
  </si>
  <si>
    <t xml:space="preserve">Free Shots Trigger Chance - 1 in 495 shots</t>
  </si>
  <si>
    <t xml:space="preserve">Maximum Exposure - 150 x Total Bet</t>
  </si>
  <si>
    <t xml:space="preserve">Статистика по игре от математика.   Возвратность игры и бонусов, частота выпадения бонусов.</t>
  </si>
  <si>
    <t xml:space="preserve">RTP by model</t>
  </si>
  <si>
    <t xml:space="preserve">97.0</t>
  </si>
  <si>
    <t xml:space="preserve">Важная информация для функционирования игры.  Должна хранится в темплейте игры (BaseGameInfoTemplate Params) и быть корректно отсетаплена</t>
  </si>
  <si>
    <t xml:space="preserve">RTP=95.21 — значение взято с нашего локального теста, более точного чем в модели</t>
  </si>
  <si>
    <t xml:space="preserve">BaseGameInfoTemplate Params</t>
  </si>
  <si>
    <t xml:space="preserve">Value</t>
  </si>
  <si>
    <t xml:space="preserve">Comments</t>
  </si>
  <si>
    <t xml:space="preserve">Versions</t>
  </si>
  <si>
    <t xml:space="preserve">Game Title</t>
  </si>
  <si>
    <t xml:space="preserve">GameName</t>
  </si>
  <si>
    <t xml:space="preserve">GameId</t>
  </si>
  <si>
    <t xml:space="preserve">Common parameters</t>
  </si>
  <si>
    <t xml:space="preserve">Base 
(SB/GP3)</t>
  </si>
  <si>
    <t xml:space="preserve">Max Quest: Dead Man's Cove</t>
  </si>
  <si>
    <t xml:space="preserve">PIRATES</t>
  </si>
  <si>
    <t xml:space="preserve">RTP</t>
  </si>
  <si>
    <t xml:space="preserve">97</t>
  </si>
  <si>
    <t xml:space="preserve">RTP по модели игры, формат 97.0</t>
  </si>
  <si>
    <t xml:space="preserve">Clone</t>
  </si>
  <si>
    <t xml:space="preserve">MAX_WIN</t>
  </si>
  <si>
    <t xml:space="preserve">Максимально возможный выигрыш в игре, с учетом почти 
невозможных ситуаций  (N фриспинов с максимальной выплатой в одном)</t>
  </si>
  <si>
    <t xml:space="preserve">CDN_SUPPORT</t>
  </si>
  <si>
    <t xml:space="preserve">TRUE</t>
  </si>
  <si>
    <t xml:space="preserve">Для новых игр для всех TRUE</t>
  </si>
  <si>
    <t xml:space="preserve">LGA_APPROVED</t>
  </si>
  <si>
    <t xml:space="preserve">ISENABLED</t>
  </si>
  <si>
    <t xml:space="preserve">(для фейковых gameId всегда должен быть FALSE)</t>
  </si>
  <si>
    <t xml:space="preserve">HTML5PC_VERSION_MODE</t>
  </si>
  <si>
    <t xml:space="preserve">ONLY</t>
  </si>
  <si>
    <t xml:space="preserve">Клиент используемый для PC версии</t>
  </si>
  <si>
    <t xml:space="preserve">swfLocation</t>
  </si>
  <si>
    <t xml:space="preserve">/html5pc/actiongames/pirates/</t>
  </si>
  <si>
    <r>
      <rPr>
        <sz val="10"/>
        <rFont val="Arial"/>
        <family val="2"/>
        <charset val="1"/>
      </rPr>
      <t xml:space="preserve">Информация о тестировании игры локальными тестами. Тестам должны подвергаться различные возможные комбинации… 
Если в игре у игрока есть  возможность выбора в каком-нибудь бонусе, такие бонусы должны тестироваться дополнительно с разными стратегиями выбора игрока.</t>
    </r>
    <r>
      <rPr>
        <sz val="10"/>
        <color rgb="FFCC3300"/>
        <rFont val="Arial"/>
        <family val="2"/>
        <charset val="1"/>
      </rPr>
      <t xml:space="preserve">Дополнительно, в сервлете обязательно делать проверки на различные хаки выбора игрока и неправильные параметры в запросе</t>
    </r>
    <r>
      <rPr>
        <sz val="10"/>
        <rFont val="Arial"/>
        <family val="2"/>
        <charset val="1"/>
      </rPr>
      <t xml:space="preserve">Конфигурации для тестирования с/без ACS должны быть одинаковые что бы можно было сравнить.
Количество ACS тестов должно быть как минимум в 4 раза больше. C ACS percent 100, =RTP, -10%, -20%.</t>
    </r>
  </si>
  <si>
    <t xml:space="preserve">Вычисляемые поля</t>
  </si>
  <si>
    <t xml:space="preserve">Константы и описание</t>
  </si>
  <si>
    <t xml:space="preserve">Заголовки</t>
  </si>
  <si>
    <t xml:space="preserve">Необходимо заполнить из тестов</t>
  </si>
  <si>
    <t xml:space="preserve">mode: allowBuyInSpecialWeapons: false
mode: probBuySpecialWeapon: 0.3
mode: boxId: 0
mode: allowSpecialWeaponsShoots: true
mode: shootFromSpecialWeaponsOnly: false
mode: needSaveToFile: true
mode: optimal needUseOptimalStrategy: false
mode: shot to all enemies
</t>
  </si>
  <si>
    <t xml:space="preserve">mode: allowBuyInSpecialWeapons: false
mode: probBuySpecialWeapon: 0.3
mode: boxId: 0
mode: allowSpecialWeaponsShoots: false
mode: shootFromSpecialWeaponsOnly: false
mode: needSaveToFile: true
mode: optimal needUseOptimalStrategy: false
mode: shot to all enemies
</t>
  </si>
  <si>
    <t xml:space="preserve">mode: allowBuyInSpecialWeapons: true
mode: probBuySpecialWeapon: 0.3
mode: boxId: 2
mode: allowSpecialWeaponsShoots: true
mode: shootFromSpecialWeaponsOnly: false
mode: needSaveToFile: true
mode: optimal needUseOptimalStrategy: false
mode: shot to all enemies
</t>
  </si>
  <si>
    <t xml:space="preserve">mode: allowBuyInSpecialWeapons: true
mode: probBuySpecialWeapon: 0.3
mode: boxId: 2
mode: allowSpecialWeaponsShoots: false
mode: shootFromSpecialWeaponsOnly: false
mode: needSaveToFile: true
mode: optimal needUseOptimalStrategy: false
mode: shot to all enemies
</t>
  </si>
  <si>
    <t xml:space="preserve">Plagued Rat</t>
  </si>
  <si>
    <t xml:space="preserve">Corrupted Rat</t>
  </si>
  <si>
    <t xml:space="preserve">Scuttling Swarmer</t>
  </si>
  <si>
    <t xml:space="preserve">Carrion Crab</t>
  </si>
  <si>
    <t xml:space="preserve">Sapphire Crab</t>
  </si>
  <si>
    <t xml:space="preserve">Emerald Crab</t>
  </si>
  <si>
    <t xml:space="preserve">Ruby Crab</t>
  </si>
  <si>
    <t xml:space="preserve">Mutated Gull</t>
  </si>
  <si>
    <t xml:space="preserve">Tainted Albatross</t>
  </si>
  <si>
    <t xml:space="preserve">Zombie Crewman</t>
  </si>
  <si>
    <t xml:space="preserve">Drowned Deckhand</t>
  </si>
  <si>
    <t xml:space="preserve">Decaying Pirate</t>
  </si>
  <si>
    <t xml:space="preserve">Undying Raider</t>
  </si>
  <si>
    <t xml:space="preserve">Risen Bosun</t>
  </si>
  <si>
    <t xml:space="preserve">Cursed First Mate</t>
  </si>
  <si>
    <t xml:space="preserve">Charging Corsair</t>
  </si>
  <si>
    <t xml:space="preserve">Crazed Looter</t>
  </si>
  <si>
    <t xml:space="preserve">Raging Marauder</t>
  </si>
  <si>
    <t xml:space="preserve">Berserk Abomination</t>
  </si>
  <si>
    <t xml:space="preserve">Doomed Cannoneer</t>
  </si>
  <si>
    <t xml:space="preserve">Boss</t>
  </si>
  <si>
    <t xml:space="preserve">mode: allowBuyInSpecialWeapons: false
mode: probBuySpecialWeapon: 0.3
mode: boxId: 0
mode: allowSpecialWeaponsShoots: false
mode: shootFromSpecialWeaponsOnly: false</t>
  </si>
  <si>
    <t xml:space="preserve">mode: allowBuyInSpecialWeapons: false
mode: probBuySpecialWeapon: 0.3
mode: boxId: 0
mode: allowSpecialWeaponsShoots: true
mode: shootFromSpecialWeaponsOnly: false
</t>
  </si>
  <si>
    <t xml:space="preserve">mode: allowBuyInSpecialWeapons: true
mode: probBuySpecialWeapon: 0.3
mode: boxId: 2
mode: allowSpecialWeaponsShoots: false
mode: shootFromSpecialWeaponsOnly: false
</t>
  </si>
  <si>
    <t xml:space="preserve">0.9700191428080734
</t>
  </si>
  <si>
    <t xml:space="preserve">mode: allowBuyInSpecialWeapons: true
mode: probBuySpecialWeapon: 0.3
mode: boxId: 2
mode: allowSpecialWeaponsShoots: true
mode: shootFromSpecialWeaponsOnly: false
</t>
  </si>
  <si>
    <t xml:space="preserve">Информация о тестировании игры бот тестами. Тестам должны подвергаться различные возможные комбинации. Минимальные ставки, максимальные, с даблапом и без.  
Каждая конфигурация должна быть описана в поле «Configuration of bets» как можно подробнее. 
Если в игре у игрока есть  возможность выбора в каком-нибудь бонусе, такие бонусы должны тестироваться дополнительно с разными стратегиями выбора игрока.</t>
  </si>
  <si>
    <t xml:space="preserve">Configuration of bets</t>
  </si>
  <si>
    <t xml:space="preserve">Bets</t>
  </si>
  <si>
    <t xml:space="preserve">Wins</t>
  </si>
  <si>
    <t xml:space="preserve">Shots</t>
  </si>
  <si>
    <t xml:space="preserve">number rooms</t>
  </si>
  <si>
    <t xml:space="preserve">50 bots, 2 bot per room, no buy special weapons</t>
  </si>
  <si>
    <t xml:space="preserve">50 bots, 2 bot per room, buy special weapons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</si>
</sst>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E+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0"/>
      <charset val="1"/>
    </font>
    <font>
      <b val="true"/>
      <sz val="12"/>
      <name val="Arial"/>
      <family val="2"/>
      <charset val="1"/>
    </font>
    <font>
      <sz val="10"/>
      <name val="Times New Roman"/>
      <family val="1"/>
      <charset val="1"/>
    </font>
    <font>
      <sz val="12"/>
      <name val="Liberation Serif;Times New Roman"/>
      <family val="1"/>
      <charset val="1"/>
    </font>
    <font>
      <sz val="10"/>
      <color rgb="FFCC33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6E6FF"/>
        <bgColor rgb="FFFFFFFF"/>
      </patternFill>
    </fill>
    <fill>
      <patternFill patternType="solid">
        <fgColor rgb="FFCCCCCC"/>
        <bgColor rgb="FFCCCCFF"/>
      </patternFill>
    </fill>
    <fill>
      <patternFill patternType="solid">
        <fgColor rgb="FFFFDBB6"/>
        <bgColor rgb="FFFFFFCC"/>
      </patternFill>
    </fill>
    <fill>
      <patternFill patternType="solid">
        <fgColor rgb="FF66CC99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6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66CC99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C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AK1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24" activeCellId="0" sqref="D24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2.1"/>
    <col collapsed="false" customWidth="true" hidden="false" outlineLevel="0" max="2" min="2" style="1" width="12.04"/>
    <col collapsed="false" customWidth="true" hidden="false" outlineLevel="0" max="3" min="3" style="1" width="12.57"/>
    <col collapsed="false" customWidth="true" hidden="false" outlineLevel="0" max="4" min="4" style="1" width="12.26"/>
    <col collapsed="false" customWidth="true" hidden="false" outlineLevel="0" max="5" min="5" style="1" width="15.93"/>
    <col collapsed="false" customWidth="true" hidden="false" outlineLevel="0" max="6" min="6" style="1" width="11.4"/>
    <col collapsed="false" customWidth="false" hidden="false" outlineLevel="0" max="7" min="7" style="1" width="8.67"/>
    <col collapsed="false" customWidth="true" hidden="false" outlineLevel="0" max="8" min="8" style="1" width="23.69"/>
    <col collapsed="false" customWidth="false" hidden="false" outlineLevel="0" max="1024" min="9" style="1" width="8.67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2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2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customFormat="false" ht="12.8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customFormat="false" ht="12.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3"/>
      <c r="H9" s="0"/>
      <c r="I9" s="0"/>
      <c r="J9" s="0"/>
      <c r="K9" s="0"/>
      <c r="L9" s="0"/>
      <c r="M9" s="0"/>
      <c r="N9" s="0"/>
      <c r="O9" s="0"/>
      <c r="P9" s="0"/>
    </row>
    <row r="10" customFormat="false" ht="17.35" hidden="false" customHeight="false" outlineLevel="0" collapsed="false">
      <c r="A10" s="0"/>
      <c r="B10" s="4" t="s">
        <v>1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</row>
    <row r="11" customFormat="false" ht="12.8" hidden="false" customHeight="false" outlineLevel="0" collapsed="false"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</row>
    <row r="13" customFormat="false" ht="12.8" hidden="false" customHeight="false" outlineLevel="0" collapsed="false">
      <c r="B13" s="1" t="s">
        <v>2</v>
      </c>
    </row>
    <row r="14" customFormat="false" ht="12.8" hidden="false" customHeight="false" outlineLevel="0" collapsed="false">
      <c r="B14" s="1" t="s">
        <v>3</v>
      </c>
    </row>
    <row r="15" customFormat="false" ht="12.8" hidden="false" customHeight="false" outlineLevel="0" collapsed="false">
      <c r="B15" s="1" t="s">
        <v>4</v>
      </c>
    </row>
    <row r="16" customFormat="false" ht="12.8" hidden="false" customHeight="false" outlineLevel="0" collapsed="false">
      <c r="B16" s="1" t="s">
        <v>5</v>
      </c>
    </row>
    <row r="17" customFormat="false" ht="12.8" hidden="false" customHeight="false" outlineLevel="0" collapsed="false">
      <c r="B17" s="1" t="s">
        <v>6</v>
      </c>
    </row>
  </sheetData>
  <mergeCells count="1">
    <mergeCell ref="A1:S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AA1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3" activeCellId="0" sqref="C13"/>
    </sheetView>
  </sheetViews>
  <sheetFormatPr defaultColWidth="11.08203125" defaultRowHeight="12.8" zeroHeight="false" outlineLevelRow="0" outlineLevelCol="0"/>
  <cols>
    <col collapsed="false" customWidth="true" hidden="false" outlineLevel="0" max="1" min="1" style="5" width="32.05"/>
    <col collapsed="false" customWidth="true" hidden="false" outlineLevel="0" max="2" min="2" style="5" width="16.87"/>
    <col collapsed="false" customWidth="true" hidden="false" outlineLevel="0" max="3" min="3" style="5" width="15.56"/>
    <col collapsed="false" customWidth="false" hidden="false" outlineLevel="0" max="5" min="4" style="5" width="11.07"/>
    <col collapsed="false" customWidth="true" hidden="false" outlineLevel="0" max="6" min="6" style="5" width="11.44"/>
    <col collapsed="false" customWidth="false" hidden="false" outlineLevel="0" max="1024" min="7" style="5" width="11.07"/>
  </cols>
  <sheetData>
    <row r="1" customFormat="false" ht="12.8" hidden="false" customHeight="false" outlineLevel="0" collapsed="false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1"/>
      <c r="V1" s="1"/>
      <c r="W1" s="1"/>
      <c r="X1" s="1"/>
      <c r="Y1" s="1"/>
      <c r="Z1" s="1"/>
      <c r="AA1" s="1"/>
    </row>
    <row r="2" customFormat="false" ht="12.8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1"/>
      <c r="V2" s="1"/>
      <c r="W2" s="1"/>
      <c r="X2" s="1"/>
      <c r="Y2" s="1"/>
      <c r="Z2" s="1"/>
      <c r="AA2" s="1"/>
    </row>
    <row r="3" customFormat="false" ht="12.8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1"/>
      <c r="V3" s="1"/>
      <c r="W3" s="1"/>
      <c r="X3" s="1"/>
      <c r="Y3" s="1"/>
      <c r="Z3" s="1"/>
      <c r="AA3" s="1"/>
    </row>
    <row r="4" customFormat="false" ht="12.8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"/>
      <c r="V4" s="1"/>
      <c r="W4" s="1"/>
      <c r="X4" s="1"/>
      <c r="Y4" s="1"/>
      <c r="Z4" s="1"/>
      <c r="AA4" s="1"/>
    </row>
    <row r="5" customFormat="false" ht="12.8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"/>
      <c r="V5" s="1"/>
      <c r="W5" s="1"/>
      <c r="X5" s="1"/>
      <c r="Y5" s="1"/>
      <c r="Z5" s="1"/>
      <c r="AA5" s="1"/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"/>
      <c r="V6" s="1"/>
      <c r="W6" s="1"/>
      <c r="X6" s="1"/>
      <c r="Y6" s="1"/>
      <c r="Z6" s="1"/>
      <c r="AA6" s="1"/>
    </row>
    <row r="7" customFormat="false" ht="12.8" hidden="tru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"/>
      <c r="V7" s="1"/>
      <c r="W7" s="1"/>
      <c r="X7" s="1"/>
      <c r="Y7" s="1"/>
      <c r="Z7" s="1"/>
      <c r="AA7" s="1"/>
    </row>
    <row r="8" customFormat="false" ht="12.8" hidden="tru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1"/>
      <c r="V8" s="1"/>
      <c r="W8" s="1"/>
      <c r="X8" s="1"/>
      <c r="Y8" s="1"/>
      <c r="Z8" s="1"/>
      <c r="AA8" s="1"/>
    </row>
    <row r="9" customFormat="false" ht="12.8" hidden="tru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1"/>
      <c r="V9" s="1"/>
      <c r="W9" s="1"/>
      <c r="X9" s="1"/>
      <c r="Y9" s="1"/>
      <c r="Z9" s="1"/>
      <c r="AA9" s="1"/>
    </row>
    <row r="10" customFormat="false" ht="12.8" hidden="false" customHeight="false" outlineLevel="0" collapsed="false">
      <c r="A10" s="7"/>
      <c r="B10" s="0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U10" s="1"/>
      <c r="V10" s="1"/>
      <c r="W10" s="1"/>
      <c r="X10" s="1"/>
      <c r="Y10" s="1"/>
      <c r="Z10" s="1"/>
      <c r="AA10" s="1"/>
    </row>
    <row r="11" customFormat="false" ht="12.8" hidden="false" customHeight="false" outlineLevel="0" collapsed="false">
      <c r="A11" s="1"/>
      <c r="B11" s="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U11" s="1"/>
      <c r="V11" s="1"/>
      <c r="W11" s="1"/>
      <c r="X11" s="1"/>
      <c r="Y11" s="1"/>
      <c r="Z11" s="1"/>
      <c r="AA11" s="1"/>
    </row>
    <row r="12" customFormat="false" ht="15" hidden="false" customHeight="false" outlineLevel="0" collapsed="false">
      <c r="A12" s="1"/>
      <c r="B12" s="8" t="s">
        <v>8</v>
      </c>
      <c r="C12" s="9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U12" s="1"/>
      <c r="V12" s="1"/>
      <c r="W12" s="1"/>
      <c r="X12" s="1"/>
      <c r="Y12" s="1"/>
      <c r="Z12" s="1"/>
      <c r="AA12" s="1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U13" s="1"/>
      <c r="V13" s="1"/>
      <c r="W13" s="1"/>
      <c r="X13" s="1"/>
      <c r="Y13" s="1"/>
      <c r="Z13" s="1"/>
      <c r="AA13" s="1"/>
    </row>
    <row r="14" customFormat="false" ht="12.8" hidden="false" customHeight="false" outlineLevel="0" collapsed="false">
      <c r="A14" s="3"/>
      <c r="B14" s="3"/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U14" s="1"/>
      <c r="V14" s="1"/>
      <c r="W14" s="1"/>
      <c r="X14" s="1"/>
      <c r="Y14" s="1"/>
      <c r="Z14" s="1"/>
      <c r="AA14" s="1"/>
    </row>
    <row r="17" customFormat="false" ht="13.15" hidden="false" customHeight="true" outlineLevel="0" collapsed="false"/>
  </sheetData>
  <mergeCells count="2">
    <mergeCell ref="A1:T9"/>
    <mergeCell ref="A14:D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26" activeCellId="0" sqref="J26"/>
    </sheetView>
  </sheetViews>
  <sheetFormatPr defaultColWidth="11.08203125" defaultRowHeight="12.8" zeroHeight="false" outlineLevelRow="0" outlineLevelCol="0"/>
  <cols>
    <col collapsed="false" customWidth="true" hidden="false" outlineLevel="0" max="1" min="1" style="7" width="3.33"/>
    <col collapsed="false" customWidth="true" hidden="false" outlineLevel="0" max="2" min="2" style="7" width="13.36"/>
    <col collapsed="false" customWidth="true" hidden="false" outlineLevel="0" max="3" min="3" style="7" width="32.09"/>
    <col collapsed="false" customWidth="true" hidden="false" outlineLevel="0" max="4" min="4" style="7" width="31.54"/>
    <col collapsed="false" customWidth="true" hidden="false" outlineLevel="0" max="5" min="5" style="7" width="8.89"/>
    <col collapsed="false" customWidth="true" hidden="false" outlineLevel="0" max="6" min="6" style="7" width="6.39"/>
    <col collapsed="false" customWidth="true" hidden="false" outlineLevel="0" max="7" min="7" style="7" width="29.39"/>
    <col collapsed="false" customWidth="true" hidden="false" outlineLevel="0" max="8" min="8" style="7" width="20.3"/>
    <col collapsed="false" customWidth="true" hidden="false" outlineLevel="0" max="9" min="9" style="7" width="25.84"/>
    <col collapsed="false" customWidth="true" hidden="false" outlineLevel="0" max="10" min="10" style="7" width="80.86"/>
    <col collapsed="false" customWidth="false" hidden="false" outlineLevel="0" max="1024" min="11" style="7" width="11.07"/>
  </cols>
  <sheetData>
    <row r="1" customFormat="false" ht="12.8" hidden="false" customHeight="false" outlineLevel="0" collapsed="false">
      <c r="A1" s="6" t="s">
        <v>10</v>
      </c>
      <c r="B1" s="6"/>
      <c r="C1" s="6"/>
      <c r="D1" s="6"/>
      <c r="E1" s="6"/>
      <c r="F1" s="6"/>
      <c r="G1" s="6"/>
      <c r="H1" s="6"/>
      <c r="I1" s="6"/>
      <c r="J1" s="10"/>
    </row>
    <row r="2" customFormat="false" ht="12.8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6"/>
      <c r="J2" s="10"/>
    </row>
    <row r="3" customFormat="false" ht="12.8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10"/>
    </row>
    <row r="4" customFormat="false" ht="12.8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10"/>
    </row>
    <row r="5" customFormat="false" ht="12.8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10"/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10"/>
    </row>
    <row r="7" customFormat="false" ht="12.8" hidden="false" customHeight="false" outlineLevel="0" collapsed="false">
      <c r="A7" s="10"/>
      <c r="B7" s="10"/>
      <c r="C7" s="10"/>
      <c r="D7" s="10"/>
      <c r="E7" s="10"/>
      <c r="G7" s="10"/>
      <c r="H7" s="10"/>
      <c r="I7" s="10"/>
      <c r="J7" s="10"/>
    </row>
    <row r="8" customFormat="false" ht="12.8" hidden="false" customHeight="false" outlineLevel="0" collapsed="false">
      <c r="A8" s="10"/>
      <c r="B8" s="10"/>
      <c r="C8" s="10"/>
      <c r="D8" s="10"/>
      <c r="E8" s="10"/>
      <c r="G8" s="10"/>
      <c r="H8" s="10"/>
      <c r="I8" s="10"/>
      <c r="J8" s="10" t="s">
        <v>11</v>
      </c>
    </row>
    <row r="9" customFormat="false" ht="12.8" hidden="false" customHeight="false" outlineLevel="0" collapsed="false">
      <c r="A9" s="10"/>
      <c r="B9" s="10"/>
      <c r="C9" s="10"/>
      <c r="D9" s="10"/>
      <c r="E9" s="10"/>
      <c r="G9" s="11" t="s">
        <v>12</v>
      </c>
      <c r="H9" s="11" t="s">
        <v>13</v>
      </c>
      <c r="I9" s="11"/>
      <c r="J9" s="11" t="s">
        <v>14</v>
      </c>
    </row>
    <row r="10" customFormat="false" ht="12.8" hidden="false" customHeight="false" outlineLevel="0" collapsed="false">
      <c r="A10" s="10"/>
      <c r="B10" s="11" t="s">
        <v>15</v>
      </c>
      <c r="C10" s="11" t="s">
        <v>16</v>
      </c>
      <c r="D10" s="11" t="s">
        <v>17</v>
      </c>
      <c r="E10" s="11" t="s">
        <v>18</v>
      </c>
      <c r="G10" s="11" t="s">
        <v>19</v>
      </c>
      <c r="H10" s="11"/>
      <c r="I10" s="11"/>
      <c r="J10" s="11"/>
    </row>
    <row r="11" customFormat="false" ht="36.15" hidden="false" customHeight="true" outlineLevel="0" collapsed="false">
      <c r="A11" s="10"/>
      <c r="B11" s="12" t="s">
        <v>20</v>
      </c>
      <c r="C11" s="12" t="s">
        <v>21</v>
      </c>
      <c r="D11" s="12" t="s">
        <v>22</v>
      </c>
      <c r="E11" s="6" t="n">
        <v>808</v>
      </c>
      <c r="G11" s="13" t="s">
        <v>23</v>
      </c>
      <c r="H11" s="6" t="s">
        <v>24</v>
      </c>
      <c r="I11" s="6"/>
      <c r="J11" s="6" t="s">
        <v>25</v>
      </c>
    </row>
    <row r="12" customFormat="false" ht="24.55" hidden="false" customHeight="false" outlineLevel="0" collapsed="false">
      <c r="A12" s="10"/>
      <c r="B12" s="6" t="s">
        <v>26</v>
      </c>
      <c r="C12" s="14"/>
      <c r="D12" s="14"/>
      <c r="E12" s="14"/>
      <c r="G12" s="15" t="s">
        <v>27</v>
      </c>
      <c r="H12" s="16" t="n">
        <v>150</v>
      </c>
      <c r="I12" s="16"/>
      <c r="J12" s="17" t="s">
        <v>28</v>
      </c>
    </row>
    <row r="13" customFormat="false" ht="20.95" hidden="false" customHeight="true" outlineLevel="0" collapsed="false">
      <c r="A13" s="10"/>
      <c r="B13" s="6"/>
      <c r="C13" s="6"/>
      <c r="D13" s="6"/>
      <c r="E13" s="6"/>
      <c r="G13" s="6" t="s">
        <v>29</v>
      </c>
      <c r="H13" s="6" t="s">
        <v>30</v>
      </c>
      <c r="I13" s="6"/>
      <c r="J13" s="6" t="s">
        <v>31</v>
      </c>
    </row>
    <row r="14" customFormat="false" ht="22.45" hidden="false" customHeight="true" outlineLevel="0" collapsed="false">
      <c r="A14" s="10"/>
      <c r="B14" s="6"/>
      <c r="C14" s="6"/>
      <c r="D14" s="6"/>
      <c r="E14" s="6"/>
      <c r="G14" s="6" t="s">
        <v>32</v>
      </c>
      <c r="H14" s="6" t="s">
        <v>30</v>
      </c>
      <c r="I14" s="6"/>
      <c r="J14" s="6" t="s">
        <v>31</v>
      </c>
    </row>
    <row r="15" customFormat="false" ht="23.55" hidden="false" customHeight="true" outlineLevel="0" collapsed="false">
      <c r="A15" s="10"/>
      <c r="B15" s="10"/>
      <c r="C15" s="10"/>
      <c r="D15" s="10"/>
      <c r="E15" s="10"/>
      <c r="G15" s="6" t="s">
        <v>33</v>
      </c>
      <c r="H15" s="6" t="s">
        <v>30</v>
      </c>
      <c r="I15" s="6"/>
      <c r="J15" s="6" t="s">
        <v>34</v>
      </c>
    </row>
    <row r="16" customFormat="false" ht="17.95" hidden="false" customHeight="true" outlineLevel="0" collapsed="false">
      <c r="A16" s="10"/>
      <c r="B16" s="10"/>
      <c r="C16" s="10"/>
      <c r="D16" s="10"/>
      <c r="E16" s="10"/>
      <c r="G16" s="6" t="s">
        <v>35</v>
      </c>
      <c r="H16" s="6" t="s">
        <v>36</v>
      </c>
      <c r="I16" s="6"/>
      <c r="J16" s="6" t="s">
        <v>37</v>
      </c>
    </row>
    <row r="17" customFormat="false" ht="13.4" hidden="false" customHeight="true" outlineLevel="0" collapsed="false">
      <c r="G17" s="18" t="s">
        <v>38</v>
      </c>
      <c r="H17" s="19" t="s">
        <v>39</v>
      </c>
      <c r="I17" s="19"/>
      <c r="J17" s="18"/>
    </row>
  </sheetData>
  <mergeCells count="11">
    <mergeCell ref="A1:I6"/>
    <mergeCell ref="H9:I9"/>
    <mergeCell ref="G10:J10"/>
    <mergeCell ref="H11:I11"/>
    <mergeCell ref="B12:B14"/>
    <mergeCell ref="H12:I12"/>
    <mergeCell ref="H13:I13"/>
    <mergeCell ref="H14:I14"/>
    <mergeCell ref="H15:I15"/>
    <mergeCell ref="H16:I16"/>
    <mergeCell ref="H17:I1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W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15" activeCellId="0" sqref="E15"/>
    </sheetView>
  </sheetViews>
  <sheetFormatPr defaultColWidth="11.08203125" defaultRowHeight="12.8" zeroHeight="false" outlineLevelRow="0" outlineLevelCol="0"/>
  <cols>
    <col collapsed="false" customWidth="true" hidden="false" outlineLevel="0" max="1" min="1" style="10" width="14.88"/>
    <col collapsed="false" customWidth="true" hidden="false" outlineLevel="0" max="2" min="2" style="10" width="38.57"/>
    <col collapsed="false" customWidth="true" hidden="false" outlineLevel="0" max="3" min="3" style="10" width="19.61"/>
    <col collapsed="false" customWidth="true" hidden="false" outlineLevel="0" max="4" min="4" style="10" width="18.96"/>
    <col collapsed="false" customWidth="true" hidden="false" outlineLevel="0" max="5" min="5" style="10" width="20.59"/>
    <col collapsed="false" customWidth="true" hidden="false" outlineLevel="0" max="6" min="6" style="10" width="21.1"/>
    <col collapsed="false" customWidth="true" hidden="false" outlineLevel="0" max="7" min="7" style="10" width="18.79"/>
    <col collapsed="false" customWidth="true" hidden="false" outlineLevel="0" max="8" min="8" style="10" width="14.88"/>
    <col collapsed="false" customWidth="true" hidden="false" outlineLevel="0" max="9" min="9" style="10" width="16.83"/>
    <col collapsed="false" customWidth="true" hidden="false" outlineLevel="0" max="10" min="10" style="10" width="16.02"/>
    <col collapsed="false" customWidth="true" hidden="false" outlineLevel="0" max="11" min="11" style="10" width="16.83"/>
    <col collapsed="false" customWidth="true" hidden="false" outlineLevel="0" max="12" min="12" style="10" width="18.47"/>
    <col collapsed="false" customWidth="true" hidden="false" outlineLevel="0" max="13" min="13" style="10" width="20.27"/>
    <col collapsed="false" customWidth="true" hidden="false" outlineLevel="0" max="14" min="14" style="10" width="17.98"/>
    <col collapsed="false" customWidth="true" hidden="false" outlineLevel="0" max="15" min="15" style="10" width="14.88"/>
    <col collapsed="false" customWidth="true" hidden="false" outlineLevel="0" max="16" min="16" style="10" width="12.74"/>
    <col collapsed="false" customWidth="true" hidden="false" outlineLevel="0" max="17" min="17" style="10" width="17.81"/>
    <col collapsed="false" customWidth="true" hidden="false" outlineLevel="0" max="18" min="18" style="10" width="18.47"/>
    <col collapsed="false" customWidth="true" hidden="false" outlineLevel="0" max="19" min="19" style="10" width="14.38"/>
    <col collapsed="false" customWidth="true" hidden="false" outlineLevel="0" max="20" min="20" style="10" width="16.83"/>
    <col collapsed="false" customWidth="true" hidden="false" outlineLevel="0" max="21" min="21" style="10" width="20.91"/>
    <col collapsed="false" customWidth="true" hidden="false" outlineLevel="0" max="22" min="22" style="10" width="19.94"/>
    <col collapsed="false" customWidth="false" hidden="false" outlineLevel="0" max="1010" min="23" style="10" width="11.07"/>
    <col collapsed="false" customWidth="true" hidden="false" outlineLevel="0" max="1024" min="1011" style="10" width="11.52"/>
  </cols>
  <sheetData>
    <row r="1" customFormat="false" ht="12.8" hidden="false" customHeight="true" outlineLevel="0" collapsed="false">
      <c r="A1" s="12" t="s">
        <v>40</v>
      </c>
      <c r="B1" s="12"/>
      <c r="C1" s="12"/>
    </row>
    <row r="2" customFormat="false" ht="12.8" hidden="false" customHeight="false" outlineLevel="0" collapsed="false">
      <c r="A2" s="12"/>
      <c r="B2" s="12"/>
      <c r="C2" s="12"/>
      <c r="D2" s="6" t="s">
        <v>41</v>
      </c>
      <c r="E2" s="6"/>
      <c r="F2" s="6"/>
      <c r="G2" s="6"/>
    </row>
    <row r="3" customFormat="false" ht="12.8" hidden="false" customHeight="false" outlineLevel="0" collapsed="false">
      <c r="A3" s="12"/>
      <c r="B3" s="12"/>
      <c r="C3" s="12"/>
      <c r="D3" s="6" t="s">
        <v>42</v>
      </c>
      <c r="E3" s="6"/>
      <c r="F3" s="6"/>
      <c r="G3" s="6"/>
    </row>
    <row r="4" customFormat="false" ht="12.8" hidden="false" customHeight="false" outlineLevel="0" collapsed="false">
      <c r="A4" s="12"/>
      <c r="B4" s="12"/>
      <c r="C4" s="12"/>
      <c r="D4" s="6" t="s">
        <v>43</v>
      </c>
      <c r="E4" s="6"/>
      <c r="F4" s="6"/>
      <c r="G4" s="6"/>
    </row>
    <row r="5" customFormat="false" ht="12.8" hidden="false" customHeight="false" outlineLevel="0" collapsed="false">
      <c r="A5" s="12"/>
      <c r="B5" s="12"/>
      <c r="C5" s="12"/>
      <c r="D5" s="6" t="s">
        <v>44</v>
      </c>
      <c r="E5" s="6"/>
      <c r="F5" s="6"/>
      <c r="G5" s="6"/>
    </row>
    <row r="6" customFormat="false" ht="12.8" hidden="false" customHeight="false" outlineLevel="0" collapsed="false">
      <c r="A6" s="12"/>
      <c r="B6" s="12"/>
      <c r="C6" s="12"/>
    </row>
    <row r="7" customFormat="false" ht="12.8" hidden="false" customHeight="false" outlineLevel="0" collapsed="false">
      <c r="A7" s="12"/>
      <c r="B7" s="12"/>
      <c r="C7" s="12"/>
      <c r="D7" s="20" t="str">
        <f aca="false">'Model Stat'!C12</f>
        <v>97.0</v>
      </c>
    </row>
    <row r="8" customFormat="false" ht="12.8" hidden="false" customHeight="false" outlineLevel="0" collapsed="false">
      <c r="A8" s="12"/>
      <c r="B8" s="12"/>
      <c r="C8" s="12"/>
    </row>
    <row r="15" customFormat="false" ht="104.45" hidden="false" customHeight="true" outlineLevel="0" collapsed="false">
      <c r="B15" s="12" t="s">
        <v>45</v>
      </c>
      <c r="C15" s="12" t="n">
        <v>0.96707495919007</v>
      </c>
    </row>
    <row r="16" customFormat="false" ht="102.7" hidden="false" customHeight="false" outlineLevel="0" collapsed="false">
      <c r="B16" s="12" t="s">
        <v>46</v>
      </c>
      <c r="C16" s="12" t="n">
        <v>0.969521830196902</v>
      </c>
    </row>
    <row r="17" customFormat="false" ht="102.7" hidden="false" customHeight="false" outlineLevel="0" collapsed="false">
      <c r="B17" s="12" t="s">
        <v>47</v>
      </c>
      <c r="C17" s="12" t="n">
        <v>0.972078763732884</v>
      </c>
    </row>
    <row r="18" customFormat="false" ht="102.7" hidden="false" customHeight="false" outlineLevel="0" collapsed="false">
      <c r="B18" s="12" t="s">
        <v>48</v>
      </c>
      <c r="C18" s="12" t="n">
        <v>0.970022347115779</v>
      </c>
    </row>
    <row r="22" customFormat="false" ht="12.8" hidden="false" customHeight="false" outlineLevel="0" collapsed="false">
      <c r="B22" s="12"/>
      <c r="C22" s="12" t="s">
        <v>49</v>
      </c>
      <c r="D22" s="12" t="s">
        <v>50</v>
      </c>
      <c r="E22" s="12" t="s">
        <v>51</v>
      </c>
      <c r="F22" s="12" t="s">
        <v>52</v>
      </c>
      <c r="G22" s="12" t="s">
        <v>53</v>
      </c>
      <c r="H22" s="12" t="s">
        <v>54</v>
      </c>
      <c r="I22" s="12" t="s">
        <v>55</v>
      </c>
      <c r="J22" s="12" t="s">
        <v>56</v>
      </c>
      <c r="K22" s="12" t="s">
        <v>57</v>
      </c>
      <c r="L22" s="12" t="s">
        <v>58</v>
      </c>
      <c r="M22" s="12" t="s">
        <v>59</v>
      </c>
      <c r="N22" s="12" t="s">
        <v>60</v>
      </c>
      <c r="O22" s="12" t="s">
        <v>61</v>
      </c>
      <c r="P22" s="12" t="s">
        <v>62</v>
      </c>
      <c r="Q22" s="12" t="s">
        <v>63</v>
      </c>
      <c r="R22" s="12" t="s">
        <v>64</v>
      </c>
      <c r="S22" s="12" t="s">
        <v>65</v>
      </c>
      <c r="T22" s="12" t="s">
        <v>66</v>
      </c>
      <c r="U22" s="12" t="s">
        <v>67</v>
      </c>
      <c r="V22" s="12" t="s">
        <v>68</v>
      </c>
      <c r="W22" s="12" t="s">
        <v>69</v>
      </c>
    </row>
    <row r="23" customFormat="false" ht="57.9" hidden="false" customHeight="false" outlineLevel="0" collapsed="false">
      <c r="B23" s="12" t="s">
        <v>70</v>
      </c>
      <c r="C23" s="12" t="n">
        <v>0.968902024195929</v>
      </c>
      <c r="D23" s="12" t="n">
        <v>0.969988369287046</v>
      </c>
      <c r="E23" s="12" t="n">
        <v>0.970287489878126</v>
      </c>
      <c r="F23" s="12" t="n">
        <v>0.969967116102094</v>
      </c>
      <c r="G23" s="12" t="n">
        <v>0.970954587088764</v>
      </c>
      <c r="H23" s="12" t="n">
        <v>0.969675113022743</v>
      </c>
      <c r="I23" s="12" t="n">
        <v>0.971153212537887</v>
      </c>
      <c r="J23" s="12" t="n">
        <v>0.969208366476605</v>
      </c>
      <c r="K23" s="12" t="n">
        <v>0.970431757195353</v>
      </c>
      <c r="L23" s="12" t="n">
        <v>0.968972280215129</v>
      </c>
      <c r="M23" s="12" t="n">
        <v>0.969442750827665</v>
      </c>
      <c r="N23" s="12" t="n">
        <v>0.969983201186448</v>
      </c>
      <c r="O23" s="12" t="n">
        <v>0.970256990914162</v>
      </c>
      <c r="P23" s="12" t="n">
        <v>0.969436620324146</v>
      </c>
      <c r="Q23" s="12" t="n">
        <v>0.971031324617847</v>
      </c>
      <c r="R23" s="12" t="n">
        <v>0.969614642423577</v>
      </c>
      <c r="S23" s="12" t="n">
        <v>0.96837692566285</v>
      </c>
      <c r="T23" s="12" t="n">
        <v>0.970327084795084</v>
      </c>
      <c r="U23" s="12" t="n">
        <v>0.971369326364108</v>
      </c>
      <c r="V23" s="12" t="n">
        <v>0.969399535579482</v>
      </c>
      <c r="W23" s="12" t="n">
        <v>0.967908399505312</v>
      </c>
    </row>
    <row r="24" customFormat="false" ht="69.35" hidden="false" customHeight="false" outlineLevel="0" collapsed="false">
      <c r="B24" s="12" t="s">
        <v>71</v>
      </c>
      <c r="C24" s="12" t="n">
        <v>0.956656750309378</v>
      </c>
      <c r="D24" s="12" t="n">
        <v>0.962517817735775</v>
      </c>
      <c r="E24" s="12" t="n">
        <v>0.963407687400355</v>
      </c>
      <c r="F24" s="12" t="n">
        <v>0.967942995482073</v>
      </c>
      <c r="G24" s="12" t="n">
        <v>0.968036284725625</v>
      </c>
      <c r="H24" s="12" t="n">
        <v>0.968356974464592</v>
      </c>
      <c r="I24" s="12" t="n">
        <v>0.969063497079204</v>
      </c>
      <c r="J24" s="12" t="n">
        <v>0.97005920665942</v>
      </c>
      <c r="K24" s="12" t="n">
        <v>0.969101191099791</v>
      </c>
      <c r="L24" s="12" t="n">
        <v>0.96875784747388</v>
      </c>
      <c r="M24" s="12" t="n">
        <v>0.970557765149978</v>
      </c>
      <c r="N24" s="12" t="n">
        <v>0.968980658055302</v>
      </c>
      <c r="O24" s="12" t="n">
        <v>0.970689332575312</v>
      </c>
      <c r="P24" s="12" t="n">
        <v>0.970208987257041</v>
      </c>
      <c r="Q24" s="12" t="n">
        <v>0.969144730384648</v>
      </c>
      <c r="R24" s="12" t="n">
        <v>0.9683773860407</v>
      </c>
      <c r="S24" s="12" t="n">
        <v>0.968965804657786</v>
      </c>
      <c r="T24" s="12" t="n">
        <v>0.969507603310326</v>
      </c>
      <c r="U24" s="12" t="n">
        <v>0.969243646646256</v>
      </c>
      <c r="V24" s="12" t="n">
        <v>0.895720265334597</v>
      </c>
      <c r="W24" s="12" t="n">
        <v>0.970336983872683</v>
      </c>
    </row>
    <row r="25" customFormat="false" ht="69.35" hidden="false" customHeight="false" outlineLevel="0" collapsed="false">
      <c r="B25" s="12" t="s">
        <v>72</v>
      </c>
      <c r="C25" s="12" t="n">
        <v>0.969787604567038</v>
      </c>
      <c r="D25" s="12" t="s">
        <v>73</v>
      </c>
      <c r="E25" s="12" t="n">
        <v>0.970161584678797</v>
      </c>
      <c r="F25" s="12" t="n">
        <v>0.97032691470264</v>
      </c>
      <c r="G25" s="12" t="n">
        <v>0.970277198279657</v>
      </c>
      <c r="H25" s="12" t="n">
        <v>0.969530451925156</v>
      </c>
      <c r="I25" s="12" t="n">
        <v>0.970763789821143</v>
      </c>
      <c r="J25" s="12" t="n">
        <v>0.970284061682145</v>
      </c>
      <c r="K25" s="12" t="n">
        <v>0.971764078716962</v>
      </c>
      <c r="L25" s="12" t="n">
        <v>0.970081253659053</v>
      </c>
      <c r="M25" s="12" t="n">
        <v>0.969620320306113</v>
      </c>
      <c r="N25" s="12" t="n">
        <v>0.96974340240722</v>
      </c>
      <c r="O25" s="12" t="n">
        <v>0.96915102069418</v>
      </c>
      <c r="P25" s="12" t="n">
        <v>0.970917378605842</v>
      </c>
      <c r="Q25" s="12" t="n">
        <v>0.970020481258756</v>
      </c>
      <c r="R25" s="12" t="n">
        <v>0.970074180491767</v>
      </c>
      <c r="S25" s="12" t="n">
        <v>0.969490238400725</v>
      </c>
      <c r="T25" s="12" t="n">
        <v>0.969247723562914</v>
      </c>
      <c r="U25" s="12" t="n">
        <v>0.969884071827579</v>
      </c>
      <c r="V25" s="12" t="n">
        <v>0.969995820347495</v>
      </c>
      <c r="W25" s="12" t="n">
        <v>0.969910303533772</v>
      </c>
    </row>
    <row r="26" customFormat="false" ht="69.35" hidden="false" customHeight="false" outlineLevel="0" collapsed="false">
      <c r="B26" s="12" t="s">
        <v>74</v>
      </c>
      <c r="C26" s="12" t="n">
        <v>0.86666460156133</v>
      </c>
      <c r="D26" s="12" t="n">
        <v>0.897577491327426</v>
      </c>
      <c r="E26" s="12" t="n">
        <v>0.921814174565359</v>
      </c>
      <c r="F26" s="12" t="n">
        <v>0.94866885916507</v>
      </c>
      <c r="G26" s="12" t="n">
        <v>0.956161019908529</v>
      </c>
      <c r="H26" s="12" t="n">
        <v>0.962423083083394</v>
      </c>
      <c r="I26" s="12" t="n">
        <v>0.967220937405717</v>
      </c>
      <c r="J26" s="12" t="n">
        <v>0.97078191137499</v>
      </c>
      <c r="K26" s="12" t="n">
        <v>0.9706889432015</v>
      </c>
      <c r="L26" s="12" t="n">
        <v>0.968121912049907</v>
      </c>
      <c r="M26" s="12" t="n">
        <v>0.969925626860287</v>
      </c>
      <c r="N26" s="12" t="n">
        <v>0.969837957670095</v>
      </c>
      <c r="O26" s="12" t="n">
        <v>0.97040794495518</v>
      </c>
      <c r="P26" s="12" t="n">
        <v>0.969501410069573</v>
      </c>
      <c r="Q26" s="12" t="n">
        <v>0.968130932105008</v>
      </c>
      <c r="R26" s="12" t="n">
        <v>0.969530780105658</v>
      </c>
      <c r="S26" s="12" t="n">
        <v>0.969210852156932</v>
      </c>
      <c r="T26" s="12" t="n">
        <v>0.967899627147668</v>
      </c>
      <c r="U26" s="12" t="n">
        <v>0.968619195174206</v>
      </c>
      <c r="V26" s="12" t="n">
        <v>0.887326156022696</v>
      </c>
      <c r="W26" s="12" t="n">
        <v>0.97332535263704</v>
      </c>
    </row>
  </sheetData>
  <mergeCells count="5">
    <mergeCell ref="A1:C8"/>
    <mergeCell ref="D2:G2"/>
    <mergeCell ref="D3:G3"/>
    <mergeCell ref="D4:G4"/>
    <mergeCell ref="D5:G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33" activeCellId="0" sqref="F33"/>
    </sheetView>
  </sheetViews>
  <sheetFormatPr defaultColWidth="11.08203125" defaultRowHeight="12.8" zeroHeight="false" outlineLevelRow="0" outlineLevelCol="0"/>
  <cols>
    <col collapsed="false" customWidth="false" hidden="false" outlineLevel="0" max="1" min="1" style="21" width="11.07"/>
    <col collapsed="false" customWidth="true" hidden="false" outlineLevel="0" max="2" min="2" style="21" width="6.88"/>
    <col collapsed="false" customWidth="true" hidden="false" outlineLevel="0" max="3" min="3" style="21" width="67.11"/>
    <col collapsed="false" customWidth="true" hidden="false" outlineLevel="0" max="4" min="4" style="21" width="14.03"/>
    <col collapsed="false" customWidth="true" hidden="false" outlineLevel="0" max="5" min="5" style="21" width="14.16"/>
    <col collapsed="false" customWidth="true" hidden="false" outlineLevel="0" max="6" min="6" style="21" width="15.66"/>
    <col collapsed="false" customWidth="true" hidden="false" outlineLevel="0" max="7" min="7" style="21" width="31.54"/>
    <col collapsed="false" customWidth="true" hidden="false" outlineLevel="0" max="8" min="8" style="21" width="13.89"/>
    <col collapsed="false" customWidth="true" hidden="false" outlineLevel="0" max="9" min="9" style="21" width="18.49"/>
    <col collapsed="false" customWidth="false" hidden="false" outlineLevel="0" max="1019" min="10" style="21" width="11.07"/>
    <col collapsed="false" customWidth="true" hidden="false" outlineLevel="0" max="1021" min="1020" style="0" width="8.67"/>
    <col collapsed="false" customWidth="true" hidden="false" outlineLevel="0" max="1024" min="1022" style="0" width="11.52"/>
  </cols>
  <sheetData>
    <row r="1" customFormat="false" ht="12.8" hidden="false" customHeight="true" outlineLevel="0" collapsed="false">
      <c r="A1" s="12" t="s">
        <v>75</v>
      </c>
      <c r="B1" s="12"/>
      <c r="C1" s="12"/>
      <c r="D1" s="12"/>
      <c r="E1" s="12"/>
      <c r="F1" s="12"/>
      <c r="G1" s="12"/>
      <c r="H1" s="12"/>
      <c r="I1" s="12"/>
      <c r="J1" s="0"/>
      <c r="K1" s="0"/>
      <c r="L1" s="0"/>
    </row>
    <row r="2" customFormat="false" ht="12.8" hidden="false" customHeight="false" outlineLevel="0" collapsed="false">
      <c r="A2" s="12"/>
      <c r="B2" s="12"/>
      <c r="C2" s="12"/>
      <c r="D2" s="12"/>
      <c r="E2" s="12"/>
      <c r="F2" s="12"/>
      <c r="G2" s="12"/>
      <c r="H2" s="12"/>
      <c r="I2" s="12"/>
      <c r="J2" s="0"/>
      <c r="K2" s="0"/>
      <c r="L2" s="0"/>
    </row>
    <row r="3" customFormat="false" ht="12.8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0"/>
      <c r="K3" s="0"/>
      <c r="L3" s="22"/>
      <c r="M3" s="6" t="s">
        <v>41</v>
      </c>
      <c r="N3" s="6"/>
      <c r="O3" s="6"/>
      <c r="P3" s="6"/>
    </row>
    <row r="4" customFormat="false" ht="12.8" hidden="false" customHeight="fals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0"/>
      <c r="K4" s="0"/>
      <c r="L4" s="20"/>
      <c r="M4" s="6" t="s">
        <v>42</v>
      </c>
      <c r="N4" s="6"/>
      <c r="O4" s="6"/>
      <c r="P4" s="6"/>
    </row>
    <row r="5" customFormat="false" ht="12.8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0"/>
      <c r="K5" s="0"/>
      <c r="L5" s="11"/>
      <c r="M5" s="6" t="s">
        <v>43</v>
      </c>
      <c r="N5" s="6"/>
      <c r="O5" s="6"/>
      <c r="P5" s="6"/>
    </row>
    <row r="6" customFormat="false" ht="12.8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0"/>
      <c r="K6" s="0"/>
      <c r="L6" s="14"/>
      <c r="M6" s="6" t="s">
        <v>44</v>
      </c>
      <c r="N6" s="6"/>
      <c r="O6" s="6"/>
      <c r="P6" s="6"/>
    </row>
    <row r="7" customFormat="false" ht="12.8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0"/>
      <c r="K7" s="0"/>
    </row>
    <row r="8" customFormat="false" ht="12.8" hidden="false" customHeight="false" outlineLevel="0" collapsed="false">
      <c r="C8" s="0"/>
      <c r="D8" s="0"/>
      <c r="E8" s="0"/>
      <c r="F8" s="0"/>
      <c r="G8" s="0"/>
      <c r="H8" s="0"/>
      <c r="I8" s="0"/>
      <c r="J8" s="0"/>
      <c r="K8" s="0"/>
    </row>
    <row r="9" customFormat="false" ht="12.8" hidden="false" customHeight="false" outlineLevel="0" collapsed="false">
      <c r="C9" s="0"/>
      <c r="D9" s="0"/>
      <c r="E9" s="0"/>
      <c r="F9" s="0"/>
      <c r="G9" s="0"/>
      <c r="H9" s="0"/>
      <c r="I9" s="0"/>
      <c r="J9" s="0"/>
      <c r="K9" s="0"/>
    </row>
    <row r="10" customFormat="false" ht="12.8" hidden="false" customHeight="false" outlineLevel="0" collapsed="false">
      <c r="C10" s="0"/>
      <c r="D10" s="0"/>
      <c r="E10" s="0"/>
      <c r="F10" s="0"/>
      <c r="G10" s="0"/>
      <c r="H10" s="0"/>
      <c r="I10" s="0"/>
      <c r="J10" s="0"/>
      <c r="K10" s="0"/>
    </row>
    <row r="11" customFormat="false" ht="12.8" hidden="false" customHeight="false" outlineLevel="0" collapsed="false">
      <c r="C11" s="0"/>
      <c r="D11" s="0"/>
      <c r="E11" s="0"/>
      <c r="F11" s="0"/>
      <c r="G11" s="0"/>
      <c r="H11" s="0"/>
      <c r="I11" s="0"/>
      <c r="J11" s="0"/>
      <c r="K11" s="0"/>
    </row>
    <row r="12" customFormat="false" ht="12.8" hidden="false" customHeight="false" outlineLevel="0" collapsed="false">
      <c r="C12" s="0"/>
      <c r="D12" s="0"/>
      <c r="E12" s="0"/>
      <c r="F12" s="0"/>
      <c r="G12" s="0"/>
      <c r="H12" s="0"/>
      <c r="I12" s="0"/>
      <c r="J12" s="0"/>
      <c r="K12" s="0"/>
    </row>
    <row r="13" customFormat="false" ht="12.8" hidden="false" customHeight="false" outlineLevel="0" collapsed="false">
      <c r="C13" s="0"/>
      <c r="D13" s="0"/>
      <c r="E13" s="0"/>
      <c r="F13" s="0"/>
      <c r="G13" s="0"/>
      <c r="H13" s="0"/>
      <c r="I13" s="0"/>
      <c r="J13" s="0"/>
      <c r="K13" s="0"/>
    </row>
    <row r="14" customFormat="false" ht="12.8" hidden="false" customHeight="false" outlineLevel="0" collapsed="false">
      <c r="C14" s="0"/>
      <c r="D14" s="0"/>
      <c r="E14" s="0"/>
      <c r="F14" s="0"/>
      <c r="G14" s="0"/>
      <c r="H14" s="0"/>
      <c r="I14" s="0"/>
      <c r="J14" s="0"/>
      <c r="K14" s="0"/>
    </row>
    <row r="15" customFormat="false" ht="12.8" hidden="false" customHeight="false" outlineLevel="0" collapsed="false">
      <c r="C15" s="11"/>
      <c r="D15" s="11"/>
      <c r="E15" s="11"/>
      <c r="F15" s="11"/>
      <c r="G15" s="11"/>
      <c r="H15" s="11"/>
      <c r="I15" s="11"/>
      <c r="J15" s="0"/>
      <c r="K15" s="0"/>
    </row>
    <row r="16" customFormat="false" ht="12.8" hidden="false" customHeight="false" outlineLevel="0" collapsed="false">
      <c r="C16" s="11" t="s">
        <v>76</v>
      </c>
      <c r="D16" s="11" t="s">
        <v>77</v>
      </c>
      <c r="E16" s="11" t="s">
        <v>78</v>
      </c>
      <c r="F16" s="11" t="s">
        <v>79</v>
      </c>
      <c r="G16" s="11" t="s">
        <v>80</v>
      </c>
      <c r="H16" s="11" t="s">
        <v>23</v>
      </c>
      <c r="I16" s="11" t="s">
        <v>8</v>
      </c>
      <c r="J16" s="0"/>
      <c r="K16" s="0"/>
    </row>
    <row r="17" customFormat="false" ht="12.8" hidden="false" customHeight="false" outlineLevel="0" collapsed="false">
      <c r="C17" s="6" t="s">
        <v>81</v>
      </c>
      <c r="D17" s="23" t="n">
        <v>12456570</v>
      </c>
      <c r="E17" s="23" t="n">
        <v>11291535</v>
      </c>
      <c r="F17" s="23" t="n">
        <v>1033521</v>
      </c>
      <c r="G17" s="24" t="n">
        <v>1671</v>
      </c>
      <c r="H17" s="25" t="n">
        <f aca="false">(E17/D17)*100</f>
        <v>90.6472247175587</v>
      </c>
      <c r="I17" s="26" t="str">
        <f aca="false">'Model Stat'!C12</f>
        <v>97.0</v>
      </c>
      <c r="K17" s="0"/>
    </row>
    <row r="18" customFormat="false" ht="12.8" hidden="false" customHeight="false" outlineLevel="0" collapsed="false">
      <c r="C18" s="6" t="s">
        <v>82</v>
      </c>
      <c r="D18" s="27" t="n">
        <v>26696000</v>
      </c>
      <c r="E18" s="27" t="n">
        <v>24418153</v>
      </c>
      <c r="F18" s="27" t="n">
        <v>1153443</v>
      </c>
      <c r="G18" s="24" t="n">
        <v>1342</v>
      </c>
      <c r="H18" s="25" t="n">
        <f aca="false">(E18/D18)*100</f>
        <v>91.4674595445011</v>
      </c>
      <c r="I18" s="26"/>
      <c r="K18" s="0"/>
    </row>
    <row r="19" customFormat="false" ht="12.8" hidden="false" customHeight="false" outlineLevel="0" collapsed="false">
      <c r="C19" s="6"/>
      <c r="D19" s="24"/>
      <c r="E19" s="24"/>
      <c r="F19" s="24"/>
      <c r="G19" s="24"/>
      <c r="H19" s="25" t="e">
        <f aca="false">(E19/D19)*100</f>
        <v>#DIV/0!</v>
      </c>
      <c r="I19" s="26"/>
    </row>
    <row r="20" customFormat="false" ht="12.8" hidden="false" customHeight="false" outlineLevel="0" collapsed="false">
      <c r="C20" s="6"/>
      <c r="D20" s="24"/>
      <c r="E20" s="24"/>
      <c r="F20" s="24"/>
      <c r="G20" s="6"/>
      <c r="H20" s="25" t="e">
        <f aca="false">(E20/D20)*100</f>
        <v>#DIV/0!</v>
      </c>
      <c r="I20" s="26"/>
    </row>
  </sheetData>
  <mergeCells count="6">
    <mergeCell ref="A1:I7"/>
    <mergeCell ref="M3:P3"/>
    <mergeCell ref="M4:P4"/>
    <mergeCell ref="M5:P5"/>
    <mergeCell ref="M6:P6"/>
    <mergeCell ref="I17:I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6043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2016-07-20T16:09:16Z</dcterms:created>
  <dc:creator/>
  <dc:description/>
  <dc:language>ru-RU</dc:language>
  <cp:lastModifiedBy/>
  <dcterms:modified xsi:type="dcterms:W3CDTF">2020-03-31T14:16:47Z</dcterms:modified>
  <cp:revision>203</cp:revision>
  <dc:subject/>
  <dc:title/>
</cp:coreProperties>
</file>