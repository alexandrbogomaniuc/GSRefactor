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ules" sheetId="1" state="visible" r:id="rId2"/>
    <sheet name="Calculations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<sst xmlns="http://schemas.openxmlformats.org/spreadsheetml/2006/main" count="1141" uniqueCount="190">
  <si>
    <t xml:space="preserve">New MQ</t>
  </si>
  <si>
    <t xml:space="preserve">There are 20 enemies with fixed payouts.</t>
  </si>
  <si>
    <t xml:space="preserve">Enemy is dead if a shot in successful.</t>
  </si>
  <si>
    <t xml:space="preserve">For each type of weapons there’s a various probability to kill an enemy.</t>
  </si>
  <si>
    <t xml:space="preserve">Each paid shot fired at a regular enemy can trigger a weapon drop.</t>
  </si>
  <si>
    <t xml:space="preserve">Each paid shot fired at a regular enemy can trigger a key drop.</t>
  </si>
  <si>
    <t xml:space="preserve">There are three types of keys.</t>
  </si>
  <si>
    <t xml:space="preserve">Collecting three of each type will trigger one cash drop + one chest drop ( = quest complete )</t>
  </si>
  <si>
    <t xml:space="preserve">For each key drop event draw three random numbers ( because three type of keys ), these events are independent, so one enemy can drop more than one treasure at one paid shot.</t>
  </si>
  <si>
    <t xml:space="preserve">There’s a boss that 1) drops small cash wins or 2) does nothing or 3) dies and drops a main prize</t>
  </si>
  <si>
    <t xml:space="preserve">There are two different probabilities to trigger a cash drop and kill a boss, so for each paid shot draw two random numbers as these events can happen together ( he drops a small win + he dies and drops the main prize ).</t>
  </si>
  <si>
    <t xml:space="preserve">Boss doesn’t drop weapons/keys, only regular enemies hit by paid shots drop weapons/keys.</t>
  </si>
  <si>
    <t xml:space="preserve">Regular enemies return 70% through cash wins.</t>
  </si>
  <si>
    <t xml:space="preserve">Regular enemies return 12% through weapon drops.</t>
  </si>
  <si>
    <t xml:space="preserve">Regular enemies return 4% through bronze quests, 5% through silver quests, 6% through gold quests.</t>
  </si>
  <si>
    <t xml:space="preserve">Regular enemies have 97% RTP ( 70 + 12 + 4 + 5 + 6 ).</t>
  </si>
  <si>
    <t xml:space="preserve">Boss RTP is 97% ( 47% cash drops + 50% main prize )</t>
  </si>
  <si>
    <t xml:space="preserve">Special weapons increase chances to kill regular enemies / get a cash drop from the boss / kill the boss</t>
  </si>
  <si>
    <t xml:space="preserve">All shots with special weapons are free of charge and special weapon bullet costs are provided on the next tab, row 3, collumns "Total RTP" for each special weapon ( which is an average return on each 1 credit spent ).</t>
  </si>
  <si>
    <t xml:space="preserve">Special weapon bullets can damage 1-12 enemies/times. ( for example, 10 bullets of artillery strike will damage enemies in total 10x12 = 120 times ) </t>
  </si>
  <si>
    <t xml:space="preserve">Total game RTP is 97%.</t>
  </si>
  <si>
    <t xml:space="preserve">Buy weapons settings will be provided at the end when the rest of the game functionality is approved ( like paytable, special weapons settings, keys hit frequency ).</t>
  </si>
  <si>
    <t xml:space="preserve">Added on 1.11.2019</t>
  </si>
  <si>
    <t xml:space="preserve">Added yet another special weapon - Airstrike. It's similar to existing functionality of free shots - all bullets need to be used immediately. Since all weapons are free of charge, airstrike is also free of charge.</t>
  </si>
  <si>
    <t xml:space="preserve">Added Weapon Carrier : he drops a special weapon only when he's dead. He doesn't drop treasures or other weapons while he's alive. He drops only weapons that damage more than 1 enemy ( excluding airstrike ).</t>
  </si>
  <si>
    <t xml:space="preserve">Added on 14.11.2019</t>
  </si>
  <si>
    <t xml:space="preserve">Added paid special weapons. Players can buy single bullets of special weapons. Probabilities to kill/cash drops are calculated as probabilities to kill/cash drops with FREE special weapons multiplied by 0.97 ( because we need 97% RTP ) and costs are equal to FREE special weapons Total RTP</t>
  </si>
  <si>
    <t xml:space="preserve">Added on 19.11.2019</t>
  </si>
  <si>
    <t xml:space="preserve">Changed enemies payouts </t>
  </si>
  <si>
    <t xml:space="preserve">Added on 17.02.2020</t>
  </si>
  <si>
    <t xml:space="preserve">Changed enemies payouts and RTP distribution ( from 65 + 15 + 5 + 5 + 7 to 70 + 12 + 4 + 5 + 6 ).</t>
  </si>
  <si>
    <t xml:space="preserve">Fixed loot boxes calcs </t>
  </si>
  <si>
    <t xml:space="preserve">Added on 05.03.2020</t>
  </si>
  <si>
    <t xml:space="preserve">Decreased loot box purchase price from 200 to 50.</t>
  </si>
  <si>
    <t xml:space="preserve">Added on 06.03.2020</t>
  </si>
  <si>
    <t xml:space="preserve">Exchanged payouts for Bird, Neckbeard, and Deckhand enemies so that Birds pay the most and Deckhands the least.</t>
  </si>
  <si>
    <t xml:space="preserve">Probability to kill</t>
  </si>
  <si>
    <t xml:space="preserve">Column for Richard</t>
  </si>
  <si>
    <t xml:space="preserve">Pays</t>
  </si>
  <si>
    <t xml:space="preserve">regular weapon</t>
  </si>
  <si>
    <t xml:space="preserve">killed with N shots on average</t>
  </si>
  <si>
    <t xml:space="preserve">Single RTP</t>
  </si>
  <si>
    <t xml:space="preserve">Weapons RTP</t>
  </si>
  <si>
    <t xml:space="preserve">Weapon Drop Prob</t>
  </si>
  <si>
    <t xml:space="preserve">Weapon Drop Freq</t>
  </si>
  <si>
    <t xml:space="preserve">Damages </t>
  </si>
  <si>
    <t xml:space="preserve">Total RTP</t>
  </si>
  <si>
    <t xml:space="preserve">special_1</t>
  </si>
  <si>
    <t xml:space="preserve">special_2</t>
  </si>
  <si>
    <t xml:space="preserve">Sigle RTP</t>
  </si>
  <si>
    <t xml:space="preserve">grenade</t>
  </si>
  <si>
    <t xml:space="preserve">mine_launcher</t>
  </si>
  <si>
    <t xml:space="preserve">rocket_launcher</t>
  </si>
  <si>
    <t xml:space="preserve">machine_gun</t>
  </si>
  <si>
    <t xml:space="preserve">laser</t>
  </si>
  <si>
    <t xml:space="preserve">flamethrower</t>
  </si>
  <si>
    <t xml:space="preserve">cryogun</t>
  </si>
  <si>
    <t xml:space="preserve">plasmagun</t>
  </si>
  <si>
    <t xml:space="preserve">railgun</t>
  </si>
  <si>
    <t xml:space="preserve">artillery_strike</t>
  </si>
  <si>
    <t xml:space="preserve">Airstrike</t>
  </si>
  <si>
    <t xml:space="preserve">Enemy 1</t>
  </si>
  <si>
    <t xml:space="preserve">Brown Rat (L)</t>
  </si>
  <si>
    <t xml:space="preserve">Enemy 2</t>
  </si>
  <si>
    <t xml:space="preserve">Black Rat (L)</t>
  </si>
  <si>
    <t xml:space="preserve">Enemy 3</t>
  </si>
  <si>
    <t xml:space="preserve">White Rat (L)</t>
  </si>
  <si>
    <t xml:space="preserve">Enemy 4</t>
  </si>
  <si>
    <t xml:space="preserve">Brown Crab (L)</t>
  </si>
  <si>
    <t xml:space="preserve">Enemy 5</t>
  </si>
  <si>
    <t xml:space="preserve">Black Crab (L)</t>
  </si>
  <si>
    <t xml:space="preserve">Enemy 6</t>
  </si>
  <si>
    <t xml:space="preserve">Emerald Crab (L)</t>
  </si>
  <si>
    <t xml:space="preserve">Enemy 7</t>
  </si>
  <si>
    <t xml:space="preserve">Sapphire Crab (L)</t>
  </si>
  <si>
    <t xml:space="preserve">Enemy 8</t>
  </si>
  <si>
    <t xml:space="preserve">Ruby Crab (L)</t>
  </si>
  <si>
    <t xml:space="preserve">Enemy 9</t>
  </si>
  <si>
    <t xml:space="preserve">Blue Bird (M)</t>
  </si>
  <si>
    <t xml:space="preserve">Enemy 10</t>
  </si>
  <si>
    <t xml:space="preserve">Red Bird (M)</t>
  </si>
  <si>
    <t xml:space="preserve">Enemy 11</t>
  </si>
  <si>
    <t xml:space="preserve">Green Deckhand (M)</t>
  </si>
  <si>
    <t xml:space="preserve">Enemy 12</t>
  </si>
  <si>
    <t xml:space="preserve">Blue Deckhand (M)</t>
  </si>
  <si>
    <t xml:space="preserve">Enemy 13</t>
  </si>
  <si>
    <t xml:space="preserve">Yellow Neckbeard (M)</t>
  </si>
  <si>
    <t xml:space="preserve">Enemy 14</t>
  </si>
  <si>
    <t xml:space="preserve">Purple Neckbeard (M)</t>
  </si>
  <si>
    <t xml:space="preserve">Enemy 15</t>
  </si>
  <si>
    <t xml:space="preserve">White Captain (H)</t>
  </si>
  <si>
    <t xml:space="preserve">Enemy 16</t>
  </si>
  <si>
    <t xml:space="preserve">Red Captain (H)</t>
  </si>
  <si>
    <t xml:space="preserve">Enemy 17</t>
  </si>
  <si>
    <t xml:space="preserve">Bag Runner (H)</t>
  </si>
  <si>
    <t xml:space="preserve">Enemy 18</t>
  </si>
  <si>
    <t xml:space="preserve">Sword Runner (H)</t>
  </si>
  <si>
    <t xml:space="preserve">Enemy 19</t>
  </si>
  <si>
    <t xml:space="preserve">Purple Troll (H)</t>
  </si>
  <si>
    <t xml:space="preserve">Enemy 20</t>
  </si>
  <si>
    <t xml:space="preserve">Green Troll (H)</t>
  </si>
  <si>
    <t xml:space="preserve">FOR WEAPON DROPS</t>
  </si>
  <si>
    <t xml:space="preserve">Bullet costs:</t>
  </si>
  <si>
    <t xml:space="preserve">bullets</t>
  </si>
  <si>
    <t xml:space="preserve">probability</t>
  </si>
  <si>
    <t xml:space="preserve">cumulative probability</t>
  </si>
  <si>
    <t xml:space="preserve">RTP</t>
  </si>
  <si>
    <t xml:space="preserve">Weighted return</t>
  </si>
  <si>
    <t xml:space="preserve">Total return:</t>
  </si>
  <si>
    <t xml:space="preserve">Weapon Drops</t>
  </si>
  <si>
    <t xml:space="preserve">costs</t>
  </si>
  <si>
    <t xml:space="preserve">weights</t>
  </si>
  <si>
    <t xml:space="preserve">weighted costs</t>
  </si>
  <si>
    <t xml:space="preserve">total sum:</t>
  </si>
  <si>
    <t xml:space="preserve">Boss</t>
  </si>
  <si>
    <t xml:space="preserve">Boss drops small wins while you’re trying to kill him and the main prize when he’s dead</t>
  </si>
  <si>
    <t xml:space="preserve">Small wins</t>
  </si>
  <si>
    <t xml:space="preserve">weighted wins</t>
  </si>
  <si>
    <t xml:space="preserve">Total average win:</t>
  </si>
  <si>
    <t xml:space="preserve">Probability of cash drops/kill</t>
  </si>
  <si>
    <t xml:space="preserve">Shots till win drop/kill</t>
  </si>
  <si>
    <t xml:space="preserve">Win</t>
  </si>
  <si>
    <t xml:space="preserve">Contribution</t>
  </si>
  <si>
    <t xml:space="preserve">Kill prize</t>
  </si>
  <si>
    <t xml:space="preserve">Total return</t>
  </si>
  <si>
    <t xml:space="preserve">Keys</t>
  </si>
  <si>
    <t xml:space="preserve">Name</t>
  </si>
  <si>
    <t xml:space="preserve">keys to collect</t>
  </si>
  <si>
    <t xml:space="preserve">cash win</t>
  </si>
  <si>
    <t xml:space="preserve">chest cost</t>
  </si>
  <si>
    <t xml:space="preserve">RTP contribution</t>
  </si>
  <si>
    <t xml:space="preserve">Probability to complete quest</t>
  </si>
  <si>
    <t xml:space="preserve">Probability of key drop</t>
  </si>
  <si>
    <t xml:space="preserve">Freq of key drops</t>
  </si>
  <si>
    <t xml:space="preserve">Bronze</t>
  </si>
  <si>
    <t xml:space="preserve">Silver</t>
  </si>
  <si>
    <t xml:space="preserve">Gold</t>
  </si>
  <si>
    <t xml:space="preserve">Total contribution</t>
  </si>
  <si>
    <t xml:space="preserve">FOR BRONZE CHEST</t>
  </si>
  <si>
    <t xml:space="preserve">Bronze Chest</t>
  </si>
  <si>
    <t xml:space="preserve">FOR SILVER CHEST</t>
  </si>
  <si>
    <t xml:space="preserve">Silver Chest</t>
  </si>
  <si>
    <t xml:space="preserve">FOR GOLD CHEST</t>
  </si>
  <si>
    <t xml:space="preserve">Gold Chest</t>
  </si>
  <si>
    <t xml:space="preserve">Weapon Carrier</t>
  </si>
  <si>
    <t xml:space="preserve">Shots to kill</t>
  </si>
  <si>
    <t xml:space="preserve">Average Weapon Cost</t>
  </si>
  <si>
    <t xml:space="preserve"> Weapon Carrier Bullets</t>
  </si>
  <si>
    <t xml:space="preserve">cost</t>
  </si>
  <si>
    <t xml:space="preserve">total cost</t>
  </si>
  <si>
    <t xml:space="preserve">Paid Special Weapons / Buy Special Weapons</t>
  </si>
  <si>
    <t xml:space="preserve">All probabilities to kill an enemy from above are calculated for FREE special weapons.</t>
  </si>
  <si>
    <t xml:space="preserve">In order to have PAID special weapons, all probabilities need to be multiplied by 0.97 (because we want 97% RTP) and bullet costs need to be equal to Bullet Price</t>
  </si>
  <si>
    <t xml:space="preserve">for Boss and PAID special weapons :</t>
  </si>
  <si>
    <t xml:space="preserve">for Weapon Carrier and PAID special weapons</t>
  </si>
  <si>
    <t xml:space="preserve">For regular enemies and PAID special weapons ( when players buy single shots ) :</t>
  </si>
  <si>
    <t xml:space="preserve">Probability to kill PAID</t>
  </si>
  <si>
    <t xml:space="preserve">Paid weapons RTP</t>
  </si>
  <si>
    <t xml:space="preserve">Bullet Price</t>
  </si>
  <si>
    <t xml:space="preserve">Buy weapons ( loot chests ) - use probabilities from free special weapons ( not from paid which are above )</t>
  </si>
  <si>
    <t xml:space="preserve">Buy for 50 :</t>
  </si>
  <si>
    <t xml:space="preserve">Single bullet price</t>
  </si>
  <si>
    <t xml:space="preserve">Options 1</t>
  </si>
  <si>
    <t xml:space="preserve">Option 2</t>
  </si>
  <si>
    <t xml:space="preserve">Options 3</t>
  </si>
  <si>
    <t xml:space="preserve">Average bullets</t>
  </si>
  <si>
    <t xml:space="preserve">Average Price</t>
  </si>
  <si>
    <t xml:space="preserve">Average Price :</t>
  </si>
  <si>
    <t xml:space="preserve">Our</t>
  </si>
  <si>
    <t xml:space="preserve">Model</t>
  </si>
  <si>
    <t xml:space="preserve">Brown Rat</t>
  </si>
  <si>
    <t xml:space="preserve">Black Rat</t>
  </si>
  <si>
    <t xml:space="preserve">White Rat</t>
  </si>
  <si>
    <t xml:space="preserve">Brown Crab</t>
  </si>
  <si>
    <t xml:space="preserve">Black Crab</t>
  </si>
  <si>
    <t xml:space="preserve">Topaz Crab</t>
  </si>
  <si>
    <t xml:space="preserve">Emerald Crab</t>
  </si>
  <si>
    <t xml:space="preserve">Ruby Crab</t>
  </si>
  <si>
    <t xml:space="preserve">Bird (smaller)</t>
  </si>
  <si>
    <t xml:space="preserve">Bird (Original)</t>
  </si>
  <si>
    <t xml:space="preserve">Green Deckhand</t>
  </si>
  <si>
    <t xml:space="preserve">Blue Deckhand</t>
  </si>
  <si>
    <t xml:space="preserve">Yellow Neckbeard</t>
  </si>
  <si>
    <t xml:space="preserve">Purple Neckbeard</t>
  </si>
  <si>
    <t xml:space="preserve">White Captain</t>
  </si>
  <si>
    <t xml:space="preserve">Red Captain</t>
  </si>
  <si>
    <t xml:space="preserve">Black Sword Runner</t>
  </si>
  <si>
    <t xml:space="preserve">Bag Runner</t>
  </si>
  <si>
    <t xml:space="preserve">Mini Troll</t>
  </si>
  <si>
    <t xml:space="preserve">Troll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</si>
</sst>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4"/>
      <name val="Cambria"/>
      <family val="0"/>
      <charset val="1"/>
    </font>
    <font>
      <sz val="12"/>
      <color rgb="FF000000"/>
      <name val="arial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u val="single"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  <fill>
      <patternFill patternType="solid">
        <fgColor rgb="FF00CC00"/>
        <bgColor rgb="FF00CC33"/>
      </patternFill>
    </fill>
    <fill>
      <patternFill patternType="solid">
        <fgColor rgb="FF00CC33"/>
        <bgColor rgb="FF00CC00"/>
      </patternFill>
    </fill>
    <fill>
      <patternFill patternType="solid">
        <fgColor rgb="FFFFF200"/>
        <bgColor rgb="FFFFFF00"/>
      </patternFill>
    </fill>
    <fill>
      <patternFill patternType="solid">
        <fgColor rgb="FF00CCCC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CC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CC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CC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6" min="1" style="0" width="11.57"/>
    <col collapsed="false" customWidth="true" hidden="false" outlineLevel="0" max="26" min="7" style="0" width="8.71"/>
  </cols>
  <sheetData>
    <row r="1" customFormat="false" ht="12.75" hidden="false" customHeight="true" outlineLevel="0" collapsed="false">
      <c r="A1" s="1" t="s">
        <v>0</v>
      </c>
      <c r="B1" s="1"/>
    </row>
    <row r="2" customFormat="false" ht="12.75" hidden="false" customHeight="true" outlineLevel="0" collapsed="false">
      <c r="A2" s="1"/>
      <c r="B2" s="1"/>
    </row>
    <row r="3" customFormat="false" ht="12.75" hidden="false" customHeight="true" outlineLevel="0" collapsed="false">
      <c r="A3" s="2" t="n">
        <f aca="false">1</f>
        <v>1</v>
      </c>
      <c r="B3" s="3" t="s">
        <v>1</v>
      </c>
    </row>
    <row r="4" customFormat="false" ht="12.75" hidden="false" customHeight="true" outlineLevel="0" collapsed="false">
      <c r="A4" s="2" t="n">
        <f aca="false">A3+1</f>
        <v>2</v>
      </c>
      <c r="B4" s="3" t="s">
        <v>2</v>
      </c>
    </row>
    <row r="5" customFormat="false" ht="12.75" hidden="false" customHeight="true" outlineLevel="0" collapsed="false">
      <c r="A5" s="2" t="n">
        <f aca="false">A4+1</f>
        <v>3</v>
      </c>
      <c r="B5" s="3" t="s">
        <v>3</v>
      </c>
    </row>
    <row r="6" customFormat="false" ht="12.75" hidden="false" customHeight="true" outlineLevel="0" collapsed="false">
      <c r="A6" s="2" t="n">
        <f aca="false">A5+1</f>
        <v>4</v>
      </c>
      <c r="B6" s="3" t="s">
        <v>4</v>
      </c>
    </row>
    <row r="7" customFormat="false" ht="12.75" hidden="false" customHeight="true" outlineLevel="0" collapsed="false">
      <c r="A7" s="2" t="n">
        <f aca="false">A6+1</f>
        <v>5</v>
      </c>
      <c r="B7" s="3" t="s">
        <v>5</v>
      </c>
    </row>
    <row r="8" customFormat="false" ht="12.75" hidden="false" customHeight="true" outlineLevel="0" collapsed="false">
      <c r="A8" s="2" t="n">
        <f aca="false">A7+1</f>
        <v>6</v>
      </c>
      <c r="B8" s="3" t="s">
        <v>6</v>
      </c>
    </row>
    <row r="9" customFormat="false" ht="12.75" hidden="false" customHeight="true" outlineLevel="0" collapsed="false">
      <c r="A9" s="2" t="n">
        <f aca="false">A8+1</f>
        <v>7</v>
      </c>
      <c r="B9" s="3" t="s">
        <v>7</v>
      </c>
    </row>
    <row r="10" customFormat="false" ht="12.75" hidden="false" customHeight="true" outlineLevel="0" collapsed="false">
      <c r="A10" s="2" t="n">
        <f aca="false">A9+1</f>
        <v>8</v>
      </c>
      <c r="B10" s="3" t="s">
        <v>8</v>
      </c>
    </row>
    <row r="11" customFormat="false" ht="12.75" hidden="false" customHeight="true" outlineLevel="0" collapsed="false">
      <c r="A11" s="2" t="n">
        <f aca="false">A10+1</f>
        <v>9</v>
      </c>
      <c r="B11" s="3" t="s">
        <v>9</v>
      </c>
    </row>
    <row r="12" customFormat="false" ht="12.75" hidden="false" customHeight="true" outlineLevel="0" collapsed="false">
      <c r="A12" s="2" t="n">
        <f aca="false">A11+1</f>
        <v>10</v>
      </c>
      <c r="B12" s="3" t="s">
        <v>10</v>
      </c>
    </row>
    <row r="13" customFormat="false" ht="12.75" hidden="false" customHeight="true" outlineLevel="0" collapsed="false">
      <c r="A13" s="2" t="n">
        <f aca="false">A12+1</f>
        <v>11</v>
      </c>
      <c r="B13" s="3" t="s">
        <v>11</v>
      </c>
    </row>
    <row r="14" customFormat="false" ht="12.75" hidden="false" customHeight="true" outlineLevel="0" collapsed="false">
      <c r="A14" s="2" t="n">
        <f aca="false">A13+1</f>
        <v>12</v>
      </c>
      <c r="B14" s="3" t="s">
        <v>12</v>
      </c>
    </row>
    <row r="15" customFormat="false" ht="12.75" hidden="false" customHeight="true" outlineLevel="0" collapsed="false">
      <c r="A15" s="2" t="n">
        <f aca="false">A14+1</f>
        <v>13</v>
      </c>
      <c r="B15" s="3" t="s">
        <v>13</v>
      </c>
    </row>
    <row r="16" customFormat="false" ht="12.75" hidden="false" customHeight="true" outlineLevel="0" collapsed="false">
      <c r="A16" s="2" t="n">
        <f aca="false">A15+1</f>
        <v>14</v>
      </c>
      <c r="B16" s="3" t="s">
        <v>14</v>
      </c>
    </row>
    <row r="17" customFormat="false" ht="12.75" hidden="false" customHeight="true" outlineLevel="0" collapsed="false">
      <c r="A17" s="2" t="n">
        <f aca="false">A16+1</f>
        <v>15</v>
      </c>
      <c r="B17" s="3" t="s">
        <v>15</v>
      </c>
    </row>
    <row r="18" customFormat="false" ht="12.75" hidden="false" customHeight="true" outlineLevel="0" collapsed="false">
      <c r="A18" s="2" t="n">
        <f aca="false">A17+1</f>
        <v>16</v>
      </c>
      <c r="B18" s="3" t="s">
        <v>16</v>
      </c>
    </row>
    <row r="19" customFormat="false" ht="12.75" hidden="false" customHeight="true" outlineLevel="0" collapsed="false">
      <c r="A19" s="2" t="n">
        <f aca="false">A18+1</f>
        <v>17</v>
      </c>
      <c r="B19" s="3" t="s">
        <v>17</v>
      </c>
    </row>
    <row r="20" customFormat="false" ht="12.75" hidden="false" customHeight="true" outlineLevel="0" collapsed="false">
      <c r="A20" s="2" t="n">
        <f aca="false">A19+1</f>
        <v>18</v>
      </c>
      <c r="B20" s="3" t="s">
        <v>18</v>
      </c>
    </row>
    <row r="21" customFormat="false" ht="12.75" hidden="false" customHeight="true" outlineLevel="0" collapsed="false">
      <c r="A21" s="2" t="n">
        <f aca="false">A20+1</f>
        <v>19</v>
      </c>
      <c r="B21" s="3" t="s">
        <v>19</v>
      </c>
    </row>
    <row r="22" customFormat="false" ht="12.75" hidden="false" customHeight="true" outlineLevel="0" collapsed="false">
      <c r="A22" s="2" t="n">
        <f aca="false">A21+1</f>
        <v>20</v>
      </c>
      <c r="B22" s="3" t="s">
        <v>20</v>
      </c>
    </row>
    <row r="23" customFormat="false" ht="12.75" hidden="false" customHeight="true" outlineLevel="0" collapsed="false">
      <c r="A23" s="2" t="n">
        <f aca="false">A22+1</f>
        <v>21</v>
      </c>
      <c r="B23" s="3" t="s">
        <v>21</v>
      </c>
    </row>
    <row r="24" customFormat="false" ht="12.75" hidden="false" customHeight="true" outlineLevel="0" collapsed="false">
      <c r="A24" s="4"/>
      <c r="B24" s="4"/>
    </row>
    <row r="25" customFormat="false" ht="12.75" hidden="false" customHeight="true" outlineLevel="0" collapsed="false">
      <c r="A25" s="3" t="s">
        <v>22</v>
      </c>
      <c r="B25" s="4"/>
    </row>
    <row r="26" customFormat="false" ht="12.75" hidden="false" customHeight="true" outlineLevel="0" collapsed="false">
      <c r="A26" s="4"/>
      <c r="B26" s="4"/>
    </row>
    <row r="27" customFormat="false" ht="12.75" hidden="false" customHeight="true" outlineLevel="0" collapsed="false">
      <c r="A27" s="2" t="n">
        <f aca="false">A23+1</f>
        <v>22</v>
      </c>
      <c r="B27" s="3" t="s">
        <v>23</v>
      </c>
    </row>
    <row r="28" customFormat="false" ht="12.75" hidden="false" customHeight="true" outlineLevel="0" collapsed="false">
      <c r="A28" s="2" t="n">
        <f aca="false">A27+1</f>
        <v>23</v>
      </c>
      <c r="B28" s="3" t="s">
        <v>24</v>
      </c>
    </row>
    <row r="29" customFormat="false" ht="12.75" hidden="false" customHeight="true" outlineLevel="0" collapsed="false"/>
    <row r="30" customFormat="false" ht="12.75" hidden="false" customHeight="true" outlineLevel="0" collapsed="false">
      <c r="A30" s="3" t="s">
        <v>25</v>
      </c>
    </row>
    <row r="31" customFormat="false" ht="12.75" hidden="false" customHeight="true" outlineLevel="0" collapsed="false">
      <c r="A31" s="5"/>
      <c r="B31" s="5"/>
    </row>
    <row r="32" customFormat="false" ht="12.75" hidden="false" customHeight="true" outlineLevel="0" collapsed="false">
      <c r="A32" s="5" t="n">
        <f aca="false">A28+1</f>
        <v>24</v>
      </c>
      <c r="B32" s="1" t="s">
        <v>26</v>
      </c>
    </row>
    <row r="33" customFormat="false" ht="12.75" hidden="false" customHeight="true" outlineLevel="0" collapsed="false">
      <c r="A33" s="5"/>
      <c r="B33" s="5"/>
    </row>
    <row r="34" customFormat="false" ht="12.75" hidden="false" customHeight="true" outlineLevel="0" collapsed="false">
      <c r="A34" s="1" t="s">
        <v>27</v>
      </c>
      <c r="B34" s="5"/>
    </row>
    <row r="35" customFormat="false" ht="12.75" hidden="false" customHeight="true" outlineLevel="0" collapsed="false">
      <c r="A35" s="5"/>
      <c r="B35" s="5"/>
    </row>
    <row r="36" customFormat="false" ht="12.75" hidden="false" customHeight="true" outlineLevel="0" collapsed="false">
      <c r="A36" s="5" t="n">
        <f aca="false">A32+1</f>
        <v>25</v>
      </c>
      <c r="B36" s="1" t="s">
        <v>28</v>
      </c>
    </row>
    <row r="37" customFormat="false" ht="12.75" hidden="false" customHeight="true" outlineLevel="0" collapsed="false"/>
    <row r="38" customFormat="false" ht="12.75" hidden="false" customHeight="true" outlineLevel="0" collapsed="false">
      <c r="A38" s="1" t="s">
        <v>29</v>
      </c>
    </row>
    <row r="39" customFormat="false" ht="12.75" hidden="false" customHeight="true" outlineLevel="0" collapsed="false"/>
    <row r="40" customFormat="false" ht="12.75" hidden="false" customHeight="true" outlineLevel="0" collapsed="false">
      <c r="A40" s="5" t="n">
        <f aca="false">A36+1</f>
        <v>26</v>
      </c>
      <c r="B40" s="1" t="s">
        <v>30</v>
      </c>
    </row>
    <row r="41" customFormat="false" ht="12.75" hidden="false" customHeight="true" outlineLevel="0" collapsed="false"/>
    <row r="42" customFormat="false" ht="12.75" hidden="false" customHeight="true" outlineLevel="0" collapsed="false">
      <c r="A42" s="1" t="s">
        <v>29</v>
      </c>
    </row>
    <row r="43" customFormat="false" ht="12.75" hidden="false" customHeight="true" outlineLevel="0" collapsed="false"/>
    <row r="44" customFormat="false" ht="12.75" hidden="false" customHeight="true" outlineLevel="0" collapsed="false">
      <c r="A44" s="5" t="n">
        <f aca="false">A40+1</f>
        <v>27</v>
      </c>
      <c r="B44" s="1" t="s">
        <v>31</v>
      </c>
    </row>
    <row r="45" customFormat="false" ht="12.75" hidden="false" customHeight="true" outlineLevel="0" collapsed="false"/>
    <row r="46" customFormat="false" ht="12.75" hidden="false" customHeight="true" outlineLevel="0" collapsed="false">
      <c r="A46" s="1" t="s">
        <v>32</v>
      </c>
      <c r="B46" s="5"/>
    </row>
    <row r="47" customFormat="false" ht="12.75" hidden="false" customHeight="true" outlineLevel="0" collapsed="false">
      <c r="A47" s="5"/>
      <c r="B47" s="5"/>
    </row>
    <row r="48" customFormat="false" ht="12.75" hidden="false" customHeight="true" outlineLevel="0" collapsed="false">
      <c r="A48" s="5" t="n">
        <f aca="false">A44+1</f>
        <v>28</v>
      </c>
      <c r="B48" s="1" t="s">
        <v>33</v>
      </c>
    </row>
    <row r="49" customFormat="false" ht="12.75" hidden="false" customHeight="true" outlineLevel="0" collapsed="false">
      <c r="A49" s="5"/>
      <c r="B49" s="5"/>
    </row>
    <row r="50" customFormat="false" ht="12.75" hidden="false" customHeight="true" outlineLevel="0" collapsed="false">
      <c r="A50" s="6" t="s">
        <v>34</v>
      </c>
      <c r="B50" s="7"/>
    </row>
    <row r="51" customFormat="false" ht="12.75" hidden="false" customHeight="true" outlineLevel="0" collapsed="false">
      <c r="A51" s="5"/>
      <c r="B51" s="5"/>
    </row>
    <row r="52" customFormat="false" ht="12.75" hidden="false" customHeight="true" outlineLevel="0" collapsed="false">
      <c r="A52" s="5" t="n">
        <f aca="false">A48+1</f>
        <v>29</v>
      </c>
      <c r="B52" s="6" t="s">
        <v>35</v>
      </c>
    </row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D6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9" activeCellId="0" sqref="G29"/>
    </sheetView>
  </sheetViews>
  <sheetFormatPr defaultColWidth="14.4453125" defaultRowHeight="15" zeroHeight="false" outlineLevelRow="0" outlineLevelCol="0"/>
  <cols>
    <col collapsed="false" customWidth="true" hidden="false" outlineLevel="0" max="1" min="1" style="8" width="24.87"/>
    <col collapsed="false" customWidth="true" hidden="false" outlineLevel="0" max="2" min="2" style="8" width="26.86"/>
    <col collapsed="false" customWidth="true" hidden="false" outlineLevel="0" max="3" min="3" style="8" width="20.57"/>
    <col collapsed="false" customWidth="true" hidden="false" outlineLevel="0" max="5" min="4" style="8" width="18"/>
    <col collapsed="false" customWidth="true" hidden="false" outlineLevel="0" max="6" min="6" style="8" width="23.29"/>
    <col collapsed="false" customWidth="true" hidden="false" outlineLevel="0" max="7" min="7" style="8" width="19.57"/>
    <col collapsed="false" customWidth="true" hidden="false" outlineLevel="0" max="8" min="8" style="8" width="18.29"/>
    <col collapsed="false" customWidth="true" hidden="false" outlineLevel="0" max="11" min="9" style="8" width="16"/>
    <col collapsed="false" customWidth="true" hidden="false" outlineLevel="0" max="12" min="12" style="8" width="17.43"/>
    <col collapsed="false" customWidth="true" hidden="false" outlineLevel="0" max="13" min="13" style="8" width="14.01"/>
    <col collapsed="false" customWidth="true" hidden="false" outlineLevel="0" max="14" min="14" style="8" width="12.86"/>
    <col collapsed="false" customWidth="true" hidden="false" outlineLevel="0" max="15" min="15" style="8" width="16.14"/>
    <col collapsed="false" customWidth="true" hidden="false" outlineLevel="0" max="16" min="16" style="8" width="16.87"/>
    <col collapsed="false" customWidth="true" hidden="false" outlineLevel="0" max="18" min="17" style="8" width="12.86"/>
    <col collapsed="false" customWidth="true" hidden="false" outlineLevel="0" max="19" min="19" style="8" width="12.57"/>
    <col collapsed="false" customWidth="true" hidden="false" outlineLevel="0" max="20" min="20" style="8" width="14.01"/>
    <col collapsed="false" customWidth="true" hidden="false" outlineLevel="0" max="21" min="21" style="8" width="11.57"/>
    <col collapsed="false" customWidth="true" hidden="false" outlineLevel="0" max="22" min="22" style="8" width="14.01"/>
    <col collapsed="false" customWidth="true" hidden="false" outlineLevel="0" max="23" min="23" style="8" width="11.86"/>
    <col collapsed="false" customWidth="true" hidden="false" outlineLevel="0" max="24" min="24" style="8" width="10.99"/>
    <col collapsed="false" customWidth="true" hidden="false" outlineLevel="0" max="25" min="25" style="8" width="11.43"/>
    <col collapsed="false" customWidth="false" hidden="false" outlineLevel="0" max="26" min="26" style="8" width="14.43"/>
    <col collapsed="false" customWidth="true" hidden="false" outlineLevel="0" max="31" min="27" style="8" width="16.43"/>
    <col collapsed="false" customWidth="true" hidden="false" outlineLevel="0" max="36" min="32" style="8" width="14.29"/>
    <col collapsed="false" customWidth="true" hidden="false" outlineLevel="0" max="38" min="37" style="8" width="11.57"/>
    <col collapsed="false" customWidth="true" hidden="false" outlineLevel="0" max="39" min="39" style="8" width="13.86"/>
    <col collapsed="false" customWidth="true" hidden="false" outlineLevel="0" max="40" min="40" style="8" width="11.86"/>
    <col collapsed="false" customWidth="true" hidden="false" outlineLevel="0" max="41" min="41" style="8" width="13.14"/>
    <col collapsed="false" customWidth="true" hidden="false" outlineLevel="0" max="46" min="42" style="8" width="12.86"/>
    <col collapsed="false" customWidth="true" hidden="false" outlineLevel="0" max="48" min="47" style="8" width="13.57"/>
    <col collapsed="false" customWidth="true" hidden="false" outlineLevel="0" max="49" min="49" style="8" width="10.58"/>
    <col collapsed="false" customWidth="true" hidden="false" outlineLevel="0" max="50" min="50" style="8" width="12.86"/>
    <col collapsed="false" customWidth="true" hidden="false" outlineLevel="0" max="51" min="51" style="8" width="12.43"/>
    <col collapsed="false" customWidth="true" hidden="false" outlineLevel="0" max="55" min="52" style="8" width="11.57"/>
    <col collapsed="false" customWidth="true" hidden="false" outlineLevel="0" max="56" min="56" style="8" width="13.01"/>
    <col collapsed="false" customWidth="true" hidden="false" outlineLevel="0" max="57" min="57" style="8" width="13.57"/>
    <col collapsed="false" customWidth="true" hidden="false" outlineLevel="0" max="58" min="58" style="8" width="13.01"/>
    <col collapsed="false" customWidth="true" hidden="false" outlineLevel="0" max="60" min="59" style="8" width="12.29"/>
    <col collapsed="false" customWidth="true" hidden="false" outlineLevel="0" max="61" min="61" style="8" width="12.14"/>
    <col collapsed="false" customWidth="true" hidden="false" outlineLevel="0" max="69" min="62" style="8" width="11.57"/>
    <col collapsed="false" customWidth="true" hidden="false" outlineLevel="0" max="70" min="70" style="8" width="15"/>
    <col collapsed="false" customWidth="true" hidden="false" outlineLevel="0" max="82" min="71" style="8" width="11.57"/>
    <col collapsed="false" customWidth="false" hidden="false" outlineLevel="0" max="1025" min="83" style="8" width="14.43"/>
  </cols>
  <sheetData>
    <row r="1" customFormat="false" ht="12.75" hidden="false" customHeight="true" outlineLevel="0" collapsed="false">
      <c r="D1" s="9" t="s">
        <v>36</v>
      </c>
      <c r="E1" s="9"/>
      <c r="F1" s="9"/>
      <c r="G1" s="9"/>
      <c r="H1" s="9"/>
      <c r="I1" s="9"/>
      <c r="J1" s="9"/>
      <c r="K1" s="9"/>
      <c r="L1" s="10" t="s">
        <v>36</v>
      </c>
      <c r="M1" s="10"/>
      <c r="N1" s="10"/>
      <c r="O1" s="10"/>
      <c r="P1" s="10"/>
      <c r="Q1" s="9" t="s">
        <v>36</v>
      </c>
      <c r="R1" s="9"/>
      <c r="S1" s="9"/>
      <c r="T1" s="9"/>
      <c r="U1" s="9"/>
      <c r="V1" s="10" t="s">
        <v>36</v>
      </c>
      <c r="W1" s="10"/>
      <c r="X1" s="10"/>
      <c r="Y1" s="10"/>
      <c r="Z1" s="10"/>
      <c r="AA1" s="9" t="s">
        <v>36</v>
      </c>
      <c r="AB1" s="9"/>
      <c r="AC1" s="9"/>
      <c r="AD1" s="9"/>
      <c r="AE1" s="9"/>
      <c r="AF1" s="10" t="s">
        <v>36</v>
      </c>
      <c r="AG1" s="10"/>
      <c r="AH1" s="10"/>
      <c r="AI1" s="10"/>
      <c r="AJ1" s="10"/>
      <c r="AK1" s="9" t="s">
        <v>36</v>
      </c>
      <c r="AL1" s="9"/>
      <c r="AM1" s="9"/>
      <c r="AN1" s="9"/>
      <c r="AO1" s="9"/>
      <c r="AP1" s="10" t="s">
        <v>36</v>
      </c>
      <c r="AQ1" s="10"/>
      <c r="AR1" s="10"/>
      <c r="AS1" s="10"/>
      <c r="AT1" s="10"/>
      <c r="AU1" s="9" t="s">
        <v>36</v>
      </c>
      <c r="AV1" s="9"/>
      <c r="AW1" s="9"/>
      <c r="AX1" s="9"/>
      <c r="AY1" s="9"/>
      <c r="AZ1" s="10" t="s">
        <v>36</v>
      </c>
      <c r="BA1" s="10"/>
      <c r="BB1" s="10"/>
      <c r="BC1" s="10"/>
      <c r="BD1" s="10"/>
      <c r="BE1" s="9" t="s">
        <v>36</v>
      </c>
      <c r="BF1" s="9"/>
      <c r="BG1" s="9"/>
      <c r="BH1" s="9"/>
      <c r="BI1" s="9"/>
      <c r="BJ1" s="10" t="s">
        <v>36</v>
      </c>
      <c r="BK1" s="10"/>
      <c r="BL1" s="10"/>
      <c r="BM1" s="10"/>
      <c r="BN1" s="10"/>
      <c r="BO1" s="9" t="s">
        <v>36</v>
      </c>
      <c r="BP1" s="9"/>
      <c r="BQ1" s="9"/>
      <c r="BR1" s="9"/>
      <c r="BS1" s="9"/>
      <c r="BT1" s="11" t="s">
        <v>36</v>
      </c>
      <c r="BU1" s="11"/>
      <c r="BV1" s="11"/>
      <c r="BW1" s="11"/>
      <c r="BX1" s="11"/>
      <c r="BY1" s="12"/>
      <c r="BZ1" s="12"/>
      <c r="CA1" s="12"/>
      <c r="CB1" s="12"/>
      <c r="CC1" s="12"/>
      <c r="CD1" s="12"/>
    </row>
    <row r="2" customFormat="false" ht="12.75" hidden="false" customHeight="true" outlineLevel="0" collapsed="false">
      <c r="B2" s="13" t="s">
        <v>37</v>
      </c>
      <c r="C2" s="8" t="s">
        <v>38</v>
      </c>
      <c r="D2" s="14" t="s">
        <v>39</v>
      </c>
      <c r="E2" s="9" t="s">
        <v>40</v>
      </c>
      <c r="F2" s="9" t="s">
        <v>41</v>
      </c>
      <c r="G2" s="9" t="s">
        <v>42</v>
      </c>
      <c r="H2" s="9" t="s">
        <v>43</v>
      </c>
      <c r="I2" s="9" t="s">
        <v>44</v>
      </c>
      <c r="J2" s="9" t="s">
        <v>45</v>
      </c>
      <c r="K2" s="9" t="s">
        <v>46</v>
      </c>
      <c r="L2" s="10" t="s">
        <v>47</v>
      </c>
      <c r="M2" s="10" t="s">
        <v>40</v>
      </c>
      <c r="N2" s="10" t="s">
        <v>41</v>
      </c>
      <c r="O2" s="10" t="s">
        <v>45</v>
      </c>
      <c r="P2" s="10" t="s">
        <v>46</v>
      </c>
      <c r="Q2" s="9" t="s">
        <v>48</v>
      </c>
      <c r="R2" s="9" t="s">
        <v>40</v>
      </c>
      <c r="S2" s="9" t="s">
        <v>49</v>
      </c>
      <c r="T2" s="9" t="s">
        <v>45</v>
      </c>
      <c r="U2" s="9" t="s">
        <v>46</v>
      </c>
      <c r="V2" s="10" t="s">
        <v>50</v>
      </c>
      <c r="W2" s="10" t="s">
        <v>40</v>
      </c>
      <c r="X2" s="10" t="s">
        <v>41</v>
      </c>
      <c r="Y2" s="10" t="s">
        <v>45</v>
      </c>
      <c r="Z2" s="10" t="s">
        <v>46</v>
      </c>
      <c r="AA2" s="9" t="s">
        <v>51</v>
      </c>
      <c r="AB2" s="9" t="s">
        <v>40</v>
      </c>
      <c r="AC2" s="9" t="s">
        <v>41</v>
      </c>
      <c r="AD2" s="9" t="s">
        <v>45</v>
      </c>
      <c r="AE2" s="9" t="s">
        <v>46</v>
      </c>
      <c r="AF2" s="10" t="s">
        <v>52</v>
      </c>
      <c r="AG2" s="10" t="s">
        <v>40</v>
      </c>
      <c r="AH2" s="10" t="s">
        <v>41</v>
      </c>
      <c r="AI2" s="10" t="s">
        <v>45</v>
      </c>
      <c r="AJ2" s="10" t="s">
        <v>46</v>
      </c>
      <c r="AK2" s="9" t="s">
        <v>53</v>
      </c>
      <c r="AL2" s="9" t="s">
        <v>40</v>
      </c>
      <c r="AM2" s="9" t="s">
        <v>41</v>
      </c>
      <c r="AN2" s="9" t="s">
        <v>45</v>
      </c>
      <c r="AO2" s="9" t="s">
        <v>46</v>
      </c>
      <c r="AP2" s="10" t="s">
        <v>54</v>
      </c>
      <c r="AQ2" s="10" t="s">
        <v>40</v>
      </c>
      <c r="AR2" s="10" t="s">
        <v>41</v>
      </c>
      <c r="AS2" s="10" t="s">
        <v>45</v>
      </c>
      <c r="AT2" s="10" t="s">
        <v>46</v>
      </c>
      <c r="AU2" s="9" t="s">
        <v>55</v>
      </c>
      <c r="AV2" s="9" t="s">
        <v>40</v>
      </c>
      <c r="AW2" s="9" t="s">
        <v>41</v>
      </c>
      <c r="AX2" s="9" t="s">
        <v>45</v>
      </c>
      <c r="AY2" s="9" t="s">
        <v>46</v>
      </c>
      <c r="AZ2" s="10" t="s">
        <v>56</v>
      </c>
      <c r="BA2" s="10" t="s">
        <v>40</v>
      </c>
      <c r="BB2" s="10" t="s">
        <v>41</v>
      </c>
      <c r="BC2" s="10" t="s">
        <v>45</v>
      </c>
      <c r="BD2" s="10" t="s">
        <v>46</v>
      </c>
      <c r="BE2" s="9" t="s">
        <v>57</v>
      </c>
      <c r="BF2" s="9" t="s">
        <v>40</v>
      </c>
      <c r="BG2" s="9" t="s">
        <v>41</v>
      </c>
      <c r="BH2" s="9" t="s">
        <v>45</v>
      </c>
      <c r="BI2" s="9" t="s">
        <v>46</v>
      </c>
      <c r="BJ2" s="10" t="s">
        <v>58</v>
      </c>
      <c r="BK2" s="10" t="s">
        <v>40</v>
      </c>
      <c r="BL2" s="10" t="s">
        <v>41</v>
      </c>
      <c r="BM2" s="10" t="s">
        <v>45</v>
      </c>
      <c r="BN2" s="10" t="s">
        <v>46</v>
      </c>
      <c r="BO2" s="9" t="s">
        <v>59</v>
      </c>
      <c r="BP2" s="9" t="s">
        <v>40</v>
      </c>
      <c r="BQ2" s="9" t="s">
        <v>41</v>
      </c>
      <c r="BR2" s="9" t="s">
        <v>45</v>
      </c>
      <c r="BS2" s="9" t="s">
        <v>46</v>
      </c>
      <c r="BT2" s="11" t="s">
        <v>60</v>
      </c>
      <c r="BU2" s="11" t="s">
        <v>40</v>
      </c>
      <c r="BV2" s="11" t="s">
        <v>41</v>
      </c>
      <c r="BW2" s="11" t="s">
        <v>45</v>
      </c>
      <c r="BX2" s="11" t="s">
        <v>46</v>
      </c>
      <c r="BY2" s="12"/>
      <c r="BZ2" s="12"/>
      <c r="CA2" s="12"/>
      <c r="CB2" s="12"/>
      <c r="CC2" s="12"/>
      <c r="CD2" s="12"/>
    </row>
    <row r="3" customFormat="false" ht="12.75" hidden="false" customHeight="true" outlineLevel="0" collapsed="false">
      <c r="A3" s="8" t="s">
        <v>61</v>
      </c>
      <c r="B3" s="13" t="s">
        <v>62</v>
      </c>
      <c r="C3" s="13" t="n">
        <v>2</v>
      </c>
      <c r="D3" s="8" t="n">
        <f aca="false">F3/C3</f>
        <v>0.35</v>
      </c>
      <c r="E3" s="8" t="n">
        <f aca="false">1/D3</f>
        <v>2.85714285714286</v>
      </c>
      <c r="F3" s="13" t="n">
        <v>0.7</v>
      </c>
      <c r="G3" s="13" t="n">
        <v>0.12</v>
      </c>
      <c r="H3" s="8" t="n">
        <f aca="false">G3/D132</f>
        <v>0.0020193036436523</v>
      </c>
      <c r="I3" s="8" t="n">
        <f aca="false">1/H$3</f>
        <v>495.22022264631</v>
      </c>
      <c r="J3" s="8" t="n">
        <v>1</v>
      </c>
      <c r="K3" s="8" t="n">
        <f aca="false">F3*J3</f>
        <v>0.7</v>
      </c>
      <c r="L3" s="8" t="n">
        <f aca="false">IF(N3/C3&gt;1,1,N3/C3)</f>
        <v>0.6</v>
      </c>
      <c r="M3" s="8" t="n">
        <f aca="false">1/L3</f>
        <v>1.66666666666667</v>
      </c>
      <c r="N3" s="13" t="n">
        <v>1.2</v>
      </c>
      <c r="O3" s="8" t="n">
        <v>1</v>
      </c>
      <c r="P3" s="8" t="n">
        <f aca="false">N3*O3</f>
        <v>1.2</v>
      </c>
      <c r="Q3" s="8" t="n">
        <f aca="false">IF(S3/C3&gt;1,1,S3/C3)</f>
        <v>0.7</v>
      </c>
      <c r="R3" s="8" t="n">
        <f aca="false">1/Q3</f>
        <v>1.42857142857143</v>
      </c>
      <c r="S3" s="13" t="n">
        <v>1.4</v>
      </c>
      <c r="T3" s="8" t="n">
        <v>1</v>
      </c>
      <c r="U3" s="8" t="n">
        <f aca="false">S3*T3</f>
        <v>1.4</v>
      </c>
      <c r="V3" s="8" t="n">
        <f aca="false">IF(X3/C3&gt;1,1,X3/C3)</f>
        <v>0.75</v>
      </c>
      <c r="W3" s="8" t="n">
        <f aca="false">1/V3</f>
        <v>1.33333333333333</v>
      </c>
      <c r="X3" s="13" t="n">
        <v>1.5</v>
      </c>
      <c r="Y3" s="8" t="n">
        <v>5</v>
      </c>
      <c r="Z3" s="8" t="n">
        <f aca="false">X3*Y3</f>
        <v>7.5</v>
      </c>
      <c r="AA3" s="8" t="n">
        <f aca="false">IF(AC3/C3&gt;1,1,AC3/C3)</f>
        <v>0.65</v>
      </c>
      <c r="AB3" s="8" t="n">
        <f aca="false">1/AA3</f>
        <v>1.53846153846154</v>
      </c>
      <c r="AC3" s="13" t="n">
        <v>1.3</v>
      </c>
      <c r="AD3" s="8" t="n">
        <v>3</v>
      </c>
      <c r="AE3" s="8" t="n">
        <f aca="false">AC3*AD3</f>
        <v>3.9</v>
      </c>
      <c r="AF3" s="8" t="n">
        <f aca="false">IF(AH3/C3&gt;1,1,AH3/C3)</f>
        <v>0.8</v>
      </c>
      <c r="AG3" s="8" t="n">
        <f aca="false">1/AF3</f>
        <v>1.25</v>
      </c>
      <c r="AH3" s="13" t="n">
        <v>1.6</v>
      </c>
      <c r="AI3" s="8" t="n">
        <v>1</v>
      </c>
      <c r="AJ3" s="8" t="n">
        <f aca="false">AH3*AI3</f>
        <v>1.6</v>
      </c>
      <c r="AK3" s="8" t="n">
        <f aca="false">IF(AM3/C3&gt;1,1,AM3/C3)</f>
        <v>0.9</v>
      </c>
      <c r="AL3" s="8" t="n">
        <f aca="false">1/AK3</f>
        <v>1.11111111111111</v>
      </c>
      <c r="AM3" s="13" t="n">
        <v>1.8</v>
      </c>
      <c r="AN3" s="8" t="n">
        <v>1</v>
      </c>
      <c r="AO3" s="8" t="n">
        <f aca="false">AM3*AN3</f>
        <v>1.8</v>
      </c>
      <c r="AP3" s="8" t="n">
        <f aca="false">IF(AR3/C3&gt;1,1,AR3/C3)</f>
        <v>0.95</v>
      </c>
      <c r="AQ3" s="8" t="n">
        <f aca="false">1/AP3</f>
        <v>1.05263157894737</v>
      </c>
      <c r="AR3" s="13" t="n">
        <v>1.9</v>
      </c>
      <c r="AS3" s="8" t="n">
        <v>2</v>
      </c>
      <c r="AT3" s="8" t="n">
        <f aca="false">AR3*AS3</f>
        <v>3.8</v>
      </c>
      <c r="AU3" s="8" t="n">
        <f aca="false">IF(AW3/C3&gt;1,1,AW3/C3)</f>
        <v>1</v>
      </c>
      <c r="AV3" s="8" t="n">
        <f aca="false">1/AU3</f>
        <v>1</v>
      </c>
      <c r="AW3" s="13" t="n">
        <v>2</v>
      </c>
      <c r="AX3" s="8" t="n">
        <v>5</v>
      </c>
      <c r="AY3" s="8" t="n">
        <f aca="false">AW3*AX3</f>
        <v>10</v>
      </c>
      <c r="AZ3" s="8" t="n">
        <f aca="false">IF(BB3/C3&gt;1,1,BB3/C3)</f>
        <v>0.8</v>
      </c>
      <c r="BA3" s="8" t="n">
        <f aca="false">1/AZ3</f>
        <v>1.25</v>
      </c>
      <c r="BB3" s="13" t="n">
        <v>1.6</v>
      </c>
      <c r="BC3" s="8" t="n">
        <v>10</v>
      </c>
      <c r="BD3" s="8" t="n">
        <f aca="false">BB3*BC3</f>
        <v>16</v>
      </c>
      <c r="BE3" s="8" t="n">
        <f aca="false">IF(BG3/C3&gt;1,1,BG3/C3)</f>
        <v>0.95</v>
      </c>
      <c r="BF3" s="8" t="n">
        <f aca="false">1/BE3</f>
        <v>1.05263157894737</v>
      </c>
      <c r="BG3" s="13" t="n">
        <v>1.9</v>
      </c>
      <c r="BH3" s="8" t="n">
        <v>1</v>
      </c>
      <c r="BI3" s="8" t="n">
        <f aca="false">BG3*BH3</f>
        <v>1.9</v>
      </c>
      <c r="BJ3" s="8" t="n">
        <f aca="false">IF(BL3/C3&gt;1,1,BL3/C3)</f>
        <v>1</v>
      </c>
      <c r="BK3" s="8" t="n">
        <f aca="false">1/BJ3</f>
        <v>1</v>
      </c>
      <c r="BL3" s="13" t="n">
        <v>2</v>
      </c>
      <c r="BM3" s="8" t="n">
        <v>1</v>
      </c>
      <c r="BN3" s="8" t="n">
        <f aca="false">BL3*BM3</f>
        <v>2</v>
      </c>
      <c r="BO3" s="8" t="n">
        <f aca="false">IF(BQ3/C3&gt;1,1,BQ3/C3)</f>
        <v>1</v>
      </c>
      <c r="BP3" s="8" t="n">
        <f aca="false">1/BO3</f>
        <v>1</v>
      </c>
      <c r="BQ3" s="13" t="n">
        <v>2</v>
      </c>
      <c r="BR3" s="8" t="n">
        <v>12</v>
      </c>
      <c r="BS3" s="8" t="n">
        <f aca="false">BQ3*BR3</f>
        <v>24</v>
      </c>
      <c r="BT3" s="8" t="n">
        <f aca="false">IF(BV3/C3&gt;1,1,BV3/C3)</f>
        <v>0.95</v>
      </c>
      <c r="BU3" s="8" t="n">
        <f aca="false">1/BT3</f>
        <v>1.05263157894737</v>
      </c>
      <c r="BV3" s="13" t="n">
        <v>1.9</v>
      </c>
      <c r="BW3" s="8" t="n">
        <v>10</v>
      </c>
      <c r="BX3" s="8" t="n">
        <f aca="false">BV3*BW3</f>
        <v>19</v>
      </c>
    </row>
    <row r="4" customFormat="false" ht="12.75" hidden="false" customHeight="true" outlineLevel="0" collapsed="false">
      <c r="A4" s="8" t="s">
        <v>63</v>
      </c>
      <c r="B4" s="13" t="s">
        <v>64</v>
      </c>
      <c r="C4" s="13" t="n">
        <v>3</v>
      </c>
      <c r="D4" s="8" t="n">
        <f aca="false">F4/C4</f>
        <v>0.233333333333333</v>
      </c>
      <c r="E4" s="8" t="n">
        <f aca="false">1/D4</f>
        <v>4.28571428571429</v>
      </c>
      <c r="F4" s="8" t="n">
        <f aca="false">F$3</f>
        <v>0.7</v>
      </c>
      <c r="G4" s="8" t="n">
        <f aca="false">G$3</f>
        <v>0.12</v>
      </c>
      <c r="H4" s="8" t="n">
        <f aca="false">G4/D$132</f>
        <v>0.0020193036436523</v>
      </c>
      <c r="I4" s="8" t="n">
        <f aca="false">1/H$3</f>
        <v>495.22022264631</v>
      </c>
      <c r="J4" s="8" t="n">
        <f aca="false">J$3</f>
        <v>1</v>
      </c>
      <c r="K4" s="8" t="n">
        <f aca="false">F4*J4</f>
        <v>0.7</v>
      </c>
      <c r="L4" s="8" t="n">
        <f aca="false">IF(N4/C4&gt;1,1,N4/C4)</f>
        <v>0.4</v>
      </c>
      <c r="M4" s="8" t="n">
        <f aca="false">1/L4</f>
        <v>2.5</v>
      </c>
      <c r="N4" s="8" t="n">
        <f aca="false">N$3</f>
        <v>1.2</v>
      </c>
      <c r="O4" s="8" t="n">
        <f aca="false">O$3</f>
        <v>1</v>
      </c>
      <c r="P4" s="8" t="n">
        <f aca="false">N4*O4</f>
        <v>1.2</v>
      </c>
      <c r="Q4" s="8" t="n">
        <f aca="false">IF(S4/C4&gt;1,1,S4/C4)</f>
        <v>0.466666666666667</v>
      </c>
      <c r="R4" s="8" t="n">
        <f aca="false">1/Q4</f>
        <v>2.14285714285714</v>
      </c>
      <c r="S4" s="8" t="n">
        <f aca="false">S$3</f>
        <v>1.4</v>
      </c>
      <c r="T4" s="8" t="n">
        <f aca="false">T$3</f>
        <v>1</v>
      </c>
      <c r="U4" s="8" t="n">
        <f aca="false">S4*T4</f>
        <v>1.4</v>
      </c>
      <c r="V4" s="8" t="n">
        <f aca="false">IF(X4/C4&gt;1,1,X4/C4)</f>
        <v>0.5</v>
      </c>
      <c r="W4" s="8" t="n">
        <f aca="false">1/V4</f>
        <v>2</v>
      </c>
      <c r="X4" s="8" t="n">
        <f aca="false">X$3</f>
        <v>1.5</v>
      </c>
      <c r="Y4" s="8" t="n">
        <f aca="false">Y$3</f>
        <v>5</v>
      </c>
      <c r="Z4" s="8" t="n">
        <f aca="false">X4*Y4</f>
        <v>7.5</v>
      </c>
      <c r="AA4" s="8" t="n">
        <f aca="false">IF(AC4/C4&gt;1,1,AC4/C4)</f>
        <v>0.433333333333333</v>
      </c>
      <c r="AB4" s="8" t="n">
        <f aca="false">1/AA4</f>
        <v>2.30769230769231</v>
      </c>
      <c r="AC4" s="8" t="n">
        <f aca="false">AC$3</f>
        <v>1.3</v>
      </c>
      <c r="AD4" s="8" t="n">
        <f aca="false">AD$3</f>
        <v>3</v>
      </c>
      <c r="AE4" s="8" t="n">
        <f aca="false">AC4*AD4</f>
        <v>3.9</v>
      </c>
      <c r="AF4" s="8" t="n">
        <f aca="false">IF(AH4/C4&gt;1,1,AH4/C4)</f>
        <v>0.533333333333333</v>
      </c>
      <c r="AG4" s="8" t="n">
        <f aca="false">1/AF4</f>
        <v>1.875</v>
      </c>
      <c r="AH4" s="8" t="n">
        <f aca="false">AH$3</f>
        <v>1.6</v>
      </c>
      <c r="AI4" s="8" t="n">
        <f aca="false">AI$3</f>
        <v>1</v>
      </c>
      <c r="AJ4" s="8" t="n">
        <f aca="false">AH4*AI4</f>
        <v>1.6</v>
      </c>
      <c r="AK4" s="8" t="n">
        <f aca="false">IF(AM4/C4&gt;1,1,AM4/C4)</f>
        <v>0.6</v>
      </c>
      <c r="AL4" s="8" t="n">
        <f aca="false">1/AK4</f>
        <v>1.66666666666667</v>
      </c>
      <c r="AM4" s="8" t="n">
        <f aca="false">AM$3</f>
        <v>1.8</v>
      </c>
      <c r="AN4" s="8" t="n">
        <f aca="false">AN$3</f>
        <v>1</v>
      </c>
      <c r="AO4" s="8" t="n">
        <f aca="false">AM4*AN4</f>
        <v>1.8</v>
      </c>
      <c r="AP4" s="8" t="n">
        <f aca="false">IF(AR4/C4&gt;1,1,AR4/C4)</f>
        <v>0.633333333333333</v>
      </c>
      <c r="AQ4" s="8" t="n">
        <f aca="false">1/AP4</f>
        <v>1.57894736842105</v>
      </c>
      <c r="AR4" s="8" t="n">
        <f aca="false">AR$3</f>
        <v>1.9</v>
      </c>
      <c r="AS4" s="8" t="n">
        <f aca="false">AS$3</f>
        <v>2</v>
      </c>
      <c r="AT4" s="8" t="n">
        <f aca="false">AR4*AS4</f>
        <v>3.8</v>
      </c>
      <c r="AU4" s="8" t="n">
        <f aca="false">IF(AW4/C4&gt;1,1,AW4/C4)</f>
        <v>0.666666666666667</v>
      </c>
      <c r="AV4" s="8" t="n">
        <f aca="false">1/AU4</f>
        <v>1.5</v>
      </c>
      <c r="AW4" s="8" t="n">
        <f aca="false">AW$3</f>
        <v>2</v>
      </c>
      <c r="AX4" s="8" t="n">
        <f aca="false">AX$3</f>
        <v>5</v>
      </c>
      <c r="AY4" s="8" t="n">
        <f aca="false">AW4*AX4</f>
        <v>10</v>
      </c>
      <c r="AZ4" s="8" t="n">
        <f aca="false">IF(BB4/C4&gt;1,1,BB4/C4)</f>
        <v>0.533333333333333</v>
      </c>
      <c r="BA4" s="8" t="n">
        <f aca="false">1/AZ4</f>
        <v>1.875</v>
      </c>
      <c r="BB4" s="8" t="n">
        <f aca="false">BB$3</f>
        <v>1.6</v>
      </c>
      <c r="BC4" s="8" t="n">
        <f aca="false">BC$3</f>
        <v>10</v>
      </c>
      <c r="BD4" s="8" t="n">
        <f aca="false">BB4*BC4</f>
        <v>16</v>
      </c>
      <c r="BE4" s="8" t="n">
        <f aca="false">IF(BG4/C4&gt;1,1,BG4/C4)</f>
        <v>0.633333333333333</v>
      </c>
      <c r="BF4" s="8" t="n">
        <f aca="false">1/BE4</f>
        <v>1.57894736842105</v>
      </c>
      <c r="BG4" s="8" t="n">
        <f aca="false">BG$3</f>
        <v>1.9</v>
      </c>
      <c r="BH4" s="8" t="n">
        <f aca="false">BH$3</f>
        <v>1</v>
      </c>
      <c r="BI4" s="8" t="n">
        <f aca="false">BG4*BH4</f>
        <v>1.9</v>
      </c>
      <c r="BJ4" s="8" t="n">
        <f aca="false">IF(BL4/C4&gt;1,1,BL4/C4)</f>
        <v>0.666666666666667</v>
      </c>
      <c r="BK4" s="8" t="n">
        <f aca="false">1/BJ4</f>
        <v>1.5</v>
      </c>
      <c r="BL4" s="8" t="n">
        <f aca="false">BL$3</f>
        <v>2</v>
      </c>
      <c r="BM4" s="8" t="n">
        <f aca="false">BM$3</f>
        <v>1</v>
      </c>
      <c r="BN4" s="8" t="n">
        <f aca="false">BL4*BM4</f>
        <v>2</v>
      </c>
      <c r="BO4" s="8" t="n">
        <f aca="false">IF(BQ4/C4&gt;1,1,BQ4/C4)</f>
        <v>0.666666666666667</v>
      </c>
      <c r="BP4" s="8" t="n">
        <f aca="false">1/BO4</f>
        <v>1.5</v>
      </c>
      <c r="BQ4" s="8" t="n">
        <f aca="false">BQ$3</f>
        <v>2</v>
      </c>
      <c r="BR4" s="8" t="n">
        <f aca="false">BR$3</f>
        <v>12</v>
      </c>
      <c r="BS4" s="8" t="n">
        <f aca="false">BQ4*BR4</f>
        <v>24</v>
      </c>
      <c r="BT4" s="8" t="n">
        <f aca="false">IF(BV4/C4&gt;1,1,BV4/C4)</f>
        <v>0.633333333333333</v>
      </c>
      <c r="BU4" s="8" t="n">
        <f aca="false">1/BT4</f>
        <v>1.57894736842105</v>
      </c>
      <c r="BV4" s="8" t="n">
        <f aca="false">BV$3</f>
        <v>1.9</v>
      </c>
      <c r="BW4" s="8" t="n">
        <f aca="false">BW$3</f>
        <v>10</v>
      </c>
      <c r="BX4" s="8" t="n">
        <f aca="false">BV4*BW4</f>
        <v>19</v>
      </c>
    </row>
    <row r="5" customFormat="false" ht="12.75" hidden="false" customHeight="true" outlineLevel="0" collapsed="false">
      <c r="A5" s="8" t="s">
        <v>65</v>
      </c>
      <c r="B5" s="13" t="s">
        <v>66</v>
      </c>
      <c r="C5" s="13" t="n">
        <v>4</v>
      </c>
      <c r="D5" s="8" t="n">
        <f aca="false">F5/C5</f>
        <v>0.175</v>
      </c>
      <c r="E5" s="8" t="n">
        <f aca="false">1/D5</f>
        <v>5.71428571428571</v>
      </c>
      <c r="F5" s="8" t="n">
        <f aca="false">F$3</f>
        <v>0.7</v>
      </c>
      <c r="G5" s="8" t="n">
        <f aca="false">G$3</f>
        <v>0.12</v>
      </c>
      <c r="H5" s="8" t="n">
        <f aca="false">G5/D$132</f>
        <v>0.0020193036436523</v>
      </c>
      <c r="I5" s="8" t="n">
        <f aca="false">1/H$3</f>
        <v>495.22022264631</v>
      </c>
      <c r="J5" s="8" t="n">
        <f aca="false">J$3</f>
        <v>1</v>
      </c>
      <c r="K5" s="8" t="n">
        <f aca="false">F5*J5</f>
        <v>0.7</v>
      </c>
      <c r="L5" s="8" t="n">
        <f aca="false">IF(N5/C5&gt;1,1,N5/C5)</f>
        <v>0.3</v>
      </c>
      <c r="M5" s="8" t="n">
        <f aca="false">1/L5</f>
        <v>3.33333333333333</v>
      </c>
      <c r="N5" s="8" t="n">
        <f aca="false">N$3</f>
        <v>1.2</v>
      </c>
      <c r="O5" s="8" t="n">
        <f aca="false">O$3</f>
        <v>1</v>
      </c>
      <c r="P5" s="8" t="n">
        <f aca="false">N5*O5</f>
        <v>1.2</v>
      </c>
      <c r="Q5" s="8" t="n">
        <f aca="false">IF(S5/C5&gt;1,1,S5/C5)</f>
        <v>0.35</v>
      </c>
      <c r="R5" s="8" t="n">
        <f aca="false">1/Q5</f>
        <v>2.85714285714286</v>
      </c>
      <c r="S5" s="8" t="n">
        <f aca="false">S$3</f>
        <v>1.4</v>
      </c>
      <c r="T5" s="8" t="n">
        <f aca="false">T$3</f>
        <v>1</v>
      </c>
      <c r="U5" s="8" t="n">
        <f aca="false">S5*T5</f>
        <v>1.4</v>
      </c>
      <c r="V5" s="8" t="n">
        <f aca="false">IF(X5/C5&gt;1,1,X5/C5)</f>
        <v>0.375</v>
      </c>
      <c r="W5" s="8" t="n">
        <f aca="false">1/V5</f>
        <v>2.66666666666667</v>
      </c>
      <c r="X5" s="8" t="n">
        <f aca="false">X$3</f>
        <v>1.5</v>
      </c>
      <c r="Y5" s="8" t="n">
        <f aca="false">Y$3</f>
        <v>5</v>
      </c>
      <c r="Z5" s="8" t="n">
        <f aca="false">X5*Y5</f>
        <v>7.5</v>
      </c>
      <c r="AA5" s="8" t="n">
        <f aca="false">IF(AC5/C5&gt;1,1,AC5/C5)</f>
        <v>0.325</v>
      </c>
      <c r="AB5" s="8" t="n">
        <f aca="false">1/AA5</f>
        <v>3.07692307692308</v>
      </c>
      <c r="AC5" s="8" t="n">
        <f aca="false">AC$3</f>
        <v>1.3</v>
      </c>
      <c r="AD5" s="8" t="n">
        <f aca="false">AD$3</f>
        <v>3</v>
      </c>
      <c r="AE5" s="8" t="n">
        <f aca="false">AC5*AD5</f>
        <v>3.9</v>
      </c>
      <c r="AF5" s="8" t="n">
        <f aca="false">IF(AH5/C5&gt;1,1,AH5/C5)</f>
        <v>0.4</v>
      </c>
      <c r="AG5" s="8" t="n">
        <f aca="false">1/AF5</f>
        <v>2.5</v>
      </c>
      <c r="AH5" s="8" t="n">
        <f aca="false">AH$3</f>
        <v>1.6</v>
      </c>
      <c r="AI5" s="8" t="n">
        <f aca="false">AI$3</f>
        <v>1</v>
      </c>
      <c r="AJ5" s="8" t="n">
        <f aca="false">AH5*AI5</f>
        <v>1.6</v>
      </c>
      <c r="AK5" s="8" t="n">
        <f aca="false">IF(AM5/C5&gt;1,1,AM5/C5)</f>
        <v>0.45</v>
      </c>
      <c r="AL5" s="8" t="n">
        <f aca="false">1/AK5</f>
        <v>2.22222222222222</v>
      </c>
      <c r="AM5" s="8" t="n">
        <f aca="false">AM$3</f>
        <v>1.8</v>
      </c>
      <c r="AN5" s="8" t="n">
        <f aca="false">AN$3</f>
        <v>1</v>
      </c>
      <c r="AO5" s="8" t="n">
        <f aca="false">AM5*AN5</f>
        <v>1.8</v>
      </c>
      <c r="AP5" s="8" t="n">
        <f aca="false">IF(AR5/C5&gt;1,1,AR5/C5)</f>
        <v>0.475</v>
      </c>
      <c r="AQ5" s="8" t="n">
        <f aca="false">1/AP5</f>
        <v>2.10526315789474</v>
      </c>
      <c r="AR5" s="8" t="n">
        <f aca="false">AR$3</f>
        <v>1.9</v>
      </c>
      <c r="AS5" s="8" t="n">
        <f aca="false">AS$3</f>
        <v>2</v>
      </c>
      <c r="AT5" s="8" t="n">
        <f aca="false">AR5*AS5</f>
        <v>3.8</v>
      </c>
      <c r="AU5" s="8" t="n">
        <f aca="false">IF(AW5/C5&gt;1,1,AW5/C5)</f>
        <v>0.5</v>
      </c>
      <c r="AV5" s="8" t="n">
        <f aca="false">1/AU5</f>
        <v>2</v>
      </c>
      <c r="AW5" s="8" t="n">
        <f aca="false">AW$3</f>
        <v>2</v>
      </c>
      <c r="AX5" s="8" t="n">
        <f aca="false">AX$3</f>
        <v>5</v>
      </c>
      <c r="AY5" s="8" t="n">
        <f aca="false">AW5*AX5</f>
        <v>10</v>
      </c>
      <c r="AZ5" s="8" t="n">
        <f aca="false">IF(BB5/C5&gt;1,1,BB5/C5)</f>
        <v>0.4</v>
      </c>
      <c r="BA5" s="8" t="n">
        <f aca="false">1/AZ5</f>
        <v>2.5</v>
      </c>
      <c r="BB5" s="8" t="n">
        <f aca="false">BB$3</f>
        <v>1.6</v>
      </c>
      <c r="BC5" s="8" t="n">
        <f aca="false">BC$3</f>
        <v>10</v>
      </c>
      <c r="BD5" s="8" t="n">
        <f aca="false">BB5*BC5</f>
        <v>16</v>
      </c>
      <c r="BE5" s="8" t="n">
        <f aca="false">IF(BG5/C5&gt;1,1,BG5/C5)</f>
        <v>0.475</v>
      </c>
      <c r="BF5" s="8" t="n">
        <f aca="false">1/BE5</f>
        <v>2.10526315789474</v>
      </c>
      <c r="BG5" s="8" t="n">
        <f aca="false">BG$3</f>
        <v>1.9</v>
      </c>
      <c r="BH5" s="8" t="n">
        <f aca="false">BH$3</f>
        <v>1</v>
      </c>
      <c r="BI5" s="8" t="n">
        <f aca="false">BG5*BH5</f>
        <v>1.9</v>
      </c>
      <c r="BJ5" s="8" t="n">
        <f aca="false">IF(BL5/C5&gt;1,1,BL5/C5)</f>
        <v>0.5</v>
      </c>
      <c r="BK5" s="8" t="n">
        <f aca="false">1/BJ5</f>
        <v>2</v>
      </c>
      <c r="BL5" s="8" t="n">
        <f aca="false">BL$3</f>
        <v>2</v>
      </c>
      <c r="BM5" s="8" t="n">
        <f aca="false">BM$3</f>
        <v>1</v>
      </c>
      <c r="BN5" s="8" t="n">
        <f aca="false">BL5*BM5</f>
        <v>2</v>
      </c>
      <c r="BO5" s="8" t="n">
        <f aca="false">IF(BQ5/C5&gt;1,1,BQ5/C5)</f>
        <v>0.5</v>
      </c>
      <c r="BP5" s="8" t="n">
        <f aca="false">1/BO5</f>
        <v>2</v>
      </c>
      <c r="BQ5" s="8" t="n">
        <f aca="false">BQ$3</f>
        <v>2</v>
      </c>
      <c r="BR5" s="8" t="n">
        <f aca="false">BR$3</f>
        <v>12</v>
      </c>
      <c r="BS5" s="8" t="n">
        <f aca="false">BQ5*BR5</f>
        <v>24</v>
      </c>
      <c r="BT5" s="8" t="n">
        <f aca="false">IF(BV5/C5&gt;1,1,BV5/C5)</f>
        <v>0.475</v>
      </c>
      <c r="BU5" s="8" t="n">
        <f aca="false">1/BT5</f>
        <v>2.10526315789474</v>
      </c>
      <c r="BV5" s="8" t="n">
        <f aca="false">BV$3</f>
        <v>1.9</v>
      </c>
      <c r="BW5" s="8" t="n">
        <f aca="false">BW$3</f>
        <v>10</v>
      </c>
      <c r="BX5" s="8" t="n">
        <f aca="false">BV5*BW5</f>
        <v>19</v>
      </c>
    </row>
    <row r="6" customFormat="false" ht="12.75" hidden="false" customHeight="true" outlineLevel="0" collapsed="false">
      <c r="A6" s="8" t="s">
        <v>67</v>
      </c>
      <c r="B6" s="13" t="s">
        <v>68</v>
      </c>
      <c r="C6" s="13" t="n">
        <v>5</v>
      </c>
      <c r="D6" s="8" t="n">
        <f aca="false">F6/C6</f>
        <v>0.14</v>
      </c>
      <c r="E6" s="8" t="n">
        <f aca="false">1/D6</f>
        <v>7.14285714285714</v>
      </c>
      <c r="F6" s="8" t="n">
        <f aca="false">F$3</f>
        <v>0.7</v>
      </c>
      <c r="G6" s="8" t="n">
        <f aca="false">G$3</f>
        <v>0.12</v>
      </c>
      <c r="H6" s="8" t="n">
        <f aca="false">G6/D$132</f>
        <v>0.0020193036436523</v>
      </c>
      <c r="I6" s="8" t="n">
        <f aca="false">1/H$3</f>
        <v>495.22022264631</v>
      </c>
      <c r="J6" s="8" t="n">
        <f aca="false">J$3</f>
        <v>1</v>
      </c>
      <c r="K6" s="8" t="n">
        <f aca="false">F6*J6</f>
        <v>0.7</v>
      </c>
      <c r="L6" s="8" t="n">
        <f aca="false">IF(N6/C6&gt;1,1,N6/C6)</f>
        <v>0.24</v>
      </c>
      <c r="M6" s="8" t="n">
        <f aca="false">1/L6</f>
        <v>4.16666666666667</v>
      </c>
      <c r="N6" s="8" t="n">
        <f aca="false">N$3</f>
        <v>1.2</v>
      </c>
      <c r="O6" s="8" t="n">
        <f aca="false">O$3</f>
        <v>1</v>
      </c>
      <c r="P6" s="8" t="n">
        <f aca="false">N6*O6</f>
        <v>1.2</v>
      </c>
      <c r="Q6" s="8" t="n">
        <f aca="false">IF(S6/C6&gt;1,1,S6/C6)</f>
        <v>0.28</v>
      </c>
      <c r="R6" s="8" t="n">
        <f aca="false">1/Q6</f>
        <v>3.57142857142857</v>
      </c>
      <c r="S6" s="8" t="n">
        <f aca="false">S$3</f>
        <v>1.4</v>
      </c>
      <c r="T6" s="8" t="n">
        <f aca="false">T$3</f>
        <v>1</v>
      </c>
      <c r="U6" s="8" t="n">
        <f aca="false">S6*T6</f>
        <v>1.4</v>
      </c>
      <c r="V6" s="8" t="n">
        <f aca="false">IF(X6/C6&gt;1,1,X6/C6)</f>
        <v>0.3</v>
      </c>
      <c r="W6" s="8" t="n">
        <f aca="false">1/V6</f>
        <v>3.33333333333333</v>
      </c>
      <c r="X6" s="8" t="n">
        <f aca="false">X$3</f>
        <v>1.5</v>
      </c>
      <c r="Y6" s="8" t="n">
        <f aca="false">Y$3</f>
        <v>5</v>
      </c>
      <c r="Z6" s="8" t="n">
        <f aca="false">X6*Y6</f>
        <v>7.5</v>
      </c>
      <c r="AA6" s="8" t="n">
        <f aca="false">IF(AC6/C6&gt;1,1,AC6/C6)</f>
        <v>0.26</v>
      </c>
      <c r="AB6" s="8" t="n">
        <f aca="false">1/AA6</f>
        <v>3.84615384615385</v>
      </c>
      <c r="AC6" s="8" t="n">
        <f aca="false">AC$3</f>
        <v>1.3</v>
      </c>
      <c r="AD6" s="8" t="n">
        <f aca="false">AD$3</f>
        <v>3</v>
      </c>
      <c r="AE6" s="8" t="n">
        <f aca="false">AC6*AD6</f>
        <v>3.9</v>
      </c>
      <c r="AF6" s="8" t="n">
        <f aca="false">IF(AH6/C6&gt;1,1,AH6/C6)</f>
        <v>0.32</v>
      </c>
      <c r="AG6" s="8" t="n">
        <f aca="false">1/AF6</f>
        <v>3.125</v>
      </c>
      <c r="AH6" s="8" t="n">
        <f aca="false">AH$3</f>
        <v>1.6</v>
      </c>
      <c r="AI6" s="8" t="n">
        <f aca="false">AI$3</f>
        <v>1</v>
      </c>
      <c r="AJ6" s="8" t="n">
        <f aca="false">AH6*AI6</f>
        <v>1.6</v>
      </c>
      <c r="AK6" s="8" t="n">
        <f aca="false">IF(AM6/C6&gt;1,1,AM6/C6)</f>
        <v>0.36</v>
      </c>
      <c r="AL6" s="8" t="n">
        <f aca="false">1/AK6</f>
        <v>2.77777777777778</v>
      </c>
      <c r="AM6" s="8" t="n">
        <f aca="false">AM$3</f>
        <v>1.8</v>
      </c>
      <c r="AN6" s="8" t="n">
        <f aca="false">AN$3</f>
        <v>1</v>
      </c>
      <c r="AO6" s="8" t="n">
        <f aca="false">AM6*AN6</f>
        <v>1.8</v>
      </c>
      <c r="AP6" s="8" t="n">
        <f aca="false">IF(AR6/C6&gt;1,1,AR6/C6)</f>
        <v>0.38</v>
      </c>
      <c r="AQ6" s="8" t="n">
        <f aca="false">1/AP6</f>
        <v>2.63157894736842</v>
      </c>
      <c r="AR6" s="8" t="n">
        <f aca="false">AR$3</f>
        <v>1.9</v>
      </c>
      <c r="AS6" s="8" t="n">
        <f aca="false">AS$3</f>
        <v>2</v>
      </c>
      <c r="AT6" s="8" t="n">
        <f aca="false">AR6*AS6</f>
        <v>3.8</v>
      </c>
      <c r="AU6" s="8" t="n">
        <f aca="false">IF(AW6/C6&gt;1,1,AW6/C6)</f>
        <v>0.4</v>
      </c>
      <c r="AV6" s="8" t="n">
        <f aca="false">1/AU6</f>
        <v>2.5</v>
      </c>
      <c r="AW6" s="8" t="n">
        <f aca="false">AW$3</f>
        <v>2</v>
      </c>
      <c r="AX6" s="8" t="n">
        <f aca="false">AX$3</f>
        <v>5</v>
      </c>
      <c r="AY6" s="8" t="n">
        <f aca="false">AW6*AX6</f>
        <v>10</v>
      </c>
      <c r="AZ6" s="8" t="n">
        <f aca="false">IF(BB6/C6&gt;1,1,BB6/C6)</f>
        <v>0.32</v>
      </c>
      <c r="BA6" s="8" t="n">
        <f aca="false">1/AZ6</f>
        <v>3.125</v>
      </c>
      <c r="BB6" s="8" t="n">
        <f aca="false">BB$3</f>
        <v>1.6</v>
      </c>
      <c r="BC6" s="8" t="n">
        <f aca="false">BC$3</f>
        <v>10</v>
      </c>
      <c r="BD6" s="8" t="n">
        <f aca="false">BB6*BC6</f>
        <v>16</v>
      </c>
      <c r="BE6" s="8" t="n">
        <f aca="false">IF(BG6/C6&gt;1,1,BG6/C6)</f>
        <v>0.38</v>
      </c>
      <c r="BF6" s="8" t="n">
        <f aca="false">1/BE6</f>
        <v>2.63157894736842</v>
      </c>
      <c r="BG6" s="8" t="n">
        <f aca="false">BG$3</f>
        <v>1.9</v>
      </c>
      <c r="BH6" s="8" t="n">
        <f aca="false">BH$3</f>
        <v>1</v>
      </c>
      <c r="BI6" s="8" t="n">
        <f aca="false">BG6*BH6</f>
        <v>1.9</v>
      </c>
      <c r="BJ6" s="8" t="n">
        <f aca="false">IF(BL6/C6&gt;1,1,BL6/C6)</f>
        <v>0.4</v>
      </c>
      <c r="BK6" s="8" t="n">
        <f aca="false">1/BJ6</f>
        <v>2.5</v>
      </c>
      <c r="BL6" s="8" t="n">
        <f aca="false">BL$3</f>
        <v>2</v>
      </c>
      <c r="BM6" s="8" t="n">
        <f aca="false">BM$3</f>
        <v>1</v>
      </c>
      <c r="BN6" s="8" t="n">
        <f aca="false">BL6*BM6</f>
        <v>2</v>
      </c>
      <c r="BO6" s="8" t="n">
        <f aca="false">IF(BQ6/C6&gt;1,1,BQ6/C6)</f>
        <v>0.4</v>
      </c>
      <c r="BP6" s="8" t="n">
        <f aca="false">1/BO6</f>
        <v>2.5</v>
      </c>
      <c r="BQ6" s="8" t="n">
        <f aca="false">BQ$3</f>
        <v>2</v>
      </c>
      <c r="BR6" s="8" t="n">
        <f aca="false">BR$3</f>
        <v>12</v>
      </c>
      <c r="BS6" s="8" t="n">
        <f aca="false">BQ6*BR6</f>
        <v>24</v>
      </c>
      <c r="BT6" s="8" t="n">
        <f aca="false">IF(BV6/C6&gt;1,1,BV6/C6)</f>
        <v>0.38</v>
      </c>
      <c r="BU6" s="8" t="n">
        <f aca="false">1/BT6</f>
        <v>2.63157894736842</v>
      </c>
      <c r="BV6" s="8" t="n">
        <f aca="false">BV$3</f>
        <v>1.9</v>
      </c>
      <c r="BW6" s="8" t="n">
        <f aca="false">BW$3</f>
        <v>10</v>
      </c>
      <c r="BX6" s="8" t="n">
        <f aca="false">BV6*BW6</f>
        <v>19</v>
      </c>
    </row>
    <row r="7" customFormat="false" ht="12.75" hidden="false" customHeight="true" outlineLevel="0" collapsed="false">
      <c r="A7" s="8" t="s">
        <v>69</v>
      </c>
      <c r="B7" s="13" t="s">
        <v>70</v>
      </c>
      <c r="C7" s="13" t="n">
        <v>7</v>
      </c>
      <c r="D7" s="8" t="n">
        <f aca="false">F7/C7</f>
        <v>0.1</v>
      </c>
      <c r="E7" s="8" t="n">
        <f aca="false">1/D7</f>
        <v>10</v>
      </c>
      <c r="F7" s="8" t="n">
        <f aca="false">F$3</f>
        <v>0.7</v>
      </c>
      <c r="G7" s="8" t="n">
        <f aca="false">G$3</f>
        <v>0.12</v>
      </c>
      <c r="H7" s="8" t="n">
        <f aca="false">G7/D$132</f>
        <v>0.0020193036436523</v>
      </c>
      <c r="I7" s="8" t="n">
        <f aca="false">1/H$3</f>
        <v>495.22022264631</v>
      </c>
      <c r="J7" s="8" t="n">
        <f aca="false">J$3</f>
        <v>1</v>
      </c>
      <c r="K7" s="8" t="n">
        <f aca="false">F7*J7</f>
        <v>0.7</v>
      </c>
      <c r="L7" s="8" t="n">
        <f aca="false">IF(N7/C7&gt;1,1,N7/C7)</f>
        <v>0.171428571428571</v>
      </c>
      <c r="M7" s="8" t="n">
        <f aca="false">1/L7</f>
        <v>5.83333333333333</v>
      </c>
      <c r="N7" s="8" t="n">
        <f aca="false">N$3</f>
        <v>1.2</v>
      </c>
      <c r="O7" s="8" t="n">
        <f aca="false">O$3</f>
        <v>1</v>
      </c>
      <c r="P7" s="8" t="n">
        <f aca="false">N7*O7</f>
        <v>1.2</v>
      </c>
      <c r="Q7" s="8" t="n">
        <f aca="false">IF(S7/C7&gt;1,1,S7/C7)</f>
        <v>0.2</v>
      </c>
      <c r="R7" s="8" t="n">
        <f aca="false">1/Q7</f>
        <v>5</v>
      </c>
      <c r="S7" s="8" t="n">
        <f aca="false">S$3</f>
        <v>1.4</v>
      </c>
      <c r="T7" s="8" t="n">
        <f aca="false">T$3</f>
        <v>1</v>
      </c>
      <c r="U7" s="8" t="n">
        <f aca="false">S7*T7</f>
        <v>1.4</v>
      </c>
      <c r="V7" s="8" t="n">
        <f aca="false">IF(X7/C7&gt;1,1,X7/C7)</f>
        <v>0.214285714285714</v>
      </c>
      <c r="W7" s="8" t="n">
        <f aca="false">1/V7</f>
        <v>4.66666666666667</v>
      </c>
      <c r="X7" s="8" t="n">
        <f aca="false">X$3</f>
        <v>1.5</v>
      </c>
      <c r="Y7" s="8" t="n">
        <f aca="false">Y$3</f>
        <v>5</v>
      </c>
      <c r="Z7" s="8" t="n">
        <f aca="false">X7*Y7</f>
        <v>7.5</v>
      </c>
      <c r="AA7" s="8" t="n">
        <f aca="false">IF(AC7/C7&gt;1,1,AC7/C7)</f>
        <v>0.185714285714286</v>
      </c>
      <c r="AB7" s="8" t="n">
        <f aca="false">1/AA7</f>
        <v>5.38461538461538</v>
      </c>
      <c r="AC7" s="8" t="n">
        <f aca="false">AC$3</f>
        <v>1.3</v>
      </c>
      <c r="AD7" s="8" t="n">
        <f aca="false">AD$3</f>
        <v>3</v>
      </c>
      <c r="AE7" s="8" t="n">
        <f aca="false">AC7*AD7</f>
        <v>3.9</v>
      </c>
      <c r="AF7" s="8" t="n">
        <f aca="false">IF(AH7/C7&gt;1,1,AH7/C7)</f>
        <v>0.228571428571429</v>
      </c>
      <c r="AG7" s="8" t="n">
        <f aca="false">1/AF7</f>
        <v>4.375</v>
      </c>
      <c r="AH7" s="8" t="n">
        <f aca="false">AH$3</f>
        <v>1.6</v>
      </c>
      <c r="AI7" s="8" t="n">
        <f aca="false">AI$3</f>
        <v>1</v>
      </c>
      <c r="AJ7" s="8" t="n">
        <f aca="false">AH7*AI7</f>
        <v>1.6</v>
      </c>
      <c r="AK7" s="8" t="n">
        <f aca="false">IF(AM7/C7&gt;1,1,AM7/C7)</f>
        <v>0.257142857142857</v>
      </c>
      <c r="AL7" s="8" t="n">
        <f aca="false">1/AK7</f>
        <v>3.88888888888889</v>
      </c>
      <c r="AM7" s="8" t="n">
        <f aca="false">AM$3</f>
        <v>1.8</v>
      </c>
      <c r="AN7" s="8" t="n">
        <f aca="false">AN$3</f>
        <v>1</v>
      </c>
      <c r="AO7" s="8" t="n">
        <f aca="false">AM7*AN7</f>
        <v>1.8</v>
      </c>
      <c r="AP7" s="8" t="n">
        <f aca="false">IF(AR7/C7&gt;1,1,AR7/C7)</f>
        <v>0.271428571428571</v>
      </c>
      <c r="AQ7" s="8" t="n">
        <f aca="false">1/AP7</f>
        <v>3.68421052631579</v>
      </c>
      <c r="AR7" s="8" t="n">
        <f aca="false">AR$3</f>
        <v>1.9</v>
      </c>
      <c r="AS7" s="8" t="n">
        <f aca="false">AS$3</f>
        <v>2</v>
      </c>
      <c r="AT7" s="8" t="n">
        <f aca="false">AR7*AS7</f>
        <v>3.8</v>
      </c>
      <c r="AU7" s="8" t="n">
        <f aca="false">IF(AW7/C7&gt;1,1,AW7/C7)</f>
        <v>0.285714285714286</v>
      </c>
      <c r="AV7" s="8" t="n">
        <f aca="false">1/AU7</f>
        <v>3.5</v>
      </c>
      <c r="AW7" s="8" t="n">
        <f aca="false">AW$3</f>
        <v>2</v>
      </c>
      <c r="AX7" s="8" t="n">
        <f aca="false">AX$3</f>
        <v>5</v>
      </c>
      <c r="AY7" s="8" t="n">
        <f aca="false">AW7*AX7</f>
        <v>10</v>
      </c>
      <c r="AZ7" s="8" t="n">
        <f aca="false">IF(BB7/C7&gt;1,1,BB7/C7)</f>
        <v>0.228571428571429</v>
      </c>
      <c r="BA7" s="8" t="n">
        <f aca="false">1/AZ7</f>
        <v>4.375</v>
      </c>
      <c r="BB7" s="8" t="n">
        <f aca="false">BB$3</f>
        <v>1.6</v>
      </c>
      <c r="BC7" s="8" t="n">
        <f aca="false">BC$3</f>
        <v>10</v>
      </c>
      <c r="BD7" s="8" t="n">
        <f aca="false">BB7*BC7</f>
        <v>16</v>
      </c>
      <c r="BE7" s="8" t="n">
        <f aca="false">IF(BG7/C7&gt;1,1,BG7/C7)</f>
        <v>0.271428571428571</v>
      </c>
      <c r="BF7" s="8" t="n">
        <f aca="false">1/BE7</f>
        <v>3.68421052631579</v>
      </c>
      <c r="BG7" s="8" t="n">
        <f aca="false">BG$3</f>
        <v>1.9</v>
      </c>
      <c r="BH7" s="8" t="n">
        <f aca="false">BH$3</f>
        <v>1</v>
      </c>
      <c r="BI7" s="8" t="n">
        <f aca="false">BG7*BH7</f>
        <v>1.9</v>
      </c>
      <c r="BJ7" s="8" t="n">
        <f aca="false">IF(BL7/C7&gt;1,1,BL7/C7)</f>
        <v>0.285714285714286</v>
      </c>
      <c r="BK7" s="8" t="n">
        <f aca="false">1/BJ7</f>
        <v>3.5</v>
      </c>
      <c r="BL7" s="8" t="n">
        <f aca="false">BL$3</f>
        <v>2</v>
      </c>
      <c r="BM7" s="8" t="n">
        <f aca="false">BM$3</f>
        <v>1</v>
      </c>
      <c r="BN7" s="8" t="n">
        <f aca="false">BL7*BM7</f>
        <v>2</v>
      </c>
      <c r="BO7" s="8" t="n">
        <f aca="false">IF(BQ7/C7&gt;1,1,BQ7/C7)</f>
        <v>0.285714285714286</v>
      </c>
      <c r="BP7" s="8" t="n">
        <f aca="false">1/BO7</f>
        <v>3.5</v>
      </c>
      <c r="BQ7" s="8" t="n">
        <f aca="false">BQ$3</f>
        <v>2</v>
      </c>
      <c r="BR7" s="8" t="n">
        <f aca="false">BR$3</f>
        <v>12</v>
      </c>
      <c r="BS7" s="8" t="n">
        <f aca="false">BQ7*BR7</f>
        <v>24</v>
      </c>
      <c r="BT7" s="8" t="n">
        <f aca="false">IF(BV7/C7&gt;1,1,BV7/C7)</f>
        <v>0.271428571428571</v>
      </c>
      <c r="BU7" s="8" t="n">
        <f aca="false">1/BT7</f>
        <v>3.68421052631579</v>
      </c>
      <c r="BV7" s="8" t="n">
        <f aca="false">BV$3</f>
        <v>1.9</v>
      </c>
      <c r="BW7" s="8" t="n">
        <f aca="false">BW$3</f>
        <v>10</v>
      </c>
      <c r="BX7" s="8" t="n">
        <f aca="false">BV7*BW7</f>
        <v>19</v>
      </c>
    </row>
    <row r="8" customFormat="false" ht="12.75" hidden="false" customHeight="true" outlineLevel="0" collapsed="false">
      <c r="A8" s="8" t="s">
        <v>71</v>
      </c>
      <c r="B8" s="13" t="s">
        <v>72</v>
      </c>
      <c r="C8" s="13" t="n">
        <v>8</v>
      </c>
      <c r="D8" s="8" t="n">
        <f aca="false">F8/C8</f>
        <v>0.0875</v>
      </c>
      <c r="E8" s="8" t="n">
        <f aca="false">1/D8</f>
        <v>11.4285714285714</v>
      </c>
      <c r="F8" s="8" t="n">
        <f aca="false">F$3</f>
        <v>0.7</v>
      </c>
      <c r="G8" s="8" t="n">
        <f aca="false">G$3</f>
        <v>0.12</v>
      </c>
      <c r="H8" s="8" t="n">
        <f aca="false">G8/D$132</f>
        <v>0.0020193036436523</v>
      </c>
      <c r="I8" s="8" t="n">
        <f aca="false">1/H$3</f>
        <v>495.22022264631</v>
      </c>
      <c r="J8" s="8" t="n">
        <f aca="false">J$3</f>
        <v>1</v>
      </c>
      <c r="K8" s="8" t="n">
        <f aca="false">F8*J8</f>
        <v>0.7</v>
      </c>
      <c r="L8" s="8" t="n">
        <f aca="false">IF(N8/C8&gt;1,1,N8/C8)</f>
        <v>0.15</v>
      </c>
      <c r="M8" s="8" t="n">
        <f aca="false">1/L8</f>
        <v>6.66666666666667</v>
      </c>
      <c r="N8" s="8" t="n">
        <f aca="false">N$3</f>
        <v>1.2</v>
      </c>
      <c r="O8" s="8" t="n">
        <f aca="false">O$3</f>
        <v>1</v>
      </c>
      <c r="P8" s="8" t="n">
        <f aca="false">N8*O8</f>
        <v>1.2</v>
      </c>
      <c r="Q8" s="8" t="n">
        <f aca="false">IF(S8/C8&gt;1,1,S8/C8)</f>
        <v>0.175</v>
      </c>
      <c r="R8" s="8" t="n">
        <f aca="false">1/Q8</f>
        <v>5.71428571428571</v>
      </c>
      <c r="S8" s="8" t="n">
        <f aca="false">S$3</f>
        <v>1.4</v>
      </c>
      <c r="T8" s="8" t="n">
        <f aca="false">T$3</f>
        <v>1</v>
      </c>
      <c r="U8" s="8" t="n">
        <f aca="false">S8*T8</f>
        <v>1.4</v>
      </c>
      <c r="V8" s="8" t="n">
        <f aca="false">IF(X8/C8&gt;1,1,X8/C8)</f>
        <v>0.1875</v>
      </c>
      <c r="W8" s="8" t="n">
        <f aca="false">1/V8</f>
        <v>5.33333333333333</v>
      </c>
      <c r="X8" s="8" t="n">
        <f aca="false">X$3</f>
        <v>1.5</v>
      </c>
      <c r="Y8" s="8" t="n">
        <f aca="false">Y$3</f>
        <v>5</v>
      </c>
      <c r="Z8" s="8" t="n">
        <f aca="false">X8*Y8</f>
        <v>7.5</v>
      </c>
      <c r="AA8" s="8" t="n">
        <f aca="false">IF(AC8/C8&gt;1,1,AC8/C8)</f>
        <v>0.1625</v>
      </c>
      <c r="AB8" s="8" t="n">
        <f aca="false">1/AA8</f>
        <v>6.15384615384615</v>
      </c>
      <c r="AC8" s="8" t="n">
        <f aca="false">AC$3</f>
        <v>1.3</v>
      </c>
      <c r="AD8" s="8" t="n">
        <f aca="false">AD$3</f>
        <v>3</v>
      </c>
      <c r="AE8" s="8" t="n">
        <f aca="false">AC8*AD8</f>
        <v>3.9</v>
      </c>
      <c r="AF8" s="8" t="n">
        <f aca="false">IF(AH8/C8&gt;1,1,AH8/C8)</f>
        <v>0.2</v>
      </c>
      <c r="AG8" s="8" t="n">
        <f aca="false">1/AF8</f>
        <v>5</v>
      </c>
      <c r="AH8" s="8" t="n">
        <f aca="false">AH$3</f>
        <v>1.6</v>
      </c>
      <c r="AI8" s="8" t="n">
        <f aca="false">AI$3</f>
        <v>1</v>
      </c>
      <c r="AJ8" s="8" t="n">
        <f aca="false">AH8*AI8</f>
        <v>1.6</v>
      </c>
      <c r="AK8" s="8" t="n">
        <f aca="false">IF(AM8/C8&gt;1,1,AM8/C8)</f>
        <v>0.225</v>
      </c>
      <c r="AL8" s="8" t="n">
        <f aca="false">1/AK8</f>
        <v>4.44444444444444</v>
      </c>
      <c r="AM8" s="8" t="n">
        <f aca="false">AM$3</f>
        <v>1.8</v>
      </c>
      <c r="AN8" s="8" t="n">
        <f aca="false">AN$3</f>
        <v>1</v>
      </c>
      <c r="AO8" s="8" t="n">
        <f aca="false">AM8*AN8</f>
        <v>1.8</v>
      </c>
      <c r="AP8" s="8" t="n">
        <f aca="false">IF(AR8/C8&gt;1,1,AR8/C8)</f>
        <v>0.2375</v>
      </c>
      <c r="AQ8" s="8" t="n">
        <f aca="false">1/AP8</f>
        <v>4.21052631578947</v>
      </c>
      <c r="AR8" s="8" t="n">
        <f aca="false">AR$3</f>
        <v>1.9</v>
      </c>
      <c r="AS8" s="8" t="n">
        <f aca="false">AS$3</f>
        <v>2</v>
      </c>
      <c r="AT8" s="8" t="n">
        <f aca="false">AR8*AS8</f>
        <v>3.8</v>
      </c>
      <c r="AU8" s="8" t="n">
        <f aca="false">IF(AW8/C8&gt;1,1,AW8/C8)</f>
        <v>0.25</v>
      </c>
      <c r="AV8" s="8" t="n">
        <f aca="false">1/AU8</f>
        <v>4</v>
      </c>
      <c r="AW8" s="8" t="n">
        <f aca="false">AW$3</f>
        <v>2</v>
      </c>
      <c r="AX8" s="8" t="n">
        <f aca="false">AX$3</f>
        <v>5</v>
      </c>
      <c r="AY8" s="8" t="n">
        <f aca="false">AW8*AX8</f>
        <v>10</v>
      </c>
      <c r="AZ8" s="8" t="n">
        <f aca="false">IF(BB8/C8&gt;1,1,BB8/C8)</f>
        <v>0.2</v>
      </c>
      <c r="BA8" s="8" t="n">
        <f aca="false">1/AZ8</f>
        <v>5</v>
      </c>
      <c r="BB8" s="8" t="n">
        <f aca="false">BB$3</f>
        <v>1.6</v>
      </c>
      <c r="BC8" s="8" t="n">
        <f aca="false">BC$3</f>
        <v>10</v>
      </c>
      <c r="BD8" s="8" t="n">
        <f aca="false">BB8*BC8</f>
        <v>16</v>
      </c>
      <c r="BE8" s="8" t="n">
        <f aca="false">IF(BG8/C8&gt;1,1,BG8/C8)</f>
        <v>0.2375</v>
      </c>
      <c r="BF8" s="8" t="n">
        <f aca="false">1/BE8</f>
        <v>4.21052631578947</v>
      </c>
      <c r="BG8" s="8" t="n">
        <f aca="false">BG$3</f>
        <v>1.9</v>
      </c>
      <c r="BH8" s="8" t="n">
        <f aca="false">BH$3</f>
        <v>1</v>
      </c>
      <c r="BI8" s="8" t="n">
        <f aca="false">BG8*BH8</f>
        <v>1.9</v>
      </c>
      <c r="BJ8" s="8" t="n">
        <f aca="false">IF(BL8/C8&gt;1,1,BL8/C8)</f>
        <v>0.25</v>
      </c>
      <c r="BK8" s="8" t="n">
        <f aca="false">1/BJ8</f>
        <v>4</v>
      </c>
      <c r="BL8" s="8" t="n">
        <f aca="false">BL$3</f>
        <v>2</v>
      </c>
      <c r="BM8" s="8" t="n">
        <f aca="false">BM$3</f>
        <v>1</v>
      </c>
      <c r="BN8" s="8" t="n">
        <f aca="false">BL8*BM8</f>
        <v>2</v>
      </c>
      <c r="BO8" s="8" t="n">
        <f aca="false">IF(BQ8/C8&gt;1,1,BQ8/C8)</f>
        <v>0.25</v>
      </c>
      <c r="BP8" s="8" t="n">
        <f aca="false">1/BO8</f>
        <v>4</v>
      </c>
      <c r="BQ8" s="8" t="n">
        <f aca="false">BQ$3</f>
        <v>2</v>
      </c>
      <c r="BR8" s="8" t="n">
        <f aca="false">BR$3</f>
        <v>12</v>
      </c>
      <c r="BS8" s="8" t="n">
        <f aca="false">BQ8*BR8</f>
        <v>24</v>
      </c>
      <c r="BT8" s="8" t="n">
        <f aca="false">IF(BV8/C8&gt;1,1,BV8/C8)</f>
        <v>0.2375</v>
      </c>
      <c r="BU8" s="8" t="n">
        <f aca="false">1/BT8</f>
        <v>4.21052631578947</v>
      </c>
      <c r="BV8" s="8" t="n">
        <f aca="false">BV$3</f>
        <v>1.9</v>
      </c>
      <c r="BW8" s="8" t="n">
        <f aca="false">BW$3</f>
        <v>10</v>
      </c>
      <c r="BX8" s="8" t="n">
        <f aca="false">BV8*BW8</f>
        <v>19</v>
      </c>
    </row>
    <row r="9" customFormat="false" ht="15.75" hidden="false" customHeight="true" outlineLevel="0" collapsed="false">
      <c r="A9" s="8" t="s">
        <v>73</v>
      </c>
      <c r="B9" s="13" t="s">
        <v>74</v>
      </c>
      <c r="C9" s="13" t="n">
        <v>10</v>
      </c>
      <c r="D9" s="8" t="n">
        <f aca="false">F9/C9</f>
        <v>0.07</v>
      </c>
      <c r="E9" s="8" t="n">
        <f aca="false">1/D9</f>
        <v>14.2857142857143</v>
      </c>
      <c r="F9" s="8" t="n">
        <f aca="false">F$3</f>
        <v>0.7</v>
      </c>
      <c r="G9" s="8" t="n">
        <f aca="false">G$3</f>
        <v>0.12</v>
      </c>
      <c r="H9" s="8" t="n">
        <f aca="false">G9/D$132</f>
        <v>0.0020193036436523</v>
      </c>
      <c r="I9" s="8" t="n">
        <f aca="false">1/H$3</f>
        <v>495.22022264631</v>
      </c>
      <c r="J9" s="8" t="n">
        <f aca="false">J$3</f>
        <v>1</v>
      </c>
      <c r="K9" s="8" t="n">
        <f aca="false">F9*J9</f>
        <v>0.7</v>
      </c>
      <c r="L9" s="8" t="n">
        <f aca="false">IF(N9/C9&gt;1,1,N9/C9)</f>
        <v>0.12</v>
      </c>
      <c r="M9" s="8" t="n">
        <f aca="false">1/L9</f>
        <v>8.33333333333333</v>
      </c>
      <c r="N9" s="8" t="n">
        <f aca="false">N$3</f>
        <v>1.2</v>
      </c>
      <c r="O9" s="8" t="n">
        <f aca="false">O$3</f>
        <v>1</v>
      </c>
      <c r="P9" s="8" t="n">
        <f aca="false">N9*O9</f>
        <v>1.2</v>
      </c>
      <c r="Q9" s="8" t="n">
        <f aca="false">IF(S9/C9&gt;1,1,S9/C9)</f>
        <v>0.14</v>
      </c>
      <c r="R9" s="8" t="n">
        <f aca="false">1/Q9</f>
        <v>7.14285714285714</v>
      </c>
      <c r="S9" s="8" t="n">
        <f aca="false">S$3</f>
        <v>1.4</v>
      </c>
      <c r="T9" s="8" t="n">
        <f aca="false">T$3</f>
        <v>1</v>
      </c>
      <c r="U9" s="8" t="n">
        <f aca="false">S9*T9</f>
        <v>1.4</v>
      </c>
      <c r="V9" s="8" t="n">
        <f aca="false">IF(X9/C9&gt;1,1,X9/C9)</f>
        <v>0.15</v>
      </c>
      <c r="W9" s="8" t="n">
        <f aca="false">1/V9</f>
        <v>6.66666666666667</v>
      </c>
      <c r="X9" s="8" t="n">
        <f aca="false">X$3</f>
        <v>1.5</v>
      </c>
      <c r="Y9" s="8" t="n">
        <f aca="false">Y$3</f>
        <v>5</v>
      </c>
      <c r="Z9" s="8" t="n">
        <f aca="false">X9*Y9</f>
        <v>7.5</v>
      </c>
      <c r="AA9" s="8" t="n">
        <f aca="false">IF(AC9/C9&gt;1,1,AC9/C9)</f>
        <v>0.13</v>
      </c>
      <c r="AB9" s="8" t="n">
        <f aca="false">1/AA9</f>
        <v>7.69230769230769</v>
      </c>
      <c r="AC9" s="8" t="n">
        <f aca="false">AC$3</f>
        <v>1.3</v>
      </c>
      <c r="AD9" s="8" t="n">
        <f aca="false">AD$3</f>
        <v>3</v>
      </c>
      <c r="AE9" s="8" t="n">
        <f aca="false">AC9*AD9</f>
        <v>3.9</v>
      </c>
      <c r="AF9" s="8" t="n">
        <f aca="false">IF(AH9/C9&gt;1,1,AH9/C9)</f>
        <v>0.16</v>
      </c>
      <c r="AG9" s="8" t="n">
        <f aca="false">1/AF9</f>
        <v>6.25</v>
      </c>
      <c r="AH9" s="8" t="n">
        <f aca="false">AH$3</f>
        <v>1.6</v>
      </c>
      <c r="AI9" s="8" t="n">
        <f aca="false">AI$3</f>
        <v>1</v>
      </c>
      <c r="AJ9" s="8" t="n">
        <f aca="false">AH9*AI9</f>
        <v>1.6</v>
      </c>
      <c r="AK9" s="8" t="n">
        <f aca="false">IF(AM9/C9&gt;1,1,AM9/C9)</f>
        <v>0.18</v>
      </c>
      <c r="AL9" s="8" t="n">
        <f aca="false">1/AK9</f>
        <v>5.55555555555556</v>
      </c>
      <c r="AM9" s="8" t="n">
        <f aca="false">AM$3</f>
        <v>1.8</v>
      </c>
      <c r="AN9" s="8" t="n">
        <f aca="false">AN$3</f>
        <v>1</v>
      </c>
      <c r="AO9" s="8" t="n">
        <f aca="false">AM9*AN9</f>
        <v>1.8</v>
      </c>
      <c r="AP9" s="8" t="n">
        <f aca="false">IF(AR9/C9&gt;1,1,AR9/C9)</f>
        <v>0.19</v>
      </c>
      <c r="AQ9" s="8" t="n">
        <f aca="false">1/AP9</f>
        <v>5.26315789473684</v>
      </c>
      <c r="AR9" s="8" t="n">
        <f aca="false">AR$3</f>
        <v>1.9</v>
      </c>
      <c r="AS9" s="8" t="n">
        <f aca="false">AS$3</f>
        <v>2</v>
      </c>
      <c r="AT9" s="8" t="n">
        <f aca="false">AR9*AS9</f>
        <v>3.8</v>
      </c>
      <c r="AU9" s="8" t="n">
        <f aca="false">IF(AW9/C9&gt;1,1,AW9/C9)</f>
        <v>0.2</v>
      </c>
      <c r="AV9" s="8" t="n">
        <f aca="false">1/AU9</f>
        <v>5</v>
      </c>
      <c r="AW9" s="8" t="n">
        <f aca="false">AW$3</f>
        <v>2</v>
      </c>
      <c r="AX9" s="8" t="n">
        <f aca="false">AX$3</f>
        <v>5</v>
      </c>
      <c r="AY9" s="8" t="n">
        <f aca="false">AW9*AX9</f>
        <v>10</v>
      </c>
      <c r="AZ9" s="8" t="n">
        <f aca="false">IF(BB9/C9&gt;1,1,BB9/C9)</f>
        <v>0.16</v>
      </c>
      <c r="BA9" s="8" t="n">
        <f aca="false">1/AZ9</f>
        <v>6.25</v>
      </c>
      <c r="BB9" s="8" t="n">
        <f aca="false">BB$3</f>
        <v>1.6</v>
      </c>
      <c r="BC9" s="8" t="n">
        <f aca="false">BC$3</f>
        <v>10</v>
      </c>
      <c r="BD9" s="8" t="n">
        <f aca="false">BB9*BC9</f>
        <v>16</v>
      </c>
      <c r="BE9" s="8" t="n">
        <f aca="false">IF(BG9/C9&gt;1,1,BG9/C9)</f>
        <v>0.19</v>
      </c>
      <c r="BF9" s="8" t="n">
        <f aca="false">1/BE9</f>
        <v>5.26315789473684</v>
      </c>
      <c r="BG9" s="8" t="n">
        <f aca="false">BG$3</f>
        <v>1.9</v>
      </c>
      <c r="BH9" s="8" t="n">
        <f aca="false">BH$3</f>
        <v>1</v>
      </c>
      <c r="BI9" s="8" t="n">
        <f aca="false">BG9*BH9</f>
        <v>1.9</v>
      </c>
      <c r="BJ9" s="8" t="n">
        <f aca="false">IF(BL9/C9&gt;1,1,BL9/C9)</f>
        <v>0.2</v>
      </c>
      <c r="BK9" s="8" t="n">
        <f aca="false">1/BJ9</f>
        <v>5</v>
      </c>
      <c r="BL9" s="8" t="n">
        <f aca="false">BL$3</f>
        <v>2</v>
      </c>
      <c r="BM9" s="8" t="n">
        <f aca="false">BM$3</f>
        <v>1</v>
      </c>
      <c r="BN9" s="8" t="n">
        <f aca="false">BL9*BM9</f>
        <v>2</v>
      </c>
      <c r="BO9" s="8" t="n">
        <f aca="false">IF(BQ9/C9&gt;1,1,BQ9/C9)</f>
        <v>0.2</v>
      </c>
      <c r="BP9" s="8" t="n">
        <f aca="false">1/BO9</f>
        <v>5</v>
      </c>
      <c r="BQ9" s="8" t="n">
        <f aca="false">BQ$3</f>
        <v>2</v>
      </c>
      <c r="BR9" s="8" t="n">
        <f aca="false">BR$3</f>
        <v>12</v>
      </c>
      <c r="BS9" s="8" t="n">
        <f aca="false">BQ9*BR9</f>
        <v>24</v>
      </c>
      <c r="BT9" s="8" t="n">
        <f aca="false">IF(BV9/C9&gt;1,1,BV9/C9)</f>
        <v>0.19</v>
      </c>
      <c r="BU9" s="8" t="n">
        <f aca="false">1/BT9</f>
        <v>5.26315789473684</v>
      </c>
      <c r="BV9" s="8" t="n">
        <f aca="false">BV$3</f>
        <v>1.9</v>
      </c>
      <c r="BW9" s="8" t="n">
        <f aca="false">BW$3</f>
        <v>10</v>
      </c>
      <c r="BX9" s="8" t="n">
        <f aca="false">BV9*BW9</f>
        <v>19</v>
      </c>
    </row>
    <row r="10" customFormat="false" ht="12.75" hidden="false" customHeight="true" outlineLevel="0" collapsed="false">
      <c r="A10" s="8" t="s">
        <v>75</v>
      </c>
      <c r="B10" s="13" t="s">
        <v>76</v>
      </c>
      <c r="C10" s="13" t="n">
        <v>12</v>
      </c>
      <c r="D10" s="8" t="n">
        <f aca="false">F10/C10</f>
        <v>0.0583333333333333</v>
      </c>
      <c r="E10" s="8" t="n">
        <f aca="false">1/D10</f>
        <v>17.1428571428571</v>
      </c>
      <c r="F10" s="8" t="n">
        <f aca="false">F$3</f>
        <v>0.7</v>
      </c>
      <c r="G10" s="8" t="n">
        <f aca="false">G$3</f>
        <v>0.12</v>
      </c>
      <c r="H10" s="8" t="n">
        <f aca="false">G10/D$132</f>
        <v>0.0020193036436523</v>
      </c>
      <c r="I10" s="8" t="n">
        <f aca="false">1/H$3</f>
        <v>495.22022264631</v>
      </c>
      <c r="J10" s="8" t="n">
        <f aca="false">J$3</f>
        <v>1</v>
      </c>
      <c r="K10" s="8" t="n">
        <f aca="false">F10*J10</f>
        <v>0.7</v>
      </c>
      <c r="L10" s="8" t="n">
        <f aca="false">IF(N10/C10&gt;1,1,N10/C10)</f>
        <v>0.1</v>
      </c>
      <c r="M10" s="8" t="n">
        <f aca="false">1/L10</f>
        <v>10</v>
      </c>
      <c r="N10" s="8" t="n">
        <f aca="false">N$3</f>
        <v>1.2</v>
      </c>
      <c r="O10" s="8" t="n">
        <f aca="false">O$3</f>
        <v>1</v>
      </c>
      <c r="P10" s="8" t="n">
        <f aca="false">N10*O10</f>
        <v>1.2</v>
      </c>
      <c r="Q10" s="8" t="n">
        <f aca="false">IF(S10/C10&gt;1,1,S10/C10)</f>
        <v>0.116666666666667</v>
      </c>
      <c r="R10" s="8" t="n">
        <f aca="false">1/Q10</f>
        <v>8.57142857142857</v>
      </c>
      <c r="S10" s="8" t="n">
        <f aca="false">S$3</f>
        <v>1.4</v>
      </c>
      <c r="T10" s="8" t="n">
        <f aca="false">T$3</f>
        <v>1</v>
      </c>
      <c r="U10" s="8" t="n">
        <f aca="false">S10*T10</f>
        <v>1.4</v>
      </c>
      <c r="V10" s="8" t="n">
        <f aca="false">IF(X10/C10&gt;1,1,X10/C10)</f>
        <v>0.125</v>
      </c>
      <c r="W10" s="8" t="n">
        <f aca="false">1/V10</f>
        <v>8</v>
      </c>
      <c r="X10" s="8" t="n">
        <f aca="false">X$3</f>
        <v>1.5</v>
      </c>
      <c r="Y10" s="8" t="n">
        <f aca="false">Y$3</f>
        <v>5</v>
      </c>
      <c r="Z10" s="8" t="n">
        <f aca="false">X10*Y10</f>
        <v>7.5</v>
      </c>
      <c r="AA10" s="8" t="n">
        <f aca="false">IF(AC10/C10&gt;1,1,AC10/C10)</f>
        <v>0.108333333333333</v>
      </c>
      <c r="AB10" s="8" t="n">
        <f aca="false">1/AA10</f>
        <v>9.23076923076923</v>
      </c>
      <c r="AC10" s="8" t="n">
        <f aca="false">AC$3</f>
        <v>1.3</v>
      </c>
      <c r="AD10" s="8" t="n">
        <f aca="false">AD$3</f>
        <v>3</v>
      </c>
      <c r="AE10" s="8" t="n">
        <f aca="false">AC10*AD10</f>
        <v>3.9</v>
      </c>
      <c r="AF10" s="8" t="n">
        <f aca="false">IF(AH10/C10&gt;1,1,AH10/C10)</f>
        <v>0.133333333333333</v>
      </c>
      <c r="AG10" s="8" t="n">
        <f aca="false">1/AF10</f>
        <v>7.5</v>
      </c>
      <c r="AH10" s="8" t="n">
        <f aca="false">AH$3</f>
        <v>1.6</v>
      </c>
      <c r="AI10" s="8" t="n">
        <f aca="false">AI$3</f>
        <v>1</v>
      </c>
      <c r="AJ10" s="8" t="n">
        <f aca="false">AH10*AI10</f>
        <v>1.6</v>
      </c>
      <c r="AK10" s="8" t="n">
        <f aca="false">IF(AM10/C10&gt;1,1,AM10/C10)</f>
        <v>0.15</v>
      </c>
      <c r="AL10" s="8" t="n">
        <f aca="false">1/AK10</f>
        <v>6.66666666666667</v>
      </c>
      <c r="AM10" s="8" t="n">
        <f aca="false">AM$3</f>
        <v>1.8</v>
      </c>
      <c r="AN10" s="8" t="n">
        <f aca="false">AN$3</f>
        <v>1</v>
      </c>
      <c r="AO10" s="8" t="n">
        <f aca="false">AM10*AN10</f>
        <v>1.8</v>
      </c>
      <c r="AP10" s="8" t="n">
        <f aca="false">IF(AR10/C10&gt;1,1,AR10/C10)</f>
        <v>0.158333333333333</v>
      </c>
      <c r="AQ10" s="8" t="n">
        <f aca="false">1/AP10</f>
        <v>6.31578947368421</v>
      </c>
      <c r="AR10" s="8" t="n">
        <f aca="false">AR$3</f>
        <v>1.9</v>
      </c>
      <c r="AS10" s="8" t="n">
        <f aca="false">AS$3</f>
        <v>2</v>
      </c>
      <c r="AT10" s="8" t="n">
        <f aca="false">AR10*AS10</f>
        <v>3.8</v>
      </c>
      <c r="AU10" s="8" t="n">
        <f aca="false">IF(AW10/C10&gt;1,1,AW10/C10)</f>
        <v>0.166666666666667</v>
      </c>
      <c r="AV10" s="8" t="n">
        <f aca="false">1/AU10</f>
        <v>6</v>
      </c>
      <c r="AW10" s="8" t="n">
        <f aca="false">AW$3</f>
        <v>2</v>
      </c>
      <c r="AX10" s="8" t="n">
        <f aca="false">AX$3</f>
        <v>5</v>
      </c>
      <c r="AY10" s="8" t="n">
        <f aca="false">AW10*AX10</f>
        <v>10</v>
      </c>
      <c r="AZ10" s="8" t="n">
        <f aca="false">IF(BB10/C10&gt;1,1,BB10/C10)</f>
        <v>0.133333333333333</v>
      </c>
      <c r="BA10" s="8" t="n">
        <f aca="false">1/AZ10</f>
        <v>7.5</v>
      </c>
      <c r="BB10" s="8" t="n">
        <f aca="false">BB$3</f>
        <v>1.6</v>
      </c>
      <c r="BC10" s="8" t="n">
        <f aca="false">BC$3</f>
        <v>10</v>
      </c>
      <c r="BD10" s="8" t="n">
        <f aca="false">BB10*BC10</f>
        <v>16</v>
      </c>
      <c r="BE10" s="8" t="n">
        <f aca="false">IF(BG10/C10&gt;1,1,BG10/C10)</f>
        <v>0.158333333333333</v>
      </c>
      <c r="BF10" s="8" t="n">
        <f aca="false">1/BE10</f>
        <v>6.31578947368421</v>
      </c>
      <c r="BG10" s="8" t="n">
        <f aca="false">BG$3</f>
        <v>1.9</v>
      </c>
      <c r="BH10" s="8" t="n">
        <f aca="false">BH$3</f>
        <v>1</v>
      </c>
      <c r="BI10" s="8" t="n">
        <f aca="false">BG10*BH10</f>
        <v>1.9</v>
      </c>
      <c r="BJ10" s="8" t="n">
        <f aca="false">IF(BL10/C10&gt;1,1,BL10/C10)</f>
        <v>0.166666666666667</v>
      </c>
      <c r="BK10" s="8" t="n">
        <f aca="false">1/BJ10</f>
        <v>6</v>
      </c>
      <c r="BL10" s="8" t="n">
        <f aca="false">BL$3</f>
        <v>2</v>
      </c>
      <c r="BM10" s="8" t="n">
        <f aca="false">BM$3</f>
        <v>1</v>
      </c>
      <c r="BN10" s="8" t="n">
        <f aca="false">BL10*BM10</f>
        <v>2</v>
      </c>
      <c r="BO10" s="8" t="n">
        <f aca="false">IF(BQ10/C10&gt;1,1,BQ10/C10)</f>
        <v>0.166666666666667</v>
      </c>
      <c r="BP10" s="8" t="n">
        <f aca="false">1/BO10</f>
        <v>6</v>
      </c>
      <c r="BQ10" s="8" t="n">
        <f aca="false">BQ$3</f>
        <v>2</v>
      </c>
      <c r="BR10" s="8" t="n">
        <f aca="false">BR$3</f>
        <v>12</v>
      </c>
      <c r="BS10" s="8" t="n">
        <f aca="false">BQ10*BR10</f>
        <v>24</v>
      </c>
      <c r="BT10" s="8" t="n">
        <f aca="false">IF(BV10/C10&gt;1,1,BV10/C10)</f>
        <v>0.158333333333333</v>
      </c>
      <c r="BU10" s="8" t="n">
        <f aca="false">1/BT10</f>
        <v>6.31578947368421</v>
      </c>
      <c r="BV10" s="8" t="n">
        <f aca="false">BV$3</f>
        <v>1.9</v>
      </c>
      <c r="BW10" s="8" t="n">
        <f aca="false">BW$3</f>
        <v>10</v>
      </c>
      <c r="BX10" s="8" t="n">
        <f aca="false">BV10*BW10</f>
        <v>19</v>
      </c>
    </row>
    <row r="11" customFormat="false" ht="12.75" hidden="false" customHeight="true" outlineLevel="0" collapsed="false">
      <c r="A11" s="8" t="s">
        <v>77</v>
      </c>
      <c r="B11" s="15" t="s">
        <v>78</v>
      </c>
      <c r="C11" s="15" t="n">
        <v>30</v>
      </c>
      <c r="D11" s="8" t="n">
        <f aca="false">F11/C11</f>
        <v>0.0233333333333333</v>
      </c>
      <c r="E11" s="8" t="n">
        <f aca="false">1/D11</f>
        <v>42.8571428571429</v>
      </c>
      <c r="F11" s="8" t="n">
        <f aca="false">F$3</f>
        <v>0.7</v>
      </c>
      <c r="G11" s="8" t="n">
        <f aca="false">G$3</f>
        <v>0.12</v>
      </c>
      <c r="H11" s="8" t="n">
        <f aca="false">G11/D$132</f>
        <v>0.0020193036436523</v>
      </c>
      <c r="I11" s="8" t="n">
        <f aca="false">1/H$3</f>
        <v>495.22022264631</v>
      </c>
      <c r="J11" s="8" t="n">
        <f aca="false">J$3</f>
        <v>1</v>
      </c>
      <c r="K11" s="8" t="n">
        <f aca="false">F11*J11</f>
        <v>0.7</v>
      </c>
      <c r="L11" s="8" t="n">
        <f aca="false">IF(N11/C11&gt;1,1,N11/C11)</f>
        <v>0.04</v>
      </c>
      <c r="M11" s="8" t="n">
        <f aca="false">1/L11</f>
        <v>25</v>
      </c>
      <c r="N11" s="8" t="n">
        <f aca="false">N$3</f>
        <v>1.2</v>
      </c>
      <c r="O11" s="8" t="n">
        <f aca="false">O$3</f>
        <v>1</v>
      </c>
      <c r="P11" s="8" t="n">
        <f aca="false">N11*O11</f>
        <v>1.2</v>
      </c>
      <c r="Q11" s="8" t="n">
        <f aca="false">IF(S11/C11&gt;1,1,S11/C11)</f>
        <v>0.0466666666666667</v>
      </c>
      <c r="R11" s="8" t="n">
        <f aca="false">1/Q11</f>
        <v>21.4285714285714</v>
      </c>
      <c r="S11" s="8" t="n">
        <f aca="false">S$3</f>
        <v>1.4</v>
      </c>
      <c r="T11" s="8" t="n">
        <f aca="false">T$3</f>
        <v>1</v>
      </c>
      <c r="U11" s="8" t="n">
        <f aca="false">S11*T11</f>
        <v>1.4</v>
      </c>
      <c r="V11" s="8" t="n">
        <f aca="false">IF(X11/C11&gt;1,1,X11/C11)</f>
        <v>0.05</v>
      </c>
      <c r="W11" s="8" t="n">
        <f aca="false">1/V11</f>
        <v>20</v>
      </c>
      <c r="X11" s="8" t="n">
        <f aca="false">X$3</f>
        <v>1.5</v>
      </c>
      <c r="Y11" s="8" t="n">
        <f aca="false">Y$3</f>
        <v>5</v>
      </c>
      <c r="Z11" s="8" t="n">
        <f aca="false">X11*Y11</f>
        <v>7.5</v>
      </c>
      <c r="AA11" s="8" t="n">
        <f aca="false">IF(AC11/C11&gt;1,1,AC11/C11)</f>
        <v>0.0433333333333333</v>
      </c>
      <c r="AB11" s="8" t="n">
        <f aca="false">1/AA11</f>
        <v>23.0769230769231</v>
      </c>
      <c r="AC11" s="8" t="n">
        <f aca="false">AC$3</f>
        <v>1.3</v>
      </c>
      <c r="AD11" s="8" t="n">
        <f aca="false">AD$3</f>
        <v>3</v>
      </c>
      <c r="AE11" s="8" t="n">
        <f aca="false">AC11*AD11</f>
        <v>3.9</v>
      </c>
      <c r="AF11" s="8" t="n">
        <f aca="false">IF(AH11/C11&gt;1,1,AH11/C11)</f>
        <v>0.0533333333333333</v>
      </c>
      <c r="AG11" s="8" t="n">
        <f aca="false">1/AF11</f>
        <v>18.75</v>
      </c>
      <c r="AH11" s="8" t="n">
        <f aca="false">AH$3</f>
        <v>1.6</v>
      </c>
      <c r="AI11" s="8" t="n">
        <f aca="false">AI$3</f>
        <v>1</v>
      </c>
      <c r="AJ11" s="8" t="n">
        <f aca="false">AH11*AI11</f>
        <v>1.6</v>
      </c>
      <c r="AK11" s="8" t="n">
        <f aca="false">IF(AM11/C11&gt;1,1,AM11/C11)</f>
        <v>0.06</v>
      </c>
      <c r="AL11" s="8" t="n">
        <f aca="false">1/AK11</f>
        <v>16.6666666666667</v>
      </c>
      <c r="AM11" s="8" t="n">
        <f aca="false">AM$3</f>
        <v>1.8</v>
      </c>
      <c r="AN11" s="8" t="n">
        <f aca="false">AN$3</f>
        <v>1</v>
      </c>
      <c r="AO11" s="8" t="n">
        <f aca="false">AM11*AN11</f>
        <v>1.8</v>
      </c>
      <c r="AP11" s="8" t="n">
        <f aca="false">IF(AR11/C11&gt;1,1,AR11/C11)</f>
        <v>0.0633333333333333</v>
      </c>
      <c r="AQ11" s="8" t="n">
        <f aca="false">1/AP11</f>
        <v>15.7894736842105</v>
      </c>
      <c r="AR11" s="8" t="n">
        <f aca="false">AR$3</f>
        <v>1.9</v>
      </c>
      <c r="AS11" s="8" t="n">
        <f aca="false">AS$3</f>
        <v>2</v>
      </c>
      <c r="AT11" s="8" t="n">
        <f aca="false">AR11*AS11</f>
        <v>3.8</v>
      </c>
      <c r="AU11" s="8" t="n">
        <f aca="false">IF(AW11/C11&gt;1,1,AW11/C11)</f>
        <v>0.0666666666666667</v>
      </c>
      <c r="AV11" s="8" t="n">
        <f aca="false">1/AU11</f>
        <v>15</v>
      </c>
      <c r="AW11" s="8" t="n">
        <f aca="false">AW$3</f>
        <v>2</v>
      </c>
      <c r="AX11" s="8" t="n">
        <f aca="false">AX$3</f>
        <v>5</v>
      </c>
      <c r="AY11" s="8" t="n">
        <f aca="false">AW11*AX11</f>
        <v>10</v>
      </c>
      <c r="AZ11" s="8" t="n">
        <f aca="false">IF(BB11/C11&gt;1,1,BB11/C11)</f>
        <v>0.0533333333333333</v>
      </c>
      <c r="BA11" s="8" t="n">
        <f aca="false">1/AZ11</f>
        <v>18.75</v>
      </c>
      <c r="BB11" s="8" t="n">
        <f aca="false">BB$3</f>
        <v>1.6</v>
      </c>
      <c r="BC11" s="8" t="n">
        <f aca="false">BC$3</f>
        <v>10</v>
      </c>
      <c r="BD11" s="8" t="n">
        <f aca="false">BB11*BC11</f>
        <v>16</v>
      </c>
      <c r="BE11" s="8" t="n">
        <f aca="false">IF(BG11/C11&gt;1,1,BG11/C11)</f>
        <v>0.0633333333333333</v>
      </c>
      <c r="BF11" s="8" t="n">
        <f aca="false">1/BE11</f>
        <v>15.7894736842105</v>
      </c>
      <c r="BG11" s="8" t="n">
        <f aca="false">BG$3</f>
        <v>1.9</v>
      </c>
      <c r="BH11" s="8" t="n">
        <f aca="false">BH$3</f>
        <v>1</v>
      </c>
      <c r="BI11" s="8" t="n">
        <f aca="false">BG11*BH11</f>
        <v>1.9</v>
      </c>
      <c r="BJ11" s="8" t="n">
        <f aca="false">IF(BL11/C11&gt;1,1,BL11/C11)</f>
        <v>0.0666666666666667</v>
      </c>
      <c r="BK11" s="8" t="n">
        <f aca="false">1/BJ11</f>
        <v>15</v>
      </c>
      <c r="BL11" s="8" t="n">
        <f aca="false">BL$3</f>
        <v>2</v>
      </c>
      <c r="BM11" s="8" t="n">
        <f aca="false">BM$3</f>
        <v>1</v>
      </c>
      <c r="BN11" s="8" t="n">
        <f aca="false">BL11*BM11</f>
        <v>2</v>
      </c>
      <c r="BO11" s="8" t="n">
        <f aca="false">IF(BQ11/C11&gt;1,1,BQ11/C11)</f>
        <v>0.0666666666666667</v>
      </c>
      <c r="BP11" s="8" t="n">
        <f aca="false">1/BO11</f>
        <v>15</v>
      </c>
      <c r="BQ11" s="8" t="n">
        <f aca="false">BQ$3</f>
        <v>2</v>
      </c>
      <c r="BR11" s="8" t="n">
        <f aca="false">BR$3</f>
        <v>12</v>
      </c>
      <c r="BS11" s="8" t="n">
        <f aca="false">BQ11*BR11</f>
        <v>24</v>
      </c>
      <c r="BT11" s="8" t="n">
        <f aca="false">IF(BV11/C11&gt;1,1,BV11/C11)</f>
        <v>0.0633333333333333</v>
      </c>
      <c r="BU11" s="8" t="n">
        <f aca="false">1/BT11</f>
        <v>15.7894736842105</v>
      </c>
      <c r="BV11" s="8" t="n">
        <f aca="false">BV$3</f>
        <v>1.9</v>
      </c>
      <c r="BW11" s="8" t="n">
        <f aca="false">BW$3</f>
        <v>10</v>
      </c>
      <c r="BX11" s="8" t="n">
        <f aca="false">BV11*BW11</f>
        <v>19</v>
      </c>
    </row>
    <row r="12" customFormat="false" ht="12.75" hidden="false" customHeight="true" outlineLevel="0" collapsed="false">
      <c r="A12" s="8" t="s">
        <v>79</v>
      </c>
      <c r="B12" s="15" t="s">
        <v>80</v>
      </c>
      <c r="C12" s="15" t="n">
        <v>35</v>
      </c>
      <c r="D12" s="8" t="n">
        <f aca="false">F12/C12</f>
        <v>0.02</v>
      </c>
      <c r="E12" s="8" t="n">
        <f aca="false">1/D12</f>
        <v>50</v>
      </c>
      <c r="F12" s="8" t="n">
        <f aca="false">F$3</f>
        <v>0.7</v>
      </c>
      <c r="G12" s="8" t="n">
        <f aca="false">G$3</f>
        <v>0.12</v>
      </c>
      <c r="H12" s="8" t="n">
        <f aca="false">G12/D$132</f>
        <v>0.0020193036436523</v>
      </c>
      <c r="I12" s="8" t="n">
        <f aca="false">1/H$3</f>
        <v>495.22022264631</v>
      </c>
      <c r="J12" s="8" t="n">
        <f aca="false">J$3</f>
        <v>1</v>
      </c>
      <c r="K12" s="8" t="n">
        <f aca="false">F12*J12</f>
        <v>0.7</v>
      </c>
      <c r="L12" s="8" t="n">
        <f aca="false">IF(N12/C12&gt;1,1,N12/C12)</f>
        <v>0.0342857142857143</v>
      </c>
      <c r="M12" s="8" t="n">
        <f aca="false">1/L12</f>
        <v>29.1666666666667</v>
      </c>
      <c r="N12" s="8" t="n">
        <f aca="false">N$3</f>
        <v>1.2</v>
      </c>
      <c r="O12" s="8" t="n">
        <f aca="false">O$3</f>
        <v>1</v>
      </c>
      <c r="P12" s="8" t="n">
        <f aca="false">N12*O12</f>
        <v>1.2</v>
      </c>
      <c r="Q12" s="8" t="n">
        <f aca="false">IF(S12/C12&gt;1,1,S12/C12)</f>
        <v>0.04</v>
      </c>
      <c r="R12" s="8" t="n">
        <f aca="false">1/Q12</f>
        <v>25</v>
      </c>
      <c r="S12" s="8" t="n">
        <f aca="false">S$3</f>
        <v>1.4</v>
      </c>
      <c r="T12" s="8" t="n">
        <f aca="false">T$3</f>
        <v>1</v>
      </c>
      <c r="U12" s="8" t="n">
        <f aca="false">S12*T12</f>
        <v>1.4</v>
      </c>
      <c r="V12" s="8" t="n">
        <f aca="false">IF(X12/C12&gt;1,1,X12/C12)</f>
        <v>0.0428571428571429</v>
      </c>
      <c r="W12" s="8" t="n">
        <f aca="false">1/V12</f>
        <v>23.3333333333333</v>
      </c>
      <c r="X12" s="8" t="n">
        <f aca="false">X$3</f>
        <v>1.5</v>
      </c>
      <c r="Y12" s="8" t="n">
        <f aca="false">Y$3</f>
        <v>5</v>
      </c>
      <c r="Z12" s="8" t="n">
        <f aca="false">X12*Y12</f>
        <v>7.5</v>
      </c>
      <c r="AA12" s="8" t="n">
        <f aca="false">IF(AC12/C12&gt;1,1,AC12/C12)</f>
        <v>0.0371428571428571</v>
      </c>
      <c r="AB12" s="8" t="n">
        <f aca="false">1/AA12</f>
        <v>26.9230769230769</v>
      </c>
      <c r="AC12" s="8" t="n">
        <f aca="false">AC$3</f>
        <v>1.3</v>
      </c>
      <c r="AD12" s="8" t="n">
        <f aca="false">AD$3</f>
        <v>3</v>
      </c>
      <c r="AE12" s="8" t="n">
        <f aca="false">AC12*AD12</f>
        <v>3.9</v>
      </c>
      <c r="AF12" s="8" t="n">
        <f aca="false">IF(AH12/C12&gt;1,1,AH12/C12)</f>
        <v>0.0457142857142857</v>
      </c>
      <c r="AG12" s="8" t="n">
        <f aca="false">1/AF12</f>
        <v>21.875</v>
      </c>
      <c r="AH12" s="8" t="n">
        <f aca="false">AH$3</f>
        <v>1.6</v>
      </c>
      <c r="AI12" s="8" t="n">
        <f aca="false">AI$3</f>
        <v>1</v>
      </c>
      <c r="AJ12" s="8" t="n">
        <f aca="false">AH12*AI12</f>
        <v>1.6</v>
      </c>
      <c r="AK12" s="8" t="n">
        <f aca="false">IF(AM12/C12&gt;1,1,AM12/C12)</f>
        <v>0.0514285714285714</v>
      </c>
      <c r="AL12" s="8" t="n">
        <f aca="false">1/AK12</f>
        <v>19.4444444444444</v>
      </c>
      <c r="AM12" s="8" t="n">
        <f aca="false">AM$3</f>
        <v>1.8</v>
      </c>
      <c r="AN12" s="8" t="n">
        <f aca="false">AN$3</f>
        <v>1</v>
      </c>
      <c r="AO12" s="8" t="n">
        <f aca="false">AM12*AN12</f>
        <v>1.8</v>
      </c>
      <c r="AP12" s="8" t="n">
        <f aca="false">IF(AR12/C12&gt;1,1,AR12/C12)</f>
        <v>0.0542857142857143</v>
      </c>
      <c r="AQ12" s="8" t="n">
        <f aca="false">1/AP12</f>
        <v>18.421052631579</v>
      </c>
      <c r="AR12" s="8" t="n">
        <f aca="false">AR$3</f>
        <v>1.9</v>
      </c>
      <c r="AS12" s="8" t="n">
        <f aca="false">AS$3</f>
        <v>2</v>
      </c>
      <c r="AT12" s="8" t="n">
        <f aca="false">AR12*AS12</f>
        <v>3.8</v>
      </c>
      <c r="AU12" s="8" t="n">
        <f aca="false">IF(AW12/C12&gt;1,1,AW12/C12)</f>
        <v>0.0571428571428571</v>
      </c>
      <c r="AV12" s="8" t="n">
        <f aca="false">1/AU12</f>
        <v>17.5</v>
      </c>
      <c r="AW12" s="8" t="n">
        <f aca="false">AW$3</f>
        <v>2</v>
      </c>
      <c r="AX12" s="8" t="n">
        <f aca="false">AX$3</f>
        <v>5</v>
      </c>
      <c r="AY12" s="8" t="n">
        <f aca="false">AW12*AX12</f>
        <v>10</v>
      </c>
      <c r="AZ12" s="8" t="n">
        <f aca="false">IF(BB12/C12&gt;1,1,BB12/C12)</f>
        <v>0.0457142857142857</v>
      </c>
      <c r="BA12" s="8" t="n">
        <f aca="false">1/AZ12</f>
        <v>21.875</v>
      </c>
      <c r="BB12" s="8" t="n">
        <f aca="false">BB$3</f>
        <v>1.6</v>
      </c>
      <c r="BC12" s="8" t="n">
        <f aca="false">BC$3</f>
        <v>10</v>
      </c>
      <c r="BD12" s="8" t="n">
        <f aca="false">BB12*BC12</f>
        <v>16</v>
      </c>
      <c r="BE12" s="8" t="n">
        <f aca="false">IF(BG12/C12&gt;1,1,BG12/C12)</f>
        <v>0.0542857142857143</v>
      </c>
      <c r="BF12" s="8" t="n">
        <f aca="false">1/BE12</f>
        <v>18.421052631579</v>
      </c>
      <c r="BG12" s="8" t="n">
        <f aca="false">BG$3</f>
        <v>1.9</v>
      </c>
      <c r="BH12" s="8" t="n">
        <f aca="false">BH$3</f>
        <v>1</v>
      </c>
      <c r="BI12" s="8" t="n">
        <f aca="false">BG12*BH12</f>
        <v>1.9</v>
      </c>
      <c r="BJ12" s="8" t="n">
        <f aca="false">IF(BL12/C12&gt;1,1,BL12/C12)</f>
        <v>0.0571428571428571</v>
      </c>
      <c r="BK12" s="8" t="n">
        <f aca="false">1/BJ12</f>
        <v>17.5</v>
      </c>
      <c r="BL12" s="8" t="n">
        <f aca="false">BL$3</f>
        <v>2</v>
      </c>
      <c r="BM12" s="8" t="n">
        <f aca="false">BM$3</f>
        <v>1</v>
      </c>
      <c r="BN12" s="8" t="n">
        <f aca="false">BL12*BM12</f>
        <v>2</v>
      </c>
      <c r="BO12" s="8" t="n">
        <f aca="false">IF(BQ12/C12&gt;1,1,BQ12/C12)</f>
        <v>0.0571428571428571</v>
      </c>
      <c r="BP12" s="8" t="n">
        <f aca="false">1/BO12</f>
        <v>17.5</v>
      </c>
      <c r="BQ12" s="8" t="n">
        <f aca="false">BQ$3</f>
        <v>2</v>
      </c>
      <c r="BR12" s="8" t="n">
        <f aca="false">BR$3</f>
        <v>12</v>
      </c>
      <c r="BS12" s="8" t="n">
        <f aca="false">BQ12*BR12</f>
        <v>24</v>
      </c>
      <c r="BT12" s="8" t="n">
        <f aca="false">IF(BV12/C12&gt;1,1,BV12/C12)</f>
        <v>0.0542857142857143</v>
      </c>
      <c r="BU12" s="8" t="n">
        <f aca="false">1/BT12</f>
        <v>18.421052631579</v>
      </c>
      <c r="BV12" s="8" t="n">
        <f aca="false">BV$3</f>
        <v>1.9</v>
      </c>
      <c r="BW12" s="8" t="n">
        <f aca="false">BW$3</f>
        <v>10</v>
      </c>
      <c r="BX12" s="8" t="n">
        <f aca="false">BV12*BW12</f>
        <v>19</v>
      </c>
    </row>
    <row r="13" customFormat="false" ht="12.75" hidden="false" customHeight="true" outlineLevel="0" collapsed="false">
      <c r="A13" s="8" t="s">
        <v>81</v>
      </c>
      <c r="B13" s="15" t="s">
        <v>82</v>
      </c>
      <c r="C13" s="15" t="n">
        <v>15</v>
      </c>
      <c r="D13" s="8" t="n">
        <f aca="false">F13/C13</f>
        <v>0.0466666666666667</v>
      </c>
      <c r="E13" s="8" t="n">
        <f aca="false">1/D13</f>
        <v>21.4285714285714</v>
      </c>
      <c r="F13" s="8" t="n">
        <f aca="false">F$3</f>
        <v>0.7</v>
      </c>
      <c r="G13" s="8" t="n">
        <f aca="false">G$3</f>
        <v>0.12</v>
      </c>
      <c r="H13" s="8" t="n">
        <f aca="false">G13/D$132</f>
        <v>0.0020193036436523</v>
      </c>
      <c r="I13" s="8" t="n">
        <f aca="false">1/H$3</f>
        <v>495.22022264631</v>
      </c>
      <c r="J13" s="8" t="n">
        <f aca="false">J$3</f>
        <v>1</v>
      </c>
      <c r="K13" s="8" t="n">
        <f aca="false">F13*J13</f>
        <v>0.7</v>
      </c>
      <c r="L13" s="8" t="n">
        <f aca="false">IF(N13/C13&gt;1,1,N13/C13)</f>
        <v>0.08</v>
      </c>
      <c r="M13" s="8" t="n">
        <f aca="false">1/L13</f>
        <v>12.5</v>
      </c>
      <c r="N13" s="8" t="n">
        <f aca="false">N$3</f>
        <v>1.2</v>
      </c>
      <c r="O13" s="8" t="n">
        <f aca="false">O$3</f>
        <v>1</v>
      </c>
      <c r="P13" s="8" t="n">
        <f aca="false">N13*O13</f>
        <v>1.2</v>
      </c>
      <c r="Q13" s="8" t="n">
        <f aca="false">IF(S13/C13&gt;1,1,S13/C13)</f>
        <v>0.0933333333333333</v>
      </c>
      <c r="R13" s="8" t="n">
        <f aca="false">1/Q13</f>
        <v>10.7142857142857</v>
      </c>
      <c r="S13" s="8" t="n">
        <f aca="false">S$3</f>
        <v>1.4</v>
      </c>
      <c r="T13" s="8" t="n">
        <f aca="false">T$3</f>
        <v>1</v>
      </c>
      <c r="U13" s="8" t="n">
        <f aca="false">S13*T13</f>
        <v>1.4</v>
      </c>
      <c r="V13" s="8" t="n">
        <f aca="false">IF(X13/C13&gt;1,1,X13/C13)</f>
        <v>0.1</v>
      </c>
      <c r="W13" s="8" t="n">
        <f aca="false">1/V13</f>
        <v>10</v>
      </c>
      <c r="X13" s="8" t="n">
        <f aca="false">X$3</f>
        <v>1.5</v>
      </c>
      <c r="Y13" s="8" t="n">
        <f aca="false">Y$3</f>
        <v>5</v>
      </c>
      <c r="Z13" s="8" t="n">
        <f aca="false">X13*Y13</f>
        <v>7.5</v>
      </c>
      <c r="AA13" s="8" t="n">
        <f aca="false">IF(AC13/C13&gt;1,1,AC13/C13)</f>
        <v>0.0866666666666667</v>
      </c>
      <c r="AB13" s="8" t="n">
        <f aca="false">1/AA13</f>
        <v>11.5384615384615</v>
      </c>
      <c r="AC13" s="8" t="n">
        <f aca="false">AC$3</f>
        <v>1.3</v>
      </c>
      <c r="AD13" s="8" t="n">
        <f aca="false">AD$3</f>
        <v>3</v>
      </c>
      <c r="AE13" s="8" t="n">
        <f aca="false">AC13*AD13</f>
        <v>3.9</v>
      </c>
      <c r="AF13" s="8" t="n">
        <f aca="false">IF(AH13/C13&gt;1,1,AH13/C13)</f>
        <v>0.106666666666667</v>
      </c>
      <c r="AG13" s="8" t="n">
        <f aca="false">1/AF13</f>
        <v>9.375</v>
      </c>
      <c r="AH13" s="8" t="n">
        <f aca="false">AH$3</f>
        <v>1.6</v>
      </c>
      <c r="AI13" s="8" t="n">
        <f aca="false">AI$3</f>
        <v>1</v>
      </c>
      <c r="AJ13" s="8" t="n">
        <f aca="false">AH13*AI13</f>
        <v>1.6</v>
      </c>
      <c r="AK13" s="8" t="n">
        <f aca="false">IF(AM13/C13&gt;1,1,AM13/C13)</f>
        <v>0.12</v>
      </c>
      <c r="AL13" s="8" t="n">
        <f aca="false">1/AK13</f>
        <v>8.33333333333333</v>
      </c>
      <c r="AM13" s="8" t="n">
        <f aca="false">AM$3</f>
        <v>1.8</v>
      </c>
      <c r="AN13" s="8" t="n">
        <f aca="false">AN$3</f>
        <v>1</v>
      </c>
      <c r="AO13" s="8" t="n">
        <f aca="false">AM13*AN13</f>
        <v>1.8</v>
      </c>
      <c r="AP13" s="8" t="n">
        <f aca="false">IF(AR13/C13&gt;1,1,AR13/C13)</f>
        <v>0.126666666666667</v>
      </c>
      <c r="AQ13" s="8" t="n">
        <f aca="false">1/AP13</f>
        <v>7.89473684210526</v>
      </c>
      <c r="AR13" s="8" t="n">
        <f aca="false">AR$3</f>
        <v>1.9</v>
      </c>
      <c r="AS13" s="8" t="n">
        <f aca="false">AS$3</f>
        <v>2</v>
      </c>
      <c r="AT13" s="8" t="n">
        <f aca="false">AR13*AS13</f>
        <v>3.8</v>
      </c>
      <c r="AU13" s="8" t="n">
        <f aca="false">IF(AW13/C13&gt;1,1,AW13/C13)</f>
        <v>0.133333333333333</v>
      </c>
      <c r="AV13" s="8" t="n">
        <f aca="false">1/AU13</f>
        <v>7.5</v>
      </c>
      <c r="AW13" s="8" t="n">
        <f aca="false">AW$3</f>
        <v>2</v>
      </c>
      <c r="AX13" s="8" t="n">
        <f aca="false">AX$3</f>
        <v>5</v>
      </c>
      <c r="AY13" s="8" t="n">
        <f aca="false">AW13*AX13</f>
        <v>10</v>
      </c>
      <c r="AZ13" s="8" t="n">
        <f aca="false">IF(BB13/C13&gt;1,1,BB13/C13)</f>
        <v>0.106666666666667</v>
      </c>
      <c r="BA13" s="8" t="n">
        <f aca="false">1/AZ13</f>
        <v>9.375</v>
      </c>
      <c r="BB13" s="8" t="n">
        <f aca="false">BB$3</f>
        <v>1.6</v>
      </c>
      <c r="BC13" s="8" t="n">
        <f aca="false">BC$3</f>
        <v>10</v>
      </c>
      <c r="BD13" s="8" t="n">
        <f aca="false">BB13*BC13</f>
        <v>16</v>
      </c>
      <c r="BE13" s="8" t="n">
        <f aca="false">IF(BG13/C13&gt;1,1,BG13/C13)</f>
        <v>0.126666666666667</v>
      </c>
      <c r="BF13" s="8" t="n">
        <f aca="false">1/BE13</f>
        <v>7.89473684210526</v>
      </c>
      <c r="BG13" s="8" t="n">
        <f aca="false">BG$3</f>
        <v>1.9</v>
      </c>
      <c r="BH13" s="8" t="n">
        <f aca="false">BH$3</f>
        <v>1</v>
      </c>
      <c r="BI13" s="8" t="n">
        <f aca="false">BG13*BH13</f>
        <v>1.9</v>
      </c>
      <c r="BJ13" s="8" t="n">
        <f aca="false">IF(BL13/C13&gt;1,1,BL13/C13)</f>
        <v>0.133333333333333</v>
      </c>
      <c r="BK13" s="8" t="n">
        <f aca="false">1/BJ13</f>
        <v>7.5</v>
      </c>
      <c r="BL13" s="8" t="n">
        <f aca="false">BL$3</f>
        <v>2</v>
      </c>
      <c r="BM13" s="8" t="n">
        <f aca="false">BM$3</f>
        <v>1</v>
      </c>
      <c r="BN13" s="8" t="n">
        <f aca="false">BL13*BM13</f>
        <v>2</v>
      </c>
      <c r="BO13" s="8" t="n">
        <f aca="false">IF(BQ13/C13&gt;1,1,BQ13/C13)</f>
        <v>0.133333333333333</v>
      </c>
      <c r="BP13" s="8" t="n">
        <f aca="false">1/BO13</f>
        <v>7.5</v>
      </c>
      <c r="BQ13" s="8" t="n">
        <f aca="false">BQ$3</f>
        <v>2</v>
      </c>
      <c r="BR13" s="8" t="n">
        <f aca="false">BR$3</f>
        <v>12</v>
      </c>
      <c r="BS13" s="8" t="n">
        <f aca="false">BQ13*BR13</f>
        <v>24</v>
      </c>
      <c r="BT13" s="8" t="n">
        <f aca="false">IF(BV13/C13&gt;1,1,BV13/C13)</f>
        <v>0.126666666666667</v>
      </c>
      <c r="BU13" s="8" t="n">
        <f aca="false">1/BT13</f>
        <v>7.89473684210526</v>
      </c>
      <c r="BV13" s="8" t="n">
        <f aca="false">BV$3</f>
        <v>1.9</v>
      </c>
      <c r="BW13" s="8" t="n">
        <f aca="false">BW$3</f>
        <v>10</v>
      </c>
      <c r="BX13" s="8" t="n">
        <f aca="false">BV13*BW13</f>
        <v>19</v>
      </c>
    </row>
    <row r="14" customFormat="false" ht="12.75" hidden="false" customHeight="true" outlineLevel="0" collapsed="false">
      <c r="A14" s="8" t="s">
        <v>83</v>
      </c>
      <c r="B14" s="15" t="s">
        <v>84</v>
      </c>
      <c r="C14" s="15" t="n">
        <v>18</v>
      </c>
      <c r="D14" s="8" t="n">
        <f aca="false">F14/C14</f>
        <v>0.0388888888888889</v>
      </c>
      <c r="E14" s="8" t="n">
        <f aca="false">1/D14</f>
        <v>25.7142857142857</v>
      </c>
      <c r="F14" s="8" t="n">
        <f aca="false">F$3</f>
        <v>0.7</v>
      </c>
      <c r="G14" s="8" t="n">
        <f aca="false">G$3</f>
        <v>0.12</v>
      </c>
      <c r="H14" s="8" t="n">
        <f aca="false">G14/D$132</f>
        <v>0.0020193036436523</v>
      </c>
      <c r="I14" s="8" t="n">
        <f aca="false">1/H$3</f>
        <v>495.22022264631</v>
      </c>
      <c r="J14" s="8" t="n">
        <f aca="false">J$3</f>
        <v>1</v>
      </c>
      <c r="K14" s="8" t="n">
        <f aca="false">F14*J14</f>
        <v>0.7</v>
      </c>
      <c r="L14" s="8" t="n">
        <f aca="false">IF(N14/C14&gt;1,1,N14/C14)</f>
        <v>0.0666666666666667</v>
      </c>
      <c r="M14" s="8" t="n">
        <f aca="false">1/L14</f>
        <v>15</v>
      </c>
      <c r="N14" s="8" t="n">
        <f aca="false">N$3</f>
        <v>1.2</v>
      </c>
      <c r="O14" s="8" t="n">
        <f aca="false">O$3</f>
        <v>1</v>
      </c>
      <c r="P14" s="8" t="n">
        <f aca="false">N14*O14</f>
        <v>1.2</v>
      </c>
      <c r="Q14" s="8" t="n">
        <f aca="false">IF(S14/C14&gt;1,1,S14/C14)</f>
        <v>0.0777777777777778</v>
      </c>
      <c r="R14" s="8" t="n">
        <f aca="false">1/Q14</f>
        <v>12.8571428571429</v>
      </c>
      <c r="S14" s="8" t="n">
        <f aca="false">S$3</f>
        <v>1.4</v>
      </c>
      <c r="T14" s="8" t="n">
        <f aca="false">T$3</f>
        <v>1</v>
      </c>
      <c r="U14" s="8" t="n">
        <f aca="false">S14*T14</f>
        <v>1.4</v>
      </c>
      <c r="V14" s="8" t="n">
        <f aca="false">IF(X14/C14&gt;1,1,X14/C14)</f>
        <v>0.0833333333333333</v>
      </c>
      <c r="W14" s="8" t="n">
        <f aca="false">1/V14</f>
        <v>12</v>
      </c>
      <c r="X14" s="8" t="n">
        <f aca="false">X$3</f>
        <v>1.5</v>
      </c>
      <c r="Y14" s="8" t="n">
        <f aca="false">Y$3</f>
        <v>5</v>
      </c>
      <c r="Z14" s="8" t="n">
        <f aca="false">X14*Y14</f>
        <v>7.5</v>
      </c>
      <c r="AA14" s="8" t="n">
        <f aca="false">IF(AC14/C14&gt;1,1,AC14/C14)</f>
        <v>0.0722222222222222</v>
      </c>
      <c r="AB14" s="8" t="n">
        <f aca="false">1/AA14</f>
        <v>13.8461538461538</v>
      </c>
      <c r="AC14" s="8" t="n">
        <f aca="false">AC$3</f>
        <v>1.3</v>
      </c>
      <c r="AD14" s="8" t="n">
        <f aca="false">AD$3</f>
        <v>3</v>
      </c>
      <c r="AE14" s="8" t="n">
        <f aca="false">AC14*AD14</f>
        <v>3.9</v>
      </c>
      <c r="AF14" s="8" t="n">
        <f aca="false">IF(AH14/C14&gt;1,1,AH14/C14)</f>
        <v>0.0888888888888889</v>
      </c>
      <c r="AG14" s="8" t="n">
        <f aca="false">1/AF14</f>
        <v>11.25</v>
      </c>
      <c r="AH14" s="8" t="n">
        <f aca="false">AH$3</f>
        <v>1.6</v>
      </c>
      <c r="AI14" s="8" t="n">
        <f aca="false">AI$3</f>
        <v>1</v>
      </c>
      <c r="AJ14" s="8" t="n">
        <f aca="false">AH14*AI14</f>
        <v>1.6</v>
      </c>
      <c r="AK14" s="8" t="n">
        <f aca="false">IF(AM14/C14&gt;1,1,AM14/C14)</f>
        <v>0.1</v>
      </c>
      <c r="AL14" s="8" t="n">
        <f aca="false">1/AK14</f>
        <v>10</v>
      </c>
      <c r="AM14" s="8" t="n">
        <f aca="false">AM$3</f>
        <v>1.8</v>
      </c>
      <c r="AN14" s="8" t="n">
        <f aca="false">AN$3</f>
        <v>1</v>
      </c>
      <c r="AO14" s="8" t="n">
        <f aca="false">AM14*AN14</f>
        <v>1.8</v>
      </c>
      <c r="AP14" s="8" t="n">
        <f aca="false">IF(AR14/C14&gt;1,1,AR14/C14)</f>
        <v>0.105555555555556</v>
      </c>
      <c r="AQ14" s="8" t="n">
        <f aca="false">1/AP14</f>
        <v>9.47368421052632</v>
      </c>
      <c r="AR14" s="8" t="n">
        <f aca="false">AR$3</f>
        <v>1.9</v>
      </c>
      <c r="AS14" s="8" t="n">
        <f aca="false">AS$3</f>
        <v>2</v>
      </c>
      <c r="AT14" s="8" t="n">
        <f aca="false">AR14*AS14</f>
        <v>3.8</v>
      </c>
      <c r="AU14" s="8" t="n">
        <f aca="false">IF(AW14/C14&gt;1,1,AW14/C14)</f>
        <v>0.111111111111111</v>
      </c>
      <c r="AV14" s="8" t="n">
        <f aca="false">1/AU14</f>
        <v>9</v>
      </c>
      <c r="AW14" s="8" t="n">
        <f aca="false">AW$3</f>
        <v>2</v>
      </c>
      <c r="AX14" s="8" t="n">
        <f aca="false">AX$3</f>
        <v>5</v>
      </c>
      <c r="AY14" s="8" t="n">
        <f aca="false">AW14*AX14</f>
        <v>10</v>
      </c>
      <c r="AZ14" s="8" t="n">
        <f aca="false">IF(BB14/C14&gt;1,1,BB14/C14)</f>
        <v>0.0888888888888889</v>
      </c>
      <c r="BA14" s="8" t="n">
        <f aca="false">1/AZ14</f>
        <v>11.25</v>
      </c>
      <c r="BB14" s="8" t="n">
        <f aca="false">BB$3</f>
        <v>1.6</v>
      </c>
      <c r="BC14" s="8" t="n">
        <f aca="false">BC$3</f>
        <v>10</v>
      </c>
      <c r="BD14" s="8" t="n">
        <f aca="false">BB14*BC14</f>
        <v>16</v>
      </c>
      <c r="BE14" s="8" t="n">
        <f aca="false">IF(BG14/C14&gt;1,1,BG14/C14)</f>
        <v>0.105555555555556</v>
      </c>
      <c r="BF14" s="8" t="n">
        <f aca="false">1/BE14</f>
        <v>9.47368421052632</v>
      </c>
      <c r="BG14" s="8" t="n">
        <f aca="false">BG$3</f>
        <v>1.9</v>
      </c>
      <c r="BH14" s="8" t="n">
        <f aca="false">BH$3</f>
        <v>1</v>
      </c>
      <c r="BI14" s="8" t="n">
        <f aca="false">BG14*BH14</f>
        <v>1.9</v>
      </c>
      <c r="BJ14" s="8" t="n">
        <f aca="false">IF(BL14/C14&gt;1,1,BL14/C14)</f>
        <v>0.111111111111111</v>
      </c>
      <c r="BK14" s="8" t="n">
        <f aca="false">1/BJ14</f>
        <v>9</v>
      </c>
      <c r="BL14" s="8" t="n">
        <f aca="false">BL$3</f>
        <v>2</v>
      </c>
      <c r="BM14" s="8" t="n">
        <f aca="false">BM$3</f>
        <v>1</v>
      </c>
      <c r="BN14" s="8" t="n">
        <f aca="false">BL14*BM14</f>
        <v>2</v>
      </c>
      <c r="BO14" s="8" t="n">
        <f aca="false">IF(BQ14/C14&gt;1,1,BQ14/C14)</f>
        <v>0.111111111111111</v>
      </c>
      <c r="BP14" s="8" t="n">
        <f aca="false">1/BO14</f>
        <v>9</v>
      </c>
      <c r="BQ14" s="8" t="n">
        <f aca="false">BQ$3</f>
        <v>2</v>
      </c>
      <c r="BR14" s="8" t="n">
        <f aca="false">BR$3</f>
        <v>12</v>
      </c>
      <c r="BS14" s="8" t="n">
        <f aca="false">BQ14*BR14</f>
        <v>24</v>
      </c>
      <c r="BT14" s="8" t="n">
        <f aca="false">IF(BV14/C14&gt;1,1,BV14/C14)</f>
        <v>0.105555555555556</v>
      </c>
      <c r="BU14" s="8" t="n">
        <f aca="false">1/BT14</f>
        <v>9.47368421052632</v>
      </c>
      <c r="BV14" s="8" t="n">
        <f aca="false">BV$3</f>
        <v>1.9</v>
      </c>
      <c r="BW14" s="8" t="n">
        <f aca="false">BW$3</f>
        <v>10</v>
      </c>
      <c r="BX14" s="8" t="n">
        <f aca="false">BV14*BW14</f>
        <v>19</v>
      </c>
    </row>
    <row r="15" customFormat="false" ht="12.75" hidden="false" customHeight="true" outlineLevel="0" collapsed="false">
      <c r="A15" s="8" t="s">
        <v>85</v>
      </c>
      <c r="B15" s="15" t="s">
        <v>86</v>
      </c>
      <c r="C15" s="15" t="n">
        <v>20</v>
      </c>
      <c r="D15" s="8" t="n">
        <f aca="false">F15/C15</f>
        <v>0.035</v>
      </c>
      <c r="E15" s="8" t="n">
        <f aca="false">1/D15</f>
        <v>28.5714285714286</v>
      </c>
      <c r="F15" s="8" t="n">
        <f aca="false">F$3</f>
        <v>0.7</v>
      </c>
      <c r="G15" s="8" t="n">
        <f aca="false">G$3</f>
        <v>0.12</v>
      </c>
      <c r="H15" s="8" t="n">
        <f aca="false">G15/D$132</f>
        <v>0.0020193036436523</v>
      </c>
      <c r="I15" s="8" t="n">
        <f aca="false">1/H$3</f>
        <v>495.22022264631</v>
      </c>
      <c r="J15" s="8" t="n">
        <f aca="false">J$3</f>
        <v>1</v>
      </c>
      <c r="K15" s="8" t="n">
        <f aca="false">F15*J15</f>
        <v>0.7</v>
      </c>
      <c r="L15" s="8" t="n">
        <f aca="false">IF(N15/C15&gt;1,1,N15/C15)</f>
        <v>0.06</v>
      </c>
      <c r="M15" s="8" t="n">
        <f aca="false">1/L15</f>
        <v>16.6666666666667</v>
      </c>
      <c r="N15" s="8" t="n">
        <f aca="false">N$3</f>
        <v>1.2</v>
      </c>
      <c r="O15" s="8" t="n">
        <f aca="false">O$3</f>
        <v>1</v>
      </c>
      <c r="P15" s="8" t="n">
        <f aca="false">N15*O15</f>
        <v>1.2</v>
      </c>
      <c r="Q15" s="8" t="n">
        <f aca="false">IF(S15/C15&gt;1,1,S15/C15)</f>
        <v>0.07</v>
      </c>
      <c r="R15" s="8" t="n">
        <f aca="false">1/Q15</f>
        <v>14.2857142857143</v>
      </c>
      <c r="S15" s="8" t="n">
        <f aca="false">S$3</f>
        <v>1.4</v>
      </c>
      <c r="T15" s="8" t="n">
        <f aca="false">T$3</f>
        <v>1</v>
      </c>
      <c r="U15" s="8" t="n">
        <f aca="false">S15*T15</f>
        <v>1.4</v>
      </c>
      <c r="V15" s="8" t="n">
        <f aca="false">IF(X15/C15&gt;1,1,X15/C15)</f>
        <v>0.075</v>
      </c>
      <c r="W15" s="8" t="n">
        <f aca="false">1/V15</f>
        <v>13.3333333333333</v>
      </c>
      <c r="X15" s="8" t="n">
        <f aca="false">X$3</f>
        <v>1.5</v>
      </c>
      <c r="Y15" s="8" t="n">
        <f aca="false">Y$3</f>
        <v>5</v>
      </c>
      <c r="Z15" s="8" t="n">
        <f aca="false">X15*Y15</f>
        <v>7.5</v>
      </c>
      <c r="AA15" s="8" t="n">
        <f aca="false">IF(AC15/C15&gt;1,1,AC15/C15)</f>
        <v>0.065</v>
      </c>
      <c r="AB15" s="8" t="n">
        <f aca="false">1/AA15</f>
        <v>15.3846153846154</v>
      </c>
      <c r="AC15" s="8" t="n">
        <f aca="false">AC$3</f>
        <v>1.3</v>
      </c>
      <c r="AD15" s="8" t="n">
        <f aca="false">AD$3</f>
        <v>3</v>
      </c>
      <c r="AE15" s="8" t="n">
        <f aca="false">AC15*AD15</f>
        <v>3.9</v>
      </c>
      <c r="AF15" s="8" t="n">
        <f aca="false">IF(AH15/C15&gt;1,1,AH15/C15)</f>
        <v>0.08</v>
      </c>
      <c r="AG15" s="8" t="n">
        <f aca="false">1/AF15</f>
        <v>12.5</v>
      </c>
      <c r="AH15" s="8" t="n">
        <f aca="false">AH$3</f>
        <v>1.6</v>
      </c>
      <c r="AI15" s="8" t="n">
        <f aca="false">AI$3</f>
        <v>1</v>
      </c>
      <c r="AJ15" s="8" t="n">
        <f aca="false">AH15*AI15</f>
        <v>1.6</v>
      </c>
      <c r="AK15" s="8" t="n">
        <f aca="false">IF(AM15/C15&gt;1,1,AM15/C15)</f>
        <v>0.09</v>
      </c>
      <c r="AL15" s="8" t="n">
        <f aca="false">1/AK15</f>
        <v>11.1111111111111</v>
      </c>
      <c r="AM15" s="8" t="n">
        <f aca="false">AM$3</f>
        <v>1.8</v>
      </c>
      <c r="AN15" s="8" t="n">
        <f aca="false">AN$3</f>
        <v>1</v>
      </c>
      <c r="AO15" s="8" t="n">
        <f aca="false">AM15*AN15</f>
        <v>1.8</v>
      </c>
      <c r="AP15" s="8" t="n">
        <f aca="false">IF(AR15/C15&gt;1,1,AR15/C15)</f>
        <v>0.095</v>
      </c>
      <c r="AQ15" s="8" t="n">
        <f aca="false">1/AP15</f>
        <v>10.5263157894737</v>
      </c>
      <c r="AR15" s="8" t="n">
        <f aca="false">AR$3</f>
        <v>1.9</v>
      </c>
      <c r="AS15" s="8" t="n">
        <f aca="false">AS$3</f>
        <v>2</v>
      </c>
      <c r="AT15" s="8" t="n">
        <f aca="false">AR15*AS15</f>
        <v>3.8</v>
      </c>
      <c r="AU15" s="8" t="n">
        <f aca="false">IF(AW15/C15&gt;1,1,AW15/C15)</f>
        <v>0.1</v>
      </c>
      <c r="AV15" s="8" t="n">
        <f aca="false">1/AU15</f>
        <v>10</v>
      </c>
      <c r="AW15" s="8" t="n">
        <f aca="false">AW$3</f>
        <v>2</v>
      </c>
      <c r="AX15" s="8" t="n">
        <f aca="false">AX$3</f>
        <v>5</v>
      </c>
      <c r="AY15" s="8" t="n">
        <f aca="false">AW15*AX15</f>
        <v>10</v>
      </c>
      <c r="AZ15" s="8" t="n">
        <f aca="false">IF(BB15/C15&gt;1,1,BB15/C15)</f>
        <v>0.08</v>
      </c>
      <c r="BA15" s="8" t="n">
        <f aca="false">1/AZ15</f>
        <v>12.5</v>
      </c>
      <c r="BB15" s="8" t="n">
        <f aca="false">BB$3</f>
        <v>1.6</v>
      </c>
      <c r="BC15" s="8" t="n">
        <f aca="false">BC$3</f>
        <v>10</v>
      </c>
      <c r="BD15" s="8" t="n">
        <f aca="false">BB15*BC15</f>
        <v>16</v>
      </c>
      <c r="BE15" s="8" t="n">
        <f aca="false">IF(BG15/C15&gt;1,1,BG15/C15)</f>
        <v>0.095</v>
      </c>
      <c r="BF15" s="8" t="n">
        <f aca="false">1/BE15</f>
        <v>10.5263157894737</v>
      </c>
      <c r="BG15" s="8" t="n">
        <f aca="false">BG$3</f>
        <v>1.9</v>
      </c>
      <c r="BH15" s="8" t="n">
        <f aca="false">BH$3</f>
        <v>1</v>
      </c>
      <c r="BI15" s="8" t="n">
        <f aca="false">BG15*BH15</f>
        <v>1.9</v>
      </c>
      <c r="BJ15" s="8" t="n">
        <f aca="false">IF(BL15/C15&gt;1,1,BL15/C15)</f>
        <v>0.1</v>
      </c>
      <c r="BK15" s="8" t="n">
        <f aca="false">1/BJ15</f>
        <v>10</v>
      </c>
      <c r="BL15" s="8" t="n">
        <f aca="false">BL$3</f>
        <v>2</v>
      </c>
      <c r="BM15" s="8" t="n">
        <f aca="false">BM$3</f>
        <v>1</v>
      </c>
      <c r="BN15" s="8" t="n">
        <f aca="false">BL15*BM15</f>
        <v>2</v>
      </c>
      <c r="BO15" s="8" t="n">
        <f aca="false">IF(BQ15/C15&gt;1,1,BQ15/C15)</f>
        <v>0.1</v>
      </c>
      <c r="BP15" s="8" t="n">
        <f aca="false">1/BO15</f>
        <v>10</v>
      </c>
      <c r="BQ15" s="8" t="n">
        <f aca="false">BQ$3</f>
        <v>2</v>
      </c>
      <c r="BR15" s="8" t="n">
        <f aca="false">BR$3</f>
        <v>12</v>
      </c>
      <c r="BS15" s="8" t="n">
        <f aca="false">BQ15*BR15</f>
        <v>24</v>
      </c>
      <c r="BT15" s="8" t="n">
        <f aca="false">IF(BV15/C15&gt;1,1,BV15/C15)</f>
        <v>0.095</v>
      </c>
      <c r="BU15" s="8" t="n">
        <f aca="false">1/BT15</f>
        <v>10.5263157894737</v>
      </c>
      <c r="BV15" s="8" t="n">
        <f aca="false">BV$3</f>
        <v>1.9</v>
      </c>
      <c r="BW15" s="8" t="n">
        <f aca="false">BW$3</f>
        <v>10</v>
      </c>
      <c r="BX15" s="8" t="n">
        <f aca="false">BV15*BW15</f>
        <v>19</v>
      </c>
    </row>
    <row r="16" customFormat="false" ht="12.75" hidden="false" customHeight="true" outlineLevel="0" collapsed="false">
      <c r="A16" s="8" t="s">
        <v>87</v>
      </c>
      <c r="B16" s="15" t="s">
        <v>88</v>
      </c>
      <c r="C16" s="15" t="n">
        <v>25</v>
      </c>
      <c r="D16" s="8" t="n">
        <f aca="false">F16/C16</f>
        <v>0.028</v>
      </c>
      <c r="E16" s="8" t="n">
        <f aca="false">1/D16</f>
        <v>35.7142857142857</v>
      </c>
      <c r="F16" s="8" t="n">
        <f aca="false">F$3</f>
        <v>0.7</v>
      </c>
      <c r="G16" s="8" t="n">
        <f aca="false">G$3</f>
        <v>0.12</v>
      </c>
      <c r="H16" s="8" t="n">
        <f aca="false">G16/D$132</f>
        <v>0.0020193036436523</v>
      </c>
      <c r="I16" s="8" t="n">
        <f aca="false">1/H$3</f>
        <v>495.22022264631</v>
      </c>
      <c r="J16" s="8" t="n">
        <f aca="false">J$3</f>
        <v>1</v>
      </c>
      <c r="K16" s="8" t="n">
        <f aca="false">F16*J16</f>
        <v>0.7</v>
      </c>
      <c r="L16" s="8" t="n">
        <f aca="false">IF(N16/C16&gt;1,1,N16/C16)</f>
        <v>0.048</v>
      </c>
      <c r="M16" s="8" t="n">
        <f aca="false">1/L16</f>
        <v>20.8333333333333</v>
      </c>
      <c r="N16" s="8" t="n">
        <f aca="false">N$3</f>
        <v>1.2</v>
      </c>
      <c r="O16" s="8" t="n">
        <f aca="false">O$3</f>
        <v>1</v>
      </c>
      <c r="P16" s="8" t="n">
        <f aca="false">N16*O16</f>
        <v>1.2</v>
      </c>
      <c r="Q16" s="8" t="n">
        <f aca="false">IF(S16/C16&gt;1,1,S16/C16)</f>
        <v>0.056</v>
      </c>
      <c r="R16" s="8" t="n">
        <f aca="false">1/Q16</f>
        <v>17.8571428571429</v>
      </c>
      <c r="S16" s="8" t="n">
        <f aca="false">S$3</f>
        <v>1.4</v>
      </c>
      <c r="T16" s="8" t="n">
        <f aca="false">T$3</f>
        <v>1</v>
      </c>
      <c r="U16" s="8" t="n">
        <f aca="false">S16*T16</f>
        <v>1.4</v>
      </c>
      <c r="V16" s="8" t="n">
        <f aca="false">IF(X16/C16&gt;1,1,X16/C16)</f>
        <v>0.06</v>
      </c>
      <c r="W16" s="8" t="n">
        <f aca="false">1/V16</f>
        <v>16.6666666666667</v>
      </c>
      <c r="X16" s="8" t="n">
        <f aca="false">X$3</f>
        <v>1.5</v>
      </c>
      <c r="Y16" s="8" t="n">
        <f aca="false">Y$3</f>
        <v>5</v>
      </c>
      <c r="Z16" s="8" t="n">
        <f aca="false">X16*Y16</f>
        <v>7.5</v>
      </c>
      <c r="AA16" s="8" t="n">
        <f aca="false">IF(AC16/C16&gt;1,1,AC16/C16)</f>
        <v>0.052</v>
      </c>
      <c r="AB16" s="8" t="n">
        <f aca="false">1/AA16</f>
        <v>19.2307692307692</v>
      </c>
      <c r="AC16" s="8" t="n">
        <f aca="false">AC$3</f>
        <v>1.3</v>
      </c>
      <c r="AD16" s="8" t="n">
        <f aca="false">AD$3</f>
        <v>3</v>
      </c>
      <c r="AE16" s="8" t="n">
        <f aca="false">AC16*AD16</f>
        <v>3.9</v>
      </c>
      <c r="AF16" s="8" t="n">
        <f aca="false">IF(AH16/C16&gt;1,1,AH16/C16)</f>
        <v>0.064</v>
      </c>
      <c r="AG16" s="8" t="n">
        <f aca="false">1/AF16</f>
        <v>15.625</v>
      </c>
      <c r="AH16" s="8" t="n">
        <f aca="false">AH$3</f>
        <v>1.6</v>
      </c>
      <c r="AI16" s="8" t="n">
        <f aca="false">AI$3</f>
        <v>1</v>
      </c>
      <c r="AJ16" s="8" t="n">
        <f aca="false">AH16*AI16</f>
        <v>1.6</v>
      </c>
      <c r="AK16" s="8" t="n">
        <f aca="false">IF(AM16/C16&gt;1,1,AM16/C16)</f>
        <v>0.072</v>
      </c>
      <c r="AL16" s="8" t="n">
        <f aca="false">1/AK16</f>
        <v>13.8888888888889</v>
      </c>
      <c r="AM16" s="8" t="n">
        <f aca="false">AM$3</f>
        <v>1.8</v>
      </c>
      <c r="AN16" s="8" t="n">
        <f aca="false">AN$3</f>
        <v>1</v>
      </c>
      <c r="AO16" s="8" t="n">
        <f aca="false">AM16*AN16</f>
        <v>1.8</v>
      </c>
      <c r="AP16" s="8" t="n">
        <f aca="false">IF(AR16/C16&gt;1,1,AR16/C16)</f>
        <v>0.076</v>
      </c>
      <c r="AQ16" s="8" t="n">
        <f aca="false">1/AP16</f>
        <v>13.1578947368421</v>
      </c>
      <c r="AR16" s="8" t="n">
        <f aca="false">AR$3</f>
        <v>1.9</v>
      </c>
      <c r="AS16" s="8" t="n">
        <f aca="false">AS$3</f>
        <v>2</v>
      </c>
      <c r="AT16" s="8" t="n">
        <f aca="false">AR16*AS16</f>
        <v>3.8</v>
      </c>
      <c r="AU16" s="8" t="n">
        <f aca="false">IF(AW16/C16&gt;1,1,AW16/C16)</f>
        <v>0.08</v>
      </c>
      <c r="AV16" s="8" t="n">
        <f aca="false">1/AU16</f>
        <v>12.5</v>
      </c>
      <c r="AW16" s="8" t="n">
        <f aca="false">AW$3</f>
        <v>2</v>
      </c>
      <c r="AX16" s="8" t="n">
        <f aca="false">AX$3</f>
        <v>5</v>
      </c>
      <c r="AY16" s="8" t="n">
        <f aca="false">AW16*AX16</f>
        <v>10</v>
      </c>
      <c r="AZ16" s="8" t="n">
        <f aca="false">IF(BB16/C16&gt;1,1,BB16/C16)</f>
        <v>0.064</v>
      </c>
      <c r="BA16" s="8" t="n">
        <f aca="false">1/AZ16</f>
        <v>15.625</v>
      </c>
      <c r="BB16" s="8" t="n">
        <f aca="false">BB$3</f>
        <v>1.6</v>
      </c>
      <c r="BC16" s="8" t="n">
        <f aca="false">BC$3</f>
        <v>10</v>
      </c>
      <c r="BD16" s="8" t="n">
        <f aca="false">BB16*BC16</f>
        <v>16</v>
      </c>
      <c r="BE16" s="8" t="n">
        <f aca="false">IF(BG16/C16&gt;1,1,BG16/C16)</f>
        <v>0.076</v>
      </c>
      <c r="BF16" s="8" t="n">
        <f aca="false">1/BE16</f>
        <v>13.1578947368421</v>
      </c>
      <c r="BG16" s="8" t="n">
        <f aca="false">BG$3</f>
        <v>1.9</v>
      </c>
      <c r="BH16" s="8" t="n">
        <f aca="false">BH$3</f>
        <v>1</v>
      </c>
      <c r="BI16" s="8" t="n">
        <f aca="false">BG16*BH16</f>
        <v>1.9</v>
      </c>
      <c r="BJ16" s="8" t="n">
        <f aca="false">IF(BL16/C16&gt;1,1,BL16/C16)</f>
        <v>0.08</v>
      </c>
      <c r="BK16" s="8" t="n">
        <f aca="false">1/BJ16</f>
        <v>12.5</v>
      </c>
      <c r="BL16" s="8" t="n">
        <f aca="false">BL$3</f>
        <v>2</v>
      </c>
      <c r="BM16" s="8" t="n">
        <f aca="false">BM$3</f>
        <v>1</v>
      </c>
      <c r="BN16" s="8" t="n">
        <f aca="false">BL16*BM16</f>
        <v>2</v>
      </c>
      <c r="BO16" s="8" t="n">
        <f aca="false">IF(BQ16/C16&gt;1,1,BQ16/C16)</f>
        <v>0.08</v>
      </c>
      <c r="BP16" s="8" t="n">
        <f aca="false">1/BO16</f>
        <v>12.5</v>
      </c>
      <c r="BQ16" s="8" t="n">
        <f aca="false">BQ$3</f>
        <v>2</v>
      </c>
      <c r="BR16" s="8" t="n">
        <f aca="false">BR$3</f>
        <v>12</v>
      </c>
      <c r="BS16" s="8" t="n">
        <f aca="false">BQ16*BR16</f>
        <v>24</v>
      </c>
      <c r="BT16" s="8" t="n">
        <f aca="false">IF(BV16/C16&gt;1,1,BV16/C16)</f>
        <v>0.076</v>
      </c>
      <c r="BU16" s="8" t="n">
        <f aca="false">1/BT16</f>
        <v>13.1578947368421</v>
      </c>
      <c r="BV16" s="8" t="n">
        <f aca="false">BV$3</f>
        <v>1.9</v>
      </c>
      <c r="BW16" s="8" t="n">
        <f aca="false">BW$3</f>
        <v>10</v>
      </c>
      <c r="BX16" s="8" t="n">
        <f aca="false">BV16*BW16</f>
        <v>19</v>
      </c>
    </row>
    <row r="17" customFormat="false" ht="12.75" hidden="false" customHeight="true" outlineLevel="0" collapsed="false">
      <c r="A17" s="8" t="s">
        <v>89</v>
      </c>
      <c r="B17" s="13" t="s">
        <v>90</v>
      </c>
      <c r="C17" s="13" t="n">
        <v>40</v>
      </c>
      <c r="D17" s="8" t="n">
        <f aca="false">F17/C17</f>
        <v>0.0175</v>
      </c>
      <c r="E17" s="8" t="n">
        <f aca="false">1/D17</f>
        <v>57.1428571428571</v>
      </c>
      <c r="F17" s="8" t="n">
        <f aca="false">F$3</f>
        <v>0.7</v>
      </c>
      <c r="G17" s="8" t="n">
        <f aca="false">G$3</f>
        <v>0.12</v>
      </c>
      <c r="H17" s="8" t="n">
        <f aca="false">G17/D$132</f>
        <v>0.0020193036436523</v>
      </c>
      <c r="I17" s="8" t="n">
        <f aca="false">1/H$3</f>
        <v>495.22022264631</v>
      </c>
      <c r="J17" s="8" t="n">
        <f aca="false">J$3</f>
        <v>1</v>
      </c>
      <c r="K17" s="8" t="n">
        <f aca="false">F17*J17</f>
        <v>0.7</v>
      </c>
      <c r="L17" s="8" t="n">
        <f aca="false">IF(N17/C17&gt;1,1,N17/C17)</f>
        <v>0.03</v>
      </c>
      <c r="M17" s="8" t="n">
        <f aca="false">1/L17</f>
        <v>33.3333333333333</v>
      </c>
      <c r="N17" s="8" t="n">
        <f aca="false">N$3</f>
        <v>1.2</v>
      </c>
      <c r="O17" s="8" t="n">
        <f aca="false">O$3</f>
        <v>1</v>
      </c>
      <c r="P17" s="8" t="n">
        <f aca="false">N17*O17</f>
        <v>1.2</v>
      </c>
      <c r="Q17" s="8" t="n">
        <f aca="false">IF(S17/C17&gt;1,1,S17/C17)</f>
        <v>0.035</v>
      </c>
      <c r="R17" s="8" t="n">
        <f aca="false">1/Q17</f>
        <v>28.5714285714286</v>
      </c>
      <c r="S17" s="8" t="n">
        <f aca="false">S$3</f>
        <v>1.4</v>
      </c>
      <c r="T17" s="8" t="n">
        <f aca="false">T$3</f>
        <v>1</v>
      </c>
      <c r="U17" s="8" t="n">
        <f aca="false">S17*T17</f>
        <v>1.4</v>
      </c>
      <c r="V17" s="8" t="n">
        <f aca="false">IF(X17/C17&gt;1,1,X17/C17)</f>
        <v>0.0375</v>
      </c>
      <c r="W17" s="8" t="n">
        <f aca="false">1/V17</f>
        <v>26.6666666666667</v>
      </c>
      <c r="X17" s="8" t="n">
        <f aca="false">X$3</f>
        <v>1.5</v>
      </c>
      <c r="Y17" s="8" t="n">
        <f aca="false">Y$3</f>
        <v>5</v>
      </c>
      <c r="Z17" s="8" t="n">
        <f aca="false">X17*Y17</f>
        <v>7.5</v>
      </c>
      <c r="AA17" s="8" t="n">
        <f aca="false">IF(AC17/C17&gt;1,1,AC17/C17)</f>
        <v>0.0325</v>
      </c>
      <c r="AB17" s="8" t="n">
        <f aca="false">1/AA17</f>
        <v>30.7692307692308</v>
      </c>
      <c r="AC17" s="8" t="n">
        <f aca="false">AC$3</f>
        <v>1.3</v>
      </c>
      <c r="AD17" s="8" t="n">
        <f aca="false">AD$3</f>
        <v>3</v>
      </c>
      <c r="AE17" s="8" t="n">
        <f aca="false">AC17*AD17</f>
        <v>3.9</v>
      </c>
      <c r="AF17" s="8" t="n">
        <f aca="false">IF(AH17/C17&gt;1,1,AH17/C17)</f>
        <v>0.04</v>
      </c>
      <c r="AG17" s="8" t="n">
        <f aca="false">1/AF17</f>
        <v>25</v>
      </c>
      <c r="AH17" s="8" t="n">
        <f aca="false">AH$3</f>
        <v>1.6</v>
      </c>
      <c r="AI17" s="8" t="n">
        <f aca="false">AI$3</f>
        <v>1</v>
      </c>
      <c r="AJ17" s="8" t="n">
        <f aca="false">AH17*AI17</f>
        <v>1.6</v>
      </c>
      <c r="AK17" s="8" t="n">
        <f aca="false">IF(AM17/C17&gt;1,1,AM17/C17)</f>
        <v>0.045</v>
      </c>
      <c r="AL17" s="8" t="n">
        <f aca="false">1/AK17</f>
        <v>22.2222222222222</v>
      </c>
      <c r="AM17" s="8" t="n">
        <f aca="false">AM$3</f>
        <v>1.8</v>
      </c>
      <c r="AN17" s="8" t="n">
        <f aca="false">AN$3</f>
        <v>1</v>
      </c>
      <c r="AO17" s="8" t="n">
        <f aca="false">AM17*AN17</f>
        <v>1.8</v>
      </c>
      <c r="AP17" s="8" t="n">
        <f aca="false">IF(AR17/C17&gt;1,1,AR17/C17)</f>
        <v>0.0475</v>
      </c>
      <c r="AQ17" s="8" t="n">
        <f aca="false">1/AP17</f>
        <v>21.0526315789474</v>
      </c>
      <c r="AR17" s="8" t="n">
        <f aca="false">AR$3</f>
        <v>1.9</v>
      </c>
      <c r="AS17" s="8" t="n">
        <f aca="false">AS$3</f>
        <v>2</v>
      </c>
      <c r="AT17" s="8" t="n">
        <f aca="false">AR17*AS17</f>
        <v>3.8</v>
      </c>
      <c r="AU17" s="8" t="n">
        <f aca="false">IF(AW17/C17&gt;1,1,AW17/C17)</f>
        <v>0.05</v>
      </c>
      <c r="AV17" s="8" t="n">
        <f aca="false">1/AU17</f>
        <v>20</v>
      </c>
      <c r="AW17" s="8" t="n">
        <f aca="false">AW$3</f>
        <v>2</v>
      </c>
      <c r="AX17" s="8" t="n">
        <f aca="false">AX$3</f>
        <v>5</v>
      </c>
      <c r="AY17" s="8" t="n">
        <f aca="false">AW17*AX17</f>
        <v>10</v>
      </c>
      <c r="AZ17" s="8" t="n">
        <f aca="false">IF(BB17/C17&gt;1,1,BB17/C17)</f>
        <v>0.04</v>
      </c>
      <c r="BA17" s="8" t="n">
        <f aca="false">1/AZ17</f>
        <v>25</v>
      </c>
      <c r="BB17" s="8" t="n">
        <f aca="false">BB$3</f>
        <v>1.6</v>
      </c>
      <c r="BC17" s="8" t="n">
        <f aca="false">BC$3</f>
        <v>10</v>
      </c>
      <c r="BD17" s="8" t="n">
        <f aca="false">BB17*BC17</f>
        <v>16</v>
      </c>
      <c r="BE17" s="8" t="n">
        <f aca="false">IF(BG17/C17&gt;1,1,BG17/C17)</f>
        <v>0.0475</v>
      </c>
      <c r="BF17" s="8" t="n">
        <f aca="false">1/BE17</f>
        <v>21.0526315789474</v>
      </c>
      <c r="BG17" s="8" t="n">
        <f aca="false">BG$3</f>
        <v>1.9</v>
      </c>
      <c r="BH17" s="8" t="n">
        <f aca="false">BH$3</f>
        <v>1</v>
      </c>
      <c r="BI17" s="8" t="n">
        <f aca="false">BG17*BH17</f>
        <v>1.9</v>
      </c>
      <c r="BJ17" s="8" t="n">
        <f aca="false">IF(BL17/C17&gt;1,1,BL17/C17)</f>
        <v>0.05</v>
      </c>
      <c r="BK17" s="8" t="n">
        <f aca="false">1/BJ17</f>
        <v>20</v>
      </c>
      <c r="BL17" s="8" t="n">
        <f aca="false">BL$3</f>
        <v>2</v>
      </c>
      <c r="BM17" s="8" t="n">
        <f aca="false">BM$3</f>
        <v>1</v>
      </c>
      <c r="BN17" s="8" t="n">
        <f aca="false">BL17*BM17</f>
        <v>2</v>
      </c>
      <c r="BO17" s="8" t="n">
        <f aca="false">IF(BQ17/C17&gt;1,1,BQ17/C17)</f>
        <v>0.05</v>
      </c>
      <c r="BP17" s="8" t="n">
        <f aca="false">1/BO17</f>
        <v>20</v>
      </c>
      <c r="BQ17" s="8" t="n">
        <f aca="false">BQ$3</f>
        <v>2</v>
      </c>
      <c r="BR17" s="8" t="n">
        <f aca="false">BR$3</f>
        <v>12</v>
      </c>
      <c r="BS17" s="8" t="n">
        <f aca="false">BQ17*BR17</f>
        <v>24</v>
      </c>
      <c r="BT17" s="8" t="n">
        <f aca="false">IF(BV17/C17&gt;1,1,BV17/C17)</f>
        <v>0.0475</v>
      </c>
      <c r="BU17" s="8" t="n">
        <f aca="false">1/BT17</f>
        <v>21.0526315789474</v>
      </c>
      <c r="BV17" s="8" t="n">
        <f aca="false">BV$3</f>
        <v>1.9</v>
      </c>
      <c r="BW17" s="8" t="n">
        <f aca="false">BW$3</f>
        <v>10</v>
      </c>
      <c r="BX17" s="8" t="n">
        <f aca="false">BV17*BW17</f>
        <v>19</v>
      </c>
    </row>
    <row r="18" customFormat="false" ht="12.75" hidden="false" customHeight="true" outlineLevel="0" collapsed="false">
      <c r="A18" s="8" t="s">
        <v>91</v>
      </c>
      <c r="B18" s="13" t="s">
        <v>92</v>
      </c>
      <c r="C18" s="13" t="n">
        <v>45</v>
      </c>
      <c r="D18" s="8" t="n">
        <f aca="false">F18/C18</f>
        <v>0.0155555555555556</v>
      </c>
      <c r="E18" s="8" t="n">
        <f aca="false">1/D18</f>
        <v>64.2857142857143</v>
      </c>
      <c r="F18" s="8" t="n">
        <f aca="false">F$3</f>
        <v>0.7</v>
      </c>
      <c r="G18" s="8" t="n">
        <f aca="false">G$3</f>
        <v>0.12</v>
      </c>
      <c r="H18" s="8" t="n">
        <f aca="false">G18/D$132</f>
        <v>0.0020193036436523</v>
      </c>
      <c r="I18" s="8" t="n">
        <f aca="false">1/H$3</f>
        <v>495.22022264631</v>
      </c>
      <c r="J18" s="8" t="n">
        <f aca="false">J$3</f>
        <v>1</v>
      </c>
      <c r="K18" s="8" t="n">
        <f aca="false">F18*J18</f>
        <v>0.7</v>
      </c>
      <c r="L18" s="8" t="n">
        <f aca="false">IF(N18/C18&gt;1,1,N18/C18)</f>
        <v>0.0266666666666667</v>
      </c>
      <c r="M18" s="8" t="n">
        <f aca="false">1/L18</f>
        <v>37.5</v>
      </c>
      <c r="N18" s="8" t="n">
        <f aca="false">N$3</f>
        <v>1.2</v>
      </c>
      <c r="O18" s="8" t="n">
        <f aca="false">O$3</f>
        <v>1</v>
      </c>
      <c r="P18" s="8" t="n">
        <f aca="false">N18*O18</f>
        <v>1.2</v>
      </c>
      <c r="Q18" s="8" t="n">
        <f aca="false">IF(S18/C18&gt;1,1,S18/C18)</f>
        <v>0.0311111111111111</v>
      </c>
      <c r="R18" s="8" t="n">
        <f aca="false">1/Q18</f>
        <v>32.1428571428571</v>
      </c>
      <c r="S18" s="8" t="n">
        <f aca="false">S$3</f>
        <v>1.4</v>
      </c>
      <c r="T18" s="8" t="n">
        <f aca="false">T$3</f>
        <v>1</v>
      </c>
      <c r="U18" s="8" t="n">
        <f aca="false">S18*T18</f>
        <v>1.4</v>
      </c>
      <c r="V18" s="8" t="n">
        <f aca="false">IF(X18/C18&gt;1,1,X18/C18)</f>
        <v>0.0333333333333333</v>
      </c>
      <c r="W18" s="8" t="n">
        <f aca="false">1/V18</f>
        <v>30</v>
      </c>
      <c r="X18" s="8" t="n">
        <f aca="false">X$3</f>
        <v>1.5</v>
      </c>
      <c r="Y18" s="8" t="n">
        <f aca="false">Y$3</f>
        <v>5</v>
      </c>
      <c r="Z18" s="8" t="n">
        <f aca="false">X18*Y18</f>
        <v>7.5</v>
      </c>
      <c r="AA18" s="8" t="n">
        <f aca="false">IF(AC18/C18&gt;1,1,AC18/C18)</f>
        <v>0.0288888888888889</v>
      </c>
      <c r="AB18" s="8" t="n">
        <f aca="false">1/AA18</f>
        <v>34.6153846153846</v>
      </c>
      <c r="AC18" s="8" t="n">
        <f aca="false">AC$3</f>
        <v>1.3</v>
      </c>
      <c r="AD18" s="8" t="n">
        <f aca="false">AD$3</f>
        <v>3</v>
      </c>
      <c r="AE18" s="8" t="n">
        <f aca="false">AC18*AD18</f>
        <v>3.9</v>
      </c>
      <c r="AF18" s="8" t="n">
        <f aca="false">IF(AH18/C18&gt;1,1,AH18/C18)</f>
        <v>0.0355555555555556</v>
      </c>
      <c r="AG18" s="8" t="n">
        <f aca="false">1/AF18</f>
        <v>28.125</v>
      </c>
      <c r="AH18" s="8" t="n">
        <f aca="false">AH$3</f>
        <v>1.6</v>
      </c>
      <c r="AI18" s="8" t="n">
        <f aca="false">AI$3</f>
        <v>1</v>
      </c>
      <c r="AJ18" s="8" t="n">
        <f aca="false">AH18*AI18</f>
        <v>1.6</v>
      </c>
      <c r="AK18" s="8" t="n">
        <f aca="false">IF(AM18/C18&gt;1,1,AM18/C18)</f>
        <v>0.04</v>
      </c>
      <c r="AL18" s="8" t="n">
        <f aca="false">1/AK18</f>
        <v>25</v>
      </c>
      <c r="AM18" s="8" t="n">
        <f aca="false">AM$3</f>
        <v>1.8</v>
      </c>
      <c r="AN18" s="8" t="n">
        <f aca="false">AN$3</f>
        <v>1</v>
      </c>
      <c r="AO18" s="8" t="n">
        <f aca="false">AM18*AN18</f>
        <v>1.8</v>
      </c>
      <c r="AP18" s="8" t="n">
        <f aca="false">IF(AR18/C18&gt;1,1,AR18/C18)</f>
        <v>0.0422222222222222</v>
      </c>
      <c r="AQ18" s="8" t="n">
        <f aca="false">1/AP18</f>
        <v>23.6842105263158</v>
      </c>
      <c r="AR18" s="8" t="n">
        <f aca="false">AR$3</f>
        <v>1.9</v>
      </c>
      <c r="AS18" s="8" t="n">
        <f aca="false">AS$3</f>
        <v>2</v>
      </c>
      <c r="AT18" s="8" t="n">
        <f aca="false">AR18*AS18</f>
        <v>3.8</v>
      </c>
      <c r="AU18" s="8" t="n">
        <f aca="false">IF(AW18/C18&gt;1,1,AW18/C18)</f>
        <v>0.0444444444444444</v>
      </c>
      <c r="AV18" s="8" t="n">
        <f aca="false">1/AU18</f>
        <v>22.5</v>
      </c>
      <c r="AW18" s="8" t="n">
        <f aca="false">AW$3</f>
        <v>2</v>
      </c>
      <c r="AX18" s="8" t="n">
        <f aca="false">AX$3</f>
        <v>5</v>
      </c>
      <c r="AY18" s="8" t="n">
        <f aca="false">AW18*AX18</f>
        <v>10</v>
      </c>
      <c r="AZ18" s="8" t="n">
        <f aca="false">IF(BB18/C18&gt;1,1,BB18/C18)</f>
        <v>0.0355555555555556</v>
      </c>
      <c r="BA18" s="8" t="n">
        <f aca="false">1/AZ18</f>
        <v>28.125</v>
      </c>
      <c r="BB18" s="8" t="n">
        <f aca="false">BB$3</f>
        <v>1.6</v>
      </c>
      <c r="BC18" s="8" t="n">
        <f aca="false">BC$3</f>
        <v>10</v>
      </c>
      <c r="BD18" s="8" t="n">
        <f aca="false">BB18*BC18</f>
        <v>16</v>
      </c>
      <c r="BE18" s="8" t="n">
        <f aca="false">IF(BG18/C18&gt;1,1,BG18/C18)</f>
        <v>0.0422222222222222</v>
      </c>
      <c r="BF18" s="8" t="n">
        <f aca="false">1/BE18</f>
        <v>23.6842105263158</v>
      </c>
      <c r="BG18" s="8" t="n">
        <f aca="false">BG$3</f>
        <v>1.9</v>
      </c>
      <c r="BH18" s="8" t="n">
        <f aca="false">BH$3</f>
        <v>1</v>
      </c>
      <c r="BI18" s="8" t="n">
        <f aca="false">BG18*BH18</f>
        <v>1.9</v>
      </c>
      <c r="BJ18" s="8" t="n">
        <f aca="false">IF(BL18/C18&gt;1,1,BL18/C18)</f>
        <v>0.0444444444444444</v>
      </c>
      <c r="BK18" s="8" t="n">
        <f aca="false">1/BJ18</f>
        <v>22.5</v>
      </c>
      <c r="BL18" s="8" t="n">
        <f aca="false">BL$3</f>
        <v>2</v>
      </c>
      <c r="BM18" s="8" t="n">
        <f aca="false">BM$3</f>
        <v>1</v>
      </c>
      <c r="BN18" s="8" t="n">
        <f aca="false">BL18*BM18</f>
        <v>2</v>
      </c>
      <c r="BO18" s="8" t="n">
        <f aca="false">IF(BQ18/C18&gt;1,1,BQ18/C18)</f>
        <v>0.0444444444444444</v>
      </c>
      <c r="BP18" s="8" t="n">
        <f aca="false">1/BO18</f>
        <v>22.5</v>
      </c>
      <c r="BQ18" s="8" t="n">
        <f aca="false">BQ$3</f>
        <v>2</v>
      </c>
      <c r="BR18" s="8" t="n">
        <f aca="false">BR$3</f>
        <v>12</v>
      </c>
      <c r="BS18" s="8" t="n">
        <f aca="false">BQ18*BR18</f>
        <v>24</v>
      </c>
      <c r="BT18" s="8" t="n">
        <f aca="false">IF(BV18/C18&gt;1,1,BV18/C18)</f>
        <v>0.0422222222222222</v>
      </c>
      <c r="BU18" s="8" t="n">
        <f aca="false">1/BT18</f>
        <v>23.6842105263158</v>
      </c>
      <c r="BV18" s="8" t="n">
        <f aca="false">BV$3</f>
        <v>1.9</v>
      </c>
      <c r="BW18" s="8" t="n">
        <f aca="false">BW$3</f>
        <v>10</v>
      </c>
      <c r="BX18" s="8" t="n">
        <f aca="false">BV18*BW18</f>
        <v>19</v>
      </c>
    </row>
    <row r="19" customFormat="false" ht="12.75" hidden="false" customHeight="true" outlineLevel="0" collapsed="false">
      <c r="A19" s="8" t="s">
        <v>93</v>
      </c>
      <c r="B19" s="13" t="s">
        <v>94</v>
      </c>
      <c r="C19" s="13" t="n">
        <v>50</v>
      </c>
      <c r="D19" s="8" t="n">
        <f aca="false">F19/C19</f>
        <v>0.014</v>
      </c>
      <c r="E19" s="8" t="n">
        <f aca="false">1/D19</f>
        <v>71.4285714285714</v>
      </c>
      <c r="F19" s="8" t="n">
        <f aca="false">F$3</f>
        <v>0.7</v>
      </c>
      <c r="G19" s="8" t="n">
        <f aca="false">G$3</f>
        <v>0.12</v>
      </c>
      <c r="H19" s="8" t="n">
        <f aca="false">G19/D$132</f>
        <v>0.0020193036436523</v>
      </c>
      <c r="I19" s="8" t="n">
        <f aca="false">1/H$3</f>
        <v>495.22022264631</v>
      </c>
      <c r="J19" s="8" t="n">
        <f aca="false">J$3</f>
        <v>1</v>
      </c>
      <c r="K19" s="8" t="n">
        <f aca="false">F19*J19</f>
        <v>0.7</v>
      </c>
      <c r="L19" s="8" t="n">
        <f aca="false">IF(N19/C19&gt;1,1,N19/C19)</f>
        <v>0.024</v>
      </c>
      <c r="M19" s="8" t="n">
        <f aca="false">1/L19</f>
        <v>41.6666666666667</v>
      </c>
      <c r="N19" s="8" t="n">
        <f aca="false">N$3</f>
        <v>1.2</v>
      </c>
      <c r="O19" s="8" t="n">
        <f aca="false">O$3</f>
        <v>1</v>
      </c>
      <c r="P19" s="8" t="n">
        <f aca="false">N19*O19</f>
        <v>1.2</v>
      </c>
      <c r="Q19" s="8" t="n">
        <f aca="false">IF(S19/C19&gt;1,1,S19/C19)</f>
        <v>0.028</v>
      </c>
      <c r="R19" s="8" t="n">
        <f aca="false">1/Q19</f>
        <v>35.7142857142857</v>
      </c>
      <c r="S19" s="8" t="n">
        <f aca="false">S$3</f>
        <v>1.4</v>
      </c>
      <c r="T19" s="8" t="n">
        <f aca="false">T$3</f>
        <v>1</v>
      </c>
      <c r="U19" s="8" t="n">
        <f aca="false">S19*T19</f>
        <v>1.4</v>
      </c>
      <c r="V19" s="8" t="n">
        <f aca="false">IF(X19/C19&gt;1,1,X19/C19)</f>
        <v>0.03</v>
      </c>
      <c r="W19" s="8" t="n">
        <f aca="false">1/V19</f>
        <v>33.3333333333333</v>
      </c>
      <c r="X19" s="8" t="n">
        <f aca="false">X$3</f>
        <v>1.5</v>
      </c>
      <c r="Y19" s="8" t="n">
        <f aca="false">Y$3</f>
        <v>5</v>
      </c>
      <c r="Z19" s="8" t="n">
        <f aca="false">X19*Y19</f>
        <v>7.5</v>
      </c>
      <c r="AA19" s="8" t="n">
        <f aca="false">IF(AC19/C19&gt;1,1,AC19/C19)</f>
        <v>0.026</v>
      </c>
      <c r="AB19" s="8" t="n">
        <f aca="false">1/AA19</f>
        <v>38.4615384615385</v>
      </c>
      <c r="AC19" s="8" t="n">
        <f aca="false">AC$3</f>
        <v>1.3</v>
      </c>
      <c r="AD19" s="8" t="n">
        <f aca="false">AD$3</f>
        <v>3</v>
      </c>
      <c r="AE19" s="8" t="n">
        <f aca="false">AC19*AD19</f>
        <v>3.9</v>
      </c>
      <c r="AF19" s="8" t="n">
        <f aca="false">IF(AH19/C19&gt;1,1,AH19/C19)</f>
        <v>0.032</v>
      </c>
      <c r="AG19" s="8" t="n">
        <f aca="false">1/AF19</f>
        <v>31.25</v>
      </c>
      <c r="AH19" s="8" t="n">
        <f aca="false">AH$3</f>
        <v>1.6</v>
      </c>
      <c r="AI19" s="8" t="n">
        <f aca="false">AI$3</f>
        <v>1</v>
      </c>
      <c r="AJ19" s="8" t="n">
        <f aca="false">AH19*AI19</f>
        <v>1.6</v>
      </c>
      <c r="AK19" s="8" t="n">
        <f aca="false">IF(AM19/C19&gt;1,1,AM19/C19)</f>
        <v>0.036</v>
      </c>
      <c r="AL19" s="8" t="n">
        <f aca="false">1/AK19</f>
        <v>27.7777777777778</v>
      </c>
      <c r="AM19" s="8" t="n">
        <f aca="false">AM$3</f>
        <v>1.8</v>
      </c>
      <c r="AN19" s="8" t="n">
        <f aca="false">AN$3</f>
        <v>1</v>
      </c>
      <c r="AO19" s="8" t="n">
        <f aca="false">AM19*AN19</f>
        <v>1.8</v>
      </c>
      <c r="AP19" s="8" t="n">
        <f aca="false">IF(AR19/C19&gt;1,1,AR19/C19)</f>
        <v>0.038</v>
      </c>
      <c r="AQ19" s="8" t="n">
        <f aca="false">1/AP19</f>
        <v>26.3157894736842</v>
      </c>
      <c r="AR19" s="8" t="n">
        <f aca="false">AR$3</f>
        <v>1.9</v>
      </c>
      <c r="AS19" s="8" t="n">
        <f aca="false">AS$3</f>
        <v>2</v>
      </c>
      <c r="AT19" s="8" t="n">
        <f aca="false">AR19*AS19</f>
        <v>3.8</v>
      </c>
      <c r="AU19" s="8" t="n">
        <f aca="false">IF(AW19/C19&gt;1,1,AW19/C19)</f>
        <v>0.04</v>
      </c>
      <c r="AV19" s="8" t="n">
        <f aca="false">1/AU19</f>
        <v>25</v>
      </c>
      <c r="AW19" s="8" t="n">
        <f aca="false">AW$3</f>
        <v>2</v>
      </c>
      <c r="AX19" s="8" t="n">
        <f aca="false">AX$3</f>
        <v>5</v>
      </c>
      <c r="AY19" s="8" t="n">
        <f aca="false">AW19*AX19</f>
        <v>10</v>
      </c>
      <c r="AZ19" s="8" t="n">
        <f aca="false">IF(BB19/C19&gt;1,1,BB19/C19)</f>
        <v>0.032</v>
      </c>
      <c r="BA19" s="8" t="n">
        <f aca="false">1/AZ19</f>
        <v>31.25</v>
      </c>
      <c r="BB19" s="8" t="n">
        <f aca="false">BB$3</f>
        <v>1.6</v>
      </c>
      <c r="BC19" s="8" t="n">
        <f aca="false">BC$3</f>
        <v>10</v>
      </c>
      <c r="BD19" s="8" t="n">
        <f aca="false">BB19*BC19</f>
        <v>16</v>
      </c>
      <c r="BE19" s="8" t="n">
        <f aca="false">IF(BG19/C19&gt;1,1,BG19/C19)</f>
        <v>0.038</v>
      </c>
      <c r="BF19" s="8" t="n">
        <f aca="false">1/BE19</f>
        <v>26.3157894736842</v>
      </c>
      <c r="BG19" s="8" t="n">
        <f aca="false">BG$3</f>
        <v>1.9</v>
      </c>
      <c r="BH19" s="8" t="n">
        <f aca="false">BH$3</f>
        <v>1</v>
      </c>
      <c r="BI19" s="8" t="n">
        <f aca="false">BG19*BH19</f>
        <v>1.9</v>
      </c>
      <c r="BJ19" s="8" t="n">
        <f aca="false">IF(BL19/C19&gt;1,1,BL19/C19)</f>
        <v>0.04</v>
      </c>
      <c r="BK19" s="8" t="n">
        <f aca="false">1/BJ19</f>
        <v>25</v>
      </c>
      <c r="BL19" s="8" t="n">
        <f aca="false">BL$3</f>
        <v>2</v>
      </c>
      <c r="BM19" s="8" t="n">
        <f aca="false">BM$3</f>
        <v>1</v>
      </c>
      <c r="BN19" s="8" t="n">
        <f aca="false">BL19*BM19</f>
        <v>2</v>
      </c>
      <c r="BO19" s="8" t="n">
        <f aca="false">IF(BQ19/C19&gt;1,1,BQ19/C19)</f>
        <v>0.04</v>
      </c>
      <c r="BP19" s="8" t="n">
        <f aca="false">1/BO19</f>
        <v>25</v>
      </c>
      <c r="BQ19" s="8" t="n">
        <f aca="false">BQ$3</f>
        <v>2</v>
      </c>
      <c r="BR19" s="8" t="n">
        <f aca="false">BR$3</f>
        <v>12</v>
      </c>
      <c r="BS19" s="8" t="n">
        <f aca="false">BQ19*BR19</f>
        <v>24</v>
      </c>
      <c r="BT19" s="8" t="n">
        <f aca="false">IF(BV19/C19&gt;1,1,BV19/C19)</f>
        <v>0.038</v>
      </c>
      <c r="BU19" s="8" t="n">
        <f aca="false">1/BT19</f>
        <v>26.3157894736842</v>
      </c>
      <c r="BV19" s="8" t="n">
        <f aca="false">BV$3</f>
        <v>1.9</v>
      </c>
      <c r="BW19" s="8" t="n">
        <f aca="false">BW$3</f>
        <v>10</v>
      </c>
      <c r="BX19" s="8" t="n">
        <f aca="false">BV19*BW19</f>
        <v>19</v>
      </c>
    </row>
    <row r="20" customFormat="false" ht="12.75" hidden="false" customHeight="true" outlineLevel="0" collapsed="false">
      <c r="A20" s="8" t="s">
        <v>95</v>
      </c>
      <c r="B20" s="13" t="s">
        <v>96</v>
      </c>
      <c r="C20" s="13" t="n">
        <v>55</v>
      </c>
      <c r="D20" s="8" t="n">
        <f aca="false">F20/C20</f>
        <v>0.0127272727272727</v>
      </c>
      <c r="E20" s="8" t="n">
        <f aca="false">1/D20</f>
        <v>78.5714285714286</v>
      </c>
      <c r="F20" s="8" t="n">
        <f aca="false">F$3</f>
        <v>0.7</v>
      </c>
      <c r="G20" s="8" t="n">
        <f aca="false">G$3</f>
        <v>0.12</v>
      </c>
      <c r="H20" s="8" t="n">
        <f aca="false">G20/D$132</f>
        <v>0.0020193036436523</v>
      </c>
      <c r="I20" s="8" t="n">
        <f aca="false">1/H$3</f>
        <v>495.22022264631</v>
      </c>
      <c r="J20" s="8" t="n">
        <f aca="false">J$3</f>
        <v>1</v>
      </c>
      <c r="K20" s="8" t="n">
        <f aca="false">F20*J20</f>
        <v>0.7</v>
      </c>
      <c r="L20" s="8" t="n">
        <f aca="false">IF(N20/C20&gt;1,1,N20/C20)</f>
        <v>0.0218181818181818</v>
      </c>
      <c r="M20" s="8" t="n">
        <f aca="false">1/L20</f>
        <v>45.8333333333333</v>
      </c>
      <c r="N20" s="8" t="n">
        <f aca="false">N$3</f>
        <v>1.2</v>
      </c>
      <c r="O20" s="8" t="n">
        <f aca="false">O$3</f>
        <v>1</v>
      </c>
      <c r="P20" s="8" t="n">
        <f aca="false">N20*O20</f>
        <v>1.2</v>
      </c>
      <c r="Q20" s="8" t="n">
        <f aca="false">IF(S20/C20&gt;1,1,S20/C20)</f>
        <v>0.0254545454545454</v>
      </c>
      <c r="R20" s="8" t="n">
        <f aca="false">1/Q20</f>
        <v>39.2857142857143</v>
      </c>
      <c r="S20" s="8" t="n">
        <f aca="false">S$3</f>
        <v>1.4</v>
      </c>
      <c r="T20" s="8" t="n">
        <f aca="false">T$3</f>
        <v>1</v>
      </c>
      <c r="U20" s="8" t="n">
        <f aca="false">S20*T20</f>
        <v>1.4</v>
      </c>
      <c r="V20" s="8" t="n">
        <f aca="false">IF(X20/C20&gt;1,1,X20/C20)</f>
        <v>0.0272727272727273</v>
      </c>
      <c r="W20" s="8" t="n">
        <f aca="false">1/V20</f>
        <v>36.6666666666667</v>
      </c>
      <c r="X20" s="8" t="n">
        <f aca="false">X$3</f>
        <v>1.5</v>
      </c>
      <c r="Y20" s="8" t="n">
        <f aca="false">Y$3</f>
        <v>5</v>
      </c>
      <c r="Z20" s="8" t="n">
        <f aca="false">X20*Y20</f>
        <v>7.5</v>
      </c>
      <c r="AA20" s="8" t="n">
        <f aca="false">IF(AC20/C20&gt;1,1,AC20/C20)</f>
        <v>0.0236363636363636</v>
      </c>
      <c r="AB20" s="8" t="n">
        <f aca="false">1/AA20</f>
        <v>42.3076923076923</v>
      </c>
      <c r="AC20" s="8" t="n">
        <f aca="false">AC$3</f>
        <v>1.3</v>
      </c>
      <c r="AD20" s="8" t="n">
        <f aca="false">AD$3</f>
        <v>3</v>
      </c>
      <c r="AE20" s="8" t="n">
        <f aca="false">AC20*AD20</f>
        <v>3.9</v>
      </c>
      <c r="AF20" s="8" t="n">
        <f aca="false">IF(AH20/C20&gt;1,1,AH20/C20)</f>
        <v>0.0290909090909091</v>
      </c>
      <c r="AG20" s="8" t="n">
        <f aca="false">1/AF20</f>
        <v>34.375</v>
      </c>
      <c r="AH20" s="8" t="n">
        <f aca="false">AH$3</f>
        <v>1.6</v>
      </c>
      <c r="AI20" s="8" t="n">
        <f aca="false">AI$3</f>
        <v>1</v>
      </c>
      <c r="AJ20" s="8" t="n">
        <f aca="false">AH20*AI20</f>
        <v>1.6</v>
      </c>
      <c r="AK20" s="8" t="n">
        <f aca="false">IF(AM20/C20&gt;1,1,AM20/C20)</f>
        <v>0.0327272727272727</v>
      </c>
      <c r="AL20" s="8" t="n">
        <f aca="false">1/AK20</f>
        <v>30.5555555555556</v>
      </c>
      <c r="AM20" s="8" t="n">
        <f aca="false">AM$3</f>
        <v>1.8</v>
      </c>
      <c r="AN20" s="8" t="n">
        <f aca="false">AN$3</f>
        <v>1</v>
      </c>
      <c r="AO20" s="8" t="n">
        <f aca="false">AM20*AN20</f>
        <v>1.8</v>
      </c>
      <c r="AP20" s="8" t="n">
        <f aca="false">IF(AR20/C20&gt;1,1,AR20/C20)</f>
        <v>0.0345454545454545</v>
      </c>
      <c r="AQ20" s="8" t="n">
        <f aca="false">1/AP20</f>
        <v>28.9473684210526</v>
      </c>
      <c r="AR20" s="8" t="n">
        <f aca="false">AR$3</f>
        <v>1.9</v>
      </c>
      <c r="AS20" s="8" t="n">
        <f aca="false">AS$3</f>
        <v>2</v>
      </c>
      <c r="AT20" s="8" t="n">
        <f aca="false">AR20*AS20</f>
        <v>3.8</v>
      </c>
      <c r="AU20" s="8" t="n">
        <f aca="false">IF(AW20/C20&gt;1,1,AW20/C20)</f>
        <v>0.0363636363636364</v>
      </c>
      <c r="AV20" s="8" t="n">
        <f aca="false">1/AU20</f>
        <v>27.5</v>
      </c>
      <c r="AW20" s="8" t="n">
        <f aca="false">AW$3</f>
        <v>2</v>
      </c>
      <c r="AX20" s="8" t="n">
        <f aca="false">AX$3</f>
        <v>5</v>
      </c>
      <c r="AY20" s="8" t="n">
        <f aca="false">AW20*AX20</f>
        <v>10</v>
      </c>
      <c r="AZ20" s="8" t="n">
        <f aca="false">IF(BB20/C20&gt;1,1,BB20/C20)</f>
        <v>0.0290909090909091</v>
      </c>
      <c r="BA20" s="8" t="n">
        <f aca="false">1/AZ20</f>
        <v>34.375</v>
      </c>
      <c r="BB20" s="8" t="n">
        <f aca="false">BB$3</f>
        <v>1.6</v>
      </c>
      <c r="BC20" s="8" t="n">
        <f aca="false">BC$3</f>
        <v>10</v>
      </c>
      <c r="BD20" s="8" t="n">
        <f aca="false">BB20*BC20</f>
        <v>16</v>
      </c>
      <c r="BE20" s="8" t="n">
        <f aca="false">IF(BG20/C20&gt;1,1,BG20/C20)</f>
        <v>0.0345454545454545</v>
      </c>
      <c r="BF20" s="8" t="n">
        <f aca="false">1/BE20</f>
        <v>28.9473684210526</v>
      </c>
      <c r="BG20" s="8" t="n">
        <f aca="false">BG$3</f>
        <v>1.9</v>
      </c>
      <c r="BH20" s="8" t="n">
        <f aca="false">BH$3</f>
        <v>1</v>
      </c>
      <c r="BI20" s="8" t="n">
        <f aca="false">BG20*BH20</f>
        <v>1.9</v>
      </c>
      <c r="BJ20" s="8" t="n">
        <f aca="false">IF(BL20/C20&gt;1,1,BL20/C20)</f>
        <v>0.0363636363636364</v>
      </c>
      <c r="BK20" s="8" t="n">
        <f aca="false">1/BJ20</f>
        <v>27.5</v>
      </c>
      <c r="BL20" s="8" t="n">
        <f aca="false">BL$3</f>
        <v>2</v>
      </c>
      <c r="BM20" s="8" t="n">
        <f aca="false">BM$3</f>
        <v>1</v>
      </c>
      <c r="BN20" s="8" t="n">
        <f aca="false">BL20*BM20</f>
        <v>2</v>
      </c>
      <c r="BO20" s="8" t="n">
        <f aca="false">IF(BQ20/C20&gt;1,1,BQ20/C20)</f>
        <v>0.0363636363636364</v>
      </c>
      <c r="BP20" s="8" t="n">
        <f aca="false">1/BO20</f>
        <v>27.5</v>
      </c>
      <c r="BQ20" s="8" t="n">
        <f aca="false">BQ$3</f>
        <v>2</v>
      </c>
      <c r="BR20" s="8" t="n">
        <f aca="false">BR$3</f>
        <v>12</v>
      </c>
      <c r="BS20" s="8" t="n">
        <f aca="false">BQ20*BR20</f>
        <v>24</v>
      </c>
      <c r="BT20" s="8" t="n">
        <f aca="false">IF(BV20/C20&gt;1,1,BV20/C20)</f>
        <v>0.0345454545454545</v>
      </c>
      <c r="BU20" s="8" t="n">
        <f aca="false">1/BT20</f>
        <v>28.9473684210526</v>
      </c>
      <c r="BV20" s="8" t="n">
        <f aca="false">BV$3</f>
        <v>1.9</v>
      </c>
      <c r="BW20" s="8" t="n">
        <f aca="false">BW$3</f>
        <v>10</v>
      </c>
      <c r="BX20" s="8" t="n">
        <f aca="false">BV20*BW20</f>
        <v>19</v>
      </c>
    </row>
    <row r="21" customFormat="false" ht="12.75" hidden="false" customHeight="true" outlineLevel="0" collapsed="false">
      <c r="A21" s="8" t="s">
        <v>97</v>
      </c>
      <c r="B21" s="13" t="s">
        <v>98</v>
      </c>
      <c r="C21" s="13" t="n">
        <v>60</v>
      </c>
      <c r="D21" s="8" t="n">
        <f aca="false">F21/C21</f>
        <v>0.0116666666666667</v>
      </c>
      <c r="E21" s="8" t="n">
        <f aca="false">1/D21</f>
        <v>85.7142857142857</v>
      </c>
      <c r="F21" s="8" t="n">
        <f aca="false">F$3</f>
        <v>0.7</v>
      </c>
      <c r="G21" s="8" t="n">
        <f aca="false">G$3</f>
        <v>0.12</v>
      </c>
      <c r="H21" s="8" t="n">
        <f aca="false">G21/D$132</f>
        <v>0.0020193036436523</v>
      </c>
      <c r="I21" s="8" t="n">
        <f aca="false">1/H$3</f>
        <v>495.22022264631</v>
      </c>
      <c r="J21" s="8" t="n">
        <f aca="false">J$3</f>
        <v>1</v>
      </c>
      <c r="K21" s="8" t="n">
        <f aca="false">F21*J21</f>
        <v>0.7</v>
      </c>
      <c r="L21" s="8" t="n">
        <f aca="false">IF(N21/C21&gt;1,1,N21/C21)</f>
        <v>0.02</v>
      </c>
      <c r="M21" s="8" t="n">
        <f aca="false">1/L21</f>
        <v>50</v>
      </c>
      <c r="N21" s="8" t="n">
        <f aca="false">N$3</f>
        <v>1.2</v>
      </c>
      <c r="O21" s="8" t="n">
        <f aca="false">O$3</f>
        <v>1</v>
      </c>
      <c r="P21" s="8" t="n">
        <f aca="false">N21*O21</f>
        <v>1.2</v>
      </c>
      <c r="Q21" s="8" t="n">
        <f aca="false">IF(S21/C21&gt;1,1,S21/C21)</f>
        <v>0.0233333333333333</v>
      </c>
      <c r="R21" s="8" t="n">
        <f aca="false">1/Q21</f>
        <v>42.8571428571429</v>
      </c>
      <c r="S21" s="8" t="n">
        <f aca="false">S$3</f>
        <v>1.4</v>
      </c>
      <c r="T21" s="8" t="n">
        <f aca="false">T$3</f>
        <v>1</v>
      </c>
      <c r="U21" s="8" t="n">
        <f aca="false">S21*T21</f>
        <v>1.4</v>
      </c>
      <c r="V21" s="8" t="n">
        <f aca="false">IF(X21/C21&gt;1,1,X21/C21)</f>
        <v>0.025</v>
      </c>
      <c r="W21" s="8" t="n">
        <f aca="false">1/V21</f>
        <v>40</v>
      </c>
      <c r="X21" s="8" t="n">
        <f aca="false">X$3</f>
        <v>1.5</v>
      </c>
      <c r="Y21" s="8" t="n">
        <f aca="false">Y$3</f>
        <v>5</v>
      </c>
      <c r="Z21" s="8" t="n">
        <f aca="false">X21*Y21</f>
        <v>7.5</v>
      </c>
      <c r="AA21" s="8" t="n">
        <f aca="false">IF(AC21/C21&gt;1,1,AC21/C21)</f>
        <v>0.0216666666666667</v>
      </c>
      <c r="AB21" s="8" t="n">
        <f aca="false">1/AA21</f>
        <v>46.1538461538462</v>
      </c>
      <c r="AC21" s="8" t="n">
        <f aca="false">AC$3</f>
        <v>1.3</v>
      </c>
      <c r="AD21" s="8" t="n">
        <f aca="false">AD$3</f>
        <v>3</v>
      </c>
      <c r="AE21" s="8" t="n">
        <f aca="false">AC21*AD21</f>
        <v>3.9</v>
      </c>
      <c r="AF21" s="8" t="n">
        <f aca="false">IF(AH21/C21&gt;1,1,AH21/C21)</f>
        <v>0.0266666666666667</v>
      </c>
      <c r="AG21" s="8" t="n">
        <f aca="false">1/AF21</f>
        <v>37.5</v>
      </c>
      <c r="AH21" s="8" t="n">
        <f aca="false">AH$3</f>
        <v>1.6</v>
      </c>
      <c r="AI21" s="8" t="n">
        <f aca="false">AI$3</f>
        <v>1</v>
      </c>
      <c r="AJ21" s="8" t="n">
        <f aca="false">AH21*AI21</f>
        <v>1.6</v>
      </c>
      <c r="AK21" s="8" t="n">
        <f aca="false">IF(AM21/C21&gt;1,1,AM21/C21)</f>
        <v>0.03</v>
      </c>
      <c r="AL21" s="8" t="n">
        <f aca="false">1/AK21</f>
        <v>33.3333333333333</v>
      </c>
      <c r="AM21" s="8" t="n">
        <f aca="false">AM$3</f>
        <v>1.8</v>
      </c>
      <c r="AN21" s="8" t="n">
        <f aca="false">AN$3</f>
        <v>1</v>
      </c>
      <c r="AO21" s="8" t="n">
        <f aca="false">AM21*AN21</f>
        <v>1.8</v>
      </c>
      <c r="AP21" s="8" t="n">
        <f aca="false">IF(AR21/C21&gt;1,1,AR21/C21)</f>
        <v>0.0316666666666667</v>
      </c>
      <c r="AQ21" s="8" t="n">
        <f aca="false">1/AP21</f>
        <v>31.5789473684211</v>
      </c>
      <c r="AR21" s="8" t="n">
        <f aca="false">AR$3</f>
        <v>1.9</v>
      </c>
      <c r="AS21" s="8" t="n">
        <f aca="false">AS$3</f>
        <v>2</v>
      </c>
      <c r="AT21" s="8" t="n">
        <f aca="false">AR21*AS21</f>
        <v>3.8</v>
      </c>
      <c r="AU21" s="8" t="n">
        <f aca="false">IF(AW21/C21&gt;1,1,AW21/C21)</f>
        <v>0.0333333333333333</v>
      </c>
      <c r="AV21" s="8" t="n">
        <f aca="false">1/AU21</f>
        <v>30</v>
      </c>
      <c r="AW21" s="8" t="n">
        <f aca="false">AW$3</f>
        <v>2</v>
      </c>
      <c r="AX21" s="8" t="n">
        <f aca="false">AX$3</f>
        <v>5</v>
      </c>
      <c r="AY21" s="8" t="n">
        <f aca="false">AW21*AX21</f>
        <v>10</v>
      </c>
      <c r="AZ21" s="8" t="n">
        <f aca="false">IF(BB21/C21&gt;1,1,BB21/C21)</f>
        <v>0.0266666666666667</v>
      </c>
      <c r="BA21" s="8" t="n">
        <f aca="false">1/AZ21</f>
        <v>37.5</v>
      </c>
      <c r="BB21" s="8" t="n">
        <f aca="false">BB$3</f>
        <v>1.6</v>
      </c>
      <c r="BC21" s="8" t="n">
        <f aca="false">BC$3</f>
        <v>10</v>
      </c>
      <c r="BD21" s="8" t="n">
        <f aca="false">BB21*BC21</f>
        <v>16</v>
      </c>
      <c r="BE21" s="8" t="n">
        <f aca="false">IF(BG21/C21&gt;1,1,BG21/C21)</f>
        <v>0.0316666666666667</v>
      </c>
      <c r="BF21" s="8" t="n">
        <f aca="false">1/BE21</f>
        <v>31.5789473684211</v>
      </c>
      <c r="BG21" s="8" t="n">
        <f aca="false">BG$3</f>
        <v>1.9</v>
      </c>
      <c r="BH21" s="8" t="n">
        <f aca="false">BH$3</f>
        <v>1</v>
      </c>
      <c r="BI21" s="8" t="n">
        <f aca="false">BG21*BH21</f>
        <v>1.9</v>
      </c>
      <c r="BJ21" s="8" t="n">
        <f aca="false">IF(BL21/C21&gt;1,1,BL21/C21)</f>
        <v>0.0333333333333333</v>
      </c>
      <c r="BK21" s="8" t="n">
        <f aca="false">1/BJ21</f>
        <v>30</v>
      </c>
      <c r="BL21" s="8" t="n">
        <f aca="false">BL$3</f>
        <v>2</v>
      </c>
      <c r="BM21" s="8" t="n">
        <f aca="false">BM$3</f>
        <v>1</v>
      </c>
      <c r="BN21" s="8" t="n">
        <f aca="false">BL21*BM21</f>
        <v>2</v>
      </c>
      <c r="BO21" s="8" t="n">
        <f aca="false">IF(BQ21/C21&gt;1,1,BQ21/C21)</f>
        <v>0.0333333333333333</v>
      </c>
      <c r="BP21" s="8" t="n">
        <f aca="false">1/BO21</f>
        <v>30</v>
      </c>
      <c r="BQ21" s="8" t="n">
        <f aca="false">BQ$3</f>
        <v>2</v>
      </c>
      <c r="BR21" s="8" t="n">
        <f aca="false">BR$3</f>
        <v>12</v>
      </c>
      <c r="BS21" s="8" t="n">
        <f aca="false">BQ21*BR21</f>
        <v>24</v>
      </c>
      <c r="BT21" s="8" t="n">
        <f aca="false">IF(BV21/C21&gt;1,1,BV21/C21)</f>
        <v>0.0316666666666667</v>
      </c>
      <c r="BU21" s="8" t="n">
        <f aca="false">1/BT21</f>
        <v>31.5789473684211</v>
      </c>
      <c r="BV21" s="8" t="n">
        <f aca="false">BV$3</f>
        <v>1.9</v>
      </c>
      <c r="BW21" s="8" t="n">
        <f aca="false">BW$3</f>
        <v>10</v>
      </c>
      <c r="BX21" s="8" t="n">
        <f aca="false">BV21*BW21</f>
        <v>19</v>
      </c>
    </row>
    <row r="22" customFormat="false" ht="12.75" hidden="false" customHeight="true" outlineLevel="0" collapsed="false">
      <c r="A22" s="8" t="s">
        <v>99</v>
      </c>
      <c r="B22" s="13" t="s">
        <v>100</v>
      </c>
      <c r="C22" s="13" t="n">
        <v>70</v>
      </c>
      <c r="D22" s="8" t="n">
        <f aca="false">F22/C22</f>
        <v>0.01</v>
      </c>
      <c r="E22" s="8" t="n">
        <f aca="false">1/D22</f>
        <v>100</v>
      </c>
      <c r="F22" s="8" t="n">
        <f aca="false">F$3</f>
        <v>0.7</v>
      </c>
      <c r="G22" s="8" t="n">
        <f aca="false">G$3</f>
        <v>0.12</v>
      </c>
      <c r="H22" s="8" t="n">
        <f aca="false">G22/D$132</f>
        <v>0.0020193036436523</v>
      </c>
      <c r="I22" s="8" t="n">
        <f aca="false">1/H$3</f>
        <v>495.22022264631</v>
      </c>
      <c r="J22" s="8" t="n">
        <f aca="false">J$3</f>
        <v>1</v>
      </c>
      <c r="K22" s="8" t="n">
        <f aca="false">F22*J22</f>
        <v>0.7</v>
      </c>
      <c r="L22" s="8" t="n">
        <f aca="false">IF(N22/C22&gt;1,1,N22/C22)</f>
        <v>0.0171428571428571</v>
      </c>
      <c r="M22" s="8" t="n">
        <f aca="false">1/L22</f>
        <v>58.3333333333333</v>
      </c>
      <c r="N22" s="8" t="n">
        <f aca="false">N$3</f>
        <v>1.2</v>
      </c>
      <c r="O22" s="8" t="n">
        <f aca="false">O$3</f>
        <v>1</v>
      </c>
      <c r="P22" s="8" t="n">
        <f aca="false">N22*O22</f>
        <v>1.2</v>
      </c>
      <c r="Q22" s="8" t="n">
        <f aca="false">IF(S22/C22&gt;1,1,S22/C22)</f>
        <v>0.02</v>
      </c>
      <c r="R22" s="8" t="n">
        <f aca="false">1/Q22</f>
        <v>50</v>
      </c>
      <c r="S22" s="8" t="n">
        <f aca="false">S$3</f>
        <v>1.4</v>
      </c>
      <c r="T22" s="8" t="n">
        <f aca="false">T$3</f>
        <v>1</v>
      </c>
      <c r="U22" s="8" t="n">
        <f aca="false">S22*T22</f>
        <v>1.4</v>
      </c>
      <c r="V22" s="8" t="n">
        <f aca="false">IF(X22/C22&gt;1,1,X22/C22)</f>
        <v>0.0214285714285714</v>
      </c>
      <c r="W22" s="8" t="n">
        <f aca="false">1/V22</f>
        <v>46.6666666666667</v>
      </c>
      <c r="X22" s="8" t="n">
        <f aca="false">X$3</f>
        <v>1.5</v>
      </c>
      <c r="Y22" s="8" t="n">
        <f aca="false">Y$3</f>
        <v>5</v>
      </c>
      <c r="Z22" s="8" t="n">
        <f aca="false">X22*Y22</f>
        <v>7.5</v>
      </c>
      <c r="AA22" s="8" t="n">
        <f aca="false">IF(AC22/C22&gt;1,1,AC22/C22)</f>
        <v>0.0185714285714286</v>
      </c>
      <c r="AB22" s="8" t="n">
        <f aca="false">1/AA22</f>
        <v>53.8461538461539</v>
      </c>
      <c r="AC22" s="8" t="n">
        <f aca="false">AC$3</f>
        <v>1.3</v>
      </c>
      <c r="AD22" s="8" t="n">
        <f aca="false">AD$3</f>
        <v>3</v>
      </c>
      <c r="AE22" s="8" t="n">
        <f aca="false">AC22*AD22</f>
        <v>3.9</v>
      </c>
      <c r="AF22" s="8" t="n">
        <f aca="false">IF(AH22/C22&gt;1,1,AH22/C22)</f>
        <v>0.0228571428571429</v>
      </c>
      <c r="AG22" s="8" t="n">
        <f aca="false">1/AF22</f>
        <v>43.75</v>
      </c>
      <c r="AH22" s="8" t="n">
        <f aca="false">AH$3</f>
        <v>1.6</v>
      </c>
      <c r="AI22" s="8" t="n">
        <f aca="false">AI$3</f>
        <v>1</v>
      </c>
      <c r="AJ22" s="8" t="n">
        <f aca="false">AH22*AI22</f>
        <v>1.6</v>
      </c>
      <c r="AK22" s="8" t="n">
        <f aca="false">IF(AM22/C22&gt;1,1,AM22/C22)</f>
        <v>0.0257142857142857</v>
      </c>
      <c r="AL22" s="8" t="n">
        <f aca="false">1/AK22</f>
        <v>38.8888888888889</v>
      </c>
      <c r="AM22" s="8" t="n">
        <f aca="false">AM$3</f>
        <v>1.8</v>
      </c>
      <c r="AN22" s="8" t="n">
        <f aca="false">AN$3</f>
        <v>1</v>
      </c>
      <c r="AO22" s="8" t="n">
        <f aca="false">AM22*AN22</f>
        <v>1.8</v>
      </c>
      <c r="AP22" s="8" t="n">
        <f aca="false">IF(AR22/C22&gt;1,1,AR22/C22)</f>
        <v>0.0271428571428571</v>
      </c>
      <c r="AQ22" s="8" t="n">
        <f aca="false">1/AP22</f>
        <v>36.8421052631579</v>
      </c>
      <c r="AR22" s="8" t="n">
        <f aca="false">AR$3</f>
        <v>1.9</v>
      </c>
      <c r="AS22" s="8" t="n">
        <f aca="false">AS$3</f>
        <v>2</v>
      </c>
      <c r="AT22" s="8" t="n">
        <f aca="false">AR22*AS22</f>
        <v>3.8</v>
      </c>
      <c r="AU22" s="8" t="n">
        <f aca="false">IF(AW22/C22&gt;1,1,AW22/C22)</f>
        <v>0.0285714285714286</v>
      </c>
      <c r="AV22" s="8" t="n">
        <f aca="false">1/AU22</f>
        <v>35</v>
      </c>
      <c r="AW22" s="8" t="n">
        <f aca="false">AW$3</f>
        <v>2</v>
      </c>
      <c r="AX22" s="8" t="n">
        <f aca="false">AX$3</f>
        <v>5</v>
      </c>
      <c r="AY22" s="8" t="n">
        <f aca="false">AW22*AX22</f>
        <v>10</v>
      </c>
      <c r="AZ22" s="8" t="n">
        <f aca="false">IF(BB22/C22&gt;1,1,BB22/C22)</f>
        <v>0.0228571428571429</v>
      </c>
      <c r="BA22" s="8" t="n">
        <f aca="false">1/AZ22</f>
        <v>43.75</v>
      </c>
      <c r="BB22" s="8" t="n">
        <f aca="false">BB$3</f>
        <v>1.6</v>
      </c>
      <c r="BC22" s="8" t="n">
        <f aca="false">BC$3</f>
        <v>10</v>
      </c>
      <c r="BD22" s="8" t="n">
        <f aca="false">BB22*BC22</f>
        <v>16</v>
      </c>
      <c r="BE22" s="8" t="n">
        <f aca="false">IF(BG22/C22&gt;1,1,BG22/C22)</f>
        <v>0.0271428571428571</v>
      </c>
      <c r="BF22" s="8" t="n">
        <f aca="false">1/BE22</f>
        <v>36.8421052631579</v>
      </c>
      <c r="BG22" s="8" t="n">
        <f aca="false">BG$3</f>
        <v>1.9</v>
      </c>
      <c r="BH22" s="8" t="n">
        <f aca="false">BH$3</f>
        <v>1</v>
      </c>
      <c r="BI22" s="8" t="n">
        <f aca="false">BG22*BH22</f>
        <v>1.9</v>
      </c>
      <c r="BJ22" s="8" t="n">
        <f aca="false">IF(BL22/C22&gt;1,1,BL22/C22)</f>
        <v>0.0285714285714286</v>
      </c>
      <c r="BK22" s="8" t="n">
        <f aca="false">1/BJ22</f>
        <v>35</v>
      </c>
      <c r="BL22" s="8" t="n">
        <f aca="false">BL$3</f>
        <v>2</v>
      </c>
      <c r="BM22" s="8" t="n">
        <f aca="false">BM$3</f>
        <v>1</v>
      </c>
      <c r="BN22" s="8" t="n">
        <f aca="false">BL22*BM22</f>
        <v>2</v>
      </c>
      <c r="BO22" s="8" t="n">
        <f aca="false">IF(BQ22/C22&gt;1,1,BQ22/C22)</f>
        <v>0.0285714285714286</v>
      </c>
      <c r="BP22" s="8" t="n">
        <f aca="false">1/BO22</f>
        <v>35</v>
      </c>
      <c r="BQ22" s="8" t="n">
        <f aca="false">BQ$3</f>
        <v>2</v>
      </c>
      <c r="BR22" s="8" t="n">
        <f aca="false">BR$3</f>
        <v>12</v>
      </c>
      <c r="BS22" s="8" t="n">
        <f aca="false">BQ22*BR22</f>
        <v>24</v>
      </c>
      <c r="BT22" s="8" t="n">
        <f aca="false">IF(BV22/C22&gt;1,1,BV22/C22)</f>
        <v>0.0271428571428571</v>
      </c>
      <c r="BU22" s="8" t="n">
        <f aca="false">1/BT22</f>
        <v>36.8421052631579</v>
      </c>
      <c r="BV22" s="8" t="n">
        <f aca="false">BV$3</f>
        <v>1.9</v>
      </c>
      <c r="BW22" s="8" t="n">
        <f aca="false">BW$3</f>
        <v>10</v>
      </c>
      <c r="BX22" s="8" t="n">
        <f aca="false">BV22*BW22</f>
        <v>19</v>
      </c>
    </row>
    <row r="23" customFormat="false" ht="12.75" hidden="false" customHeight="true" outlineLevel="0" collapsed="false"/>
    <row r="24" customFormat="false" ht="12.75" hidden="false" customHeight="true" outlineLevel="0" collapsed="false">
      <c r="A24" s="16" t="s">
        <v>101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customFormat="false" ht="12.75" hidden="false" customHeight="true" outlineLevel="0" collapsed="false"/>
    <row r="26" customFormat="false" ht="12.75" hidden="false" customHeight="true" outlineLevel="0" collapsed="false">
      <c r="A26" s="10" t="s">
        <v>47</v>
      </c>
      <c r="J26" s="9" t="s">
        <v>48</v>
      </c>
    </row>
    <row r="27" customFormat="false" ht="12.75" hidden="false" customHeight="true" outlineLevel="0" collapsed="false">
      <c r="A27" s="8" t="s">
        <v>102</v>
      </c>
      <c r="B27" s="8" t="n">
        <f aca="false">P3</f>
        <v>1.2</v>
      </c>
      <c r="J27" s="8" t="s">
        <v>102</v>
      </c>
      <c r="K27" s="8" t="n">
        <f aca="false">U3</f>
        <v>1.4</v>
      </c>
    </row>
    <row r="28" customFormat="false" ht="12.75" hidden="false" customHeight="true" outlineLevel="0" collapsed="false">
      <c r="A28" s="8" t="s">
        <v>103</v>
      </c>
      <c r="B28" s="8" t="s">
        <v>104</v>
      </c>
      <c r="C28" s="8" t="s">
        <v>105</v>
      </c>
      <c r="D28" s="8" t="s">
        <v>106</v>
      </c>
      <c r="E28" s="8" t="s">
        <v>107</v>
      </c>
      <c r="J28" s="8" t="s">
        <v>103</v>
      </c>
      <c r="K28" s="8" t="s">
        <v>104</v>
      </c>
      <c r="L28" s="8" t="s">
        <v>105</v>
      </c>
      <c r="M28" s="8" t="s">
        <v>106</v>
      </c>
      <c r="N28" s="8" t="s">
        <v>107</v>
      </c>
    </row>
    <row r="29" customFormat="false" ht="12.75" hidden="false" customHeight="true" outlineLevel="0" collapsed="false">
      <c r="A29" s="8" t="n">
        <v>20</v>
      </c>
      <c r="B29" s="8" t="n">
        <v>0.7</v>
      </c>
      <c r="C29" s="13" t="n">
        <f aca="false">SUM(B29)</f>
        <v>0.7</v>
      </c>
      <c r="D29" s="8" t="n">
        <f aca="false">A29*$B$27</f>
        <v>24</v>
      </c>
      <c r="E29" s="8" t="n">
        <f aca="false">B29*D29</f>
        <v>16.8</v>
      </c>
      <c r="J29" s="8" t="n">
        <v>20</v>
      </c>
      <c r="K29" s="8" t="n">
        <v>0.7</v>
      </c>
      <c r="L29" s="13" t="n">
        <f aca="false">SUM(K29)</f>
        <v>0.7</v>
      </c>
      <c r="M29" s="8" t="n">
        <f aca="false">J29*$K$27</f>
        <v>28</v>
      </c>
      <c r="N29" s="8" t="n">
        <f aca="false">K29*M29</f>
        <v>19.6</v>
      </c>
    </row>
    <row r="30" customFormat="false" ht="12.75" hidden="false" customHeight="true" outlineLevel="0" collapsed="false">
      <c r="A30" s="8" t="n">
        <v>25</v>
      </c>
      <c r="B30" s="8" t="n">
        <v>0.2</v>
      </c>
      <c r="C30" s="13" t="n">
        <f aca="false">SUM($B$29:B30)</f>
        <v>0.9</v>
      </c>
      <c r="D30" s="8" t="n">
        <f aca="false">A30*$B$27</f>
        <v>30</v>
      </c>
      <c r="E30" s="8" t="n">
        <f aca="false">B30*D30</f>
        <v>6</v>
      </c>
      <c r="J30" s="8" t="n">
        <v>25</v>
      </c>
      <c r="K30" s="8" t="n">
        <v>0.2</v>
      </c>
      <c r="L30" s="13" t="n">
        <f aca="false">SUM($K$29:K30)</f>
        <v>0.9</v>
      </c>
      <c r="M30" s="8" t="n">
        <f aca="false">J30*$K$27</f>
        <v>35</v>
      </c>
      <c r="N30" s="8" t="n">
        <f aca="false">K30*M30</f>
        <v>7</v>
      </c>
    </row>
    <row r="31" customFormat="false" ht="12.75" hidden="false" customHeight="true" outlineLevel="0" collapsed="false">
      <c r="A31" s="8" t="n">
        <v>30</v>
      </c>
      <c r="B31" s="8" t="n">
        <v>0.07</v>
      </c>
      <c r="C31" s="13" t="n">
        <f aca="false">SUM($B$29:B31)</f>
        <v>0.97</v>
      </c>
      <c r="D31" s="8" t="n">
        <f aca="false">A31*$B$27</f>
        <v>36</v>
      </c>
      <c r="E31" s="8" t="n">
        <f aca="false">B31*D31</f>
        <v>2.52</v>
      </c>
      <c r="J31" s="8" t="n">
        <v>30</v>
      </c>
      <c r="K31" s="8" t="n">
        <v>0.07</v>
      </c>
      <c r="L31" s="13" t="n">
        <f aca="false">SUM($K$29:K31)</f>
        <v>0.97</v>
      </c>
      <c r="M31" s="8" t="n">
        <f aca="false">J31*$K$27</f>
        <v>42</v>
      </c>
      <c r="N31" s="8" t="n">
        <f aca="false">K31*M31</f>
        <v>2.94</v>
      </c>
    </row>
    <row r="32" customFormat="false" ht="12.75" hidden="false" customHeight="true" outlineLevel="0" collapsed="false">
      <c r="A32" s="8" t="n">
        <v>40</v>
      </c>
      <c r="B32" s="8" t="n">
        <v>0.023</v>
      </c>
      <c r="C32" s="13" t="n">
        <f aca="false">SUM($B$29:B32)</f>
        <v>0.993</v>
      </c>
      <c r="D32" s="8" t="n">
        <f aca="false">A32*$B$27</f>
        <v>48</v>
      </c>
      <c r="E32" s="8" t="n">
        <f aca="false">B32*D32</f>
        <v>1.104</v>
      </c>
      <c r="J32" s="8" t="n">
        <v>40</v>
      </c>
      <c r="K32" s="8" t="n">
        <v>0.023</v>
      </c>
      <c r="L32" s="13" t="n">
        <f aca="false">SUM($K$29:K32)</f>
        <v>0.993</v>
      </c>
      <c r="M32" s="8" t="n">
        <f aca="false">J32*$K$27</f>
        <v>56</v>
      </c>
      <c r="N32" s="8" t="n">
        <f aca="false">K32*M32</f>
        <v>1.288</v>
      </c>
    </row>
    <row r="33" customFormat="false" ht="12.75" hidden="false" customHeight="true" outlineLevel="0" collapsed="false">
      <c r="A33" s="8" t="n">
        <v>50</v>
      </c>
      <c r="B33" s="8" t="n">
        <v>0.005</v>
      </c>
      <c r="C33" s="13" t="n">
        <f aca="false">SUM($B$29:B33)</f>
        <v>0.998</v>
      </c>
      <c r="D33" s="8" t="n">
        <f aca="false">A33*$B$27</f>
        <v>60</v>
      </c>
      <c r="E33" s="8" t="n">
        <f aca="false">B33*D33</f>
        <v>0.3</v>
      </c>
      <c r="J33" s="8" t="n">
        <v>50</v>
      </c>
      <c r="K33" s="8" t="n">
        <v>0.005</v>
      </c>
      <c r="L33" s="13" t="n">
        <f aca="false">SUM($K$29:K33)</f>
        <v>0.998</v>
      </c>
      <c r="M33" s="8" t="n">
        <f aca="false">J33*$K$27</f>
        <v>70</v>
      </c>
      <c r="N33" s="8" t="n">
        <f aca="false">K33*M33</f>
        <v>0.35</v>
      </c>
    </row>
    <row r="34" customFormat="false" ht="12.75" hidden="false" customHeight="true" outlineLevel="0" collapsed="false">
      <c r="A34" s="8" t="n">
        <v>75</v>
      </c>
      <c r="B34" s="8" t="n">
        <v>0.001</v>
      </c>
      <c r="C34" s="13" t="n">
        <f aca="false">SUM($B$29:B34)</f>
        <v>0.999</v>
      </c>
      <c r="D34" s="8" t="n">
        <f aca="false">A34*$B$27</f>
        <v>90</v>
      </c>
      <c r="E34" s="8" t="n">
        <f aca="false">B34*D34</f>
        <v>0.09</v>
      </c>
      <c r="J34" s="8" t="n">
        <v>75</v>
      </c>
      <c r="K34" s="8" t="n">
        <v>0.001</v>
      </c>
      <c r="L34" s="13" t="n">
        <f aca="false">SUM($K$29:K34)</f>
        <v>0.999</v>
      </c>
      <c r="M34" s="8" t="n">
        <f aca="false">J34*$K$27</f>
        <v>105</v>
      </c>
      <c r="N34" s="8" t="n">
        <f aca="false">K34*M34</f>
        <v>0.105</v>
      </c>
    </row>
    <row r="35" customFormat="false" ht="12.75" hidden="false" customHeight="true" outlineLevel="0" collapsed="false">
      <c r="A35" s="8" t="n">
        <v>100</v>
      </c>
      <c r="B35" s="8" t="n">
        <v>0.001</v>
      </c>
      <c r="C35" s="13" t="n">
        <f aca="false">SUM($B$29:B35)</f>
        <v>1</v>
      </c>
      <c r="D35" s="8" t="n">
        <f aca="false">A35*$B$27</f>
        <v>120</v>
      </c>
      <c r="E35" s="8" t="n">
        <f aca="false">B35*D35</f>
        <v>0.12</v>
      </c>
      <c r="J35" s="8" t="n">
        <v>100</v>
      </c>
      <c r="K35" s="8" t="n">
        <v>0.001</v>
      </c>
      <c r="L35" s="13" t="n">
        <f aca="false">SUM($K$29:K35)</f>
        <v>1</v>
      </c>
      <c r="M35" s="8" t="n">
        <f aca="false">J35*$K$27</f>
        <v>140</v>
      </c>
      <c r="N35" s="8" t="n">
        <f aca="false">K35*M35</f>
        <v>0.14</v>
      </c>
    </row>
    <row r="36" customFormat="false" ht="12.75" hidden="false" customHeight="true" outlineLevel="0" collapsed="false"/>
    <row r="37" customFormat="false" ht="12.75" hidden="false" customHeight="true" outlineLevel="0" collapsed="false">
      <c r="D37" s="8" t="s">
        <v>108</v>
      </c>
      <c r="E37" s="8" t="n">
        <f aca="false">SUM(E29:E35)</f>
        <v>26.934</v>
      </c>
      <c r="M37" s="8" t="s">
        <v>108</v>
      </c>
      <c r="N37" s="8" t="n">
        <f aca="false">SUM(N29:N35)</f>
        <v>31.423</v>
      </c>
    </row>
    <row r="38" customFormat="false" ht="12.75" hidden="false" customHeight="true" outlineLevel="0" collapsed="false"/>
    <row r="39" customFormat="false" ht="12.75" hidden="false" customHeight="true" outlineLevel="0" collapsed="false">
      <c r="A39" s="10" t="s">
        <v>50</v>
      </c>
      <c r="J39" s="9" t="s">
        <v>51</v>
      </c>
    </row>
    <row r="40" customFormat="false" ht="12.75" hidden="false" customHeight="true" outlineLevel="0" collapsed="false">
      <c r="A40" s="8" t="s">
        <v>102</v>
      </c>
      <c r="B40" s="8" t="n">
        <f aca="false">Z3</f>
        <v>7.5</v>
      </c>
      <c r="J40" s="8" t="s">
        <v>102</v>
      </c>
      <c r="K40" s="8" t="n">
        <f aca="false">AE3</f>
        <v>3.9</v>
      </c>
    </row>
    <row r="41" customFormat="false" ht="12.75" hidden="false" customHeight="true" outlineLevel="0" collapsed="false">
      <c r="A41" s="8" t="s">
        <v>103</v>
      </c>
      <c r="B41" s="8" t="s">
        <v>104</v>
      </c>
      <c r="C41" s="8" t="s">
        <v>105</v>
      </c>
      <c r="D41" s="8" t="s">
        <v>106</v>
      </c>
      <c r="E41" s="8" t="s">
        <v>107</v>
      </c>
      <c r="J41" s="8" t="s">
        <v>103</v>
      </c>
      <c r="K41" s="8" t="s">
        <v>104</v>
      </c>
      <c r="L41" s="8" t="s">
        <v>105</v>
      </c>
      <c r="M41" s="8" t="s">
        <v>106</v>
      </c>
      <c r="N41" s="8" t="s">
        <v>107</v>
      </c>
    </row>
    <row r="42" customFormat="false" ht="12.75" hidden="false" customHeight="true" outlineLevel="0" collapsed="false">
      <c r="A42" s="8" t="n">
        <v>5</v>
      </c>
      <c r="B42" s="8" t="n">
        <v>0.42</v>
      </c>
      <c r="C42" s="13" t="n">
        <f aca="false">SUM(B42)</f>
        <v>0.42</v>
      </c>
      <c r="D42" s="8" t="n">
        <f aca="false">A42*$B$40</f>
        <v>37.5</v>
      </c>
      <c r="E42" s="8" t="n">
        <f aca="false">B42*D42</f>
        <v>15.75</v>
      </c>
      <c r="J42" s="8" t="n">
        <v>5</v>
      </c>
      <c r="K42" s="8" t="n">
        <v>0.4</v>
      </c>
      <c r="L42" s="13" t="n">
        <f aca="false">SUM(K42)</f>
        <v>0.4</v>
      </c>
      <c r="M42" s="8" t="n">
        <f aca="false">J42*$K$40</f>
        <v>19.5</v>
      </c>
      <c r="N42" s="8" t="n">
        <f aca="false">K42*M42</f>
        <v>7.8</v>
      </c>
    </row>
    <row r="43" customFormat="false" ht="12.75" hidden="false" customHeight="true" outlineLevel="0" collapsed="false">
      <c r="A43" s="8" t="n">
        <v>7</v>
      </c>
      <c r="B43" s="8" t="n">
        <v>0.3</v>
      </c>
      <c r="C43" s="13" t="n">
        <f aca="false">SUM($B$42:B43)</f>
        <v>0.72</v>
      </c>
      <c r="D43" s="8" t="n">
        <f aca="false">A43*$B$40</f>
        <v>52.5</v>
      </c>
      <c r="E43" s="8" t="n">
        <f aca="false">B43*D43</f>
        <v>15.75</v>
      </c>
      <c r="J43" s="8" t="n">
        <v>7</v>
      </c>
      <c r="K43" s="8" t="n">
        <v>0.3</v>
      </c>
      <c r="L43" s="13" t="n">
        <f aca="false">SUM($K$42:K43)</f>
        <v>0.7</v>
      </c>
      <c r="M43" s="8" t="n">
        <f aca="false">J43*$K$40</f>
        <v>27.3</v>
      </c>
      <c r="N43" s="8" t="n">
        <f aca="false">K43*M43</f>
        <v>8.19</v>
      </c>
    </row>
    <row r="44" customFormat="false" ht="12.75" hidden="false" customHeight="true" outlineLevel="0" collapsed="false">
      <c r="A44" s="8" t="n">
        <v>10</v>
      </c>
      <c r="B44" s="8" t="n">
        <v>0.2</v>
      </c>
      <c r="C44" s="13" t="n">
        <f aca="false">SUM($B$42:B44)</f>
        <v>0.92</v>
      </c>
      <c r="D44" s="8" t="n">
        <f aca="false">A44*$B$40</f>
        <v>75</v>
      </c>
      <c r="E44" s="8" t="n">
        <f aca="false">B44*D44</f>
        <v>15</v>
      </c>
      <c r="J44" s="8" t="n">
        <v>10</v>
      </c>
      <c r="K44" s="8" t="n">
        <v>0.2</v>
      </c>
      <c r="L44" s="13" t="n">
        <f aca="false">SUM($K$42:K44)</f>
        <v>0.9</v>
      </c>
      <c r="M44" s="8" t="n">
        <f aca="false">J44*$K$40</f>
        <v>39</v>
      </c>
      <c r="N44" s="8" t="n">
        <f aca="false">K44*M44</f>
        <v>7.8</v>
      </c>
    </row>
    <row r="45" customFormat="false" ht="12.75" hidden="false" customHeight="true" outlineLevel="0" collapsed="false">
      <c r="A45" s="8" t="n">
        <v>12</v>
      </c>
      <c r="B45" s="8" t="n">
        <v>0.033</v>
      </c>
      <c r="C45" s="13" t="n">
        <f aca="false">SUM($B$42:B45)</f>
        <v>0.953</v>
      </c>
      <c r="D45" s="8" t="n">
        <f aca="false">A45*$B$40</f>
        <v>90</v>
      </c>
      <c r="E45" s="8" t="n">
        <f aca="false">B45*D45</f>
        <v>2.97</v>
      </c>
      <c r="J45" s="8" t="n">
        <v>12</v>
      </c>
      <c r="K45" s="8" t="n">
        <v>0.043</v>
      </c>
      <c r="L45" s="13" t="n">
        <f aca="false">SUM($K$42:K45)</f>
        <v>0.943</v>
      </c>
      <c r="M45" s="8" t="n">
        <f aca="false">J45*$K$40</f>
        <v>46.8</v>
      </c>
      <c r="N45" s="8" t="n">
        <f aca="false">K45*M45</f>
        <v>2.0124</v>
      </c>
    </row>
    <row r="46" customFormat="false" ht="12.75" hidden="false" customHeight="true" outlineLevel="0" collapsed="false">
      <c r="A46" s="8" t="n">
        <v>15</v>
      </c>
      <c r="B46" s="8" t="n">
        <v>0.025</v>
      </c>
      <c r="C46" s="13" t="n">
        <f aca="false">SUM($B$42:B46)</f>
        <v>0.978</v>
      </c>
      <c r="D46" s="8" t="n">
        <f aca="false">A46*$B$40</f>
        <v>112.5</v>
      </c>
      <c r="E46" s="8" t="n">
        <f aca="false">B46*D46</f>
        <v>2.8125</v>
      </c>
      <c r="J46" s="8" t="n">
        <v>15</v>
      </c>
      <c r="K46" s="8" t="n">
        <v>0.035</v>
      </c>
      <c r="L46" s="13" t="n">
        <f aca="false">SUM($K$42:K46)</f>
        <v>0.978</v>
      </c>
      <c r="M46" s="8" t="n">
        <f aca="false">J46*$K$40</f>
        <v>58.5</v>
      </c>
      <c r="N46" s="8" t="n">
        <f aca="false">K46*M46</f>
        <v>2.0475</v>
      </c>
    </row>
    <row r="47" customFormat="false" ht="12.75" hidden="false" customHeight="true" outlineLevel="0" collapsed="false">
      <c r="A47" s="8" t="n">
        <v>18</v>
      </c>
      <c r="B47" s="8" t="n">
        <v>0.011</v>
      </c>
      <c r="C47" s="13" t="n">
        <f aca="false">SUM($B$42:B47)</f>
        <v>0.989</v>
      </c>
      <c r="D47" s="8" t="n">
        <f aca="false">A47*$B$40</f>
        <v>135</v>
      </c>
      <c r="E47" s="8" t="n">
        <f aca="false">B47*D47</f>
        <v>1.485</v>
      </c>
      <c r="J47" s="8" t="n">
        <v>18</v>
      </c>
      <c r="K47" s="8" t="n">
        <v>0.011</v>
      </c>
      <c r="L47" s="13" t="n">
        <f aca="false">SUM($K$42:K47)</f>
        <v>0.989</v>
      </c>
      <c r="M47" s="8" t="n">
        <f aca="false">J47*$K$40</f>
        <v>70.2</v>
      </c>
      <c r="N47" s="8" t="n">
        <f aca="false">K47*M47</f>
        <v>0.7722</v>
      </c>
    </row>
    <row r="48" customFormat="false" ht="12.75" hidden="false" customHeight="true" outlineLevel="0" collapsed="false">
      <c r="A48" s="8" t="n">
        <v>20</v>
      </c>
      <c r="B48" s="8" t="n">
        <v>0.011</v>
      </c>
      <c r="C48" s="13" t="n">
        <f aca="false">SUM($B$42:B48)</f>
        <v>1</v>
      </c>
      <c r="D48" s="8" t="n">
        <f aca="false">A48*$B$40</f>
        <v>150</v>
      </c>
      <c r="E48" s="8" t="n">
        <f aca="false">B48*D48</f>
        <v>1.65</v>
      </c>
      <c r="J48" s="8" t="n">
        <v>20</v>
      </c>
      <c r="K48" s="8" t="n">
        <v>0.011</v>
      </c>
      <c r="L48" s="13" t="n">
        <f aca="false">SUM($K$42:K48)</f>
        <v>1</v>
      </c>
      <c r="M48" s="8" t="n">
        <f aca="false">J48*$K$40</f>
        <v>78</v>
      </c>
      <c r="N48" s="8" t="n">
        <f aca="false">K48*M48</f>
        <v>0.858</v>
      </c>
    </row>
    <row r="49" customFormat="false" ht="12.75" hidden="false" customHeight="true" outlineLevel="0" collapsed="false"/>
    <row r="50" customFormat="false" ht="12.75" hidden="false" customHeight="true" outlineLevel="0" collapsed="false">
      <c r="D50" s="8" t="s">
        <v>108</v>
      </c>
      <c r="E50" s="8" t="n">
        <f aca="false">SUM(E42:E48)</f>
        <v>55.4175</v>
      </c>
      <c r="M50" s="8" t="s">
        <v>108</v>
      </c>
      <c r="N50" s="8" t="n">
        <f aca="false">SUM(N42:N48)</f>
        <v>29.4801</v>
      </c>
    </row>
    <row r="51" customFormat="false" ht="12.75" hidden="false" customHeight="true" outlineLevel="0" collapsed="false"/>
    <row r="52" customFormat="false" ht="12.75" hidden="false" customHeight="true" outlineLevel="0" collapsed="false">
      <c r="A52" s="10" t="s">
        <v>52</v>
      </c>
      <c r="J52" s="9" t="s">
        <v>53</v>
      </c>
    </row>
    <row r="53" customFormat="false" ht="12.75" hidden="false" customHeight="true" outlineLevel="0" collapsed="false">
      <c r="A53" s="8" t="s">
        <v>102</v>
      </c>
      <c r="B53" s="8" t="n">
        <f aca="false">AJ3</f>
        <v>1.6</v>
      </c>
      <c r="J53" s="8" t="s">
        <v>102</v>
      </c>
      <c r="K53" s="8" t="n">
        <f aca="false">AO3</f>
        <v>1.8</v>
      </c>
    </row>
    <row r="54" customFormat="false" ht="12.75" hidden="false" customHeight="true" outlineLevel="0" collapsed="false">
      <c r="A54" s="8" t="s">
        <v>103</v>
      </c>
      <c r="B54" s="8" t="s">
        <v>104</v>
      </c>
      <c r="C54" s="8" t="s">
        <v>105</v>
      </c>
      <c r="D54" s="8" t="s">
        <v>106</v>
      </c>
      <c r="E54" s="8" t="s">
        <v>107</v>
      </c>
      <c r="J54" s="8" t="s">
        <v>103</v>
      </c>
      <c r="K54" s="8" t="s">
        <v>104</v>
      </c>
      <c r="L54" s="8" t="s">
        <v>105</v>
      </c>
      <c r="M54" s="8" t="s">
        <v>106</v>
      </c>
      <c r="N54" s="8" t="s">
        <v>107</v>
      </c>
    </row>
    <row r="55" customFormat="false" ht="12.75" hidden="false" customHeight="true" outlineLevel="0" collapsed="false">
      <c r="A55" s="8" t="n">
        <v>20</v>
      </c>
      <c r="B55" s="8" t="n">
        <v>0.6</v>
      </c>
      <c r="C55" s="13" t="n">
        <f aca="false">SUM(B55)</f>
        <v>0.6</v>
      </c>
      <c r="D55" s="8" t="n">
        <f aca="false">A55*$B$53</f>
        <v>32</v>
      </c>
      <c r="E55" s="8" t="n">
        <f aca="false">B55*D55</f>
        <v>19.2</v>
      </c>
      <c r="J55" s="8" t="n">
        <v>20</v>
      </c>
      <c r="K55" s="8" t="n">
        <v>0.69</v>
      </c>
      <c r="L55" s="13" t="n">
        <f aca="false">SUM(K55)</f>
        <v>0.69</v>
      </c>
      <c r="M55" s="8" t="n">
        <f aca="false">J55*$K$53</f>
        <v>36</v>
      </c>
      <c r="N55" s="8" t="n">
        <f aca="false">K55*M55</f>
        <v>24.84</v>
      </c>
    </row>
    <row r="56" customFormat="false" ht="12.75" hidden="false" customHeight="true" outlineLevel="0" collapsed="false">
      <c r="A56" s="8" t="n">
        <v>25</v>
      </c>
      <c r="B56" s="8" t="n">
        <v>0.2</v>
      </c>
      <c r="C56" s="13" t="n">
        <f aca="false">SUM($B$55:B56)</f>
        <v>0.8</v>
      </c>
      <c r="D56" s="8" t="n">
        <f aca="false">A56*$B$53</f>
        <v>40</v>
      </c>
      <c r="E56" s="8" t="n">
        <f aca="false">B56*D56</f>
        <v>8</v>
      </c>
      <c r="J56" s="8" t="n">
        <v>25</v>
      </c>
      <c r="K56" s="8" t="n">
        <v>0.15</v>
      </c>
      <c r="L56" s="13" t="n">
        <f aca="false">SUM($K$55:K56)</f>
        <v>0.84</v>
      </c>
      <c r="M56" s="8" t="n">
        <f aca="false">J56*$K$53</f>
        <v>45</v>
      </c>
      <c r="N56" s="8" t="n">
        <f aca="false">K56*M56</f>
        <v>6.75</v>
      </c>
    </row>
    <row r="57" customFormat="false" ht="12.75" hidden="false" customHeight="true" outlineLevel="0" collapsed="false">
      <c r="A57" s="8" t="n">
        <v>30</v>
      </c>
      <c r="B57" s="8" t="n">
        <v>0.14</v>
      </c>
      <c r="C57" s="13" t="n">
        <f aca="false">SUM($B$55:B57)</f>
        <v>0.94</v>
      </c>
      <c r="D57" s="8" t="n">
        <f aca="false">A57*$B$53</f>
        <v>48</v>
      </c>
      <c r="E57" s="8" t="n">
        <f aca="false">B57*D57</f>
        <v>6.72</v>
      </c>
      <c r="J57" s="8" t="n">
        <v>30</v>
      </c>
      <c r="K57" s="8" t="n">
        <v>0.1</v>
      </c>
      <c r="L57" s="13" t="n">
        <f aca="false">SUM($K$55:K57)</f>
        <v>0.94</v>
      </c>
      <c r="M57" s="8" t="n">
        <f aca="false">J57*$K$53</f>
        <v>54</v>
      </c>
      <c r="N57" s="8" t="n">
        <f aca="false">K57*M57</f>
        <v>5.4</v>
      </c>
    </row>
    <row r="58" customFormat="false" ht="12.75" hidden="false" customHeight="true" outlineLevel="0" collapsed="false">
      <c r="A58" s="8" t="n">
        <v>40</v>
      </c>
      <c r="B58" s="8" t="n">
        <v>0.023</v>
      </c>
      <c r="C58" s="13" t="n">
        <f aca="false">SUM($B$55:B58)</f>
        <v>0.963</v>
      </c>
      <c r="D58" s="8" t="n">
        <f aca="false">A58*$B$53</f>
        <v>64</v>
      </c>
      <c r="E58" s="8" t="n">
        <f aca="false">B58*D58</f>
        <v>1.472</v>
      </c>
      <c r="J58" s="8" t="n">
        <v>40</v>
      </c>
      <c r="K58" s="8" t="n">
        <v>0.023</v>
      </c>
      <c r="L58" s="13" t="n">
        <f aca="false">SUM($K$55:K58)</f>
        <v>0.963</v>
      </c>
      <c r="M58" s="8" t="n">
        <f aca="false">J58*$K$53</f>
        <v>72</v>
      </c>
      <c r="N58" s="8" t="n">
        <f aca="false">K58*M58</f>
        <v>1.656</v>
      </c>
    </row>
    <row r="59" customFormat="false" ht="12.75" hidden="false" customHeight="true" outlineLevel="0" collapsed="false">
      <c r="A59" s="8" t="n">
        <v>50</v>
      </c>
      <c r="B59" s="8" t="n">
        <v>0.015</v>
      </c>
      <c r="C59" s="13" t="n">
        <f aca="false">SUM($B$55:B59)</f>
        <v>0.978</v>
      </c>
      <c r="D59" s="8" t="n">
        <f aca="false">A59*$B$53</f>
        <v>80</v>
      </c>
      <c r="E59" s="8" t="n">
        <f aca="false">B59*D59</f>
        <v>1.2</v>
      </c>
      <c r="J59" s="8" t="n">
        <v>50</v>
      </c>
      <c r="K59" s="8" t="n">
        <v>0.015</v>
      </c>
      <c r="L59" s="13" t="n">
        <f aca="false">SUM($K$55:K59)</f>
        <v>0.978</v>
      </c>
      <c r="M59" s="8" t="n">
        <f aca="false">J59*$K$53</f>
        <v>90</v>
      </c>
      <c r="N59" s="8" t="n">
        <f aca="false">K59*M59</f>
        <v>1.35</v>
      </c>
    </row>
    <row r="60" customFormat="false" ht="12.75" hidden="false" customHeight="true" outlineLevel="0" collapsed="false">
      <c r="A60" s="8" t="n">
        <v>75</v>
      </c>
      <c r="B60" s="8" t="n">
        <v>0.011</v>
      </c>
      <c r="C60" s="13" t="n">
        <f aca="false">SUM($B$55:B60)</f>
        <v>0.989</v>
      </c>
      <c r="D60" s="8" t="n">
        <f aca="false">A60*$B$53</f>
        <v>120</v>
      </c>
      <c r="E60" s="8" t="n">
        <f aca="false">B60*D60</f>
        <v>1.32</v>
      </c>
      <c r="J60" s="8" t="n">
        <v>75</v>
      </c>
      <c r="K60" s="8" t="n">
        <v>0.011</v>
      </c>
      <c r="L60" s="13" t="n">
        <f aca="false">SUM($K$55:K60)</f>
        <v>0.989</v>
      </c>
      <c r="M60" s="8" t="n">
        <f aca="false">J60*$K$53</f>
        <v>135</v>
      </c>
      <c r="N60" s="8" t="n">
        <f aca="false">K60*M60</f>
        <v>1.485</v>
      </c>
    </row>
    <row r="61" customFormat="false" ht="12.75" hidden="false" customHeight="true" outlineLevel="0" collapsed="false">
      <c r="A61" s="8" t="n">
        <v>100</v>
      </c>
      <c r="B61" s="8" t="n">
        <v>0.011</v>
      </c>
      <c r="C61" s="13" t="n">
        <f aca="false">SUM($B$55:B61)</f>
        <v>1</v>
      </c>
      <c r="D61" s="8" t="n">
        <f aca="false">A61*$B$53</f>
        <v>160</v>
      </c>
      <c r="E61" s="8" t="n">
        <f aca="false">B61*D61</f>
        <v>1.76</v>
      </c>
      <c r="J61" s="8" t="n">
        <v>100</v>
      </c>
      <c r="K61" s="8" t="n">
        <v>0.011</v>
      </c>
      <c r="L61" s="13" t="n">
        <f aca="false">SUM($K$55:K61)</f>
        <v>1</v>
      </c>
      <c r="M61" s="8" t="n">
        <f aca="false">J61*$K$53</f>
        <v>180</v>
      </c>
      <c r="N61" s="8" t="n">
        <f aca="false">K61*M61</f>
        <v>1.98</v>
      </c>
    </row>
    <row r="62" customFormat="false" ht="12.75" hidden="false" customHeight="true" outlineLevel="0" collapsed="false"/>
    <row r="63" customFormat="false" ht="12.75" hidden="false" customHeight="true" outlineLevel="0" collapsed="false">
      <c r="D63" s="8" t="s">
        <v>108</v>
      </c>
      <c r="E63" s="8" t="n">
        <f aca="false">SUM(E55:E61)</f>
        <v>39.672</v>
      </c>
      <c r="M63" s="8" t="s">
        <v>108</v>
      </c>
      <c r="N63" s="8" t="n">
        <f aca="false">SUM(N55:N61)</f>
        <v>43.461</v>
      </c>
    </row>
    <row r="64" customFormat="false" ht="12.75" hidden="false" customHeight="true" outlineLevel="0" collapsed="false"/>
    <row r="65" customFormat="false" ht="12.75" hidden="false" customHeight="true" outlineLevel="0" collapsed="false">
      <c r="A65" s="10" t="s">
        <v>54</v>
      </c>
      <c r="J65" s="9" t="s">
        <v>55</v>
      </c>
    </row>
    <row r="66" customFormat="false" ht="12.75" hidden="false" customHeight="true" outlineLevel="0" collapsed="false">
      <c r="A66" s="8" t="s">
        <v>102</v>
      </c>
      <c r="B66" s="8" t="n">
        <f aca="false">AT3</f>
        <v>3.8</v>
      </c>
      <c r="J66" s="8" t="s">
        <v>102</v>
      </c>
      <c r="K66" s="8" t="n">
        <f aca="false">AY3</f>
        <v>10</v>
      </c>
    </row>
    <row r="67" customFormat="false" ht="12.75" hidden="false" customHeight="true" outlineLevel="0" collapsed="false">
      <c r="A67" s="8" t="s">
        <v>103</v>
      </c>
      <c r="B67" s="8" t="s">
        <v>104</v>
      </c>
      <c r="C67" s="8" t="s">
        <v>105</v>
      </c>
      <c r="D67" s="8" t="s">
        <v>106</v>
      </c>
      <c r="E67" s="8" t="s">
        <v>107</v>
      </c>
      <c r="J67" s="8" t="s">
        <v>103</v>
      </c>
      <c r="K67" s="8" t="s">
        <v>104</v>
      </c>
      <c r="L67" s="8" t="s">
        <v>105</v>
      </c>
      <c r="M67" s="8" t="s">
        <v>106</v>
      </c>
      <c r="N67" s="8" t="s">
        <v>107</v>
      </c>
    </row>
    <row r="68" customFormat="false" ht="12.75" hidden="false" customHeight="true" outlineLevel="0" collapsed="false">
      <c r="A68" s="8" t="n">
        <v>5</v>
      </c>
      <c r="B68" s="8" t="n">
        <v>0.4</v>
      </c>
      <c r="C68" s="13" t="n">
        <f aca="false">SUM(B68)</f>
        <v>0.4</v>
      </c>
      <c r="D68" s="8" t="n">
        <f aca="false">A68*$B$66</f>
        <v>19</v>
      </c>
      <c r="E68" s="8" t="n">
        <f aca="false">B68*D68</f>
        <v>7.6</v>
      </c>
      <c r="J68" s="8" t="n">
        <v>5</v>
      </c>
      <c r="K68" s="8" t="n">
        <v>0.7</v>
      </c>
      <c r="L68" s="13" t="n">
        <f aca="false">SUM(K68)</f>
        <v>0.7</v>
      </c>
      <c r="M68" s="8" t="n">
        <f aca="false">J68*$K$66</f>
        <v>50</v>
      </c>
      <c r="N68" s="8" t="n">
        <f aca="false">K68*M68</f>
        <v>35</v>
      </c>
    </row>
    <row r="69" customFormat="false" ht="12.75" hidden="false" customHeight="true" outlineLevel="0" collapsed="false">
      <c r="A69" s="8" t="n">
        <v>7</v>
      </c>
      <c r="B69" s="8" t="n">
        <v>0.3</v>
      </c>
      <c r="C69" s="13" t="n">
        <f aca="false">SUM($B$68:B69)</f>
        <v>0.7</v>
      </c>
      <c r="D69" s="8" t="n">
        <f aca="false">A69*$B$66</f>
        <v>26.6</v>
      </c>
      <c r="E69" s="8" t="n">
        <f aca="false">B69*D69</f>
        <v>7.98</v>
      </c>
      <c r="J69" s="8" t="n">
        <v>7</v>
      </c>
      <c r="K69" s="8" t="n">
        <v>0.172</v>
      </c>
      <c r="L69" s="13" t="n">
        <f aca="false">SUM($K$68:K69)</f>
        <v>0.872</v>
      </c>
      <c r="M69" s="8" t="n">
        <f aca="false">J69*$K$66</f>
        <v>70</v>
      </c>
      <c r="N69" s="8" t="n">
        <f aca="false">K69*M69</f>
        <v>12.04</v>
      </c>
    </row>
    <row r="70" customFormat="false" ht="12.75" hidden="false" customHeight="true" outlineLevel="0" collapsed="false">
      <c r="A70" s="8" t="n">
        <v>10</v>
      </c>
      <c r="B70" s="8" t="n">
        <v>0.2</v>
      </c>
      <c r="C70" s="13" t="n">
        <f aca="false">SUM($B$68:B70)</f>
        <v>0.9</v>
      </c>
      <c r="D70" s="8" t="n">
        <f aca="false">A70*$B$66</f>
        <v>38</v>
      </c>
      <c r="E70" s="8" t="n">
        <f aca="false">B70*D70</f>
        <v>7.6</v>
      </c>
      <c r="J70" s="8" t="n">
        <v>10</v>
      </c>
      <c r="K70" s="8" t="n">
        <v>0.1</v>
      </c>
      <c r="L70" s="13" t="n">
        <f aca="false">SUM($K$68:K70)</f>
        <v>0.972</v>
      </c>
      <c r="M70" s="8" t="n">
        <f aca="false">J70*$K$66</f>
        <v>100</v>
      </c>
      <c r="N70" s="8" t="n">
        <f aca="false">K70*M70</f>
        <v>10</v>
      </c>
    </row>
    <row r="71" customFormat="false" ht="12.75" hidden="false" customHeight="true" outlineLevel="0" collapsed="false">
      <c r="A71" s="8" t="n">
        <v>12</v>
      </c>
      <c r="B71" s="8" t="n">
        <v>0.033</v>
      </c>
      <c r="C71" s="13" t="n">
        <f aca="false">SUM($B$68:B71)</f>
        <v>0.933</v>
      </c>
      <c r="D71" s="8" t="n">
        <f aca="false">A71*$B$66</f>
        <v>45.6</v>
      </c>
      <c r="E71" s="8" t="n">
        <f aca="false">B71*D71</f>
        <v>1.5048</v>
      </c>
      <c r="J71" s="8" t="n">
        <v>12</v>
      </c>
      <c r="K71" s="8" t="n">
        <v>0.01</v>
      </c>
      <c r="L71" s="13" t="n">
        <f aca="false">SUM($K$68:K71)</f>
        <v>0.982</v>
      </c>
      <c r="M71" s="8" t="n">
        <f aca="false">J71*$K$66</f>
        <v>120</v>
      </c>
      <c r="N71" s="8" t="n">
        <f aca="false">K71*M71</f>
        <v>1.2</v>
      </c>
    </row>
    <row r="72" customFormat="false" ht="12.75" hidden="false" customHeight="true" outlineLevel="0" collapsed="false">
      <c r="A72" s="8" t="n">
        <v>15</v>
      </c>
      <c r="B72" s="8" t="n">
        <v>0.025</v>
      </c>
      <c r="C72" s="13" t="n">
        <f aca="false">SUM($B$68:B72)</f>
        <v>0.958</v>
      </c>
      <c r="D72" s="8" t="n">
        <f aca="false">A72*$B$66</f>
        <v>57</v>
      </c>
      <c r="E72" s="8" t="n">
        <f aca="false">B72*D72</f>
        <v>1.425</v>
      </c>
      <c r="J72" s="8" t="n">
        <v>15</v>
      </c>
      <c r="K72" s="8" t="n">
        <v>0.008</v>
      </c>
      <c r="L72" s="13" t="n">
        <f aca="false">SUM($K$68:K72)</f>
        <v>0.99</v>
      </c>
      <c r="M72" s="8" t="n">
        <f aca="false">J72*$K$66</f>
        <v>150</v>
      </c>
      <c r="N72" s="8" t="n">
        <f aca="false">K72*M72</f>
        <v>1.2</v>
      </c>
    </row>
    <row r="73" customFormat="false" ht="12.75" hidden="false" customHeight="true" outlineLevel="0" collapsed="false">
      <c r="A73" s="8" t="n">
        <v>18</v>
      </c>
      <c r="B73" s="8" t="n">
        <v>0.021</v>
      </c>
      <c r="C73" s="13" t="n">
        <f aca="false">SUM($B$68:B73)</f>
        <v>0.979</v>
      </c>
      <c r="D73" s="8" t="n">
        <f aca="false">A73*$B$66</f>
        <v>68.4</v>
      </c>
      <c r="E73" s="8" t="n">
        <f aca="false">B73*D73</f>
        <v>1.4364</v>
      </c>
      <c r="J73" s="8" t="n">
        <v>18</v>
      </c>
      <c r="K73" s="8" t="n">
        <v>0.005</v>
      </c>
      <c r="L73" s="13" t="n">
        <f aca="false">SUM($K$68:K73)</f>
        <v>0.995</v>
      </c>
      <c r="M73" s="8" t="n">
        <f aca="false">J73*$K$66</f>
        <v>180</v>
      </c>
      <c r="N73" s="8" t="n">
        <f aca="false">K73*M73</f>
        <v>0.9</v>
      </c>
    </row>
    <row r="74" customFormat="false" ht="12.75" hidden="false" customHeight="true" outlineLevel="0" collapsed="false">
      <c r="A74" s="8" t="n">
        <v>20</v>
      </c>
      <c r="B74" s="8" t="n">
        <v>0.021</v>
      </c>
      <c r="C74" s="13" t="n">
        <f aca="false">SUM($B$68:B74)</f>
        <v>1</v>
      </c>
      <c r="D74" s="8" t="n">
        <f aca="false">A74*$B$66</f>
        <v>76</v>
      </c>
      <c r="E74" s="8" t="n">
        <f aca="false">B74*D74</f>
        <v>1.596</v>
      </c>
      <c r="J74" s="8" t="n">
        <v>20</v>
      </c>
      <c r="K74" s="8" t="n">
        <v>0.005</v>
      </c>
      <c r="L74" s="13" t="n">
        <f aca="false">SUM($K$68:K74)</f>
        <v>1</v>
      </c>
      <c r="M74" s="8" t="n">
        <f aca="false">J74*$K$66</f>
        <v>200</v>
      </c>
      <c r="N74" s="8" t="n">
        <f aca="false">K74*M74</f>
        <v>1</v>
      </c>
    </row>
    <row r="75" customFormat="false" ht="12.75" hidden="false" customHeight="true" outlineLevel="0" collapsed="false"/>
    <row r="76" customFormat="false" ht="12.75" hidden="false" customHeight="true" outlineLevel="0" collapsed="false">
      <c r="D76" s="8" t="s">
        <v>108</v>
      </c>
      <c r="E76" s="8" t="n">
        <f aca="false">SUM(E68:E74)</f>
        <v>29.1422</v>
      </c>
      <c r="M76" s="8" t="s">
        <v>108</v>
      </c>
      <c r="N76" s="8" t="n">
        <f aca="false">SUM(N68:N74)</f>
        <v>61.34</v>
      </c>
    </row>
    <row r="77" customFormat="false" ht="12.75" hidden="false" customHeight="true" outlineLevel="0" collapsed="false"/>
    <row r="78" customFormat="false" ht="12.75" hidden="false" customHeight="true" outlineLevel="0" collapsed="false">
      <c r="A78" s="10" t="s">
        <v>56</v>
      </c>
      <c r="J78" s="9" t="s">
        <v>57</v>
      </c>
    </row>
    <row r="79" customFormat="false" ht="12.75" hidden="false" customHeight="true" outlineLevel="0" collapsed="false">
      <c r="A79" s="8" t="s">
        <v>102</v>
      </c>
      <c r="B79" s="8" t="n">
        <f aca="false">BD3</f>
        <v>16</v>
      </c>
      <c r="J79" s="8" t="s">
        <v>102</v>
      </c>
      <c r="K79" s="8" t="n">
        <f aca="false">BI3</f>
        <v>1.9</v>
      </c>
    </row>
    <row r="80" customFormat="false" ht="12.75" hidden="false" customHeight="true" outlineLevel="0" collapsed="false">
      <c r="A80" s="8" t="s">
        <v>103</v>
      </c>
      <c r="B80" s="8" t="s">
        <v>104</v>
      </c>
      <c r="C80" s="8" t="s">
        <v>105</v>
      </c>
      <c r="D80" s="8" t="s">
        <v>106</v>
      </c>
      <c r="E80" s="8" t="s">
        <v>107</v>
      </c>
      <c r="J80" s="8" t="s">
        <v>103</v>
      </c>
      <c r="K80" s="8" t="s">
        <v>104</v>
      </c>
      <c r="L80" s="8" t="s">
        <v>105</v>
      </c>
      <c r="M80" s="8" t="s">
        <v>106</v>
      </c>
      <c r="N80" s="8" t="s">
        <v>107</v>
      </c>
    </row>
    <row r="81" customFormat="false" ht="12.75" hidden="false" customHeight="true" outlineLevel="0" collapsed="false">
      <c r="A81" s="8" t="n">
        <v>5</v>
      </c>
      <c r="B81" s="8" t="n">
        <v>0.786</v>
      </c>
      <c r="C81" s="13" t="n">
        <f aca="false">SUM(B81)</f>
        <v>0.786</v>
      </c>
      <c r="D81" s="8" t="n">
        <f aca="false">A81*$B$79</f>
        <v>80</v>
      </c>
      <c r="E81" s="8" t="n">
        <f aca="false">B81*D81</f>
        <v>62.88</v>
      </c>
      <c r="J81" s="8" t="n">
        <v>20</v>
      </c>
      <c r="K81" s="8" t="n">
        <v>0.75</v>
      </c>
      <c r="L81" s="13" t="n">
        <f aca="false">SUM(K81)</f>
        <v>0.75</v>
      </c>
      <c r="M81" s="8" t="n">
        <f aca="false">J81*$K$79</f>
        <v>38</v>
      </c>
      <c r="N81" s="8" t="n">
        <f aca="false">K81*M81</f>
        <v>28.5</v>
      </c>
    </row>
    <row r="82" customFormat="false" ht="12.75" hidden="false" customHeight="true" outlineLevel="0" collapsed="false">
      <c r="A82" s="8" t="n">
        <v>7</v>
      </c>
      <c r="B82" s="8" t="n">
        <v>0.15</v>
      </c>
      <c r="C82" s="13" t="n">
        <f aca="false">SUM($B$81:B82)</f>
        <v>0.936</v>
      </c>
      <c r="D82" s="8" t="n">
        <f aca="false">A82*$B$79</f>
        <v>112</v>
      </c>
      <c r="E82" s="8" t="n">
        <f aca="false">B82*D82</f>
        <v>16.8</v>
      </c>
      <c r="J82" s="8" t="n">
        <v>25</v>
      </c>
      <c r="K82" s="8" t="n">
        <v>0.122</v>
      </c>
      <c r="L82" s="13" t="n">
        <f aca="false">SUM($K$81:K82)</f>
        <v>0.872</v>
      </c>
      <c r="M82" s="8" t="n">
        <f aca="false">J82*$K$79</f>
        <v>47.5</v>
      </c>
      <c r="N82" s="8" t="n">
        <f aca="false">K82*M82</f>
        <v>5.795</v>
      </c>
    </row>
    <row r="83" customFormat="false" ht="12.75" hidden="false" customHeight="true" outlineLevel="0" collapsed="false">
      <c r="A83" s="8" t="n">
        <v>10</v>
      </c>
      <c r="B83" s="8" t="n">
        <v>0.05</v>
      </c>
      <c r="C83" s="13" t="n">
        <f aca="false">SUM($B$81:B83)</f>
        <v>0.986</v>
      </c>
      <c r="D83" s="8" t="n">
        <f aca="false">A83*$B$79</f>
        <v>160</v>
      </c>
      <c r="E83" s="8" t="n">
        <f aca="false">B83*D83</f>
        <v>8</v>
      </c>
      <c r="J83" s="8" t="n">
        <v>30</v>
      </c>
      <c r="K83" s="8" t="n">
        <v>0.05</v>
      </c>
      <c r="L83" s="13" t="n">
        <f aca="false">SUM($K$81:K83)</f>
        <v>0.922</v>
      </c>
      <c r="M83" s="8" t="n">
        <f aca="false">J83*$K$79</f>
        <v>57</v>
      </c>
      <c r="N83" s="8" t="n">
        <f aca="false">K83*M83</f>
        <v>2.85</v>
      </c>
    </row>
    <row r="84" customFormat="false" ht="12.75" hidden="false" customHeight="true" outlineLevel="0" collapsed="false">
      <c r="A84" s="8" t="n">
        <v>12</v>
      </c>
      <c r="B84" s="8" t="n">
        <v>0.007</v>
      </c>
      <c r="C84" s="13" t="n">
        <f aca="false">SUM($B$81:B84)</f>
        <v>0.993</v>
      </c>
      <c r="D84" s="8" t="n">
        <f aca="false">A84*$B$79</f>
        <v>192</v>
      </c>
      <c r="E84" s="8" t="n">
        <f aca="false">B84*D84</f>
        <v>1.344</v>
      </c>
      <c r="J84" s="8" t="n">
        <v>40</v>
      </c>
      <c r="K84" s="8" t="n">
        <v>0.033</v>
      </c>
      <c r="L84" s="13" t="n">
        <f aca="false">SUM($K$81:K84)</f>
        <v>0.955</v>
      </c>
      <c r="M84" s="8" t="n">
        <f aca="false">J84*$K$79</f>
        <v>76</v>
      </c>
      <c r="N84" s="8" t="n">
        <f aca="false">K84*M84</f>
        <v>2.508</v>
      </c>
    </row>
    <row r="85" customFormat="false" ht="12.75" hidden="false" customHeight="true" outlineLevel="0" collapsed="false">
      <c r="A85" s="8" t="n">
        <v>15</v>
      </c>
      <c r="B85" s="8" t="n">
        <v>0.005</v>
      </c>
      <c r="C85" s="13" t="n">
        <f aca="false">SUM($B$81:B85)</f>
        <v>0.998</v>
      </c>
      <c r="D85" s="8" t="n">
        <f aca="false">A85*$B$79</f>
        <v>240</v>
      </c>
      <c r="E85" s="8" t="n">
        <f aca="false">B85*D85</f>
        <v>1.2</v>
      </c>
      <c r="J85" s="8" t="n">
        <v>50</v>
      </c>
      <c r="K85" s="8" t="n">
        <v>0.025</v>
      </c>
      <c r="L85" s="13" t="n">
        <f aca="false">SUM($K$81:K85)</f>
        <v>0.98</v>
      </c>
      <c r="M85" s="8" t="n">
        <f aca="false">J85*$K$79</f>
        <v>95</v>
      </c>
      <c r="N85" s="8" t="n">
        <f aca="false">K85*M85</f>
        <v>2.375</v>
      </c>
    </row>
    <row r="86" customFormat="false" ht="12.75" hidden="false" customHeight="true" outlineLevel="0" collapsed="false">
      <c r="A86" s="8" t="n">
        <v>18</v>
      </c>
      <c r="B86" s="8" t="n">
        <v>0.001</v>
      </c>
      <c r="C86" s="13" t="n">
        <f aca="false">SUM($B$81:B86)</f>
        <v>0.999</v>
      </c>
      <c r="D86" s="8" t="n">
        <f aca="false">A86*$B$79</f>
        <v>288</v>
      </c>
      <c r="E86" s="8" t="n">
        <f aca="false">B86*D86</f>
        <v>0.288</v>
      </c>
      <c r="J86" s="8" t="n">
        <v>75</v>
      </c>
      <c r="K86" s="8" t="n">
        <v>0.01</v>
      </c>
      <c r="L86" s="13" t="n">
        <f aca="false">SUM($K$81:K86)</f>
        <v>0.99</v>
      </c>
      <c r="M86" s="8" t="n">
        <f aca="false">J86*$K$79</f>
        <v>142.5</v>
      </c>
      <c r="N86" s="8" t="n">
        <f aca="false">K86*M86</f>
        <v>1.425</v>
      </c>
    </row>
    <row r="87" customFormat="false" ht="12.75" hidden="false" customHeight="true" outlineLevel="0" collapsed="false">
      <c r="A87" s="8" t="n">
        <v>20</v>
      </c>
      <c r="B87" s="8" t="n">
        <v>0.001</v>
      </c>
      <c r="C87" s="13" t="n">
        <f aca="false">SUM($B$81:B87)</f>
        <v>1</v>
      </c>
      <c r="D87" s="8" t="n">
        <f aca="false">A87*$B$79</f>
        <v>320</v>
      </c>
      <c r="E87" s="8" t="n">
        <f aca="false">B87*D87</f>
        <v>0.32</v>
      </c>
      <c r="J87" s="8" t="n">
        <v>100</v>
      </c>
      <c r="K87" s="8" t="n">
        <v>0.01</v>
      </c>
      <c r="L87" s="13" t="n">
        <f aca="false">SUM($K$81:K87)</f>
        <v>1</v>
      </c>
      <c r="M87" s="8" t="n">
        <f aca="false">J87*$K$79</f>
        <v>190</v>
      </c>
      <c r="N87" s="8" t="n">
        <f aca="false">K87*M87</f>
        <v>1.9</v>
      </c>
    </row>
    <row r="88" customFormat="false" ht="12.75" hidden="false" customHeight="true" outlineLevel="0" collapsed="false"/>
    <row r="89" customFormat="false" ht="12.75" hidden="false" customHeight="true" outlineLevel="0" collapsed="false">
      <c r="D89" s="8" t="s">
        <v>108</v>
      </c>
      <c r="E89" s="8" t="n">
        <f aca="false">SUM(E81:E87)</f>
        <v>90.832</v>
      </c>
      <c r="M89" s="8" t="s">
        <v>108</v>
      </c>
      <c r="N89" s="8" t="n">
        <f aca="false">SUM(N81:N87)</f>
        <v>45.353</v>
      </c>
    </row>
    <row r="90" customFormat="false" ht="12.75" hidden="false" customHeight="true" outlineLevel="0" collapsed="false"/>
    <row r="91" customFormat="false" ht="12.75" hidden="false" customHeight="true" outlineLevel="0" collapsed="false">
      <c r="A91" s="10" t="s">
        <v>58</v>
      </c>
      <c r="J91" s="9" t="s">
        <v>59</v>
      </c>
    </row>
    <row r="92" customFormat="false" ht="12.75" hidden="false" customHeight="true" outlineLevel="0" collapsed="false">
      <c r="A92" s="8" t="s">
        <v>102</v>
      </c>
      <c r="B92" s="8" t="n">
        <f aca="false">BN3</f>
        <v>2</v>
      </c>
      <c r="J92" s="8" t="s">
        <v>102</v>
      </c>
      <c r="K92" s="8" t="n">
        <f aca="false">BS3</f>
        <v>24</v>
      </c>
    </row>
    <row r="93" customFormat="false" ht="12.75" hidden="false" customHeight="true" outlineLevel="0" collapsed="false">
      <c r="A93" s="8" t="s">
        <v>103</v>
      </c>
      <c r="B93" s="8" t="s">
        <v>104</v>
      </c>
      <c r="C93" s="8" t="s">
        <v>105</v>
      </c>
      <c r="D93" s="8" t="s">
        <v>106</v>
      </c>
      <c r="E93" s="8" t="s">
        <v>107</v>
      </c>
      <c r="J93" s="8" t="s">
        <v>103</v>
      </c>
      <c r="K93" s="8" t="s">
        <v>104</v>
      </c>
      <c r="L93" s="8" t="s">
        <v>105</v>
      </c>
      <c r="M93" s="8" t="s">
        <v>106</v>
      </c>
      <c r="N93" s="8" t="s">
        <v>107</v>
      </c>
    </row>
    <row r="94" customFormat="false" ht="12.75" hidden="false" customHeight="true" outlineLevel="0" collapsed="false">
      <c r="A94" s="8" t="n">
        <v>20</v>
      </c>
      <c r="B94" s="8" t="n">
        <v>0.622</v>
      </c>
      <c r="C94" s="13" t="n">
        <f aca="false">SUM(B94)</f>
        <v>0.622</v>
      </c>
      <c r="D94" s="8" t="n">
        <f aca="false">A94*$B$92</f>
        <v>40</v>
      </c>
      <c r="E94" s="8" t="n">
        <f aca="false">B94*D94</f>
        <v>24.88</v>
      </c>
      <c r="J94" s="8" t="n">
        <v>5</v>
      </c>
      <c r="K94" s="8" t="n">
        <v>0.75</v>
      </c>
      <c r="L94" s="13" t="n">
        <f aca="false">SUM(K94)</f>
        <v>0.75</v>
      </c>
      <c r="M94" s="8" t="n">
        <f aca="false">J94*$K$92</f>
        <v>120</v>
      </c>
      <c r="N94" s="8" t="n">
        <f aca="false">K94*M94</f>
        <v>90</v>
      </c>
    </row>
    <row r="95" customFormat="false" ht="12.75" hidden="false" customHeight="true" outlineLevel="0" collapsed="false">
      <c r="A95" s="8" t="n">
        <v>25</v>
      </c>
      <c r="B95" s="8" t="n">
        <v>0.2</v>
      </c>
      <c r="C95" s="13" t="n">
        <f aca="false">SUM($B$94:B95)</f>
        <v>0.822</v>
      </c>
      <c r="D95" s="8" t="n">
        <f aca="false">A95*$B$92</f>
        <v>50</v>
      </c>
      <c r="E95" s="8" t="n">
        <f aca="false">B95*D95</f>
        <v>10</v>
      </c>
      <c r="J95" s="8" t="n">
        <v>7</v>
      </c>
      <c r="K95" s="8" t="n">
        <v>0.122</v>
      </c>
      <c r="L95" s="13" t="n">
        <f aca="false">SUM($K$94:K95)</f>
        <v>0.872</v>
      </c>
      <c r="M95" s="8" t="n">
        <f aca="false">J95*$K$92</f>
        <v>168</v>
      </c>
      <c r="N95" s="8" t="n">
        <f aca="false">K95*M95</f>
        <v>20.496</v>
      </c>
    </row>
    <row r="96" customFormat="false" ht="12.75" hidden="false" customHeight="true" outlineLevel="0" collapsed="false">
      <c r="A96" s="8" t="n">
        <v>30</v>
      </c>
      <c r="B96" s="8" t="n">
        <v>0.15</v>
      </c>
      <c r="C96" s="13" t="n">
        <f aca="false">SUM($B$94:B96)</f>
        <v>0.972</v>
      </c>
      <c r="D96" s="8" t="n">
        <f aca="false">A96*$B$92</f>
        <v>60</v>
      </c>
      <c r="E96" s="8" t="n">
        <f aca="false">B96*D96</f>
        <v>9</v>
      </c>
      <c r="J96" s="8" t="n">
        <v>10</v>
      </c>
      <c r="K96" s="8" t="n">
        <v>0.05</v>
      </c>
      <c r="L96" s="13" t="n">
        <f aca="false">SUM($K$94:K96)</f>
        <v>0.922</v>
      </c>
      <c r="M96" s="8" t="n">
        <f aca="false">J96*$K$92</f>
        <v>240</v>
      </c>
      <c r="N96" s="8" t="n">
        <f aca="false">K96*M96</f>
        <v>12</v>
      </c>
    </row>
    <row r="97" customFormat="false" ht="12.75" hidden="false" customHeight="true" outlineLevel="0" collapsed="false">
      <c r="A97" s="8" t="n">
        <v>40</v>
      </c>
      <c r="B97" s="8" t="n">
        <v>0.01</v>
      </c>
      <c r="C97" s="13" t="n">
        <f aca="false">SUM($B$94:B97)</f>
        <v>0.982</v>
      </c>
      <c r="D97" s="8" t="n">
        <f aca="false">A97*$B$92</f>
        <v>80</v>
      </c>
      <c r="E97" s="8" t="n">
        <f aca="false">B97*D97</f>
        <v>0.8</v>
      </c>
      <c r="J97" s="8" t="n">
        <v>12</v>
      </c>
      <c r="K97" s="8" t="n">
        <v>0.033</v>
      </c>
      <c r="L97" s="13" t="n">
        <f aca="false">SUM($K$94:K97)</f>
        <v>0.955</v>
      </c>
      <c r="M97" s="8" t="n">
        <f aca="false">J97*$K$92</f>
        <v>288</v>
      </c>
      <c r="N97" s="8" t="n">
        <f aca="false">K97*M97</f>
        <v>9.504</v>
      </c>
    </row>
    <row r="98" customFormat="false" ht="12.75" hidden="false" customHeight="true" outlineLevel="0" collapsed="false">
      <c r="A98" s="8" t="n">
        <v>50</v>
      </c>
      <c r="B98" s="8" t="n">
        <v>0.008</v>
      </c>
      <c r="C98" s="13" t="n">
        <f aca="false">SUM($B$94:B98)</f>
        <v>0.99</v>
      </c>
      <c r="D98" s="8" t="n">
        <f aca="false">A98*$B$92</f>
        <v>100</v>
      </c>
      <c r="E98" s="8" t="n">
        <f aca="false">B98*D98</f>
        <v>0.8</v>
      </c>
      <c r="J98" s="8" t="n">
        <v>15</v>
      </c>
      <c r="K98" s="8" t="n">
        <v>0.025</v>
      </c>
      <c r="L98" s="13" t="n">
        <f aca="false">SUM($K$94:K98)</f>
        <v>0.98</v>
      </c>
      <c r="M98" s="8" t="n">
        <f aca="false">J98*$K$92</f>
        <v>360</v>
      </c>
      <c r="N98" s="8" t="n">
        <f aca="false">K98*M98</f>
        <v>9</v>
      </c>
    </row>
    <row r="99" customFormat="false" ht="12.75" hidden="false" customHeight="true" outlineLevel="0" collapsed="false">
      <c r="A99" s="8" t="n">
        <v>75</v>
      </c>
      <c r="B99" s="8" t="n">
        <v>0.005</v>
      </c>
      <c r="C99" s="13" t="n">
        <f aca="false">SUM($B$94:B99)</f>
        <v>0.995</v>
      </c>
      <c r="D99" s="8" t="n">
        <f aca="false">A99*$B$92</f>
        <v>150</v>
      </c>
      <c r="E99" s="8" t="n">
        <f aca="false">B99*D99</f>
        <v>0.75</v>
      </c>
      <c r="J99" s="8" t="n">
        <v>18</v>
      </c>
      <c r="K99" s="8" t="n">
        <v>0.01</v>
      </c>
      <c r="L99" s="13" t="n">
        <f aca="false">SUM($K$94:K99)</f>
        <v>0.99</v>
      </c>
      <c r="M99" s="8" t="n">
        <f aca="false">J99*$K$92</f>
        <v>432</v>
      </c>
      <c r="N99" s="8" t="n">
        <f aca="false">K99*M99</f>
        <v>4.32</v>
      </c>
    </row>
    <row r="100" customFormat="false" ht="12.75" hidden="false" customHeight="true" outlineLevel="0" collapsed="false">
      <c r="A100" s="8" t="n">
        <v>100</v>
      </c>
      <c r="B100" s="8" t="n">
        <v>0.005</v>
      </c>
      <c r="C100" s="13" t="n">
        <f aca="false">SUM($B$94:B100)</f>
        <v>1</v>
      </c>
      <c r="D100" s="8" t="n">
        <f aca="false">A100*$B$92</f>
        <v>200</v>
      </c>
      <c r="E100" s="8" t="n">
        <f aca="false">B100*D100</f>
        <v>1</v>
      </c>
      <c r="J100" s="8" t="n">
        <v>20</v>
      </c>
      <c r="K100" s="8" t="n">
        <v>0.01</v>
      </c>
      <c r="L100" s="13" t="n">
        <f aca="false">SUM($K$94:K100)</f>
        <v>1</v>
      </c>
      <c r="M100" s="8" t="n">
        <f aca="false">J100*$K$92</f>
        <v>480</v>
      </c>
      <c r="N100" s="8" t="n">
        <f aca="false">K100*M100</f>
        <v>4.8</v>
      </c>
    </row>
    <row r="101" customFormat="false" ht="12.75" hidden="false" customHeight="true" outlineLevel="0" collapsed="false"/>
    <row r="102" customFormat="false" ht="12.75" hidden="false" customHeight="true" outlineLevel="0" collapsed="false">
      <c r="D102" s="8" t="s">
        <v>108</v>
      </c>
      <c r="E102" s="8" t="n">
        <f aca="false">SUM(E94:E100)</f>
        <v>47.23</v>
      </c>
      <c r="M102" s="8" t="s">
        <v>108</v>
      </c>
      <c r="N102" s="8" t="n">
        <f aca="false">SUM(N94:N100)</f>
        <v>150.12</v>
      </c>
    </row>
    <row r="103" customFormat="false" ht="12.75" hidden="false" customHeight="true" outlineLevel="0" collapsed="false"/>
    <row r="104" customFormat="false" ht="12.75" hidden="false" customHeight="true" outlineLevel="0" collapsed="false">
      <c r="A104" s="11" t="s">
        <v>60</v>
      </c>
    </row>
    <row r="105" customFormat="false" ht="12.75" hidden="false" customHeight="true" outlineLevel="0" collapsed="false">
      <c r="A105" s="8" t="s">
        <v>102</v>
      </c>
      <c r="B105" s="8" t="n">
        <f aca="false">BX3</f>
        <v>19</v>
      </c>
    </row>
    <row r="106" customFormat="false" ht="12.75" hidden="false" customHeight="true" outlineLevel="0" collapsed="false">
      <c r="A106" s="8" t="s">
        <v>103</v>
      </c>
      <c r="B106" s="8" t="s">
        <v>104</v>
      </c>
      <c r="C106" s="8" t="s">
        <v>105</v>
      </c>
      <c r="D106" s="8" t="s">
        <v>106</v>
      </c>
      <c r="E106" s="8" t="s">
        <v>107</v>
      </c>
    </row>
    <row r="107" customFormat="false" ht="12.75" hidden="false" customHeight="true" outlineLevel="0" collapsed="false">
      <c r="A107" s="8" t="n">
        <v>5</v>
      </c>
      <c r="B107" s="8" t="n">
        <v>0.786</v>
      </c>
      <c r="C107" s="13" t="n">
        <f aca="false">SUM(B$107:B107)</f>
        <v>0.786</v>
      </c>
      <c r="D107" s="8" t="n">
        <f aca="false">A107*$B$105</f>
        <v>95</v>
      </c>
      <c r="E107" s="8" t="n">
        <f aca="false">B107*D107</f>
        <v>74.67</v>
      </c>
    </row>
    <row r="108" customFormat="false" ht="12.75" hidden="false" customHeight="true" outlineLevel="0" collapsed="false">
      <c r="A108" s="8" t="n">
        <v>7</v>
      </c>
      <c r="B108" s="8" t="n">
        <v>0.15</v>
      </c>
      <c r="C108" s="13" t="n">
        <f aca="false">SUM(B$107:B108)</f>
        <v>0.936</v>
      </c>
      <c r="D108" s="8" t="n">
        <f aca="false">A108*$B$105</f>
        <v>133</v>
      </c>
      <c r="E108" s="8" t="n">
        <f aca="false">B108*D108</f>
        <v>19.95</v>
      </c>
    </row>
    <row r="109" customFormat="false" ht="12.75" hidden="false" customHeight="true" outlineLevel="0" collapsed="false">
      <c r="A109" s="8" t="n">
        <v>10</v>
      </c>
      <c r="B109" s="8" t="n">
        <v>0.05</v>
      </c>
      <c r="C109" s="13" t="n">
        <f aca="false">SUM(B$107:B109)</f>
        <v>0.986</v>
      </c>
      <c r="D109" s="8" t="n">
        <f aca="false">A109*$B$105</f>
        <v>190</v>
      </c>
      <c r="E109" s="8" t="n">
        <f aca="false">B109*D109</f>
        <v>9.5</v>
      </c>
    </row>
    <row r="110" customFormat="false" ht="12.75" hidden="false" customHeight="true" outlineLevel="0" collapsed="false">
      <c r="A110" s="8" t="n">
        <v>12</v>
      </c>
      <c r="B110" s="8" t="n">
        <v>0.007</v>
      </c>
      <c r="C110" s="13" t="n">
        <f aca="false">SUM(B$107:B110)</f>
        <v>0.993</v>
      </c>
      <c r="D110" s="8" t="n">
        <f aca="false">A110*$B$105</f>
        <v>228</v>
      </c>
      <c r="E110" s="8" t="n">
        <f aca="false">B110*D110</f>
        <v>1.596</v>
      </c>
    </row>
    <row r="111" customFormat="false" ht="12.75" hidden="false" customHeight="true" outlineLevel="0" collapsed="false">
      <c r="A111" s="8" t="n">
        <v>15</v>
      </c>
      <c r="B111" s="8" t="n">
        <v>0.005</v>
      </c>
      <c r="C111" s="13" t="n">
        <f aca="false">SUM(B$107:B111)</f>
        <v>0.998</v>
      </c>
      <c r="D111" s="8" t="n">
        <f aca="false">A111*$B$105</f>
        <v>285</v>
      </c>
      <c r="E111" s="8" t="n">
        <f aca="false">B111*D111</f>
        <v>1.425</v>
      </c>
    </row>
    <row r="112" customFormat="false" ht="12.75" hidden="false" customHeight="true" outlineLevel="0" collapsed="false">
      <c r="A112" s="8" t="n">
        <v>18</v>
      </c>
      <c r="B112" s="8" t="n">
        <v>0.001</v>
      </c>
      <c r="C112" s="13" t="n">
        <f aca="false">SUM(B$107:B112)</f>
        <v>0.999</v>
      </c>
      <c r="D112" s="8" t="n">
        <f aca="false">A112*$B$105</f>
        <v>342</v>
      </c>
      <c r="E112" s="8" t="n">
        <f aca="false">B112*D112</f>
        <v>0.342</v>
      </c>
    </row>
    <row r="113" customFormat="false" ht="12.75" hidden="false" customHeight="true" outlineLevel="0" collapsed="false">
      <c r="A113" s="8" t="n">
        <v>20</v>
      </c>
      <c r="B113" s="8" t="n">
        <v>0.001</v>
      </c>
      <c r="C113" s="13" t="n">
        <f aca="false">SUM(B$107:B113)</f>
        <v>1</v>
      </c>
      <c r="D113" s="8" t="n">
        <f aca="false">A113*$B$105</f>
        <v>380</v>
      </c>
      <c r="E113" s="8" t="n">
        <f aca="false">B113*D113</f>
        <v>0.38</v>
      </c>
    </row>
    <row r="114" customFormat="false" ht="12.75" hidden="false" customHeight="true" outlineLevel="0" collapsed="false"/>
    <row r="115" customFormat="false" ht="12.75" hidden="false" customHeight="true" outlineLevel="0" collapsed="false">
      <c r="D115" s="8" t="s">
        <v>108</v>
      </c>
      <c r="E115" s="8" t="n">
        <f aca="false">SUM(E107:E113)</f>
        <v>107.863</v>
      </c>
    </row>
    <row r="116" customFormat="false" ht="12.75" hidden="false" customHeight="true" outlineLevel="0" collapsed="false"/>
    <row r="117" customFormat="false" ht="12.75" hidden="false" customHeight="true" outlineLevel="0" collapsed="false">
      <c r="A117" s="18" t="s">
        <v>109</v>
      </c>
      <c r="B117" s="8" t="s">
        <v>110</v>
      </c>
      <c r="C117" s="8" t="s">
        <v>111</v>
      </c>
      <c r="D117" s="8" t="s">
        <v>112</v>
      </c>
    </row>
    <row r="118" customFormat="false" ht="12.75" hidden="false" customHeight="true" outlineLevel="0" collapsed="false">
      <c r="A118" s="10" t="s">
        <v>47</v>
      </c>
      <c r="B118" s="8" t="n">
        <f aca="false">E37</f>
        <v>26.934</v>
      </c>
      <c r="C118" s="8" t="n">
        <v>7</v>
      </c>
      <c r="D118" s="8" t="n">
        <f aca="false">B118*C118/$C$132</f>
        <v>1.4392213740458</v>
      </c>
    </row>
    <row r="119" customFormat="false" ht="12.75" hidden="false" customHeight="true" outlineLevel="0" collapsed="false">
      <c r="A119" s="9" t="s">
        <v>48</v>
      </c>
      <c r="B119" s="8" t="n">
        <f aca="false">N37</f>
        <v>31.423</v>
      </c>
      <c r="C119" s="8" t="n">
        <v>7</v>
      </c>
      <c r="D119" s="8" t="n">
        <f aca="false">B119*C119/$C$132</f>
        <v>1.67909160305344</v>
      </c>
    </row>
    <row r="120" customFormat="false" ht="12.75" hidden="false" customHeight="true" outlineLevel="0" collapsed="false">
      <c r="A120" s="10" t="s">
        <v>50</v>
      </c>
      <c r="B120" s="8" t="n">
        <f aca="false">E50</f>
        <v>55.4175</v>
      </c>
      <c r="C120" s="8" t="n">
        <v>9</v>
      </c>
      <c r="D120" s="8" t="n">
        <f aca="false">B120*C120/$C$132</f>
        <v>3.80730916030534</v>
      </c>
    </row>
    <row r="121" customFormat="false" ht="12.75" hidden="false" customHeight="true" outlineLevel="0" collapsed="false">
      <c r="A121" s="9" t="s">
        <v>51</v>
      </c>
      <c r="B121" s="8" t="n">
        <f aca="false">N50</f>
        <v>29.4801</v>
      </c>
      <c r="C121" s="8" t="n">
        <v>10</v>
      </c>
      <c r="D121" s="8" t="n">
        <f aca="false">B121*C121/$C$132</f>
        <v>2.2503893129771</v>
      </c>
    </row>
    <row r="122" customFormat="false" ht="12.75" hidden="false" customHeight="true" outlineLevel="0" collapsed="false">
      <c r="A122" s="10" t="s">
        <v>52</v>
      </c>
      <c r="B122" s="8" t="n">
        <f aca="false">E63</f>
        <v>39.672</v>
      </c>
      <c r="C122" s="8" t="n">
        <v>9</v>
      </c>
      <c r="D122" s="8" t="n">
        <f aca="false">B122*C122/$C$132</f>
        <v>2.7255572519084</v>
      </c>
    </row>
    <row r="123" customFormat="false" ht="12.75" hidden="false" customHeight="true" outlineLevel="0" collapsed="false">
      <c r="A123" s="9" t="s">
        <v>53</v>
      </c>
      <c r="B123" s="8" t="n">
        <f aca="false">N63</f>
        <v>43.461</v>
      </c>
      <c r="C123" s="8" t="n">
        <v>10</v>
      </c>
      <c r="D123" s="8" t="n">
        <f aca="false">B123*C123/$C$132</f>
        <v>3.31763358778626</v>
      </c>
    </row>
    <row r="124" customFormat="false" ht="12.75" hidden="false" customHeight="true" outlineLevel="0" collapsed="false">
      <c r="A124" s="10" t="s">
        <v>54</v>
      </c>
      <c r="B124" s="8" t="n">
        <f aca="false">E76</f>
        <v>29.1422</v>
      </c>
      <c r="C124" s="8" t="n">
        <v>12</v>
      </c>
      <c r="D124" s="8" t="n">
        <f aca="false">B124*C124/$C$132</f>
        <v>2.66951450381679</v>
      </c>
    </row>
    <row r="125" customFormat="false" ht="12.75" hidden="false" customHeight="true" outlineLevel="0" collapsed="false">
      <c r="A125" s="9" t="s">
        <v>55</v>
      </c>
      <c r="B125" s="8" t="n">
        <f aca="false">N76</f>
        <v>61.34</v>
      </c>
      <c r="C125" s="8" t="n">
        <v>10</v>
      </c>
      <c r="D125" s="8" t="n">
        <f aca="false">B125*C125/$C$132</f>
        <v>4.6824427480916</v>
      </c>
    </row>
    <row r="126" customFormat="false" ht="12.75" hidden="false" customHeight="true" outlineLevel="0" collapsed="false">
      <c r="A126" s="10" t="s">
        <v>56</v>
      </c>
      <c r="B126" s="8" t="n">
        <f aca="false">E89</f>
        <v>90.832</v>
      </c>
      <c r="C126" s="8" t="n">
        <v>12</v>
      </c>
      <c r="D126" s="8" t="n">
        <f aca="false">B126*C126/$C$132</f>
        <v>8.32048854961832</v>
      </c>
    </row>
    <row r="127" customFormat="false" ht="12.75" hidden="false" customHeight="true" outlineLevel="0" collapsed="false">
      <c r="A127" s="9" t="s">
        <v>57</v>
      </c>
      <c r="B127" s="8" t="n">
        <f aca="false">N89</f>
        <v>45.353</v>
      </c>
      <c r="C127" s="8" t="n">
        <v>12</v>
      </c>
      <c r="D127" s="8" t="n">
        <f aca="false">B127*C127/$C$132</f>
        <v>4.15447328244275</v>
      </c>
    </row>
    <row r="128" customFormat="false" ht="12.75" hidden="false" customHeight="true" outlineLevel="0" collapsed="false">
      <c r="A128" s="10" t="s">
        <v>58</v>
      </c>
      <c r="B128" s="8" t="n">
        <f aca="false">E102</f>
        <v>47.23</v>
      </c>
      <c r="C128" s="8" t="n">
        <v>13</v>
      </c>
      <c r="D128" s="8" t="n">
        <f aca="false">B128*C128/$C$132</f>
        <v>4.6869465648855</v>
      </c>
    </row>
    <row r="129" customFormat="false" ht="12.75" hidden="false" customHeight="true" outlineLevel="0" collapsed="false">
      <c r="A129" s="9" t="s">
        <v>59</v>
      </c>
      <c r="B129" s="8" t="n">
        <f aca="false">N102</f>
        <v>150.12</v>
      </c>
      <c r="C129" s="8" t="n">
        <v>10</v>
      </c>
      <c r="D129" s="8" t="n">
        <f aca="false">B129*C129/$C$132</f>
        <v>11.4595419847328</v>
      </c>
    </row>
    <row r="130" customFormat="false" ht="12.75" hidden="false" customHeight="true" outlineLevel="0" collapsed="false">
      <c r="A130" s="11" t="s">
        <v>60</v>
      </c>
      <c r="B130" s="8" t="n">
        <f aca="false">E115</f>
        <v>107.863</v>
      </c>
      <c r="C130" s="8" t="n">
        <v>10</v>
      </c>
      <c r="D130" s="8" t="n">
        <f aca="false">B130*C130/$C$132</f>
        <v>8.23381679389313</v>
      </c>
    </row>
    <row r="131" customFormat="false" ht="12.75" hidden="false" customHeight="true" outlineLevel="0" collapsed="false"/>
    <row r="132" customFormat="false" ht="12.75" hidden="false" customHeight="true" outlineLevel="0" collapsed="false">
      <c r="B132" s="8" t="s">
        <v>113</v>
      </c>
      <c r="C132" s="8" t="n">
        <f aca="false">SUM(C118:C130)</f>
        <v>131</v>
      </c>
      <c r="D132" s="8" t="n">
        <f aca="false">SUM(D118:D130)</f>
        <v>59.4264267175573</v>
      </c>
    </row>
    <row r="133" customFormat="false" ht="12.75" hidden="false" customHeight="true" outlineLevel="0" collapsed="false"/>
    <row r="134" customFormat="false" ht="12.75" hidden="false" customHeight="true" outlineLevel="0" collapsed="false">
      <c r="A134" s="18" t="s">
        <v>114</v>
      </c>
      <c r="C134" s="8" t="s">
        <v>115</v>
      </c>
    </row>
    <row r="135" customFormat="false" ht="12.75" hidden="false" customHeight="true" outlineLevel="0" collapsed="false"/>
    <row r="136" customFormat="false" ht="12.75" hidden="false" customHeight="true" outlineLevel="0" collapsed="false">
      <c r="A136" s="8" t="s">
        <v>116</v>
      </c>
      <c r="B136" s="8" t="s">
        <v>104</v>
      </c>
      <c r="C136" s="8" t="s">
        <v>105</v>
      </c>
      <c r="D136" s="8" t="s">
        <v>117</v>
      </c>
    </row>
    <row r="137" customFormat="false" ht="12.75" hidden="false" customHeight="true" outlineLevel="0" collapsed="false">
      <c r="A137" s="8" t="n">
        <v>2</v>
      </c>
      <c r="B137" s="8" t="n">
        <v>0.1</v>
      </c>
      <c r="C137" s="13" t="n">
        <f aca="false">SUM(B137)</f>
        <v>0.1</v>
      </c>
      <c r="D137" s="8" t="n">
        <f aca="false">A137*B137</f>
        <v>0.2</v>
      </c>
    </row>
    <row r="138" customFormat="false" ht="12.75" hidden="false" customHeight="true" outlineLevel="0" collapsed="false">
      <c r="A138" s="8" t="n">
        <v>3</v>
      </c>
      <c r="B138" s="8" t="n">
        <v>0.26</v>
      </c>
      <c r="C138" s="13" t="n">
        <f aca="false">SUM($B$137:B138)</f>
        <v>0.36</v>
      </c>
      <c r="D138" s="8" t="n">
        <f aca="false">A138*B138</f>
        <v>0.78</v>
      </c>
    </row>
    <row r="139" customFormat="false" ht="12.75" hidden="false" customHeight="true" outlineLevel="0" collapsed="false">
      <c r="A139" s="8" t="n">
        <v>5</v>
      </c>
      <c r="B139" s="8" t="n">
        <v>0.4</v>
      </c>
      <c r="C139" s="13" t="n">
        <f aca="false">SUM($B$137:B139)</f>
        <v>0.76</v>
      </c>
      <c r="D139" s="8" t="n">
        <f aca="false">A139*B139</f>
        <v>2</v>
      </c>
    </row>
    <row r="140" customFormat="false" ht="12.75" hidden="false" customHeight="true" outlineLevel="0" collapsed="false">
      <c r="A140" s="8" t="n">
        <v>10</v>
      </c>
      <c r="B140" s="8" t="n">
        <v>0.1</v>
      </c>
      <c r="C140" s="13" t="n">
        <f aca="false">SUM($B$137:B140)</f>
        <v>0.86</v>
      </c>
      <c r="D140" s="8" t="n">
        <f aca="false">A140*B140</f>
        <v>1</v>
      </c>
    </row>
    <row r="141" customFormat="false" ht="12.75" hidden="false" customHeight="true" outlineLevel="0" collapsed="false">
      <c r="A141" s="8" t="n">
        <v>15</v>
      </c>
      <c r="B141" s="8" t="n">
        <v>0.05</v>
      </c>
      <c r="C141" s="13" t="n">
        <f aca="false">SUM($B$137:B141)</f>
        <v>0.91</v>
      </c>
      <c r="D141" s="8" t="n">
        <f aca="false">A141*B141</f>
        <v>0.75</v>
      </c>
    </row>
    <row r="142" customFormat="false" ht="12.75" hidden="false" customHeight="true" outlineLevel="0" collapsed="false">
      <c r="A142" s="8" t="n">
        <v>20</v>
      </c>
      <c r="B142" s="8" t="n">
        <v>0.05</v>
      </c>
      <c r="C142" s="13" t="n">
        <f aca="false">SUM($B$137:B142)</f>
        <v>0.96</v>
      </c>
      <c r="D142" s="8" t="n">
        <f aca="false">A142*B142</f>
        <v>1</v>
      </c>
    </row>
    <row r="143" customFormat="false" ht="12.75" hidden="false" customHeight="true" outlineLevel="0" collapsed="false">
      <c r="A143" s="8" t="n">
        <v>25</v>
      </c>
      <c r="B143" s="8" t="n">
        <v>0.04</v>
      </c>
      <c r="C143" s="13" t="n">
        <f aca="false">SUM($B$137:B143)</f>
        <v>1</v>
      </c>
      <c r="D143" s="8" t="n">
        <f aca="false">A143*B143</f>
        <v>1</v>
      </c>
    </row>
    <row r="144" customFormat="false" ht="12.75" hidden="false" customHeight="true" outlineLevel="0" collapsed="false"/>
    <row r="145" customFormat="false" ht="12.75" hidden="false" customHeight="true" outlineLevel="0" collapsed="false">
      <c r="C145" s="8" t="s">
        <v>118</v>
      </c>
      <c r="D145" s="8" t="n">
        <f aca="false">SUM(D137:D143)</f>
        <v>6.73</v>
      </c>
    </row>
    <row r="146" customFormat="false" ht="12.75" hidden="false" customHeight="true" outlineLevel="0" collapsed="false"/>
    <row r="147" customFormat="false" ht="12.75" hidden="false" customHeight="true" outlineLevel="0" collapsed="false">
      <c r="D147" s="8" t="s">
        <v>119</v>
      </c>
      <c r="E147" s="8" t="s">
        <v>120</v>
      </c>
      <c r="F147" s="8" t="s">
        <v>119</v>
      </c>
      <c r="G147" s="8" t="s">
        <v>120</v>
      </c>
      <c r="H147" s="8" t="s">
        <v>119</v>
      </c>
      <c r="I147" s="8" t="s">
        <v>120</v>
      </c>
      <c r="J147" s="8" t="s">
        <v>119</v>
      </c>
      <c r="K147" s="8" t="s">
        <v>120</v>
      </c>
      <c r="L147" s="8" t="s">
        <v>119</v>
      </c>
      <c r="M147" s="8" t="s">
        <v>120</v>
      </c>
      <c r="N147" s="8" t="s">
        <v>119</v>
      </c>
      <c r="O147" s="8" t="s">
        <v>120</v>
      </c>
      <c r="P147" s="8" t="s">
        <v>119</v>
      </c>
      <c r="Q147" s="8" t="s">
        <v>120</v>
      </c>
      <c r="R147" s="8" t="s">
        <v>119</v>
      </c>
      <c r="S147" s="8" t="s">
        <v>120</v>
      </c>
      <c r="T147" s="8" t="s">
        <v>119</v>
      </c>
      <c r="U147" s="8" t="s">
        <v>120</v>
      </c>
      <c r="V147" s="8" t="s">
        <v>119</v>
      </c>
      <c r="W147" s="8" t="s">
        <v>120</v>
      </c>
      <c r="X147" s="8" t="s">
        <v>119</v>
      </c>
      <c r="Y147" s="8" t="s">
        <v>120</v>
      </c>
      <c r="Z147" s="8" t="s">
        <v>119</v>
      </c>
      <c r="AA147" s="8" t="s">
        <v>120</v>
      </c>
      <c r="AB147" s="8" t="s">
        <v>119</v>
      </c>
      <c r="AC147" s="8" t="s">
        <v>120</v>
      </c>
      <c r="AD147" s="8" t="s">
        <v>119</v>
      </c>
      <c r="AE147" s="8" t="s">
        <v>120</v>
      </c>
    </row>
    <row r="148" customFormat="false" ht="12.75" hidden="false" customHeight="true" outlineLevel="0" collapsed="false">
      <c r="B148" s="8" t="s">
        <v>121</v>
      </c>
      <c r="C148" s="8" t="s">
        <v>122</v>
      </c>
      <c r="D148" s="14" t="s">
        <v>39</v>
      </c>
      <c r="E148" s="14" t="s">
        <v>39</v>
      </c>
      <c r="F148" s="10" t="s">
        <v>47</v>
      </c>
      <c r="G148" s="10" t="s">
        <v>47</v>
      </c>
      <c r="H148" s="9" t="s">
        <v>48</v>
      </c>
      <c r="I148" s="9" t="s">
        <v>48</v>
      </c>
      <c r="J148" s="10" t="s">
        <v>50</v>
      </c>
      <c r="K148" s="10" t="s">
        <v>50</v>
      </c>
      <c r="L148" s="9" t="s">
        <v>51</v>
      </c>
      <c r="M148" s="9" t="s">
        <v>51</v>
      </c>
      <c r="N148" s="10" t="s">
        <v>52</v>
      </c>
      <c r="O148" s="10" t="s">
        <v>52</v>
      </c>
      <c r="P148" s="9" t="s">
        <v>53</v>
      </c>
      <c r="Q148" s="9" t="s">
        <v>53</v>
      </c>
      <c r="R148" s="10" t="s">
        <v>54</v>
      </c>
      <c r="S148" s="10" t="s">
        <v>54</v>
      </c>
      <c r="T148" s="9" t="s">
        <v>55</v>
      </c>
      <c r="U148" s="9" t="s">
        <v>55</v>
      </c>
      <c r="V148" s="10" t="s">
        <v>56</v>
      </c>
      <c r="W148" s="10" t="s">
        <v>56</v>
      </c>
      <c r="X148" s="9" t="s">
        <v>57</v>
      </c>
      <c r="Y148" s="9" t="s">
        <v>57</v>
      </c>
      <c r="Z148" s="10" t="s">
        <v>58</v>
      </c>
      <c r="AA148" s="10" t="s">
        <v>58</v>
      </c>
      <c r="AB148" s="9" t="s">
        <v>59</v>
      </c>
      <c r="AC148" s="9" t="s">
        <v>59</v>
      </c>
      <c r="AD148" s="11" t="s">
        <v>60</v>
      </c>
      <c r="AE148" s="11" t="s">
        <v>60</v>
      </c>
    </row>
    <row r="149" customFormat="false" ht="12.75" hidden="false" customHeight="true" outlineLevel="0" collapsed="false">
      <c r="A149" s="8" t="s">
        <v>116</v>
      </c>
      <c r="B149" s="8" t="n">
        <f aca="false">D145</f>
        <v>6.73</v>
      </c>
      <c r="C149" s="8" t="n">
        <v>0.47</v>
      </c>
      <c r="D149" s="8" t="n">
        <f aca="false">C149/B149</f>
        <v>0.0698365527488856</v>
      </c>
      <c r="E149" s="8" t="n">
        <f aca="false">1/D149</f>
        <v>14.3191489361702</v>
      </c>
      <c r="F149" s="8" t="n">
        <f aca="false">N$3*$C$149/$C$152/$C$149*$D$149</f>
        <v>0.0863957353594461</v>
      </c>
      <c r="G149" s="8" t="n">
        <f aca="false">1/F149</f>
        <v>11.5746453900709</v>
      </c>
      <c r="H149" s="8" t="n">
        <f aca="false">S$3*$C$149/$C$152/$C$149*$D$149</f>
        <v>0.10079502458602</v>
      </c>
      <c r="I149" s="8" t="n">
        <f aca="false">1/H149</f>
        <v>9.92112462006079</v>
      </c>
      <c r="J149" s="8" t="n">
        <f aca="false">X$3*$C$149/$C$152/$C$149*$D$149</f>
        <v>0.107994669199308</v>
      </c>
      <c r="K149" s="8" t="n">
        <f aca="false">1/J149</f>
        <v>9.25971631205674</v>
      </c>
      <c r="L149" s="8" t="n">
        <f aca="false">AC$3*$C$149/$C$152/$C$149*$D$149</f>
        <v>0.0935953799727333</v>
      </c>
      <c r="M149" s="8" t="n">
        <f aca="false">1/L149</f>
        <v>10.6842880523732</v>
      </c>
      <c r="N149" s="8" t="n">
        <f aca="false">AH$3*$C$149/$C$152/$C$149*$D$149</f>
        <v>0.115194313812595</v>
      </c>
      <c r="O149" s="8" t="n">
        <f aca="false">1/N149</f>
        <v>8.68098404255319</v>
      </c>
      <c r="P149" s="8" t="n">
        <f aca="false">AM$3*$C$149/$C$152/$C$149*$D$149</f>
        <v>0.129593603039169</v>
      </c>
      <c r="Q149" s="8" t="n">
        <f aca="false">1/P149</f>
        <v>7.71643026004728</v>
      </c>
      <c r="R149" s="8" t="n">
        <f aca="false">AR$3*$C$149/$C$152/$C$149*$D$149</f>
        <v>0.136793247652456</v>
      </c>
      <c r="S149" s="8" t="n">
        <f aca="false">1/R149</f>
        <v>7.31030235162374</v>
      </c>
      <c r="T149" s="8" t="n">
        <f aca="false">AW$3*$C$149/$C$152/$C$149*$D$149</f>
        <v>0.143992892265743</v>
      </c>
      <c r="U149" s="8" t="n">
        <f aca="false">1/T149</f>
        <v>6.94478723404255</v>
      </c>
      <c r="V149" s="8" t="n">
        <f aca="false">BB$3*$C$149/$C$152/$C$149*$D$149</f>
        <v>0.115194313812595</v>
      </c>
      <c r="W149" s="8" t="n">
        <f aca="false">1/V149</f>
        <v>8.68098404255319</v>
      </c>
      <c r="X149" s="8" t="n">
        <f aca="false">BG$3*$C$149/$C$152/$C$149*$D$149</f>
        <v>0.136793247652456</v>
      </c>
      <c r="Y149" s="8" t="n">
        <f aca="false">1/X149</f>
        <v>7.31030235162374</v>
      </c>
      <c r="Z149" s="8" t="n">
        <f aca="false">BL$3*$C$149/$C$152/$C$149*$D$149</f>
        <v>0.143992892265743</v>
      </c>
      <c r="AA149" s="8" t="n">
        <f aca="false">1/Z149</f>
        <v>6.94478723404255</v>
      </c>
      <c r="AB149" s="8" t="n">
        <f aca="false">BQ$3*$C$149/$C$152/$C$149*$D$149</f>
        <v>0.143992892265743</v>
      </c>
      <c r="AC149" s="8" t="n">
        <f aca="false">1/AB149</f>
        <v>6.94478723404255</v>
      </c>
      <c r="AD149" s="8" t="n">
        <f aca="false">BV$3*$C$149/$C$152/$C$149*$D$149</f>
        <v>0.136793247652456</v>
      </c>
      <c r="AE149" s="8" t="n">
        <f aca="false">1/AD149</f>
        <v>7.31030235162374</v>
      </c>
    </row>
    <row r="150" customFormat="false" ht="12.75" hidden="false" customHeight="true" outlineLevel="0" collapsed="false">
      <c r="A150" s="8" t="s">
        <v>123</v>
      </c>
      <c r="B150" s="8" t="n">
        <v>150</v>
      </c>
      <c r="C150" s="8" t="n">
        <v>0.5</v>
      </c>
      <c r="D150" s="8" t="n">
        <f aca="false">C150/B150</f>
        <v>0.00333333333333333</v>
      </c>
      <c r="E150" s="8" t="n">
        <f aca="false">1/D150</f>
        <v>300</v>
      </c>
      <c r="F150" s="8" t="n">
        <f aca="false">N$3*$C$150/$C$152/$C$150*$D$150</f>
        <v>0.00412371134020619</v>
      </c>
      <c r="G150" s="8" t="n">
        <f aca="false">1/F150</f>
        <v>242.5</v>
      </c>
      <c r="H150" s="8" t="n">
        <f aca="false">S$3*$C$150/$C$152/$C$150*$D$150</f>
        <v>0.00481099656357388</v>
      </c>
      <c r="I150" s="8" t="n">
        <f aca="false">1/H150</f>
        <v>207.857142857143</v>
      </c>
      <c r="J150" s="8" t="n">
        <f aca="false">X$3*$C$150/$C$152/$C$150*$D$150</f>
        <v>0.00515463917525773</v>
      </c>
      <c r="K150" s="8" t="n">
        <f aca="false">1/J150</f>
        <v>194</v>
      </c>
      <c r="L150" s="8" t="n">
        <f aca="false">AC$3*$C$150/$C$152/$C$150*$D$150</f>
        <v>0.00446735395189003</v>
      </c>
      <c r="M150" s="8" t="n">
        <f aca="false">1/L150</f>
        <v>223.846153846154</v>
      </c>
      <c r="N150" s="8" t="n">
        <f aca="false">AH$3*$C$150/$C$152/$C$150*$D$150</f>
        <v>0.00549828178694158</v>
      </c>
      <c r="O150" s="8" t="n">
        <f aca="false">1/N150</f>
        <v>181.875</v>
      </c>
      <c r="P150" s="8" t="n">
        <f aca="false">AM$3*$C$150/$C$152/$C$150*$D$150</f>
        <v>0.00618556701030928</v>
      </c>
      <c r="Q150" s="8" t="n">
        <f aca="false">1/P150</f>
        <v>161.666666666667</v>
      </c>
      <c r="R150" s="8" t="n">
        <f aca="false">AR$3*$C$150/$C$152/$C$150*$D$150</f>
        <v>0.00652920962199313</v>
      </c>
      <c r="S150" s="8" t="n">
        <f aca="false">1/R150</f>
        <v>153.157894736842</v>
      </c>
      <c r="T150" s="8" t="n">
        <f aca="false">AW$3*$C$150/$C$152/$C$150*$D$150</f>
        <v>0.00687285223367698</v>
      </c>
      <c r="U150" s="8" t="n">
        <f aca="false">1/T150</f>
        <v>145.5</v>
      </c>
      <c r="V150" s="8" t="n">
        <f aca="false">BB$3*$C$150/$C$152/$C$150*$D$150</f>
        <v>0.00549828178694158</v>
      </c>
      <c r="W150" s="8" t="n">
        <f aca="false">1/V150</f>
        <v>181.875</v>
      </c>
      <c r="X150" s="8" t="n">
        <f aca="false">BG$3*$C$150/$C$152/$C$150*$D$150</f>
        <v>0.00652920962199313</v>
      </c>
      <c r="Y150" s="8" t="n">
        <f aca="false">1/X150</f>
        <v>153.157894736842</v>
      </c>
      <c r="Z150" s="8" t="n">
        <f aca="false">BL$3*$C$150/$C$152/$C$150*$D$150</f>
        <v>0.00687285223367698</v>
      </c>
      <c r="AA150" s="8" t="n">
        <f aca="false">1/Z150</f>
        <v>145.5</v>
      </c>
      <c r="AB150" s="8" t="n">
        <f aca="false">BQ$3*$C$150/$C$152/$C$150*$D$150</f>
        <v>0.00687285223367698</v>
      </c>
      <c r="AC150" s="8" t="n">
        <f aca="false">1/AB150</f>
        <v>145.5</v>
      </c>
      <c r="AD150" s="8" t="n">
        <f aca="false">BV$3*$C$150/$C$152/$C$150*$D$150</f>
        <v>0.00652920962199313</v>
      </c>
      <c r="AE150" s="8" t="n">
        <f aca="false">1/AD150</f>
        <v>153.157894736842</v>
      </c>
    </row>
    <row r="151" customFormat="false" ht="12.75" hidden="false" customHeight="true" outlineLevel="0" collapsed="false"/>
    <row r="152" customFormat="false" ht="12.75" hidden="false" customHeight="true" outlineLevel="0" collapsed="false">
      <c r="B152" s="8" t="s">
        <v>124</v>
      </c>
      <c r="C152" s="8" t="n">
        <f aca="false">C149+C150</f>
        <v>0.97</v>
      </c>
      <c r="F152" s="8" t="n">
        <f aca="false">B149*F149+B150*F150</f>
        <v>1.2</v>
      </c>
      <c r="I152" s="8" t="n">
        <f aca="false">B149*H149+B150*H150</f>
        <v>1.4</v>
      </c>
      <c r="K152" s="8" t="n">
        <f aca="false">B149*J149+B150*J150</f>
        <v>1.5</v>
      </c>
      <c r="M152" s="8" t="n">
        <f aca="false">B149*L149+B150*L150</f>
        <v>1.3</v>
      </c>
      <c r="O152" s="8" t="n">
        <f aca="false">B149*N149+B150*N150</f>
        <v>1.6</v>
      </c>
      <c r="Q152" s="8" t="n">
        <f aca="false">B149*P149+B150*P150</f>
        <v>1.8</v>
      </c>
      <c r="S152" s="8" t="n">
        <f aca="false">B149*R149+B150*R150</f>
        <v>1.9</v>
      </c>
      <c r="U152" s="8" t="n">
        <f aca="false">B149*T149+B150*T150</f>
        <v>2</v>
      </c>
      <c r="W152" s="8" t="n">
        <f aca="false">B149*V149+B150*V150</f>
        <v>1.6</v>
      </c>
      <c r="Y152" s="8" t="n">
        <f aca="false">B149*X149+B150*X150</f>
        <v>1.9</v>
      </c>
      <c r="AA152" s="8" t="n">
        <f aca="false">B149*Z149+B150*Z150</f>
        <v>2</v>
      </c>
      <c r="AC152" s="8" t="n">
        <f aca="false">B149*AB149+B150*AB150</f>
        <v>2</v>
      </c>
      <c r="AE152" s="8" t="n">
        <f aca="false">B149*AD149+B150*AD150</f>
        <v>1.9</v>
      </c>
    </row>
    <row r="153" customFormat="false" ht="12.75" hidden="false" customHeight="true" outlineLevel="0" collapsed="false"/>
    <row r="154" customFormat="false" ht="12.75" hidden="false" customHeight="true" outlineLevel="0" collapsed="false">
      <c r="A154" s="18" t="s">
        <v>125</v>
      </c>
    </row>
    <row r="155" customFormat="false" ht="12.75" hidden="false" customHeight="true" outlineLevel="0" collapsed="false">
      <c r="A155" s="8" t="s">
        <v>126</v>
      </c>
      <c r="B155" s="8" t="s">
        <v>127</v>
      </c>
      <c r="C155" s="8" t="s">
        <v>128</v>
      </c>
      <c r="D155" s="8" t="s">
        <v>129</v>
      </c>
      <c r="E155" s="8" t="s">
        <v>130</v>
      </c>
      <c r="F155" s="8" t="s">
        <v>131</v>
      </c>
      <c r="G155" s="8" t="s">
        <v>132</v>
      </c>
      <c r="H155" s="8" t="s">
        <v>133</v>
      </c>
    </row>
    <row r="156" customFormat="false" ht="12.75" hidden="false" customHeight="true" outlineLevel="0" collapsed="false">
      <c r="A156" s="8" t="s">
        <v>134</v>
      </c>
      <c r="B156" s="8" t="n">
        <v>3</v>
      </c>
      <c r="C156" s="8" t="n">
        <v>20</v>
      </c>
      <c r="D156" s="8" t="n">
        <f aca="false">D270</f>
        <v>60.9016125</v>
      </c>
      <c r="E156" s="13" t="n">
        <v>0.04</v>
      </c>
      <c r="F156" s="8" t="n">
        <f aca="false">E156/(C156+D156)</f>
        <v>0.000494427722315176</v>
      </c>
      <c r="G156" s="8" t="n">
        <f aca="false">F156*B156</f>
        <v>0.00148328316694553</v>
      </c>
      <c r="H156" s="8" t="n">
        <f aca="false">1/G156</f>
        <v>674.180104166667</v>
      </c>
    </row>
    <row r="157" customFormat="false" ht="12.75" hidden="false" customHeight="true" outlineLevel="0" collapsed="false">
      <c r="A157" s="8" t="s">
        <v>135</v>
      </c>
      <c r="B157" s="8" t="n">
        <v>3</v>
      </c>
      <c r="C157" s="8" t="n">
        <v>50</v>
      </c>
      <c r="D157" s="8" t="n">
        <f aca="false">D380</f>
        <v>88.5898882882883</v>
      </c>
      <c r="E157" s="8" t="n">
        <v>0.05</v>
      </c>
      <c r="F157" s="8" t="n">
        <f aca="false">E157/(C157+D157)</f>
        <v>0.000360776681600264</v>
      </c>
      <c r="G157" s="8" t="n">
        <f aca="false">F157*B157</f>
        <v>0.00108233004480079</v>
      </c>
      <c r="H157" s="8" t="n">
        <f aca="false">1/G157</f>
        <v>923.932588588588</v>
      </c>
    </row>
    <row r="158" customFormat="false" ht="12.75" hidden="false" customHeight="true" outlineLevel="0" collapsed="false">
      <c r="A158" s="8" t="s">
        <v>136</v>
      </c>
      <c r="B158" s="8" t="n">
        <v>3</v>
      </c>
      <c r="C158" s="8" t="n">
        <v>150</v>
      </c>
      <c r="D158" s="8" t="n">
        <f aca="false">D490</f>
        <v>153.619797468354</v>
      </c>
      <c r="E158" s="13" t="n">
        <v>0.06</v>
      </c>
      <c r="F158" s="8" t="n">
        <f aca="false">E158/(C158+D158)</f>
        <v>0.000197615572173793</v>
      </c>
      <c r="G158" s="8" t="n">
        <f aca="false">F158*B158</f>
        <v>0.000592846716521379</v>
      </c>
      <c r="H158" s="8" t="n">
        <f aca="false">1/G158</f>
        <v>1686.77665260197</v>
      </c>
    </row>
    <row r="159" customFormat="false" ht="12.75" hidden="false" customHeight="true" outlineLevel="0" collapsed="false"/>
    <row r="160" customFormat="false" ht="12.75" hidden="false" customHeight="true" outlineLevel="0" collapsed="false">
      <c r="D160" s="8" t="s">
        <v>137</v>
      </c>
      <c r="E160" s="8" t="n">
        <f aca="false">SUM(E156:E158)</f>
        <v>0.15</v>
      </c>
    </row>
    <row r="161" customFormat="false" ht="12.75" hidden="false" customHeight="true" outlineLevel="0" collapsed="false"/>
    <row r="162" customFormat="false" ht="12.75" hidden="false" customHeight="true" outlineLevel="0" collapsed="false">
      <c r="A162" s="16" t="s">
        <v>138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</row>
    <row r="163" customFormat="false" ht="12.75" hidden="false" customHeight="true" outlineLevel="0" collapsed="false"/>
    <row r="164" customFormat="false" ht="12.75" hidden="false" customHeight="true" outlineLevel="0" collapsed="false">
      <c r="A164" s="10" t="s">
        <v>47</v>
      </c>
      <c r="G164" s="9" t="s">
        <v>48</v>
      </c>
    </row>
    <row r="165" customFormat="false" ht="12.75" hidden="false" customHeight="true" outlineLevel="0" collapsed="false">
      <c r="A165" s="8" t="s">
        <v>102</v>
      </c>
      <c r="B165" s="8" t="n">
        <f aca="false">$P$3</f>
        <v>1.2</v>
      </c>
      <c r="G165" s="8" t="s">
        <v>102</v>
      </c>
      <c r="H165" s="8" t="n">
        <f aca="false">U3</f>
        <v>1.4</v>
      </c>
    </row>
    <row r="166" customFormat="false" ht="12.75" hidden="false" customHeight="true" outlineLevel="0" collapsed="false">
      <c r="A166" s="8" t="s">
        <v>103</v>
      </c>
      <c r="B166" s="8" t="s">
        <v>104</v>
      </c>
      <c r="C166" s="8" t="s">
        <v>105</v>
      </c>
      <c r="D166" s="8" t="s">
        <v>106</v>
      </c>
      <c r="E166" s="8" t="s">
        <v>107</v>
      </c>
      <c r="G166" s="8" t="s">
        <v>103</v>
      </c>
      <c r="H166" s="8" t="s">
        <v>104</v>
      </c>
      <c r="I166" s="8" t="s">
        <v>105</v>
      </c>
      <c r="J166" s="8" t="s">
        <v>106</v>
      </c>
      <c r="K166" s="8" t="s">
        <v>107</v>
      </c>
    </row>
    <row r="167" customFormat="false" ht="12.75" hidden="false" customHeight="true" outlineLevel="0" collapsed="false">
      <c r="A167" s="8" t="n">
        <v>30</v>
      </c>
      <c r="B167" s="8" t="n">
        <v>0.7</v>
      </c>
      <c r="C167" s="13" t="n">
        <f aca="false">SUM(B$167:B167)</f>
        <v>0.7</v>
      </c>
      <c r="D167" s="8" t="n">
        <f aca="false">A167*B$165</f>
        <v>36</v>
      </c>
      <c r="E167" s="8" t="n">
        <f aca="false">B167*D167</f>
        <v>25.2</v>
      </c>
      <c r="G167" s="8" t="n">
        <v>30</v>
      </c>
      <c r="H167" s="8" t="n">
        <v>0.7</v>
      </c>
      <c r="I167" s="13" t="n">
        <f aca="false">SUM(H$167:H167)</f>
        <v>0.7</v>
      </c>
      <c r="J167" s="8" t="n">
        <f aca="false">G167*H$165</f>
        <v>42</v>
      </c>
      <c r="K167" s="8" t="n">
        <f aca="false">H167*J167</f>
        <v>29.4</v>
      </c>
    </row>
    <row r="168" customFormat="false" ht="12.75" hidden="false" customHeight="true" outlineLevel="0" collapsed="false">
      <c r="A168" s="8" t="n">
        <v>40</v>
      </c>
      <c r="B168" s="8" t="n">
        <v>0.2</v>
      </c>
      <c r="C168" s="13" t="n">
        <f aca="false">SUM(B$167:B168)</f>
        <v>0.9</v>
      </c>
      <c r="D168" s="8" t="n">
        <f aca="false">A168*B$165</f>
        <v>48</v>
      </c>
      <c r="E168" s="8" t="n">
        <f aca="false">B168*D168</f>
        <v>9.6</v>
      </c>
      <c r="G168" s="8" t="n">
        <v>40</v>
      </c>
      <c r="H168" s="8" t="n">
        <v>0.21</v>
      </c>
      <c r="I168" s="13" t="n">
        <f aca="false">SUM(H$167:H168)</f>
        <v>0.91</v>
      </c>
      <c r="J168" s="8" t="n">
        <f aca="false">G168*H$165</f>
        <v>56</v>
      </c>
      <c r="K168" s="8" t="n">
        <f aca="false">H168*J168</f>
        <v>11.76</v>
      </c>
    </row>
    <row r="169" customFormat="false" ht="12.75" hidden="false" customHeight="true" outlineLevel="0" collapsed="false">
      <c r="A169" s="8" t="n">
        <v>50</v>
      </c>
      <c r="B169" s="8" t="n">
        <v>0.07</v>
      </c>
      <c r="C169" s="13" t="n">
        <f aca="false">SUM(B$167:B169)</f>
        <v>0.97</v>
      </c>
      <c r="D169" s="8" t="n">
        <f aca="false">A169*B$165</f>
        <v>60</v>
      </c>
      <c r="E169" s="8" t="n">
        <f aca="false">B169*D169</f>
        <v>4.2</v>
      </c>
      <c r="G169" s="8" t="n">
        <v>50</v>
      </c>
      <c r="H169" s="8" t="n">
        <v>0.07</v>
      </c>
      <c r="I169" s="13" t="n">
        <f aca="false">SUM(H$167:H169)</f>
        <v>0.98</v>
      </c>
      <c r="J169" s="8" t="n">
        <f aca="false">G169*H$165</f>
        <v>70</v>
      </c>
      <c r="K169" s="8" t="n">
        <f aca="false">H169*J169</f>
        <v>4.9</v>
      </c>
    </row>
    <row r="170" customFormat="false" ht="12.75" hidden="false" customHeight="true" outlineLevel="0" collapsed="false">
      <c r="A170" s="8" t="n">
        <v>60</v>
      </c>
      <c r="B170" s="8" t="n">
        <v>0.023</v>
      </c>
      <c r="C170" s="13" t="n">
        <f aca="false">SUM(B$167:B170)</f>
        <v>0.993</v>
      </c>
      <c r="D170" s="8" t="n">
        <f aca="false">A170*B$165</f>
        <v>72</v>
      </c>
      <c r="E170" s="8" t="n">
        <f aca="false">B170*D170</f>
        <v>1.656</v>
      </c>
      <c r="G170" s="8" t="n">
        <v>60</v>
      </c>
      <c r="H170" s="8" t="n">
        <v>0.015</v>
      </c>
      <c r="I170" s="13" t="n">
        <f aca="false">SUM(H$167:H170)</f>
        <v>0.995</v>
      </c>
      <c r="J170" s="8" t="n">
        <f aca="false">G170*H$165</f>
        <v>84</v>
      </c>
      <c r="K170" s="8" t="n">
        <f aca="false">H170*J170</f>
        <v>1.26</v>
      </c>
    </row>
    <row r="171" customFormat="false" ht="12.75" hidden="false" customHeight="true" outlineLevel="0" collapsed="false">
      <c r="A171" s="8" t="n">
        <v>70</v>
      </c>
      <c r="B171" s="8" t="n">
        <v>0.005</v>
      </c>
      <c r="C171" s="13" t="n">
        <f aca="false">SUM(B$167:B171)</f>
        <v>0.998</v>
      </c>
      <c r="D171" s="8" t="n">
        <f aca="false">A171*B$165</f>
        <v>84</v>
      </c>
      <c r="E171" s="8" t="n">
        <f aca="false">B171*D171</f>
        <v>0.42</v>
      </c>
      <c r="G171" s="8" t="n">
        <v>70</v>
      </c>
      <c r="H171" s="8" t="n">
        <v>0.003</v>
      </c>
      <c r="I171" s="13" t="n">
        <f aca="false">SUM(H$167:H171)</f>
        <v>0.998</v>
      </c>
      <c r="J171" s="8" t="n">
        <f aca="false">G171*H$165</f>
        <v>98</v>
      </c>
      <c r="K171" s="8" t="n">
        <f aca="false">H171*J171</f>
        <v>0.294</v>
      </c>
    </row>
    <row r="172" customFormat="false" ht="12.75" hidden="false" customHeight="true" outlineLevel="0" collapsed="false">
      <c r="A172" s="8" t="n">
        <v>80</v>
      </c>
      <c r="B172" s="8" t="n">
        <v>0.001</v>
      </c>
      <c r="C172" s="13" t="n">
        <f aca="false">SUM(B$167:B172)</f>
        <v>0.999</v>
      </c>
      <c r="D172" s="8" t="n">
        <f aca="false">A172*B$165</f>
        <v>96</v>
      </c>
      <c r="E172" s="8" t="n">
        <f aca="false">B172*D172</f>
        <v>0.096</v>
      </c>
      <c r="G172" s="8" t="n">
        <v>80</v>
      </c>
      <c r="H172" s="8" t="n">
        <v>0.001</v>
      </c>
      <c r="I172" s="13" t="n">
        <f aca="false">SUM(H$167:H172)</f>
        <v>0.999</v>
      </c>
      <c r="J172" s="8" t="n">
        <f aca="false">G172*H$165</f>
        <v>112</v>
      </c>
      <c r="K172" s="8" t="n">
        <f aca="false">H172*J172</f>
        <v>0.112</v>
      </c>
    </row>
    <row r="173" customFormat="false" ht="12.75" hidden="false" customHeight="true" outlineLevel="0" collapsed="false">
      <c r="A173" s="8" t="n">
        <v>100</v>
      </c>
      <c r="B173" s="8" t="n">
        <v>0.001</v>
      </c>
      <c r="C173" s="13" t="n">
        <f aca="false">SUM(B$167:B173)</f>
        <v>1</v>
      </c>
      <c r="D173" s="8" t="n">
        <f aca="false">A173*B$165</f>
        <v>120</v>
      </c>
      <c r="E173" s="8" t="n">
        <f aca="false">B173*D173</f>
        <v>0.12</v>
      </c>
      <c r="G173" s="8" t="n">
        <v>100</v>
      </c>
      <c r="H173" s="8" t="n">
        <v>0.001</v>
      </c>
      <c r="I173" s="13" t="n">
        <f aca="false">SUM(H$167:H173)</f>
        <v>1</v>
      </c>
      <c r="J173" s="8" t="n">
        <f aca="false">G173*H$165</f>
        <v>140</v>
      </c>
      <c r="K173" s="8" t="n">
        <f aca="false">H173*J173</f>
        <v>0.14</v>
      </c>
    </row>
    <row r="174" customFormat="false" ht="12.75" hidden="false" customHeight="true" outlineLevel="0" collapsed="false"/>
    <row r="175" customFormat="false" ht="12.75" hidden="false" customHeight="true" outlineLevel="0" collapsed="false">
      <c r="D175" s="8" t="s">
        <v>108</v>
      </c>
      <c r="E175" s="8" t="n">
        <f aca="false">SUM(E167:E173)</f>
        <v>41.292</v>
      </c>
      <c r="J175" s="8" t="s">
        <v>108</v>
      </c>
      <c r="K175" s="8" t="n">
        <f aca="false">SUM(K167:K173)</f>
        <v>47.866</v>
      </c>
    </row>
    <row r="176" customFormat="false" ht="12.75" hidden="false" customHeight="true" outlineLevel="0" collapsed="false"/>
    <row r="177" customFormat="false" ht="12.75" hidden="false" customHeight="true" outlineLevel="0" collapsed="false">
      <c r="A177" s="10" t="s">
        <v>50</v>
      </c>
      <c r="G177" s="9" t="s">
        <v>51</v>
      </c>
    </row>
    <row r="178" customFormat="false" ht="12.75" hidden="false" customHeight="true" outlineLevel="0" collapsed="false">
      <c r="A178" s="8" t="s">
        <v>102</v>
      </c>
      <c r="B178" s="8" t="n">
        <f aca="false">$Z$3</f>
        <v>7.5</v>
      </c>
      <c r="G178" s="8" t="s">
        <v>102</v>
      </c>
      <c r="H178" s="8" t="n">
        <f aca="false">AE3</f>
        <v>3.9</v>
      </c>
    </row>
    <row r="179" customFormat="false" ht="12.75" hidden="false" customHeight="true" outlineLevel="0" collapsed="false">
      <c r="A179" s="8" t="s">
        <v>103</v>
      </c>
      <c r="B179" s="8" t="s">
        <v>104</v>
      </c>
      <c r="C179" s="8" t="s">
        <v>105</v>
      </c>
      <c r="D179" s="8" t="s">
        <v>106</v>
      </c>
      <c r="E179" s="8" t="s">
        <v>107</v>
      </c>
      <c r="G179" s="8" t="s">
        <v>103</v>
      </c>
      <c r="H179" s="8" t="s">
        <v>104</v>
      </c>
      <c r="I179" s="8" t="s">
        <v>105</v>
      </c>
      <c r="J179" s="8" t="s">
        <v>106</v>
      </c>
      <c r="K179" s="8" t="s">
        <v>107</v>
      </c>
    </row>
    <row r="180" customFormat="false" ht="12.75" hidden="false" customHeight="true" outlineLevel="0" collapsed="false">
      <c r="A180" s="8" t="n">
        <v>7</v>
      </c>
      <c r="B180" s="8" t="n">
        <v>0.45</v>
      </c>
      <c r="C180" s="13" t="n">
        <f aca="false">SUM(B$180:B180)</f>
        <v>0.45</v>
      </c>
      <c r="D180" s="8" t="n">
        <f aca="false">A180*B$178</f>
        <v>52.5</v>
      </c>
      <c r="E180" s="8" t="n">
        <f aca="false">B180*D180</f>
        <v>23.625</v>
      </c>
      <c r="G180" s="8" t="n">
        <v>7</v>
      </c>
      <c r="H180" s="8" t="n">
        <v>0.46</v>
      </c>
      <c r="I180" s="13" t="n">
        <f aca="false">SUM(H$180:H180)</f>
        <v>0.46</v>
      </c>
      <c r="J180" s="8" t="n">
        <f aca="false">G180*H$178</f>
        <v>27.3</v>
      </c>
      <c r="K180" s="8" t="n">
        <f aca="false">H180*J180</f>
        <v>12.558</v>
      </c>
    </row>
    <row r="181" customFormat="false" ht="12.75" hidden="false" customHeight="true" outlineLevel="0" collapsed="false">
      <c r="A181" s="8" t="n">
        <v>8</v>
      </c>
      <c r="B181" s="8" t="n">
        <v>0.3</v>
      </c>
      <c r="C181" s="13" t="n">
        <f aca="false">SUM(B$180:B181)</f>
        <v>0.75</v>
      </c>
      <c r="D181" s="8" t="n">
        <f aca="false">A181*B$178</f>
        <v>60</v>
      </c>
      <c r="E181" s="8" t="n">
        <f aca="false">B181*D181</f>
        <v>18</v>
      </c>
      <c r="G181" s="8" t="n">
        <v>8</v>
      </c>
      <c r="H181" s="8" t="n">
        <v>0.3</v>
      </c>
      <c r="I181" s="13" t="n">
        <f aca="false">SUM(H$180:H181)</f>
        <v>0.76</v>
      </c>
      <c r="J181" s="8" t="n">
        <f aca="false">G181*H$178</f>
        <v>31.2</v>
      </c>
      <c r="K181" s="8" t="n">
        <f aca="false">H181*J181</f>
        <v>9.36</v>
      </c>
    </row>
    <row r="182" customFormat="false" ht="12.75" hidden="false" customHeight="true" outlineLevel="0" collapsed="false">
      <c r="A182" s="8" t="n">
        <v>10</v>
      </c>
      <c r="B182" s="8" t="n">
        <v>0.2</v>
      </c>
      <c r="C182" s="13" t="n">
        <f aca="false">SUM(B$180:B182)</f>
        <v>0.95</v>
      </c>
      <c r="D182" s="8" t="n">
        <f aca="false">A182*B$178</f>
        <v>75</v>
      </c>
      <c r="E182" s="8" t="n">
        <f aca="false">B182*D182</f>
        <v>15</v>
      </c>
      <c r="G182" s="8" t="n">
        <v>10</v>
      </c>
      <c r="H182" s="8" t="n">
        <v>0.2</v>
      </c>
      <c r="I182" s="13" t="n">
        <f aca="false">SUM(H$180:H182)</f>
        <v>0.96</v>
      </c>
      <c r="J182" s="8" t="n">
        <f aca="false">G182*H$178</f>
        <v>39</v>
      </c>
      <c r="K182" s="8" t="n">
        <f aca="false">H182*J182</f>
        <v>7.8</v>
      </c>
    </row>
    <row r="183" customFormat="false" ht="12.75" hidden="false" customHeight="true" outlineLevel="0" collapsed="false">
      <c r="A183" s="8" t="n">
        <v>12</v>
      </c>
      <c r="B183" s="8" t="n">
        <v>0.033</v>
      </c>
      <c r="C183" s="13" t="n">
        <f aca="false">SUM(B$180:B183)</f>
        <v>0.983</v>
      </c>
      <c r="D183" s="8" t="n">
        <f aca="false">A183*B$178</f>
        <v>90</v>
      </c>
      <c r="E183" s="8" t="n">
        <f aca="false">B183*D183</f>
        <v>2.97</v>
      </c>
      <c r="G183" s="8" t="n">
        <v>12</v>
      </c>
      <c r="H183" s="8" t="n">
        <v>0.023</v>
      </c>
      <c r="I183" s="13" t="n">
        <f aca="false">SUM(H$180:H183)</f>
        <v>0.983</v>
      </c>
      <c r="J183" s="8" t="n">
        <f aca="false">G183*H$178</f>
        <v>46.8</v>
      </c>
      <c r="K183" s="8" t="n">
        <f aca="false">H183*J183</f>
        <v>1.0764</v>
      </c>
    </row>
    <row r="184" customFormat="false" ht="12.75" hidden="false" customHeight="true" outlineLevel="0" collapsed="false">
      <c r="A184" s="8" t="n">
        <v>15</v>
      </c>
      <c r="B184" s="8" t="n">
        <v>0.015</v>
      </c>
      <c r="C184" s="13" t="n">
        <f aca="false">SUM(B$180:B184)</f>
        <v>0.998</v>
      </c>
      <c r="D184" s="8" t="n">
        <f aca="false">A184*B$178</f>
        <v>112.5</v>
      </c>
      <c r="E184" s="8" t="n">
        <f aca="false">B184*D184</f>
        <v>1.6875</v>
      </c>
      <c r="G184" s="8" t="n">
        <v>15</v>
      </c>
      <c r="H184" s="8" t="n">
        <v>0.015</v>
      </c>
      <c r="I184" s="13" t="n">
        <f aca="false">SUM(H$180:H184)</f>
        <v>0.998</v>
      </c>
      <c r="J184" s="8" t="n">
        <f aca="false">G184*H$178</f>
        <v>58.5</v>
      </c>
      <c r="K184" s="8" t="n">
        <f aca="false">H184*J184</f>
        <v>0.8775</v>
      </c>
    </row>
    <row r="185" customFormat="false" ht="12.75" hidden="false" customHeight="true" outlineLevel="0" collapsed="false">
      <c r="A185" s="8" t="n">
        <v>18</v>
      </c>
      <c r="B185" s="8" t="n">
        <v>0.001</v>
      </c>
      <c r="C185" s="13" t="n">
        <f aca="false">SUM(B$180:B185)</f>
        <v>0.999</v>
      </c>
      <c r="D185" s="8" t="n">
        <f aca="false">A185*B$178</f>
        <v>135</v>
      </c>
      <c r="E185" s="8" t="n">
        <f aca="false">B185*D185</f>
        <v>0.135</v>
      </c>
      <c r="G185" s="8" t="n">
        <v>18</v>
      </c>
      <c r="H185" s="8" t="n">
        <v>0.001</v>
      </c>
      <c r="I185" s="13" t="n">
        <f aca="false">SUM(H$180:H185)</f>
        <v>0.999</v>
      </c>
      <c r="J185" s="8" t="n">
        <f aca="false">G185*H$178</f>
        <v>70.2</v>
      </c>
      <c r="K185" s="8" t="n">
        <f aca="false">H185*J185</f>
        <v>0.0702</v>
      </c>
    </row>
    <row r="186" customFormat="false" ht="12.75" hidden="false" customHeight="true" outlineLevel="0" collapsed="false">
      <c r="A186" s="8" t="n">
        <v>20</v>
      </c>
      <c r="B186" s="8" t="n">
        <v>0.001</v>
      </c>
      <c r="C186" s="13" t="n">
        <f aca="false">SUM(B$180:B186)</f>
        <v>1</v>
      </c>
      <c r="D186" s="8" t="n">
        <f aca="false">A186*B$178</f>
        <v>150</v>
      </c>
      <c r="E186" s="8" t="n">
        <f aca="false">B186*D186</f>
        <v>0.15</v>
      </c>
      <c r="G186" s="8" t="n">
        <v>20</v>
      </c>
      <c r="H186" s="8" t="n">
        <v>0.001</v>
      </c>
      <c r="I186" s="13" t="n">
        <f aca="false">SUM(H$180:H186)</f>
        <v>1</v>
      </c>
      <c r="J186" s="8" t="n">
        <f aca="false">G186*H$178</f>
        <v>78</v>
      </c>
      <c r="K186" s="8" t="n">
        <f aca="false">H186*J186</f>
        <v>0.078</v>
      </c>
    </row>
    <row r="187" customFormat="false" ht="12.75" hidden="false" customHeight="true" outlineLevel="0" collapsed="false"/>
    <row r="188" customFormat="false" ht="12.75" hidden="false" customHeight="true" outlineLevel="0" collapsed="false">
      <c r="D188" s="8" t="s">
        <v>108</v>
      </c>
      <c r="E188" s="8" t="n">
        <f aca="false">SUM(E180:E186)</f>
        <v>61.5675</v>
      </c>
      <c r="J188" s="8" t="s">
        <v>108</v>
      </c>
      <c r="K188" s="8" t="n">
        <f aca="false">SUM(K180:K186)</f>
        <v>31.8201</v>
      </c>
    </row>
    <row r="189" customFormat="false" ht="12.75" hidden="false" customHeight="true" outlineLevel="0" collapsed="false"/>
    <row r="190" customFormat="false" ht="12.75" hidden="false" customHeight="true" outlineLevel="0" collapsed="false">
      <c r="A190" s="10" t="s">
        <v>52</v>
      </c>
      <c r="G190" s="9" t="s">
        <v>53</v>
      </c>
    </row>
    <row r="191" customFormat="false" ht="12.75" hidden="false" customHeight="true" outlineLevel="0" collapsed="false">
      <c r="A191" s="8" t="s">
        <v>102</v>
      </c>
      <c r="B191" s="8" t="n">
        <f aca="false">$AJ$3</f>
        <v>1.6</v>
      </c>
      <c r="G191" s="8" t="s">
        <v>102</v>
      </c>
      <c r="H191" s="8" t="n">
        <f aca="false">AO3</f>
        <v>1.8</v>
      </c>
    </row>
    <row r="192" customFormat="false" ht="12.75" hidden="false" customHeight="true" outlineLevel="0" collapsed="false">
      <c r="A192" s="8" t="s">
        <v>103</v>
      </c>
      <c r="B192" s="8" t="s">
        <v>104</v>
      </c>
      <c r="C192" s="8" t="s">
        <v>105</v>
      </c>
      <c r="D192" s="8" t="s">
        <v>106</v>
      </c>
      <c r="E192" s="8" t="s">
        <v>107</v>
      </c>
      <c r="G192" s="8" t="s">
        <v>103</v>
      </c>
      <c r="H192" s="8" t="s">
        <v>104</v>
      </c>
      <c r="I192" s="8" t="s">
        <v>105</v>
      </c>
      <c r="J192" s="8" t="s">
        <v>106</v>
      </c>
      <c r="K192" s="8" t="s">
        <v>107</v>
      </c>
    </row>
    <row r="193" customFormat="false" ht="12.75" hidden="false" customHeight="true" outlineLevel="0" collapsed="false">
      <c r="A193" s="8" t="n">
        <v>30</v>
      </c>
      <c r="B193" s="8" t="n">
        <v>0.63</v>
      </c>
      <c r="C193" s="13" t="n">
        <f aca="false">SUM(B$193:B193)</f>
        <v>0.63</v>
      </c>
      <c r="D193" s="8" t="n">
        <f aca="false">A193*B$191</f>
        <v>48</v>
      </c>
      <c r="E193" s="8" t="n">
        <f aca="false">B193*D193</f>
        <v>30.24</v>
      </c>
      <c r="G193" s="8" t="n">
        <v>30</v>
      </c>
      <c r="H193" s="8" t="n">
        <v>0.74</v>
      </c>
      <c r="I193" s="13" t="n">
        <f aca="false">SUM(H$193:H193)</f>
        <v>0.74</v>
      </c>
      <c r="J193" s="8" t="n">
        <f aca="false">G193*H$191</f>
        <v>54</v>
      </c>
      <c r="K193" s="8" t="n">
        <f aca="false">H193*J193</f>
        <v>39.96</v>
      </c>
    </row>
    <row r="194" customFormat="false" ht="12.75" hidden="false" customHeight="true" outlineLevel="0" collapsed="false">
      <c r="A194" s="8" t="n">
        <v>40</v>
      </c>
      <c r="B194" s="8" t="n">
        <v>0.24</v>
      </c>
      <c r="C194" s="13" t="n">
        <f aca="false">SUM(B$193:B194)</f>
        <v>0.87</v>
      </c>
      <c r="D194" s="8" t="n">
        <f aca="false">A194*B$191</f>
        <v>64</v>
      </c>
      <c r="E194" s="8" t="n">
        <f aca="false">B194*D194</f>
        <v>15.36</v>
      </c>
      <c r="G194" s="8" t="n">
        <v>40</v>
      </c>
      <c r="H194" s="8" t="n">
        <v>0.146</v>
      </c>
      <c r="I194" s="13" t="n">
        <f aca="false">SUM(H$193:H194)</f>
        <v>0.886</v>
      </c>
      <c r="J194" s="8" t="n">
        <f aca="false">G194*H$191</f>
        <v>72</v>
      </c>
      <c r="K194" s="8" t="n">
        <f aca="false">H194*J194</f>
        <v>10.512</v>
      </c>
    </row>
    <row r="195" customFormat="false" ht="12.75" hidden="false" customHeight="true" outlineLevel="0" collapsed="false">
      <c r="A195" s="8" t="n">
        <v>50</v>
      </c>
      <c r="B195" s="8" t="n">
        <v>0.1</v>
      </c>
      <c r="C195" s="13" t="n">
        <f aca="false">SUM(B$193:B195)</f>
        <v>0.97</v>
      </c>
      <c r="D195" s="8" t="n">
        <f aca="false">A195*B$191</f>
        <v>80</v>
      </c>
      <c r="E195" s="8" t="n">
        <f aca="false">B195*D195</f>
        <v>8</v>
      </c>
      <c r="G195" s="8" t="n">
        <v>50</v>
      </c>
      <c r="H195" s="8" t="n">
        <v>0.1</v>
      </c>
      <c r="I195" s="13" t="n">
        <f aca="false">SUM(H$193:H195)</f>
        <v>0.986</v>
      </c>
      <c r="J195" s="8" t="n">
        <f aca="false">G195*H$191</f>
        <v>90</v>
      </c>
      <c r="K195" s="8" t="n">
        <f aca="false">H195*J195</f>
        <v>9</v>
      </c>
    </row>
    <row r="196" customFormat="false" ht="12.75" hidden="false" customHeight="true" outlineLevel="0" collapsed="false">
      <c r="A196" s="8" t="n">
        <v>60</v>
      </c>
      <c r="B196" s="8" t="n">
        <v>0.023</v>
      </c>
      <c r="C196" s="13" t="n">
        <f aca="false">SUM(B$193:B196)</f>
        <v>0.993</v>
      </c>
      <c r="D196" s="8" t="n">
        <f aca="false">A196*B$191</f>
        <v>96</v>
      </c>
      <c r="E196" s="8" t="n">
        <f aca="false">B196*D196</f>
        <v>2.208</v>
      </c>
      <c r="G196" s="8" t="n">
        <v>60</v>
      </c>
      <c r="H196" s="8" t="n">
        <v>0.007</v>
      </c>
      <c r="I196" s="13" t="n">
        <f aca="false">SUM(H$193:H196)</f>
        <v>0.993</v>
      </c>
      <c r="J196" s="8" t="n">
        <f aca="false">G196*H$191</f>
        <v>108</v>
      </c>
      <c r="K196" s="8" t="n">
        <f aca="false">H196*J196</f>
        <v>0.756</v>
      </c>
    </row>
    <row r="197" customFormat="false" ht="12.75" hidden="false" customHeight="true" outlineLevel="0" collapsed="false">
      <c r="A197" s="8" t="n">
        <v>70</v>
      </c>
      <c r="B197" s="8" t="n">
        <v>0.005</v>
      </c>
      <c r="C197" s="13" t="n">
        <f aca="false">SUM(B$193:B197)</f>
        <v>0.998</v>
      </c>
      <c r="D197" s="8" t="n">
        <f aca="false">A197*B$191</f>
        <v>112</v>
      </c>
      <c r="E197" s="8" t="n">
        <f aca="false">B197*D197</f>
        <v>0.56</v>
      </c>
      <c r="G197" s="8" t="n">
        <v>70</v>
      </c>
      <c r="H197" s="8" t="n">
        <v>0.005</v>
      </c>
      <c r="I197" s="13" t="n">
        <f aca="false">SUM(H$193:H197)</f>
        <v>0.998</v>
      </c>
      <c r="J197" s="8" t="n">
        <f aca="false">G197*H$191</f>
        <v>126</v>
      </c>
      <c r="K197" s="8" t="n">
        <f aca="false">H197*J197</f>
        <v>0.63</v>
      </c>
    </row>
    <row r="198" customFormat="false" ht="12.75" hidden="false" customHeight="true" outlineLevel="0" collapsed="false">
      <c r="A198" s="8" t="n">
        <v>80</v>
      </c>
      <c r="B198" s="8" t="n">
        <v>0.001</v>
      </c>
      <c r="C198" s="13" t="n">
        <f aca="false">SUM(B$193:B198)</f>
        <v>0.999</v>
      </c>
      <c r="D198" s="8" t="n">
        <f aca="false">A198*B$191</f>
        <v>128</v>
      </c>
      <c r="E198" s="8" t="n">
        <f aca="false">B198*D198</f>
        <v>0.128</v>
      </c>
      <c r="G198" s="8" t="n">
        <v>80</v>
      </c>
      <c r="H198" s="8" t="n">
        <v>0.001</v>
      </c>
      <c r="I198" s="13" t="n">
        <f aca="false">SUM(H$193:H198)</f>
        <v>0.999</v>
      </c>
      <c r="J198" s="8" t="n">
        <f aca="false">G198*H$191</f>
        <v>144</v>
      </c>
      <c r="K198" s="8" t="n">
        <f aca="false">H198*J198</f>
        <v>0.144</v>
      </c>
    </row>
    <row r="199" customFormat="false" ht="12.75" hidden="false" customHeight="true" outlineLevel="0" collapsed="false">
      <c r="A199" s="8" t="n">
        <v>100</v>
      </c>
      <c r="B199" s="8" t="n">
        <v>0.001</v>
      </c>
      <c r="C199" s="13" t="n">
        <f aca="false">SUM(B$193:B199)</f>
        <v>1</v>
      </c>
      <c r="D199" s="8" t="n">
        <f aca="false">A199*B$191</f>
        <v>160</v>
      </c>
      <c r="E199" s="8" t="n">
        <f aca="false">B199*D199</f>
        <v>0.16</v>
      </c>
      <c r="G199" s="8" t="n">
        <v>100</v>
      </c>
      <c r="H199" s="19" t="n">
        <v>0.001</v>
      </c>
      <c r="I199" s="13" t="n">
        <f aca="false">SUM(H$193:H199)</f>
        <v>1</v>
      </c>
      <c r="J199" s="8" t="n">
        <f aca="false">G199*H$191</f>
        <v>180</v>
      </c>
      <c r="K199" s="8" t="n">
        <f aca="false">H199*J199</f>
        <v>0.18</v>
      </c>
    </row>
    <row r="200" customFormat="false" ht="12.75" hidden="false" customHeight="true" outlineLevel="0" collapsed="false"/>
    <row r="201" customFormat="false" ht="12.75" hidden="false" customHeight="true" outlineLevel="0" collapsed="false">
      <c r="D201" s="8" t="s">
        <v>108</v>
      </c>
      <c r="E201" s="8" t="n">
        <f aca="false">SUM(E193:E199)</f>
        <v>56.656</v>
      </c>
      <c r="J201" s="8" t="s">
        <v>108</v>
      </c>
      <c r="K201" s="8" t="n">
        <f aca="false">SUM(K193:K199)</f>
        <v>61.182</v>
      </c>
    </row>
    <row r="202" customFormat="false" ht="12.75" hidden="false" customHeight="true" outlineLevel="0" collapsed="false"/>
    <row r="203" customFormat="false" ht="12.75" hidden="false" customHeight="true" outlineLevel="0" collapsed="false">
      <c r="A203" s="10" t="s">
        <v>54</v>
      </c>
      <c r="G203" s="9" t="s">
        <v>55</v>
      </c>
    </row>
    <row r="204" customFormat="false" ht="12.75" hidden="false" customHeight="true" outlineLevel="0" collapsed="false">
      <c r="A204" s="8" t="s">
        <v>102</v>
      </c>
      <c r="B204" s="8" t="n">
        <f aca="false">$AT$3</f>
        <v>3.8</v>
      </c>
      <c r="G204" s="8" t="s">
        <v>102</v>
      </c>
      <c r="H204" s="8" t="n">
        <f aca="false">AY3</f>
        <v>10</v>
      </c>
    </row>
    <row r="205" customFormat="false" ht="12.75" hidden="false" customHeight="true" outlineLevel="0" collapsed="false">
      <c r="A205" s="8" t="s">
        <v>103</v>
      </c>
      <c r="B205" s="8" t="s">
        <v>104</v>
      </c>
      <c r="C205" s="8" t="s">
        <v>105</v>
      </c>
      <c r="D205" s="8" t="s">
        <v>106</v>
      </c>
      <c r="E205" s="8" t="s">
        <v>107</v>
      </c>
      <c r="G205" s="8" t="s">
        <v>103</v>
      </c>
      <c r="H205" s="8" t="s">
        <v>104</v>
      </c>
      <c r="I205" s="8" t="s">
        <v>105</v>
      </c>
      <c r="J205" s="8" t="s">
        <v>106</v>
      </c>
      <c r="K205" s="8" t="s">
        <v>107</v>
      </c>
    </row>
    <row r="206" customFormat="false" ht="12.75" hidden="false" customHeight="true" outlineLevel="0" collapsed="false">
      <c r="A206" s="8" t="n">
        <v>7</v>
      </c>
      <c r="B206" s="8" t="n">
        <v>0.442</v>
      </c>
      <c r="C206" s="13" t="n">
        <f aca="false">SUM(B$206:B206)</f>
        <v>0.442</v>
      </c>
      <c r="D206" s="8" t="n">
        <f aca="false">A206*B$204</f>
        <v>26.6</v>
      </c>
      <c r="E206" s="8" t="n">
        <f aca="false">B206*D206</f>
        <v>11.7572</v>
      </c>
      <c r="G206" s="8" t="n">
        <v>7</v>
      </c>
      <c r="H206" s="8" t="n">
        <v>0.718</v>
      </c>
      <c r="I206" s="13" t="n">
        <f aca="false">SUM(H$206:H206)</f>
        <v>0.718</v>
      </c>
      <c r="J206" s="8" t="n">
        <f aca="false">G206*H$204</f>
        <v>70</v>
      </c>
      <c r="K206" s="8" t="n">
        <f aca="false">H206*J206</f>
        <v>50.26</v>
      </c>
    </row>
    <row r="207" customFormat="false" ht="12.75" hidden="false" customHeight="true" outlineLevel="0" collapsed="false">
      <c r="A207" s="8" t="n">
        <v>8</v>
      </c>
      <c r="B207" s="8" t="n">
        <v>0.3</v>
      </c>
      <c r="C207" s="13" t="n">
        <f aca="false">SUM(B$206:B207)</f>
        <v>0.742</v>
      </c>
      <c r="D207" s="8" t="n">
        <f aca="false">A207*B$204</f>
        <v>30.4</v>
      </c>
      <c r="E207" s="8" t="n">
        <f aca="false">B207*D207</f>
        <v>9.12</v>
      </c>
      <c r="G207" s="8" t="n">
        <v>8</v>
      </c>
      <c r="H207" s="8" t="n">
        <v>0.172</v>
      </c>
      <c r="I207" s="13" t="n">
        <f aca="false">SUM(H$206:H207)</f>
        <v>0.89</v>
      </c>
      <c r="J207" s="8" t="n">
        <f aca="false">G207*H$204</f>
        <v>80</v>
      </c>
      <c r="K207" s="8" t="n">
        <f aca="false">H207*J207</f>
        <v>13.76</v>
      </c>
    </row>
    <row r="208" customFormat="false" ht="12.75" hidden="false" customHeight="true" outlineLevel="0" collapsed="false">
      <c r="A208" s="8" t="n">
        <v>10</v>
      </c>
      <c r="B208" s="8" t="n">
        <v>0.2</v>
      </c>
      <c r="C208" s="13" t="n">
        <f aca="false">SUM(B$206:B208)</f>
        <v>0.942</v>
      </c>
      <c r="D208" s="8" t="n">
        <f aca="false">A208*B$204</f>
        <v>38</v>
      </c>
      <c r="E208" s="8" t="n">
        <f aca="false">B208*D208</f>
        <v>7.6</v>
      </c>
      <c r="G208" s="8" t="n">
        <v>10</v>
      </c>
      <c r="H208" s="8" t="n">
        <v>0.1</v>
      </c>
      <c r="I208" s="13" t="n">
        <f aca="false">SUM(H$206:H208)</f>
        <v>0.99</v>
      </c>
      <c r="J208" s="8" t="n">
        <f aca="false">G208*H$204</f>
        <v>100</v>
      </c>
      <c r="K208" s="8" t="n">
        <f aca="false">H208*J208</f>
        <v>10</v>
      </c>
    </row>
    <row r="209" customFormat="false" ht="12.75" hidden="false" customHeight="true" outlineLevel="0" collapsed="false">
      <c r="A209" s="8" t="n">
        <v>12</v>
      </c>
      <c r="B209" s="8" t="n">
        <v>0.033</v>
      </c>
      <c r="C209" s="13" t="n">
        <f aca="false">SUM(B$206:B209)</f>
        <v>0.975</v>
      </c>
      <c r="D209" s="8" t="n">
        <f aca="false">A209*B$204</f>
        <v>45.6</v>
      </c>
      <c r="E209" s="8" t="n">
        <f aca="false">B209*D209</f>
        <v>1.5048</v>
      </c>
      <c r="G209" s="8" t="n">
        <v>12</v>
      </c>
      <c r="H209" s="8" t="n">
        <v>0.005</v>
      </c>
      <c r="I209" s="13" t="n">
        <f aca="false">SUM(H$206:H209)</f>
        <v>0.995</v>
      </c>
      <c r="J209" s="8" t="n">
        <f aca="false">G209*H$204</f>
        <v>120</v>
      </c>
      <c r="K209" s="8" t="n">
        <f aca="false">H209*J209</f>
        <v>0.6</v>
      </c>
    </row>
    <row r="210" customFormat="false" ht="12.75" hidden="false" customHeight="true" outlineLevel="0" collapsed="false">
      <c r="A210" s="8" t="n">
        <v>15</v>
      </c>
      <c r="B210" s="8" t="n">
        <v>0.015</v>
      </c>
      <c r="C210" s="13" t="n">
        <f aca="false">SUM(B$206:B210)</f>
        <v>0.99</v>
      </c>
      <c r="D210" s="8" t="n">
        <f aca="false">A210*B$204</f>
        <v>57</v>
      </c>
      <c r="E210" s="8" t="n">
        <f aca="false">B210*D210</f>
        <v>0.855</v>
      </c>
      <c r="G210" s="8" t="n">
        <v>15</v>
      </c>
      <c r="H210" s="8" t="n">
        <v>0.003</v>
      </c>
      <c r="I210" s="13" t="n">
        <f aca="false">SUM(H$206:H210)</f>
        <v>0.998</v>
      </c>
      <c r="J210" s="8" t="n">
        <f aca="false">G210*H$204</f>
        <v>150</v>
      </c>
      <c r="K210" s="8" t="n">
        <f aca="false">H210*J210</f>
        <v>0.45</v>
      </c>
    </row>
    <row r="211" customFormat="false" ht="12.75" hidden="false" customHeight="true" outlineLevel="0" collapsed="false">
      <c r="A211" s="8" t="n">
        <v>18</v>
      </c>
      <c r="B211" s="8" t="n">
        <v>0.005</v>
      </c>
      <c r="C211" s="13" t="n">
        <f aca="false">SUM(B$206:B211)</f>
        <v>0.995</v>
      </c>
      <c r="D211" s="8" t="n">
        <f aca="false">A211*B$204</f>
        <v>68.4</v>
      </c>
      <c r="E211" s="8" t="n">
        <f aca="false">B211*D211</f>
        <v>0.342</v>
      </c>
      <c r="G211" s="8" t="n">
        <v>18</v>
      </c>
      <c r="H211" s="8" t="n">
        <v>0.001</v>
      </c>
      <c r="I211" s="13" t="n">
        <f aca="false">SUM(H$206:H211)</f>
        <v>0.999</v>
      </c>
      <c r="J211" s="8" t="n">
        <f aca="false">G211*H$204</f>
        <v>180</v>
      </c>
      <c r="K211" s="8" t="n">
        <f aca="false">H211*J211</f>
        <v>0.18</v>
      </c>
    </row>
    <row r="212" customFormat="false" ht="12.75" hidden="false" customHeight="true" outlineLevel="0" collapsed="false">
      <c r="A212" s="8" t="n">
        <v>20</v>
      </c>
      <c r="B212" s="8" t="n">
        <v>0.005</v>
      </c>
      <c r="C212" s="13" t="n">
        <f aca="false">SUM(B$206:B212)</f>
        <v>1</v>
      </c>
      <c r="D212" s="8" t="n">
        <f aca="false">A212*B$204</f>
        <v>76</v>
      </c>
      <c r="E212" s="8" t="n">
        <f aca="false">B212*D212</f>
        <v>0.38</v>
      </c>
      <c r="G212" s="8" t="n">
        <v>20</v>
      </c>
      <c r="H212" s="8" t="n">
        <v>0.001</v>
      </c>
      <c r="I212" s="13" t="n">
        <f aca="false">SUM(H$206:H212)</f>
        <v>1</v>
      </c>
      <c r="J212" s="8" t="n">
        <f aca="false">G212*H$204</f>
        <v>200</v>
      </c>
      <c r="K212" s="8" t="n">
        <f aca="false">H212*J212</f>
        <v>0.2</v>
      </c>
    </row>
    <row r="213" customFormat="false" ht="12.75" hidden="false" customHeight="true" outlineLevel="0" collapsed="false"/>
    <row r="214" customFormat="false" ht="12.75" hidden="false" customHeight="true" outlineLevel="0" collapsed="false">
      <c r="D214" s="8" t="s">
        <v>108</v>
      </c>
      <c r="E214" s="8" t="n">
        <f aca="false">SUM(E206:E212)</f>
        <v>31.559</v>
      </c>
      <c r="J214" s="8" t="s">
        <v>108</v>
      </c>
      <c r="K214" s="8" t="n">
        <f aca="false">SUM(K206:K212)</f>
        <v>75.45</v>
      </c>
    </row>
    <row r="215" customFormat="false" ht="12.75" hidden="false" customHeight="true" outlineLevel="0" collapsed="false"/>
    <row r="216" customFormat="false" ht="12.75" hidden="false" customHeight="true" outlineLevel="0" collapsed="false">
      <c r="A216" s="10" t="s">
        <v>56</v>
      </c>
      <c r="G216" s="9" t="s">
        <v>57</v>
      </c>
    </row>
    <row r="217" customFormat="false" ht="12.75" hidden="false" customHeight="true" outlineLevel="0" collapsed="false">
      <c r="A217" s="8" t="s">
        <v>102</v>
      </c>
      <c r="B217" s="8" t="n">
        <f aca="false">$BD$3</f>
        <v>16</v>
      </c>
      <c r="G217" s="8" t="s">
        <v>102</v>
      </c>
      <c r="H217" s="8" t="n">
        <f aca="false">BI3</f>
        <v>1.9</v>
      </c>
    </row>
    <row r="218" customFormat="false" ht="12.75" hidden="false" customHeight="true" outlineLevel="0" collapsed="false">
      <c r="A218" s="8" t="s">
        <v>103</v>
      </c>
      <c r="B218" s="8" t="s">
        <v>104</v>
      </c>
      <c r="C218" s="8" t="s">
        <v>105</v>
      </c>
      <c r="D218" s="8" t="s">
        <v>106</v>
      </c>
      <c r="E218" s="8" t="s">
        <v>107</v>
      </c>
      <c r="G218" s="8" t="s">
        <v>103</v>
      </c>
      <c r="H218" s="8" t="s">
        <v>104</v>
      </c>
      <c r="I218" s="8" t="s">
        <v>105</v>
      </c>
      <c r="J218" s="8" t="s">
        <v>106</v>
      </c>
      <c r="K218" s="8" t="s">
        <v>107</v>
      </c>
    </row>
    <row r="219" customFormat="false" ht="12.75" hidden="false" customHeight="true" outlineLevel="0" collapsed="false">
      <c r="A219" s="8" t="n">
        <v>7</v>
      </c>
      <c r="B219" s="8" t="n">
        <v>0.84</v>
      </c>
      <c r="C219" s="13" t="n">
        <f aca="false">SUM(B$219:B219)</f>
        <v>0.84</v>
      </c>
      <c r="D219" s="8" t="n">
        <f aca="false">A219*B$217</f>
        <v>112</v>
      </c>
      <c r="E219" s="8" t="n">
        <f aca="false">B219*D219</f>
        <v>94.08</v>
      </c>
      <c r="G219" s="8" t="n">
        <v>30</v>
      </c>
      <c r="H219" s="8" t="n">
        <v>0.885</v>
      </c>
      <c r="I219" s="13" t="n">
        <f aca="false">SUM(H$219:H219)</f>
        <v>0.885</v>
      </c>
      <c r="J219" s="8" t="n">
        <f aca="false">G219*H$217</f>
        <v>57</v>
      </c>
      <c r="K219" s="8" t="n">
        <f aca="false">H219*J219</f>
        <v>50.445</v>
      </c>
    </row>
    <row r="220" customFormat="false" ht="12.75" hidden="false" customHeight="true" outlineLevel="0" collapsed="false">
      <c r="A220" s="8" t="n">
        <v>8</v>
      </c>
      <c r="B220" s="8" t="n">
        <v>0.1</v>
      </c>
      <c r="C220" s="13" t="n">
        <f aca="false">SUM(B$219:B220)</f>
        <v>0.94</v>
      </c>
      <c r="D220" s="8" t="n">
        <f aca="false">A220*B$217</f>
        <v>128</v>
      </c>
      <c r="E220" s="8" t="n">
        <f aca="false">B220*D220</f>
        <v>12.8</v>
      </c>
      <c r="G220" s="8" t="n">
        <v>40</v>
      </c>
      <c r="H220" s="8" t="n">
        <v>0.052</v>
      </c>
      <c r="I220" s="13" t="n">
        <f aca="false">SUM(H$219:H220)</f>
        <v>0.937</v>
      </c>
      <c r="J220" s="8" t="n">
        <f aca="false">G220*H$217</f>
        <v>76</v>
      </c>
      <c r="K220" s="8" t="n">
        <f aca="false">H220*J220</f>
        <v>3.952</v>
      </c>
    </row>
    <row r="221" customFormat="false" ht="12.75" hidden="false" customHeight="true" outlineLevel="0" collapsed="false">
      <c r="A221" s="8" t="n">
        <v>10</v>
      </c>
      <c r="B221" s="8" t="n">
        <v>0.05</v>
      </c>
      <c r="C221" s="13" t="n">
        <f aca="false">SUM(B$219:B221)</f>
        <v>0.99</v>
      </c>
      <c r="D221" s="8" t="n">
        <f aca="false">A221*B$217</f>
        <v>160</v>
      </c>
      <c r="E221" s="8" t="n">
        <f aca="false">B221*D221</f>
        <v>8</v>
      </c>
      <c r="G221" s="8" t="n">
        <v>50</v>
      </c>
      <c r="H221" s="8" t="n">
        <v>0.02</v>
      </c>
      <c r="I221" s="13" t="n">
        <f aca="false">SUM(H$219:H221)</f>
        <v>0.957</v>
      </c>
      <c r="J221" s="8" t="n">
        <f aca="false">G221*H$217</f>
        <v>95</v>
      </c>
      <c r="K221" s="8" t="n">
        <f aca="false">H221*J221</f>
        <v>1.9</v>
      </c>
    </row>
    <row r="222" customFormat="false" ht="12.75" hidden="false" customHeight="true" outlineLevel="0" collapsed="false">
      <c r="A222" s="8" t="n">
        <v>12</v>
      </c>
      <c r="B222" s="8" t="n">
        <v>0.005</v>
      </c>
      <c r="C222" s="13" t="n">
        <f aca="false">SUM(B$219:B222)</f>
        <v>0.995</v>
      </c>
      <c r="D222" s="8" t="n">
        <f aca="false">A222*B$217</f>
        <v>192</v>
      </c>
      <c r="E222" s="8" t="n">
        <f aca="false">B222*D222</f>
        <v>0.96</v>
      </c>
      <c r="G222" s="8" t="n">
        <v>60</v>
      </c>
      <c r="H222" s="8" t="n">
        <v>0.013</v>
      </c>
      <c r="I222" s="13" t="n">
        <f aca="false">SUM(H$219:H222)</f>
        <v>0.97</v>
      </c>
      <c r="J222" s="8" t="n">
        <f aca="false">G222*H$217</f>
        <v>114</v>
      </c>
      <c r="K222" s="8" t="n">
        <f aca="false">H222*J222</f>
        <v>1.482</v>
      </c>
    </row>
    <row r="223" customFormat="false" ht="12.75" hidden="false" customHeight="true" outlineLevel="0" collapsed="false">
      <c r="A223" s="8" t="n">
        <v>15</v>
      </c>
      <c r="B223" s="8" t="n">
        <v>0.003</v>
      </c>
      <c r="C223" s="13" t="n">
        <f aca="false">SUM(B$219:B223)</f>
        <v>0.998</v>
      </c>
      <c r="D223" s="8" t="n">
        <f aca="false">A223*B$217</f>
        <v>240</v>
      </c>
      <c r="E223" s="8" t="n">
        <f aca="false">B223*D223</f>
        <v>0.72</v>
      </c>
      <c r="G223" s="8" t="n">
        <v>70</v>
      </c>
      <c r="H223" s="8" t="n">
        <v>0.01</v>
      </c>
      <c r="I223" s="13" t="n">
        <f aca="false">SUM(H$219:H223)</f>
        <v>0.98</v>
      </c>
      <c r="J223" s="8" t="n">
        <f aca="false">G223*H$217</f>
        <v>133</v>
      </c>
      <c r="K223" s="8" t="n">
        <f aca="false">H223*J223</f>
        <v>1.33</v>
      </c>
    </row>
    <row r="224" customFormat="false" ht="12.75" hidden="false" customHeight="true" outlineLevel="0" collapsed="false">
      <c r="A224" s="8" t="n">
        <v>18</v>
      </c>
      <c r="B224" s="8" t="n">
        <v>0.001</v>
      </c>
      <c r="C224" s="13" t="n">
        <f aca="false">SUM(B$219:B224)</f>
        <v>0.999</v>
      </c>
      <c r="D224" s="8" t="n">
        <f aca="false">A224*B$217</f>
        <v>288</v>
      </c>
      <c r="E224" s="8" t="n">
        <f aca="false">B224*D224</f>
        <v>0.288</v>
      </c>
      <c r="G224" s="8" t="n">
        <v>80</v>
      </c>
      <c r="H224" s="8" t="n">
        <v>0.01</v>
      </c>
      <c r="I224" s="13" t="n">
        <f aca="false">SUM(H$219:H224)</f>
        <v>0.99</v>
      </c>
      <c r="J224" s="8" t="n">
        <f aca="false">G224*H$217</f>
        <v>152</v>
      </c>
      <c r="K224" s="8" t="n">
        <f aca="false">H224*J224</f>
        <v>1.52</v>
      </c>
    </row>
    <row r="225" customFormat="false" ht="12.75" hidden="false" customHeight="true" outlineLevel="0" collapsed="false">
      <c r="A225" s="8" t="n">
        <v>20</v>
      </c>
      <c r="B225" s="8" t="n">
        <v>0.001</v>
      </c>
      <c r="C225" s="13" t="n">
        <f aca="false">SUM(B$219:B225)</f>
        <v>1</v>
      </c>
      <c r="D225" s="8" t="n">
        <f aca="false">A225*B$217</f>
        <v>320</v>
      </c>
      <c r="E225" s="8" t="n">
        <f aca="false">B225*D225</f>
        <v>0.32</v>
      </c>
      <c r="G225" s="8" t="n">
        <v>100</v>
      </c>
      <c r="H225" s="8" t="n">
        <v>0.01</v>
      </c>
      <c r="I225" s="13" t="n">
        <f aca="false">SUM(H$219:H225)</f>
        <v>1</v>
      </c>
      <c r="J225" s="8" t="n">
        <f aca="false">G225*H$217</f>
        <v>190</v>
      </c>
      <c r="K225" s="8" t="n">
        <f aca="false">H225*J225</f>
        <v>1.9</v>
      </c>
    </row>
    <row r="226" customFormat="false" ht="12.75" hidden="false" customHeight="true" outlineLevel="0" collapsed="false"/>
    <row r="227" customFormat="false" ht="12.75" hidden="false" customHeight="true" outlineLevel="0" collapsed="false">
      <c r="D227" s="8" t="s">
        <v>108</v>
      </c>
      <c r="E227" s="8" t="n">
        <f aca="false">SUM(E219:E225)</f>
        <v>117.168</v>
      </c>
      <c r="J227" s="8" t="s">
        <v>108</v>
      </c>
      <c r="K227" s="8" t="n">
        <f aca="false">SUM(K219:K225)</f>
        <v>62.529</v>
      </c>
    </row>
    <row r="228" customFormat="false" ht="12.75" hidden="false" customHeight="true" outlineLevel="0" collapsed="false"/>
    <row r="229" customFormat="false" ht="12.75" hidden="false" customHeight="true" outlineLevel="0" collapsed="false">
      <c r="A229" s="10" t="s">
        <v>58</v>
      </c>
      <c r="G229" s="9" t="s">
        <v>59</v>
      </c>
    </row>
    <row r="230" customFormat="false" ht="12.75" hidden="false" customHeight="true" outlineLevel="0" collapsed="false">
      <c r="A230" s="8" t="s">
        <v>102</v>
      </c>
      <c r="B230" s="8" t="n">
        <f aca="false">$BN$3</f>
        <v>2</v>
      </c>
      <c r="G230" s="8" t="s">
        <v>102</v>
      </c>
      <c r="H230" s="8" t="n">
        <f aca="false">BS3</f>
        <v>24</v>
      </c>
    </row>
    <row r="231" customFormat="false" ht="12.75" hidden="false" customHeight="true" outlineLevel="0" collapsed="false">
      <c r="A231" s="8" t="s">
        <v>103</v>
      </c>
      <c r="B231" s="8" t="s">
        <v>104</v>
      </c>
      <c r="C231" s="8" t="s">
        <v>105</v>
      </c>
      <c r="D231" s="8" t="s">
        <v>106</v>
      </c>
      <c r="E231" s="8" t="s">
        <v>107</v>
      </c>
      <c r="G231" s="8" t="s">
        <v>103</v>
      </c>
      <c r="H231" s="8" t="s">
        <v>104</v>
      </c>
      <c r="I231" s="8" t="s">
        <v>105</v>
      </c>
      <c r="J231" s="8" t="s">
        <v>106</v>
      </c>
      <c r="K231" s="8" t="s">
        <v>107</v>
      </c>
    </row>
    <row r="232" customFormat="false" ht="12.75" hidden="false" customHeight="true" outlineLevel="0" collapsed="false">
      <c r="A232" s="8" t="n">
        <v>30</v>
      </c>
      <c r="B232" s="8" t="n">
        <v>0.722</v>
      </c>
      <c r="C232" s="13" t="n">
        <f aca="false">SUM(B$232:B232)</f>
        <v>0.722</v>
      </c>
      <c r="D232" s="8" t="n">
        <f aca="false">A232*B$230</f>
        <v>60</v>
      </c>
      <c r="E232" s="8" t="n">
        <f aca="false">B232*D232</f>
        <v>43.32</v>
      </c>
      <c r="G232" s="8" t="n">
        <v>7</v>
      </c>
      <c r="H232" s="8" t="n">
        <v>0.835</v>
      </c>
      <c r="I232" s="13" t="n">
        <f aca="false">SUM(H$232:H232)</f>
        <v>0.835</v>
      </c>
      <c r="J232" s="8" t="n">
        <f aca="false">G232*H$230</f>
        <v>168</v>
      </c>
      <c r="K232" s="8" t="n">
        <f aca="false">H232*J232</f>
        <v>140.28</v>
      </c>
    </row>
    <row r="233" customFormat="false" ht="12.75" hidden="false" customHeight="true" outlineLevel="0" collapsed="false">
      <c r="A233" s="8" t="n">
        <v>40</v>
      </c>
      <c r="B233" s="8" t="n">
        <v>0.213</v>
      </c>
      <c r="C233" s="13" t="n">
        <f aca="false">SUM(B$232:B233)</f>
        <v>0.935</v>
      </c>
      <c r="D233" s="8" t="n">
        <f aca="false">A233*B$230</f>
        <v>80</v>
      </c>
      <c r="E233" s="8" t="n">
        <f aca="false">B233*D233</f>
        <v>17.04</v>
      </c>
      <c r="G233" s="8" t="n">
        <v>8</v>
      </c>
      <c r="H233" s="8" t="n">
        <v>0.13</v>
      </c>
      <c r="I233" s="13" t="n">
        <f aca="false">SUM(H$232:H233)</f>
        <v>0.965</v>
      </c>
      <c r="J233" s="8" t="n">
        <f aca="false">G233*H$230</f>
        <v>192</v>
      </c>
      <c r="K233" s="8" t="n">
        <f aca="false">H233*J233</f>
        <v>24.96</v>
      </c>
    </row>
    <row r="234" customFormat="false" ht="12.75" hidden="false" customHeight="true" outlineLevel="0" collapsed="false">
      <c r="A234" s="8" t="n">
        <v>50</v>
      </c>
      <c r="B234" s="8" t="n">
        <v>0.05</v>
      </c>
      <c r="C234" s="13" t="n">
        <f aca="false">SUM(B$232:B234)</f>
        <v>0.985</v>
      </c>
      <c r="D234" s="8" t="n">
        <f aca="false">A234*B$230</f>
        <v>100</v>
      </c>
      <c r="E234" s="8" t="n">
        <f aca="false">B234*D234</f>
        <v>5</v>
      </c>
      <c r="G234" s="8" t="n">
        <v>10</v>
      </c>
      <c r="H234" s="8" t="n">
        <v>0.02</v>
      </c>
      <c r="I234" s="13" t="n">
        <f aca="false">SUM(H$232:H234)</f>
        <v>0.985</v>
      </c>
      <c r="J234" s="8" t="n">
        <f aca="false">G234*H$230</f>
        <v>240</v>
      </c>
      <c r="K234" s="8" t="n">
        <f aca="false">H234*J234</f>
        <v>4.8</v>
      </c>
    </row>
    <row r="235" customFormat="false" ht="12.75" hidden="false" customHeight="true" outlineLevel="0" collapsed="false">
      <c r="A235" s="8" t="n">
        <v>60</v>
      </c>
      <c r="B235" s="8" t="n">
        <v>0.01</v>
      </c>
      <c r="C235" s="13" t="n">
        <f aca="false">SUM(B$232:B235)</f>
        <v>0.995</v>
      </c>
      <c r="D235" s="8" t="n">
        <f aca="false">A235*B$230</f>
        <v>120</v>
      </c>
      <c r="E235" s="8" t="n">
        <f aca="false">B235*D235</f>
        <v>1.2</v>
      </c>
      <c r="G235" s="8" t="n">
        <v>12</v>
      </c>
      <c r="H235" s="8" t="n">
        <v>0.01</v>
      </c>
      <c r="I235" s="13" t="n">
        <f aca="false">SUM(H$232:H235)</f>
        <v>0.995</v>
      </c>
      <c r="J235" s="8" t="n">
        <f aca="false">G235*H$230</f>
        <v>288</v>
      </c>
      <c r="K235" s="8" t="n">
        <f aca="false">H235*J235</f>
        <v>2.88</v>
      </c>
    </row>
    <row r="236" customFormat="false" ht="12.75" hidden="false" customHeight="true" outlineLevel="0" collapsed="false">
      <c r="A236" s="8" t="n">
        <v>70</v>
      </c>
      <c r="B236" s="8" t="n">
        <v>0.003</v>
      </c>
      <c r="C236" s="13" t="n">
        <f aca="false">SUM(B$232:B236)</f>
        <v>0.998</v>
      </c>
      <c r="D236" s="8" t="n">
        <f aca="false">A236*B$230</f>
        <v>140</v>
      </c>
      <c r="E236" s="8" t="n">
        <f aca="false">B236*D236</f>
        <v>0.42</v>
      </c>
      <c r="G236" s="8" t="n">
        <v>15</v>
      </c>
      <c r="H236" s="8" t="n">
        <v>0.003</v>
      </c>
      <c r="I236" s="13" t="n">
        <f aca="false">SUM(H$232:H236)</f>
        <v>0.998</v>
      </c>
      <c r="J236" s="8" t="n">
        <f aca="false">G236*H$230</f>
        <v>360</v>
      </c>
      <c r="K236" s="8" t="n">
        <f aca="false">H236*J236</f>
        <v>1.08</v>
      </c>
    </row>
    <row r="237" customFormat="false" ht="12.75" hidden="false" customHeight="true" outlineLevel="0" collapsed="false">
      <c r="A237" s="8" t="n">
        <v>80</v>
      </c>
      <c r="B237" s="8" t="n">
        <v>0.001</v>
      </c>
      <c r="C237" s="13" t="n">
        <f aca="false">SUM(B$232:B237)</f>
        <v>0.999</v>
      </c>
      <c r="D237" s="8" t="n">
        <f aca="false">A237*B$230</f>
        <v>160</v>
      </c>
      <c r="E237" s="8" t="n">
        <f aca="false">B237*D237</f>
        <v>0.16</v>
      </c>
      <c r="G237" s="8" t="n">
        <v>18</v>
      </c>
      <c r="H237" s="8" t="n">
        <v>0.001</v>
      </c>
      <c r="I237" s="13" t="n">
        <f aca="false">SUM(H$232:H237)</f>
        <v>0.999</v>
      </c>
      <c r="J237" s="8" t="n">
        <f aca="false">G237*H$230</f>
        <v>432</v>
      </c>
      <c r="K237" s="8" t="n">
        <f aca="false">H237*J237</f>
        <v>0.432</v>
      </c>
    </row>
    <row r="238" customFormat="false" ht="12.75" hidden="false" customHeight="true" outlineLevel="0" collapsed="false">
      <c r="A238" s="8" t="n">
        <v>100</v>
      </c>
      <c r="B238" s="8" t="n">
        <v>0.001</v>
      </c>
      <c r="C238" s="13" t="n">
        <f aca="false">SUM(B$232:B238)</f>
        <v>1</v>
      </c>
      <c r="D238" s="8" t="n">
        <f aca="false">A238*B$230</f>
        <v>200</v>
      </c>
      <c r="E238" s="8" t="n">
        <f aca="false">B238*D238</f>
        <v>0.2</v>
      </c>
      <c r="G238" s="8" t="n">
        <v>20</v>
      </c>
      <c r="H238" s="8" t="n">
        <v>0.001</v>
      </c>
      <c r="I238" s="13" t="n">
        <f aca="false">SUM(H$232:H238)</f>
        <v>1</v>
      </c>
      <c r="J238" s="8" t="n">
        <f aca="false">G238*H$230</f>
        <v>480</v>
      </c>
      <c r="K238" s="8" t="n">
        <f aca="false">H238*J238</f>
        <v>0.48</v>
      </c>
    </row>
    <row r="239" customFormat="false" ht="12.75" hidden="false" customHeight="true" outlineLevel="0" collapsed="false"/>
    <row r="240" customFormat="false" ht="12.75" hidden="false" customHeight="true" outlineLevel="0" collapsed="false">
      <c r="D240" s="8" t="s">
        <v>108</v>
      </c>
      <c r="E240" s="8" t="n">
        <f aca="false">SUM(E232:E238)</f>
        <v>67.34</v>
      </c>
      <c r="J240" s="8" t="s">
        <v>108</v>
      </c>
      <c r="K240" s="8" t="n">
        <f aca="false">SUM(K232:K238)</f>
        <v>174.912</v>
      </c>
    </row>
    <row r="241" customFormat="false" ht="12.75" hidden="false" customHeight="true" outlineLevel="0" collapsed="false"/>
    <row r="242" customFormat="false" ht="12.75" hidden="false" customHeight="true" outlineLevel="0" collapsed="false">
      <c r="A242" s="11" t="s">
        <v>60</v>
      </c>
    </row>
    <row r="243" customFormat="false" ht="12.75" hidden="false" customHeight="true" outlineLevel="0" collapsed="false">
      <c r="A243" s="8" t="s">
        <v>102</v>
      </c>
      <c r="B243" s="8" t="n">
        <f aca="false">$BX$3</f>
        <v>19</v>
      </c>
    </row>
    <row r="244" customFormat="false" ht="12.75" hidden="false" customHeight="true" outlineLevel="0" collapsed="false">
      <c r="A244" s="8" t="s">
        <v>103</v>
      </c>
      <c r="B244" s="8" t="s">
        <v>104</v>
      </c>
      <c r="C244" s="8" t="s">
        <v>105</v>
      </c>
      <c r="D244" s="8" t="s">
        <v>106</v>
      </c>
      <c r="E244" s="8" t="s">
        <v>107</v>
      </c>
    </row>
    <row r="245" customFormat="false" ht="12.75" hidden="false" customHeight="true" outlineLevel="0" collapsed="false">
      <c r="A245" s="8" t="n">
        <v>7</v>
      </c>
      <c r="B245" s="8" t="n">
        <v>0.786</v>
      </c>
      <c r="C245" s="13" t="n">
        <f aca="false">SUM(B$245:B245)</f>
        <v>0.786</v>
      </c>
      <c r="D245" s="8" t="n">
        <f aca="false">A245*$B$243</f>
        <v>133</v>
      </c>
      <c r="E245" s="8" t="n">
        <f aca="false">B245*D245</f>
        <v>104.538</v>
      </c>
    </row>
    <row r="246" customFormat="false" ht="12.75" hidden="false" customHeight="true" outlineLevel="0" collapsed="false">
      <c r="A246" s="8" t="n">
        <v>8</v>
      </c>
      <c r="B246" s="8" t="n">
        <v>0.15</v>
      </c>
      <c r="C246" s="13" t="n">
        <f aca="false">SUM(B$245:B246)</f>
        <v>0.936</v>
      </c>
      <c r="D246" s="8" t="n">
        <f aca="false">A246*$B$243</f>
        <v>152</v>
      </c>
      <c r="E246" s="8" t="n">
        <f aca="false">B246*D246</f>
        <v>22.8</v>
      </c>
    </row>
    <row r="247" customFormat="false" ht="12.75" hidden="false" customHeight="true" outlineLevel="0" collapsed="false">
      <c r="A247" s="8" t="n">
        <v>10</v>
      </c>
      <c r="B247" s="8" t="n">
        <v>0.05</v>
      </c>
      <c r="C247" s="13" t="n">
        <f aca="false">SUM(B$245:B247)</f>
        <v>0.986</v>
      </c>
      <c r="D247" s="8" t="n">
        <f aca="false">A247*$B$243</f>
        <v>190</v>
      </c>
      <c r="E247" s="8" t="n">
        <f aca="false">B247*D247</f>
        <v>9.5</v>
      </c>
    </row>
    <row r="248" customFormat="false" ht="12.75" hidden="false" customHeight="true" outlineLevel="0" collapsed="false">
      <c r="A248" s="8" t="n">
        <v>12</v>
      </c>
      <c r="B248" s="8" t="n">
        <v>0.007</v>
      </c>
      <c r="C248" s="13" t="n">
        <f aca="false">SUM(B$245:B248)</f>
        <v>0.993</v>
      </c>
      <c r="D248" s="8" t="n">
        <f aca="false">A248*$B$243</f>
        <v>228</v>
      </c>
      <c r="E248" s="8" t="n">
        <f aca="false">B248*D248</f>
        <v>1.596</v>
      </c>
    </row>
    <row r="249" customFormat="false" ht="12.75" hidden="false" customHeight="true" outlineLevel="0" collapsed="false">
      <c r="A249" s="8" t="n">
        <v>15</v>
      </c>
      <c r="B249" s="8" t="n">
        <v>0.005</v>
      </c>
      <c r="C249" s="13" t="n">
        <f aca="false">SUM(B$245:B249)</f>
        <v>0.998</v>
      </c>
      <c r="D249" s="8" t="n">
        <f aca="false">A249*$B$243</f>
        <v>285</v>
      </c>
      <c r="E249" s="8" t="n">
        <f aca="false">B249*D249</f>
        <v>1.425</v>
      </c>
    </row>
    <row r="250" customFormat="false" ht="12.75" hidden="false" customHeight="true" outlineLevel="0" collapsed="false">
      <c r="A250" s="8" t="n">
        <v>18</v>
      </c>
      <c r="B250" s="8" t="n">
        <v>0.001</v>
      </c>
      <c r="C250" s="13" t="n">
        <f aca="false">SUM(B$245:B250)</f>
        <v>0.999</v>
      </c>
      <c r="D250" s="8" t="n">
        <f aca="false">A250*$B$243</f>
        <v>342</v>
      </c>
      <c r="E250" s="8" t="n">
        <f aca="false">B250*D250</f>
        <v>0.342</v>
      </c>
    </row>
    <row r="251" customFormat="false" ht="12.75" hidden="false" customHeight="true" outlineLevel="0" collapsed="false">
      <c r="A251" s="8" t="n">
        <v>20</v>
      </c>
      <c r="B251" s="8" t="n">
        <v>0.001</v>
      </c>
      <c r="C251" s="13" t="n">
        <f aca="false">SUM(B$245:B251)</f>
        <v>1</v>
      </c>
      <c r="D251" s="8" t="n">
        <f aca="false">A251*$B$243</f>
        <v>380</v>
      </c>
      <c r="E251" s="8" t="n">
        <f aca="false">B251*D251</f>
        <v>0.38</v>
      </c>
    </row>
    <row r="252" customFormat="false" ht="12.75" hidden="false" customHeight="true" outlineLevel="0" collapsed="false"/>
    <row r="253" customFormat="false" ht="12.75" hidden="false" customHeight="true" outlineLevel="0" collapsed="false">
      <c r="D253" s="8" t="s">
        <v>108</v>
      </c>
      <c r="E253" s="8" t="n">
        <f aca="false">SUM(E245:E251)</f>
        <v>140.581</v>
      </c>
    </row>
    <row r="254" customFormat="false" ht="12.75" hidden="false" customHeight="true" outlineLevel="0" collapsed="false"/>
    <row r="255" customFormat="false" ht="12.75" hidden="false" customHeight="true" outlineLevel="0" collapsed="false">
      <c r="A255" s="18" t="s">
        <v>139</v>
      </c>
      <c r="B255" s="8" t="s">
        <v>110</v>
      </c>
      <c r="C255" s="8" t="s">
        <v>111</v>
      </c>
      <c r="D255" s="8" t="s">
        <v>112</v>
      </c>
    </row>
    <row r="256" customFormat="false" ht="12.75" hidden="false" customHeight="true" outlineLevel="0" collapsed="false">
      <c r="A256" s="10" t="s">
        <v>47</v>
      </c>
      <c r="B256" s="8" t="n">
        <f aca="false">E175</f>
        <v>41.292</v>
      </c>
      <c r="C256" s="8" t="n">
        <v>12</v>
      </c>
      <c r="D256" s="8" t="n">
        <f aca="false">B256*C256/C$270</f>
        <v>5.1615</v>
      </c>
    </row>
    <row r="257" customFormat="false" ht="12.75" hidden="false" customHeight="true" outlineLevel="0" collapsed="false">
      <c r="A257" s="9" t="s">
        <v>48</v>
      </c>
      <c r="B257" s="8" t="n">
        <f aca="false">K175</f>
        <v>47.866</v>
      </c>
      <c r="C257" s="8" t="n">
        <v>11</v>
      </c>
      <c r="D257" s="8" t="n">
        <f aca="false">B257*C257/C$270</f>
        <v>5.48464583333333</v>
      </c>
    </row>
    <row r="258" customFormat="false" ht="12.75" hidden="false" customHeight="true" outlineLevel="0" collapsed="false">
      <c r="A258" s="10" t="s">
        <v>50</v>
      </c>
      <c r="B258" s="8" t="n">
        <f aca="false">E188</f>
        <v>61.5675</v>
      </c>
      <c r="C258" s="8" t="n">
        <v>8</v>
      </c>
      <c r="D258" s="8" t="n">
        <f aca="false">B258*C258/C$270</f>
        <v>5.130625</v>
      </c>
    </row>
    <row r="259" customFormat="false" ht="12.75" hidden="false" customHeight="true" outlineLevel="0" collapsed="false">
      <c r="A259" s="9" t="s">
        <v>51</v>
      </c>
      <c r="B259" s="8" t="n">
        <f aca="false">K188</f>
        <v>31.8201</v>
      </c>
      <c r="C259" s="8" t="n">
        <v>8</v>
      </c>
      <c r="D259" s="8" t="n">
        <f aca="false">B259*C259/C$270</f>
        <v>2.651675</v>
      </c>
    </row>
    <row r="260" customFormat="false" ht="12.75" hidden="false" customHeight="true" outlineLevel="0" collapsed="false">
      <c r="A260" s="10" t="s">
        <v>52</v>
      </c>
      <c r="B260" s="8" t="n">
        <f aca="false">E201</f>
        <v>56.656</v>
      </c>
      <c r="C260" s="8" t="n">
        <v>10</v>
      </c>
      <c r="D260" s="8" t="n">
        <f aca="false">B260*C260/C$270</f>
        <v>5.90166666666667</v>
      </c>
    </row>
    <row r="261" customFormat="false" ht="12.75" hidden="false" customHeight="true" outlineLevel="0" collapsed="false">
      <c r="A261" s="9" t="s">
        <v>53</v>
      </c>
      <c r="B261" s="8" t="n">
        <f aca="false">K201</f>
        <v>61.182</v>
      </c>
      <c r="C261" s="8" t="n">
        <v>9</v>
      </c>
      <c r="D261" s="8" t="n">
        <f aca="false">B261*C261/C$270</f>
        <v>5.7358125</v>
      </c>
    </row>
    <row r="262" customFormat="false" ht="12.75" hidden="false" customHeight="true" outlineLevel="0" collapsed="false">
      <c r="A262" s="10" t="s">
        <v>54</v>
      </c>
      <c r="B262" s="8" t="n">
        <f aca="false">E214</f>
        <v>31.559</v>
      </c>
      <c r="C262" s="8" t="n">
        <v>10</v>
      </c>
      <c r="D262" s="8" t="n">
        <f aca="false">B262*C262/C$270</f>
        <v>3.28739583333333</v>
      </c>
    </row>
    <row r="263" customFormat="false" ht="12.75" hidden="false" customHeight="true" outlineLevel="0" collapsed="false">
      <c r="A263" s="9" t="s">
        <v>55</v>
      </c>
      <c r="B263" s="8" t="n">
        <f aca="false">K214</f>
        <v>75.45</v>
      </c>
      <c r="C263" s="8" t="n">
        <v>4</v>
      </c>
      <c r="D263" s="8" t="n">
        <f aca="false">B263*C263/C$270</f>
        <v>3.14375</v>
      </c>
    </row>
    <row r="264" customFormat="false" ht="12.75" hidden="false" customHeight="true" outlineLevel="0" collapsed="false">
      <c r="A264" s="10" t="s">
        <v>56</v>
      </c>
      <c r="B264" s="8" t="n">
        <f aca="false">E227</f>
        <v>117.168</v>
      </c>
      <c r="C264" s="8" t="n">
        <v>3</v>
      </c>
      <c r="D264" s="8" t="n">
        <f aca="false">B264*C264/C$270</f>
        <v>3.6615</v>
      </c>
    </row>
    <row r="265" customFormat="false" ht="12.75" hidden="false" customHeight="true" outlineLevel="0" collapsed="false">
      <c r="A265" s="9" t="s">
        <v>57</v>
      </c>
      <c r="B265" s="8" t="n">
        <f aca="false">K227</f>
        <v>62.529</v>
      </c>
      <c r="C265" s="8" t="n">
        <v>8</v>
      </c>
      <c r="D265" s="8" t="n">
        <f aca="false">B265*C265/C$270</f>
        <v>5.21075</v>
      </c>
    </row>
    <row r="266" customFormat="false" ht="12.75" hidden="false" customHeight="true" outlineLevel="0" collapsed="false">
      <c r="A266" s="10" t="s">
        <v>58</v>
      </c>
      <c r="B266" s="8" t="n">
        <f aca="false">E240</f>
        <v>67.34</v>
      </c>
      <c r="C266" s="8" t="n">
        <v>6</v>
      </c>
      <c r="D266" s="8" t="n">
        <f aca="false">B266*C266/C$270</f>
        <v>4.20875</v>
      </c>
    </row>
    <row r="267" customFormat="false" ht="12.75" hidden="false" customHeight="true" outlineLevel="0" collapsed="false">
      <c r="A267" s="9" t="s">
        <v>59</v>
      </c>
      <c r="B267" s="8" t="n">
        <f aca="false">K240</f>
        <v>174.912</v>
      </c>
      <c r="C267" s="8" t="n">
        <v>3</v>
      </c>
      <c r="D267" s="8" t="n">
        <f aca="false">B267*C267/C$270</f>
        <v>5.466</v>
      </c>
    </row>
    <row r="268" customFormat="false" ht="12.75" hidden="false" customHeight="true" outlineLevel="0" collapsed="false">
      <c r="A268" s="11" t="s">
        <v>60</v>
      </c>
      <c r="B268" s="8" t="n">
        <f aca="false">E253</f>
        <v>140.581</v>
      </c>
      <c r="C268" s="8" t="n">
        <v>4</v>
      </c>
      <c r="D268" s="8" t="n">
        <f aca="false">B268*C268/C$270</f>
        <v>5.85754166666667</v>
      </c>
    </row>
    <row r="269" customFormat="false" ht="12.75" hidden="false" customHeight="true" outlineLevel="0" collapsed="false"/>
    <row r="270" customFormat="false" ht="12.75" hidden="false" customHeight="true" outlineLevel="0" collapsed="false">
      <c r="B270" s="8" t="s">
        <v>113</v>
      </c>
      <c r="C270" s="8" t="n">
        <f aca="false">SUM(C256:C268)</f>
        <v>96</v>
      </c>
      <c r="D270" s="8" t="n">
        <f aca="false">SUM(D256:D268)</f>
        <v>60.9016125</v>
      </c>
    </row>
    <row r="271" customFormat="false" ht="12.75" hidden="false" customHeight="true" outlineLevel="0" collapsed="false"/>
    <row r="272" customFormat="false" ht="12.75" hidden="false" customHeight="true" outlineLevel="0" collapsed="false">
      <c r="A272" s="16" t="s">
        <v>140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</row>
    <row r="273" customFormat="false" ht="12.75" hidden="false" customHeight="true" outlineLevel="0" collapsed="false"/>
    <row r="274" customFormat="false" ht="12.75" hidden="false" customHeight="true" outlineLevel="0" collapsed="false">
      <c r="A274" s="10" t="s">
        <v>47</v>
      </c>
      <c r="G274" s="9" t="s">
        <v>48</v>
      </c>
    </row>
    <row r="275" customFormat="false" ht="12.75" hidden="false" customHeight="true" outlineLevel="0" collapsed="false">
      <c r="A275" s="8" t="s">
        <v>102</v>
      </c>
      <c r="B275" s="8" t="n">
        <f aca="false">$P$3</f>
        <v>1.2</v>
      </c>
      <c r="G275" s="8" t="s">
        <v>102</v>
      </c>
      <c r="H275" s="8" t="n">
        <f aca="false">$U$3</f>
        <v>1.4</v>
      </c>
    </row>
    <row r="276" customFormat="false" ht="12.75" hidden="false" customHeight="true" outlineLevel="0" collapsed="false">
      <c r="A276" s="8" t="s">
        <v>103</v>
      </c>
      <c r="B276" s="8" t="s">
        <v>104</v>
      </c>
      <c r="C276" s="8" t="s">
        <v>105</v>
      </c>
      <c r="D276" s="8" t="s">
        <v>106</v>
      </c>
      <c r="E276" s="8" t="s">
        <v>107</v>
      </c>
      <c r="G276" s="8" t="s">
        <v>103</v>
      </c>
      <c r="H276" s="8" t="s">
        <v>104</v>
      </c>
      <c r="I276" s="8" t="s">
        <v>105</v>
      </c>
      <c r="J276" s="8" t="s">
        <v>106</v>
      </c>
      <c r="K276" s="8" t="s">
        <v>107</v>
      </c>
    </row>
    <row r="277" customFormat="false" ht="12.75" hidden="false" customHeight="true" outlineLevel="0" collapsed="false">
      <c r="A277" s="8" t="n">
        <v>30</v>
      </c>
      <c r="B277" s="8" t="n">
        <v>0.7</v>
      </c>
      <c r="C277" s="13" t="n">
        <f aca="false">SUM(B$277:B277)</f>
        <v>0.7</v>
      </c>
      <c r="D277" s="8" t="n">
        <f aca="false">A277*B$275</f>
        <v>36</v>
      </c>
      <c r="E277" s="8" t="n">
        <f aca="false">B277*D277</f>
        <v>25.2</v>
      </c>
      <c r="G277" s="8" t="n">
        <v>30</v>
      </c>
      <c r="H277" s="8" t="n">
        <v>0.7</v>
      </c>
      <c r="I277" s="13" t="n">
        <f aca="false">SUM(H$277:H277)</f>
        <v>0.7</v>
      </c>
      <c r="J277" s="8" t="n">
        <f aca="false">G277*H$275</f>
        <v>42</v>
      </c>
      <c r="K277" s="8" t="n">
        <f aca="false">H277*J277</f>
        <v>29.4</v>
      </c>
    </row>
    <row r="278" customFormat="false" ht="12.75" hidden="false" customHeight="true" outlineLevel="0" collapsed="false">
      <c r="A278" s="8" t="n">
        <v>40</v>
      </c>
      <c r="B278" s="8" t="n">
        <v>0.2</v>
      </c>
      <c r="C278" s="13" t="n">
        <f aca="false">SUM(B$277:B278)</f>
        <v>0.9</v>
      </c>
      <c r="D278" s="8" t="n">
        <f aca="false">A278*B$275</f>
        <v>48</v>
      </c>
      <c r="E278" s="8" t="n">
        <f aca="false">B278*D278</f>
        <v>9.6</v>
      </c>
      <c r="G278" s="8" t="n">
        <v>40</v>
      </c>
      <c r="H278" s="8" t="n">
        <v>0.21</v>
      </c>
      <c r="I278" s="13" t="n">
        <f aca="false">SUM(H$277:H278)</f>
        <v>0.91</v>
      </c>
      <c r="J278" s="8" t="n">
        <f aca="false">G278*H$275</f>
        <v>56</v>
      </c>
      <c r="K278" s="8" t="n">
        <f aca="false">H278*J278</f>
        <v>11.76</v>
      </c>
    </row>
    <row r="279" customFormat="false" ht="12.75" hidden="false" customHeight="true" outlineLevel="0" collapsed="false">
      <c r="A279" s="8" t="n">
        <v>50</v>
      </c>
      <c r="B279" s="8" t="n">
        <v>0.07</v>
      </c>
      <c r="C279" s="13" t="n">
        <f aca="false">SUM(B$277:B279)</f>
        <v>0.97</v>
      </c>
      <c r="D279" s="8" t="n">
        <f aca="false">A279*B$275</f>
        <v>60</v>
      </c>
      <c r="E279" s="8" t="n">
        <f aca="false">B279*D279</f>
        <v>4.2</v>
      </c>
      <c r="G279" s="8" t="n">
        <v>50</v>
      </c>
      <c r="H279" s="8" t="n">
        <v>0.07</v>
      </c>
      <c r="I279" s="13" t="n">
        <f aca="false">SUM(H$277:H279)</f>
        <v>0.98</v>
      </c>
      <c r="J279" s="8" t="n">
        <f aca="false">G279*H$275</f>
        <v>70</v>
      </c>
      <c r="K279" s="8" t="n">
        <f aca="false">H279*J279</f>
        <v>4.9</v>
      </c>
    </row>
    <row r="280" customFormat="false" ht="12.75" hidden="false" customHeight="true" outlineLevel="0" collapsed="false">
      <c r="A280" s="8" t="n">
        <v>60</v>
      </c>
      <c r="B280" s="8" t="n">
        <v>0.023</v>
      </c>
      <c r="C280" s="13" t="n">
        <f aca="false">SUM(B$277:B280)</f>
        <v>0.993</v>
      </c>
      <c r="D280" s="8" t="n">
        <f aca="false">A280*B$275</f>
        <v>72</v>
      </c>
      <c r="E280" s="8" t="n">
        <f aca="false">B280*D280</f>
        <v>1.656</v>
      </c>
      <c r="G280" s="8" t="n">
        <v>60</v>
      </c>
      <c r="H280" s="8" t="n">
        <v>0.015</v>
      </c>
      <c r="I280" s="13" t="n">
        <f aca="false">SUM(H$277:H280)</f>
        <v>0.995</v>
      </c>
      <c r="J280" s="8" t="n">
        <f aca="false">G280*H$275</f>
        <v>84</v>
      </c>
      <c r="K280" s="8" t="n">
        <f aca="false">H280*J280</f>
        <v>1.26</v>
      </c>
    </row>
    <row r="281" customFormat="false" ht="12.75" hidden="false" customHeight="true" outlineLevel="0" collapsed="false">
      <c r="A281" s="8" t="n">
        <v>70</v>
      </c>
      <c r="B281" s="8" t="n">
        <v>0.005</v>
      </c>
      <c r="C281" s="13" t="n">
        <f aca="false">SUM(B$277:B281)</f>
        <v>0.998</v>
      </c>
      <c r="D281" s="8" t="n">
        <f aca="false">A281*B$275</f>
        <v>84</v>
      </c>
      <c r="E281" s="8" t="n">
        <f aca="false">B281*D281</f>
        <v>0.42</v>
      </c>
      <c r="G281" s="8" t="n">
        <v>70</v>
      </c>
      <c r="H281" s="8" t="n">
        <v>0.003</v>
      </c>
      <c r="I281" s="13" t="n">
        <f aca="false">SUM(H$277:H281)</f>
        <v>0.998</v>
      </c>
      <c r="J281" s="8" t="n">
        <f aca="false">G281*H$275</f>
        <v>98</v>
      </c>
      <c r="K281" s="8" t="n">
        <f aca="false">H281*J281</f>
        <v>0.294</v>
      </c>
    </row>
    <row r="282" customFormat="false" ht="12.75" hidden="false" customHeight="true" outlineLevel="0" collapsed="false">
      <c r="A282" s="8" t="n">
        <v>80</v>
      </c>
      <c r="B282" s="8" t="n">
        <v>0.001</v>
      </c>
      <c r="C282" s="13" t="n">
        <f aca="false">SUM(B$277:B282)</f>
        <v>0.999</v>
      </c>
      <c r="D282" s="8" t="n">
        <f aca="false">A282*B$275</f>
        <v>96</v>
      </c>
      <c r="E282" s="8" t="n">
        <f aca="false">B282*D282</f>
        <v>0.096</v>
      </c>
      <c r="G282" s="8" t="n">
        <v>80</v>
      </c>
      <c r="H282" s="8" t="n">
        <v>0.001</v>
      </c>
      <c r="I282" s="13" t="n">
        <f aca="false">SUM(H$277:H282)</f>
        <v>0.999</v>
      </c>
      <c r="J282" s="8" t="n">
        <f aca="false">G282*H$275</f>
        <v>112</v>
      </c>
      <c r="K282" s="8" t="n">
        <f aca="false">H282*J282</f>
        <v>0.112</v>
      </c>
    </row>
    <row r="283" customFormat="false" ht="12.75" hidden="false" customHeight="true" outlineLevel="0" collapsed="false">
      <c r="A283" s="8" t="n">
        <v>100</v>
      </c>
      <c r="B283" s="8" t="n">
        <v>0.001</v>
      </c>
      <c r="C283" s="13" t="n">
        <f aca="false">SUM(B$277:B283)</f>
        <v>1</v>
      </c>
      <c r="D283" s="8" t="n">
        <f aca="false">A283*B$275</f>
        <v>120</v>
      </c>
      <c r="E283" s="8" t="n">
        <f aca="false">B283*D283</f>
        <v>0.12</v>
      </c>
      <c r="G283" s="8" t="n">
        <v>100</v>
      </c>
      <c r="H283" s="8" t="n">
        <v>0.001</v>
      </c>
      <c r="I283" s="13" t="n">
        <f aca="false">SUM(H$277:H283)</f>
        <v>1</v>
      </c>
      <c r="J283" s="8" t="n">
        <f aca="false">G283*H$275</f>
        <v>140</v>
      </c>
      <c r="K283" s="8" t="n">
        <f aca="false">H283*J283</f>
        <v>0.14</v>
      </c>
    </row>
    <row r="284" customFormat="false" ht="12.75" hidden="false" customHeight="true" outlineLevel="0" collapsed="false"/>
    <row r="285" customFormat="false" ht="12.75" hidden="false" customHeight="true" outlineLevel="0" collapsed="false">
      <c r="D285" s="8" t="s">
        <v>108</v>
      </c>
      <c r="E285" s="8" t="n">
        <f aca="false">SUM(E277:E283)</f>
        <v>41.292</v>
      </c>
      <c r="J285" s="8" t="s">
        <v>108</v>
      </c>
      <c r="K285" s="8" t="n">
        <f aca="false">SUM(K277:K283)</f>
        <v>47.866</v>
      </c>
    </row>
    <row r="286" customFormat="false" ht="12.75" hidden="false" customHeight="true" outlineLevel="0" collapsed="false"/>
    <row r="287" customFormat="false" ht="12.75" hidden="false" customHeight="true" outlineLevel="0" collapsed="false">
      <c r="A287" s="10" t="s">
        <v>50</v>
      </c>
      <c r="G287" s="9" t="s">
        <v>51</v>
      </c>
    </row>
    <row r="288" customFormat="false" ht="12.75" hidden="false" customHeight="true" outlineLevel="0" collapsed="false">
      <c r="A288" s="8" t="s">
        <v>102</v>
      </c>
      <c r="B288" s="8" t="n">
        <f aca="false">$Z$3</f>
        <v>7.5</v>
      </c>
      <c r="G288" s="8" t="s">
        <v>102</v>
      </c>
      <c r="H288" s="8" t="n">
        <f aca="false">$AE$3</f>
        <v>3.9</v>
      </c>
    </row>
    <row r="289" customFormat="false" ht="12.75" hidden="false" customHeight="true" outlineLevel="0" collapsed="false">
      <c r="A289" s="8" t="s">
        <v>103</v>
      </c>
      <c r="B289" s="8" t="s">
        <v>104</v>
      </c>
      <c r="C289" s="8" t="s">
        <v>105</v>
      </c>
      <c r="D289" s="8" t="s">
        <v>106</v>
      </c>
      <c r="E289" s="8" t="s">
        <v>107</v>
      </c>
      <c r="G289" s="8" t="s">
        <v>103</v>
      </c>
      <c r="H289" s="8" t="s">
        <v>104</v>
      </c>
      <c r="I289" s="8" t="s">
        <v>105</v>
      </c>
      <c r="J289" s="8" t="s">
        <v>106</v>
      </c>
      <c r="K289" s="8" t="s">
        <v>107</v>
      </c>
    </row>
    <row r="290" customFormat="false" ht="12.75" hidden="false" customHeight="true" outlineLevel="0" collapsed="false">
      <c r="A290" s="8" t="n">
        <v>7</v>
      </c>
      <c r="B290" s="8" t="n">
        <v>0.45</v>
      </c>
      <c r="C290" s="13" t="n">
        <f aca="false">SUM(B$290:B290)</f>
        <v>0.45</v>
      </c>
      <c r="D290" s="8" t="n">
        <f aca="false">A290*B$288</f>
        <v>52.5</v>
      </c>
      <c r="E290" s="8" t="n">
        <f aca="false">B290*D290</f>
        <v>23.625</v>
      </c>
      <c r="G290" s="8" t="n">
        <v>7</v>
      </c>
      <c r="H290" s="8" t="n">
        <v>0.46</v>
      </c>
      <c r="I290" s="13" t="n">
        <f aca="false">SUM(H$290:H290)</f>
        <v>0.46</v>
      </c>
      <c r="J290" s="8" t="n">
        <f aca="false">G290*H$288</f>
        <v>27.3</v>
      </c>
      <c r="K290" s="8" t="n">
        <f aca="false">H290*J290</f>
        <v>12.558</v>
      </c>
    </row>
    <row r="291" customFormat="false" ht="12.75" hidden="false" customHeight="true" outlineLevel="0" collapsed="false">
      <c r="A291" s="8" t="n">
        <v>8</v>
      </c>
      <c r="B291" s="8" t="n">
        <v>0.3</v>
      </c>
      <c r="C291" s="13" t="n">
        <f aca="false">SUM(B$290:B291)</f>
        <v>0.75</v>
      </c>
      <c r="D291" s="8" t="n">
        <f aca="false">A291*B$288</f>
        <v>60</v>
      </c>
      <c r="E291" s="8" t="n">
        <f aca="false">B291*D291</f>
        <v>18</v>
      </c>
      <c r="G291" s="8" t="n">
        <v>8</v>
      </c>
      <c r="H291" s="8" t="n">
        <v>0.3</v>
      </c>
      <c r="I291" s="13" t="n">
        <f aca="false">SUM(H$290:H291)</f>
        <v>0.76</v>
      </c>
      <c r="J291" s="8" t="n">
        <f aca="false">G291*H$288</f>
        <v>31.2</v>
      </c>
      <c r="K291" s="8" t="n">
        <f aca="false">H291*J291</f>
        <v>9.36</v>
      </c>
    </row>
    <row r="292" customFormat="false" ht="12.75" hidden="false" customHeight="true" outlineLevel="0" collapsed="false">
      <c r="A292" s="8" t="n">
        <v>10</v>
      </c>
      <c r="B292" s="8" t="n">
        <v>0.2</v>
      </c>
      <c r="C292" s="13" t="n">
        <f aca="false">SUM(B$290:B292)</f>
        <v>0.95</v>
      </c>
      <c r="D292" s="8" t="n">
        <f aca="false">A292*B$288</f>
        <v>75</v>
      </c>
      <c r="E292" s="8" t="n">
        <f aca="false">B292*D292</f>
        <v>15</v>
      </c>
      <c r="G292" s="8" t="n">
        <v>10</v>
      </c>
      <c r="H292" s="8" t="n">
        <v>0.2</v>
      </c>
      <c r="I292" s="13" t="n">
        <f aca="false">SUM(H$290:H292)</f>
        <v>0.96</v>
      </c>
      <c r="J292" s="8" t="n">
        <f aca="false">G292*H$288</f>
        <v>39</v>
      </c>
      <c r="K292" s="8" t="n">
        <f aca="false">H292*J292</f>
        <v>7.8</v>
      </c>
    </row>
    <row r="293" customFormat="false" ht="12.75" hidden="false" customHeight="true" outlineLevel="0" collapsed="false">
      <c r="A293" s="8" t="n">
        <v>12</v>
      </c>
      <c r="B293" s="8" t="n">
        <v>0.033</v>
      </c>
      <c r="C293" s="13" t="n">
        <f aca="false">SUM(B$290:B293)</f>
        <v>0.983</v>
      </c>
      <c r="D293" s="8" t="n">
        <f aca="false">A293*B$288</f>
        <v>90</v>
      </c>
      <c r="E293" s="8" t="n">
        <f aca="false">B293*D293</f>
        <v>2.97</v>
      </c>
      <c r="G293" s="8" t="n">
        <v>12</v>
      </c>
      <c r="H293" s="8" t="n">
        <v>0.023</v>
      </c>
      <c r="I293" s="13" t="n">
        <f aca="false">SUM(H$290:H293)</f>
        <v>0.983</v>
      </c>
      <c r="J293" s="8" t="n">
        <f aca="false">G293*H$288</f>
        <v>46.8</v>
      </c>
      <c r="K293" s="8" t="n">
        <f aca="false">H293*J293</f>
        <v>1.0764</v>
      </c>
    </row>
    <row r="294" customFormat="false" ht="12.75" hidden="false" customHeight="true" outlineLevel="0" collapsed="false">
      <c r="A294" s="8" t="n">
        <v>15</v>
      </c>
      <c r="B294" s="8" t="n">
        <v>0.015</v>
      </c>
      <c r="C294" s="13" t="n">
        <f aca="false">SUM(B$290:B294)</f>
        <v>0.998</v>
      </c>
      <c r="D294" s="8" t="n">
        <f aca="false">A294*B$288</f>
        <v>112.5</v>
      </c>
      <c r="E294" s="8" t="n">
        <f aca="false">B294*D294</f>
        <v>1.6875</v>
      </c>
      <c r="G294" s="8" t="n">
        <v>15</v>
      </c>
      <c r="H294" s="8" t="n">
        <v>0.015</v>
      </c>
      <c r="I294" s="13" t="n">
        <f aca="false">SUM(H$290:H294)</f>
        <v>0.998</v>
      </c>
      <c r="J294" s="8" t="n">
        <f aca="false">G294*H$288</f>
        <v>58.5</v>
      </c>
      <c r="K294" s="8" t="n">
        <f aca="false">H294*J294</f>
        <v>0.8775</v>
      </c>
    </row>
    <row r="295" customFormat="false" ht="12.75" hidden="false" customHeight="true" outlineLevel="0" collapsed="false">
      <c r="A295" s="8" t="n">
        <v>18</v>
      </c>
      <c r="B295" s="8" t="n">
        <v>0.001</v>
      </c>
      <c r="C295" s="13" t="n">
        <f aca="false">SUM(B$290:B295)</f>
        <v>0.999</v>
      </c>
      <c r="D295" s="8" t="n">
        <f aca="false">A295*B$288</f>
        <v>135</v>
      </c>
      <c r="E295" s="8" t="n">
        <f aca="false">B295*D295</f>
        <v>0.135</v>
      </c>
      <c r="G295" s="8" t="n">
        <v>18</v>
      </c>
      <c r="H295" s="8" t="n">
        <v>0.001</v>
      </c>
      <c r="I295" s="13" t="n">
        <f aca="false">SUM(H$290:H295)</f>
        <v>0.999</v>
      </c>
      <c r="J295" s="8" t="n">
        <f aca="false">G295*H$288</f>
        <v>70.2</v>
      </c>
      <c r="K295" s="8" t="n">
        <f aca="false">H295*J295</f>
        <v>0.0702</v>
      </c>
    </row>
    <row r="296" customFormat="false" ht="12.75" hidden="false" customHeight="true" outlineLevel="0" collapsed="false">
      <c r="A296" s="8" t="n">
        <v>20</v>
      </c>
      <c r="B296" s="8" t="n">
        <v>0.001</v>
      </c>
      <c r="C296" s="13" t="n">
        <f aca="false">SUM(B$290:B296)</f>
        <v>1</v>
      </c>
      <c r="D296" s="8" t="n">
        <f aca="false">A296*B$288</f>
        <v>150</v>
      </c>
      <c r="E296" s="8" t="n">
        <f aca="false">B296*D296</f>
        <v>0.15</v>
      </c>
      <c r="G296" s="8" t="n">
        <v>20</v>
      </c>
      <c r="H296" s="8" t="n">
        <v>0.001</v>
      </c>
      <c r="I296" s="13" t="n">
        <f aca="false">SUM(H$290:H296)</f>
        <v>1</v>
      </c>
      <c r="J296" s="8" t="n">
        <f aca="false">G296*H$288</f>
        <v>78</v>
      </c>
      <c r="K296" s="8" t="n">
        <f aca="false">H296*J296</f>
        <v>0.078</v>
      </c>
    </row>
    <row r="297" customFormat="false" ht="12.75" hidden="false" customHeight="true" outlineLevel="0" collapsed="false"/>
    <row r="298" customFormat="false" ht="12.75" hidden="false" customHeight="true" outlineLevel="0" collapsed="false">
      <c r="D298" s="8" t="s">
        <v>108</v>
      </c>
      <c r="E298" s="8" t="n">
        <f aca="false">SUM(E290:E296)</f>
        <v>61.5675</v>
      </c>
      <c r="J298" s="8" t="s">
        <v>108</v>
      </c>
      <c r="K298" s="8" t="n">
        <f aca="false">SUM(K290:K296)</f>
        <v>31.8201</v>
      </c>
    </row>
    <row r="299" customFormat="false" ht="12.75" hidden="false" customHeight="true" outlineLevel="0" collapsed="false"/>
    <row r="300" customFormat="false" ht="12.75" hidden="false" customHeight="true" outlineLevel="0" collapsed="false">
      <c r="A300" s="10" t="s">
        <v>52</v>
      </c>
      <c r="G300" s="9" t="s">
        <v>53</v>
      </c>
    </row>
    <row r="301" customFormat="false" ht="12.75" hidden="false" customHeight="true" outlineLevel="0" collapsed="false">
      <c r="A301" s="8" t="s">
        <v>102</v>
      </c>
      <c r="B301" s="8" t="n">
        <f aca="false">$AJ$3</f>
        <v>1.6</v>
      </c>
      <c r="G301" s="8" t="s">
        <v>102</v>
      </c>
      <c r="H301" s="8" t="n">
        <f aca="false">$AO$3</f>
        <v>1.8</v>
      </c>
    </row>
    <row r="302" customFormat="false" ht="12.75" hidden="false" customHeight="true" outlineLevel="0" collapsed="false">
      <c r="A302" s="8" t="s">
        <v>103</v>
      </c>
      <c r="B302" s="8" t="s">
        <v>104</v>
      </c>
      <c r="C302" s="8" t="s">
        <v>105</v>
      </c>
      <c r="D302" s="8" t="s">
        <v>106</v>
      </c>
      <c r="E302" s="8" t="s">
        <v>107</v>
      </c>
      <c r="G302" s="8" t="s">
        <v>103</v>
      </c>
      <c r="H302" s="8" t="s">
        <v>104</v>
      </c>
      <c r="I302" s="8" t="s">
        <v>105</v>
      </c>
      <c r="J302" s="8" t="s">
        <v>106</v>
      </c>
      <c r="K302" s="8" t="s">
        <v>107</v>
      </c>
    </row>
    <row r="303" customFormat="false" ht="12.75" hidden="false" customHeight="true" outlineLevel="0" collapsed="false">
      <c r="A303" s="8" t="n">
        <v>30</v>
      </c>
      <c r="B303" s="8" t="n">
        <v>0.63</v>
      </c>
      <c r="C303" s="13" t="n">
        <f aca="false">SUM(B$303:B303)</f>
        <v>0.63</v>
      </c>
      <c r="D303" s="8" t="n">
        <f aca="false">A303*B$301</f>
        <v>48</v>
      </c>
      <c r="E303" s="8" t="n">
        <f aca="false">B303*D303</f>
        <v>30.24</v>
      </c>
      <c r="G303" s="8" t="n">
        <v>30</v>
      </c>
      <c r="H303" s="8" t="n">
        <v>0.74</v>
      </c>
      <c r="I303" s="13" t="n">
        <f aca="false">SUM(H$303:H303)</f>
        <v>0.74</v>
      </c>
      <c r="J303" s="8" t="n">
        <f aca="false">G303*H$301</f>
        <v>54</v>
      </c>
      <c r="K303" s="8" t="n">
        <f aca="false">H303*J303</f>
        <v>39.96</v>
      </c>
    </row>
    <row r="304" customFormat="false" ht="12.75" hidden="false" customHeight="true" outlineLevel="0" collapsed="false">
      <c r="A304" s="8" t="n">
        <v>40</v>
      </c>
      <c r="B304" s="8" t="n">
        <v>0.24</v>
      </c>
      <c r="C304" s="13" t="n">
        <f aca="false">SUM(B$303:B304)</f>
        <v>0.87</v>
      </c>
      <c r="D304" s="8" t="n">
        <f aca="false">A304*B$301</f>
        <v>64</v>
      </c>
      <c r="E304" s="8" t="n">
        <f aca="false">B304*D304</f>
        <v>15.36</v>
      </c>
      <c r="G304" s="8" t="n">
        <v>40</v>
      </c>
      <c r="H304" s="8" t="n">
        <v>0.146</v>
      </c>
      <c r="I304" s="13" t="n">
        <f aca="false">SUM(H$303:H304)</f>
        <v>0.886</v>
      </c>
      <c r="J304" s="8" t="n">
        <f aca="false">G304*H$301</f>
        <v>72</v>
      </c>
      <c r="K304" s="8" t="n">
        <f aca="false">H304*J304</f>
        <v>10.512</v>
      </c>
    </row>
    <row r="305" customFormat="false" ht="12.75" hidden="false" customHeight="true" outlineLevel="0" collapsed="false">
      <c r="A305" s="8" t="n">
        <v>50</v>
      </c>
      <c r="B305" s="8" t="n">
        <v>0.1</v>
      </c>
      <c r="C305" s="13" t="n">
        <f aca="false">SUM(B$303:B305)</f>
        <v>0.97</v>
      </c>
      <c r="D305" s="8" t="n">
        <f aca="false">A305*B$301</f>
        <v>80</v>
      </c>
      <c r="E305" s="8" t="n">
        <f aca="false">B305*D305</f>
        <v>8</v>
      </c>
      <c r="G305" s="8" t="n">
        <v>50</v>
      </c>
      <c r="H305" s="8" t="n">
        <v>0.1</v>
      </c>
      <c r="I305" s="13" t="n">
        <f aca="false">SUM(H$303:H305)</f>
        <v>0.986</v>
      </c>
      <c r="J305" s="8" t="n">
        <f aca="false">G305*H$301</f>
        <v>90</v>
      </c>
      <c r="K305" s="8" t="n">
        <f aca="false">H305*J305</f>
        <v>9</v>
      </c>
    </row>
    <row r="306" customFormat="false" ht="12.75" hidden="false" customHeight="true" outlineLevel="0" collapsed="false">
      <c r="A306" s="8" t="n">
        <v>60</v>
      </c>
      <c r="B306" s="8" t="n">
        <v>0.023</v>
      </c>
      <c r="C306" s="13" t="n">
        <f aca="false">SUM(B$303:B306)</f>
        <v>0.993</v>
      </c>
      <c r="D306" s="8" t="n">
        <f aca="false">A306*B$301</f>
        <v>96</v>
      </c>
      <c r="E306" s="8" t="n">
        <f aca="false">B306*D306</f>
        <v>2.208</v>
      </c>
      <c r="G306" s="8" t="n">
        <v>60</v>
      </c>
      <c r="H306" s="8" t="n">
        <v>0.007</v>
      </c>
      <c r="I306" s="13" t="n">
        <f aca="false">SUM(H$303:H306)</f>
        <v>0.993</v>
      </c>
      <c r="J306" s="8" t="n">
        <f aca="false">G306*H$301</f>
        <v>108</v>
      </c>
      <c r="K306" s="8" t="n">
        <f aca="false">H306*J306</f>
        <v>0.756</v>
      </c>
    </row>
    <row r="307" customFormat="false" ht="12.75" hidden="false" customHeight="true" outlineLevel="0" collapsed="false">
      <c r="A307" s="8" t="n">
        <v>70</v>
      </c>
      <c r="B307" s="8" t="n">
        <v>0.005</v>
      </c>
      <c r="C307" s="13" t="n">
        <f aca="false">SUM(B$303:B307)</f>
        <v>0.998</v>
      </c>
      <c r="D307" s="8" t="n">
        <f aca="false">A307*B$301</f>
        <v>112</v>
      </c>
      <c r="E307" s="8" t="n">
        <f aca="false">B307*D307</f>
        <v>0.56</v>
      </c>
      <c r="G307" s="8" t="n">
        <v>70</v>
      </c>
      <c r="H307" s="8" t="n">
        <v>0.005</v>
      </c>
      <c r="I307" s="13" t="n">
        <f aca="false">SUM(H$303:H307)</f>
        <v>0.998</v>
      </c>
      <c r="J307" s="8" t="n">
        <f aca="false">G307*H$301</f>
        <v>126</v>
      </c>
      <c r="K307" s="8" t="n">
        <f aca="false">H307*J307</f>
        <v>0.63</v>
      </c>
    </row>
    <row r="308" customFormat="false" ht="12.75" hidden="false" customHeight="true" outlineLevel="0" collapsed="false">
      <c r="A308" s="8" t="n">
        <v>80</v>
      </c>
      <c r="B308" s="8" t="n">
        <v>0.001</v>
      </c>
      <c r="C308" s="13" t="n">
        <f aca="false">SUM(B$303:B308)</f>
        <v>0.999</v>
      </c>
      <c r="D308" s="8" t="n">
        <f aca="false">A308*B$301</f>
        <v>128</v>
      </c>
      <c r="E308" s="8" t="n">
        <f aca="false">B308*D308</f>
        <v>0.128</v>
      </c>
      <c r="G308" s="8" t="n">
        <v>80</v>
      </c>
      <c r="H308" s="8" t="n">
        <v>0.001</v>
      </c>
      <c r="I308" s="13" t="n">
        <f aca="false">SUM(H$303:H308)</f>
        <v>0.999</v>
      </c>
      <c r="J308" s="8" t="n">
        <f aca="false">G308*H$301</f>
        <v>144</v>
      </c>
      <c r="K308" s="8" t="n">
        <f aca="false">H308*J308</f>
        <v>0.144</v>
      </c>
    </row>
    <row r="309" customFormat="false" ht="12.75" hidden="false" customHeight="true" outlineLevel="0" collapsed="false">
      <c r="A309" s="8" t="n">
        <v>100</v>
      </c>
      <c r="B309" s="8" t="n">
        <v>0.001</v>
      </c>
      <c r="C309" s="13" t="n">
        <f aca="false">SUM(B$303:B309)</f>
        <v>1</v>
      </c>
      <c r="D309" s="8" t="n">
        <f aca="false">A309*B$301</f>
        <v>160</v>
      </c>
      <c r="E309" s="8" t="n">
        <f aca="false">B309*D309</f>
        <v>0.16</v>
      </c>
      <c r="G309" s="8" t="n">
        <v>100</v>
      </c>
      <c r="H309" s="19" t="n">
        <v>0.001</v>
      </c>
      <c r="I309" s="13" t="n">
        <f aca="false">SUM(H$303:H309)</f>
        <v>1</v>
      </c>
      <c r="J309" s="8" t="n">
        <f aca="false">G309*H$301</f>
        <v>180</v>
      </c>
      <c r="K309" s="8" t="n">
        <f aca="false">H309*J309</f>
        <v>0.18</v>
      </c>
    </row>
    <row r="310" customFormat="false" ht="12.75" hidden="false" customHeight="true" outlineLevel="0" collapsed="false"/>
    <row r="311" customFormat="false" ht="12.75" hidden="false" customHeight="true" outlineLevel="0" collapsed="false">
      <c r="D311" s="8" t="s">
        <v>108</v>
      </c>
      <c r="E311" s="8" t="n">
        <f aca="false">SUM(E303:E309)</f>
        <v>56.656</v>
      </c>
      <c r="J311" s="8" t="s">
        <v>108</v>
      </c>
      <c r="K311" s="8" t="n">
        <f aca="false">SUM(K303:K309)</f>
        <v>61.182</v>
      </c>
    </row>
    <row r="312" customFormat="false" ht="12.75" hidden="false" customHeight="true" outlineLevel="0" collapsed="false"/>
    <row r="313" customFormat="false" ht="12.75" hidden="false" customHeight="true" outlineLevel="0" collapsed="false">
      <c r="A313" s="10" t="s">
        <v>54</v>
      </c>
      <c r="G313" s="9" t="s">
        <v>55</v>
      </c>
    </row>
    <row r="314" customFormat="false" ht="12.75" hidden="false" customHeight="true" outlineLevel="0" collapsed="false">
      <c r="A314" s="8" t="s">
        <v>102</v>
      </c>
      <c r="B314" s="8" t="n">
        <f aca="false">$AT$3</f>
        <v>3.8</v>
      </c>
      <c r="G314" s="8" t="s">
        <v>102</v>
      </c>
      <c r="H314" s="8" t="n">
        <f aca="false">$AY$3</f>
        <v>10</v>
      </c>
    </row>
    <row r="315" customFormat="false" ht="12.75" hidden="false" customHeight="true" outlineLevel="0" collapsed="false">
      <c r="A315" s="8" t="s">
        <v>103</v>
      </c>
      <c r="B315" s="8" t="s">
        <v>104</v>
      </c>
      <c r="C315" s="8" t="s">
        <v>105</v>
      </c>
      <c r="D315" s="8" t="s">
        <v>106</v>
      </c>
      <c r="E315" s="8" t="s">
        <v>107</v>
      </c>
      <c r="G315" s="8" t="s">
        <v>103</v>
      </c>
      <c r="H315" s="8" t="s">
        <v>104</v>
      </c>
      <c r="I315" s="8" t="s">
        <v>105</v>
      </c>
      <c r="J315" s="8" t="s">
        <v>106</v>
      </c>
      <c r="K315" s="8" t="s">
        <v>107</v>
      </c>
    </row>
    <row r="316" customFormat="false" ht="12.75" hidden="false" customHeight="true" outlineLevel="0" collapsed="false">
      <c r="A316" s="8" t="n">
        <v>7</v>
      </c>
      <c r="B316" s="8" t="n">
        <v>0.442</v>
      </c>
      <c r="C316" s="13" t="n">
        <f aca="false">SUM(B$316:B316)</f>
        <v>0.442</v>
      </c>
      <c r="D316" s="8" t="n">
        <f aca="false">A316*B$314</f>
        <v>26.6</v>
      </c>
      <c r="E316" s="8" t="n">
        <f aca="false">B316*D316</f>
        <v>11.7572</v>
      </c>
      <c r="G316" s="8" t="n">
        <v>7</v>
      </c>
      <c r="H316" s="8" t="n">
        <v>0.718</v>
      </c>
      <c r="I316" s="13" t="n">
        <f aca="false">SUM(H$316:H316)</f>
        <v>0.718</v>
      </c>
      <c r="J316" s="8" t="n">
        <f aca="false">G316*H$314</f>
        <v>70</v>
      </c>
      <c r="K316" s="8" t="n">
        <f aca="false">H316*J316</f>
        <v>50.26</v>
      </c>
    </row>
    <row r="317" customFormat="false" ht="12.75" hidden="false" customHeight="true" outlineLevel="0" collapsed="false">
      <c r="A317" s="8" t="n">
        <v>8</v>
      </c>
      <c r="B317" s="8" t="n">
        <v>0.3</v>
      </c>
      <c r="C317" s="13" t="n">
        <f aca="false">SUM(B$316:B317)</f>
        <v>0.742</v>
      </c>
      <c r="D317" s="8" t="n">
        <f aca="false">A317*B$314</f>
        <v>30.4</v>
      </c>
      <c r="E317" s="8" t="n">
        <f aca="false">B317*D317</f>
        <v>9.12</v>
      </c>
      <c r="G317" s="8" t="n">
        <v>8</v>
      </c>
      <c r="H317" s="8" t="n">
        <v>0.172</v>
      </c>
      <c r="I317" s="13" t="n">
        <f aca="false">SUM(H$316:H317)</f>
        <v>0.89</v>
      </c>
      <c r="J317" s="8" t="n">
        <f aca="false">G317*H$314</f>
        <v>80</v>
      </c>
      <c r="K317" s="8" t="n">
        <f aca="false">H317*J317</f>
        <v>13.76</v>
      </c>
    </row>
    <row r="318" customFormat="false" ht="12.75" hidden="false" customHeight="true" outlineLevel="0" collapsed="false">
      <c r="A318" s="8" t="n">
        <v>10</v>
      </c>
      <c r="B318" s="8" t="n">
        <v>0.2</v>
      </c>
      <c r="C318" s="13" t="n">
        <f aca="false">SUM(B$316:B318)</f>
        <v>0.942</v>
      </c>
      <c r="D318" s="8" t="n">
        <f aca="false">A318*B$314</f>
        <v>38</v>
      </c>
      <c r="E318" s="8" t="n">
        <f aca="false">B318*D318</f>
        <v>7.6</v>
      </c>
      <c r="G318" s="8" t="n">
        <v>10</v>
      </c>
      <c r="H318" s="8" t="n">
        <v>0.1</v>
      </c>
      <c r="I318" s="13" t="n">
        <f aca="false">SUM(H$316:H318)</f>
        <v>0.99</v>
      </c>
      <c r="J318" s="8" t="n">
        <f aca="false">G318*H$314</f>
        <v>100</v>
      </c>
      <c r="K318" s="8" t="n">
        <f aca="false">H318*J318</f>
        <v>10</v>
      </c>
    </row>
    <row r="319" customFormat="false" ht="12.75" hidden="false" customHeight="true" outlineLevel="0" collapsed="false">
      <c r="A319" s="8" t="n">
        <v>12</v>
      </c>
      <c r="B319" s="8" t="n">
        <v>0.033</v>
      </c>
      <c r="C319" s="13" t="n">
        <f aca="false">SUM(B$316:B319)</f>
        <v>0.975</v>
      </c>
      <c r="D319" s="8" t="n">
        <f aca="false">A319*B$314</f>
        <v>45.6</v>
      </c>
      <c r="E319" s="8" t="n">
        <f aca="false">B319*D319</f>
        <v>1.5048</v>
      </c>
      <c r="G319" s="8" t="n">
        <v>12</v>
      </c>
      <c r="H319" s="8" t="n">
        <v>0.005</v>
      </c>
      <c r="I319" s="13" t="n">
        <f aca="false">SUM(H$316:H319)</f>
        <v>0.995</v>
      </c>
      <c r="J319" s="8" t="n">
        <f aca="false">G319*H$314</f>
        <v>120</v>
      </c>
      <c r="K319" s="8" t="n">
        <f aca="false">H319*J319</f>
        <v>0.6</v>
      </c>
    </row>
    <row r="320" customFormat="false" ht="12.75" hidden="false" customHeight="true" outlineLevel="0" collapsed="false">
      <c r="A320" s="8" t="n">
        <v>15</v>
      </c>
      <c r="B320" s="8" t="n">
        <v>0.015</v>
      </c>
      <c r="C320" s="13" t="n">
        <f aca="false">SUM(B$316:B320)</f>
        <v>0.99</v>
      </c>
      <c r="D320" s="8" t="n">
        <f aca="false">A320*B$314</f>
        <v>57</v>
      </c>
      <c r="E320" s="8" t="n">
        <f aca="false">B320*D320</f>
        <v>0.855</v>
      </c>
      <c r="G320" s="8" t="n">
        <v>15</v>
      </c>
      <c r="H320" s="8" t="n">
        <v>0.003</v>
      </c>
      <c r="I320" s="13" t="n">
        <f aca="false">SUM(H$316:H320)</f>
        <v>0.998</v>
      </c>
      <c r="J320" s="8" t="n">
        <f aca="false">G320*H$314</f>
        <v>150</v>
      </c>
      <c r="K320" s="8" t="n">
        <f aca="false">H320*J320</f>
        <v>0.45</v>
      </c>
    </row>
    <row r="321" customFormat="false" ht="12.75" hidden="false" customHeight="true" outlineLevel="0" collapsed="false">
      <c r="A321" s="8" t="n">
        <v>18</v>
      </c>
      <c r="B321" s="8" t="n">
        <v>0.005</v>
      </c>
      <c r="C321" s="13" t="n">
        <f aca="false">SUM(B$316:B321)</f>
        <v>0.995</v>
      </c>
      <c r="D321" s="8" t="n">
        <f aca="false">A321*B$314</f>
        <v>68.4</v>
      </c>
      <c r="E321" s="8" t="n">
        <f aca="false">B321*D321</f>
        <v>0.342</v>
      </c>
      <c r="G321" s="8" t="n">
        <v>18</v>
      </c>
      <c r="H321" s="8" t="n">
        <v>0.001</v>
      </c>
      <c r="I321" s="13" t="n">
        <f aca="false">SUM(H$316:H321)</f>
        <v>0.999</v>
      </c>
      <c r="J321" s="8" t="n">
        <f aca="false">G321*H$314</f>
        <v>180</v>
      </c>
      <c r="K321" s="8" t="n">
        <f aca="false">H321*J321</f>
        <v>0.18</v>
      </c>
    </row>
    <row r="322" customFormat="false" ht="12.75" hidden="false" customHeight="true" outlineLevel="0" collapsed="false">
      <c r="A322" s="8" t="n">
        <v>20</v>
      </c>
      <c r="B322" s="8" t="n">
        <v>0.005</v>
      </c>
      <c r="C322" s="13" t="n">
        <f aca="false">SUM(B$316:B322)</f>
        <v>1</v>
      </c>
      <c r="D322" s="8" t="n">
        <f aca="false">A322*B$314</f>
        <v>76</v>
      </c>
      <c r="E322" s="8" t="n">
        <f aca="false">B322*D322</f>
        <v>0.38</v>
      </c>
      <c r="G322" s="8" t="n">
        <v>20</v>
      </c>
      <c r="H322" s="8" t="n">
        <v>0.001</v>
      </c>
      <c r="I322" s="13" t="n">
        <f aca="false">SUM(H$316:H322)</f>
        <v>1</v>
      </c>
      <c r="J322" s="8" t="n">
        <f aca="false">G322*H$314</f>
        <v>200</v>
      </c>
      <c r="K322" s="8" t="n">
        <f aca="false">H322*J322</f>
        <v>0.2</v>
      </c>
    </row>
    <row r="323" customFormat="false" ht="12.75" hidden="false" customHeight="true" outlineLevel="0" collapsed="false"/>
    <row r="324" customFormat="false" ht="12.75" hidden="false" customHeight="true" outlineLevel="0" collapsed="false">
      <c r="D324" s="8" t="s">
        <v>108</v>
      </c>
      <c r="E324" s="8" t="n">
        <f aca="false">SUM(E316:E322)</f>
        <v>31.559</v>
      </c>
      <c r="J324" s="8" t="s">
        <v>108</v>
      </c>
      <c r="K324" s="8" t="n">
        <f aca="false">SUM(K316:K322)</f>
        <v>75.45</v>
      </c>
    </row>
    <row r="325" customFormat="false" ht="12.75" hidden="false" customHeight="true" outlineLevel="0" collapsed="false"/>
    <row r="326" customFormat="false" ht="12.75" hidden="false" customHeight="true" outlineLevel="0" collapsed="false">
      <c r="A326" s="10" t="s">
        <v>56</v>
      </c>
      <c r="G326" s="9" t="s">
        <v>57</v>
      </c>
    </row>
    <row r="327" customFormat="false" ht="12.75" hidden="false" customHeight="true" outlineLevel="0" collapsed="false">
      <c r="A327" s="8" t="s">
        <v>102</v>
      </c>
      <c r="B327" s="8" t="n">
        <f aca="false">$BD$3</f>
        <v>16</v>
      </c>
      <c r="G327" s="8" t="s">
        <v>102</v>
      </c>
      <c r="H327" s="8" t="n">
        <f aca="false">$BI$3</f>
        <v>1.9</v>
      </c>
    </row>
    <row r="328" customFormat="false" ht="12.75" hidden="false" customHeight="true" outlineLevel="0" collapsed="false">
      <c r="A328" s="8" t="s">
        <v>103</v>
      </c>
      <c r="B328" s="8" t="s">
        <v>104</v>
      </c>
      <c r="C328" s="8" t="s">
        <v>105</v>
      </c>
      <c r="D328" s="8" t="s">
        <v>106</v>
      </c>
      <c r="E328" s="8" t="s">
        <v>107</v>
      </c>
      <c r="G328" s="8" t="s">
        <v>103</v>
      </c>
      <c r="H328" s="8" t="s">
        <v>104</v>
      </c>
      <c r="I328" s="8" t="s">
        <v>105</v>
      </c>
      <c r="J328" s="8" t="s">
        <v>106</v>
      </c>
      <c r="K328" s="8" t="s">
        <v>107</v>
      </c>
    </row>
    <row r="329" customFormat="false" ht="12.75" hidden="false" customHeight="true" outlineLevel="0" collapsed="false">
      <c r="A329" s="8" t="n">
        <v>7</v>
      </c>
      <c r="B329" s="8" t="n">
        <v>0.84</v>
      </c>
      <c r="C329" s="13" t="n">
        <f aca="false">SUM(B$329:B329)</f>
        <v>0.84</v>
      </c>
      <c r="D329" s="8" t="n">
        <f aca="false">A329*B$327</f>
        <v>112</v>
      </c>
      <c r="E329" s="8" t="n">
        <f aca="false">B329*D329</f>
        <v>94.08</v>
      </c>
      <c r="G329" s="8" t="n">
        <v>30</v>
      </c>
      <c r="H329" s="8" t="n">
        <v>0.885</v>
      </c>
      <c r="I329" s="13" t="n">
        <f aca="false">SUM(H$329:H329)</f>
        <v>0.885</v>
      </c>
      <c r="J329" s="8" t="n">
        <f aca="false">G329*H$327</f>
        <v>57</v>
      </c>
      <c r="K329" s="8" t="n">
        <f aca="false">H329*J329</f>
        <v>50.445</v>
      </c>
    </row>
    <row r="330" customFormat="false" ht="12.75" hidden="false" customHeight="true" outlineLevel="0" collapsed="false">
      <c r="A330" s="8" t="n">
        <v>8</v>
      </c>
      <c r="B330" s="8" t="n">
        <v>0.1</v>
      </c>
      <c r="C330" s="13" t="n">
        <f aca="false">SUM(B$329:B330)</f>
        <v>0.94</v>
      </c>
      <c r="D330" s="8" t="n">
        <f aca="false">A330*B$327</f>
        <v>128</v>
      </c>
      <c r="E330" s="8" t="n">
        <f aca="false">B330*D330</f>
        <v>12.8</v>
      </c>
      <c r="G330" s="8" t="n">
        <v>40</v>
      </c>
      <c r="H330" s="8" t="n">
        <v>0.052</v>
      </c>
      <c r="I330" s="13" t="n">
        <f aca="false">SUM(H$329:H330)</f>
        <v>0.937</v>
      </c>
      <c r="J330" s="8" t="n">
        <f aca="false">G330*H$327</f>
        <v>76</v>
      </c>
      <c r="K330" s="8" t="n">
        <f aca="false">H330*J330</f>
        <v>3.952</v>
      </c>
    </row>
    <row r="331" customFormat="false" ht="12.75" hidden="false" customHeight="true" outlineLevel="0" collapsed="false">
      <c r="A331" s="8" t="n">
        <v>10</v>
      </c>
      <c r="B331" s="8" t="n">
        <v>0.05</v>
      </c>
      <c r="C331" s="13" t="n">
        <f aca="false">SUM(B$329:B331)</f>
        <v>0.99</v>
      </c>
      <c r="D331" s="8" t="n">
        <f aca="false">A331*B$327</f>
        <v>160</v>
      </c>
      <c r="E331" s="8" t="n">
        <f aca="false">B331*D331</f>
        <v>8</v>
      </c>
      <c r="G331" s="8" t="n">
        <v>50</v>
      </c>
      <c r="H331" s="8" t="n">
        <v>0.02</v>
      </c>
      <c r="I331" s="13" t="n">
        <f aca="false">SUM(H$329:H331)</f>
        <v>0.957</v>
      </c>
      <c r="J331" s="8" t="n">
        <f aca="false">G331*H$327</f>
        <v>95</v>
      </c>
      <c r="K331" s="8" t="n">
        <f aca="false">H331*J331</f>
        <v>1.9</v>
      </c>
    </row>
    <row r="332" customFormat="false" ht="12.75" hidden="false" customHeight="true" outlineLevel="0" collapsed="false">
      <c r="A332" s="8" t="n">
        <v>12</v>
      </c>
      <c r="B332" s="8" t="n">
        <v>0.005</v>
      </c>
      <c r="C332" s="13" t="n">
        <f aca="false">SUM(B$329:B332)</f>
        <v>0.995</v>
      </c>
      <c r="D332" s="8" t="n">
        <f aca="false">A332*B$327</f>
        <v>192</v>
      </c>
      <c r="E332" s="8" t="n">
        <f aca="false">B332*D332</f>
        <v>0.96</v>
      </c>
      <c r="G332" s="8" t="n">
        <v>60</v>
      </c>
      <c r="H332" s="8" t="n">
        <v>0.013</v>
      </c>
      <c r="I332" s="13" t="n">
        <f aca="false">SUM(H$329:H332)</f>
        <v>0.97</v>
      </c>
      <c r="J332" s="8" t="n">
        <f aca="false">G332*H$327</f>
        <v>114</v>
      </c>
      <c r="K332" s="8" t="n">
        <f aca="false">H332*J332</f>
        <v>1.482</v>
      </c>
    </row>
    <row r="333" customFormat="false" ht="12.75" hidden="false" customHeight="true" outlineLevel="0" collapsed="false">
      <c r="A333" s="8" t="n">
        <v>15</v>
      </c>
      <c r="B333" s="8" t="n">
        <v>0.003</v>
      </c>
      <c r="C333" s="13" t="n">
        <f aca="false">SUM(B$329:B333)</f>
        <v>0.998</v>
      </c>
      <c r="D333" s="8" t="n">
        <f aca="false">A333*B$327</f>
        <v>240</v>
      </c>
      <c r="E333" s="8" t="n">
        <f aca="false">B333*D333</f>
        <v>0.72</v>
      </c>
      <c r="G333" s="8" t="n">
        <v>70</v>
      </c>
      <c r="H333" s="8" t="n">
        <v>0.01</v>
      </c>
      <c r="I333" s="13" t="n">
        <f aca="false">SUM(H$329:H333)</f>
        <v>0.98</v>
      </c>
      <c r="J333" s="8" t="n">
        <f aca="false">G333*H$327</f>
        <v>133</v>
      </c>
      <c r="K333" s="8" t="n">
        <f aca="false">H333*J333</f>
        <v>1.33</v>
      </c>
    </row>
    <row r="334" customFormat="false" ht="12.75" hidden="false" customHeight="true" outlineLevel="0" collapsed="false">
      <c r="A334" s="8" t="n">
        <v>18</v>
      </c>
      <c r="B334" s="8" t="n">
        <v>0.001</v>
      </c>
      <c r="C334" s="13" t="n">
        <f aca="false">SUM(B$329:B334)</f>
        <v>0.999</v>
      </c>
      <c r="D334" s="8" t="n">
        <f aca="false">A334*B$327</f>
        <v>288</v>
      </c>
      <c r="E334" s="8" t="n">
        <f aca="false">B334*D334</f>
        <v>0.288</v>
      </c>
      <c r="G334" s="8" t="n">
        <v>80</v>
      </c>
      <c r="H334" s="8" t="n">
        <v>0.01</v>
      </c>
      <c r="I334" s="13" t="n">
        <f aca="false">SUM(H$329:H334)</f>
        <v>0.99</v>
      </c>
      <c r="J334" s="8" t="n">
        <f aca="false">G334*H$327</f>
        <v>152</v>
      </c>
      <c r="K334" s="8" t="n">
        <f aca="false">H334*J334</f>
        <v>1.52</v>
      </c>
    </row>
    <row r="335" customFormat="false" ht="12.75" hidden="false" customHeight="true" outlineLevel="0" collapsed="false">
      <c r="A335" s="8" t="n">
        <v>20</v>
      </c>
      <c r="B335" s="8" t="n">
        <v>0.001</v>
      </c>
      <c r="C335" s="13" t="n">
        <f aca="false">SUM(B$329:B335)</f>
        <v>1</v>
      </c>
      <c r="D335" s="8" t="n">
        <f aca="false">A335*B$327</f>
        <v>320</v>
      </c>
      <c r="E335" s="8" t="n">
        <f aca="false">B335*D335</f>
        <v>0.32</v>
      </c>
      <c r="G335" s="8" t="n">
        <v>100</v>
      </c>
      <c r="H335" s="8" t="n">
        <v>0.01</v>
      </c>
      <c r="I335" s="13" t="n">
        <f aca="false">SUM(H$329:H335)</f>
        <v>1</v>
      </c>
      <c r="J335" s="8" t="n">
        <f aca="false">G335*H$327</f>
        <v>190</v>
      </c>
      <c r="K335" s="8" t="n">
        <f aca="false">H335*J335</f>
        <v>1.9</v>
      </c>
    </row>
    <row r="336" customFormat="false" ht="12.75" hidden="false" customHeight="true" outlineLevel="0" collapsed="false"/>
    <row r="337" customFormat="false" ht="12.75" hidden="false" customHeight="true" outlineLevel="0" collapsed="false">
      <c r="D337" s="8" t="s">
        <v>108</v>
      </c>
      <c r="E337" s="8" t="n">
        <f aca="false">SUM(E329:E335)</f>
        <v>117.168</v>
      </c>
      <c r="J337" s="8" t="s">
        <v>108</v>
      </c>
      <c r="K337" s="8" t="n">
        <f aca="false">SUM(K329:K335)</f>
        <v>62.529</v>
      </c>
    </row>
    <row r="338" customFormat="false" ht="12.75" hidden="false" customHeight="true" outlineLevel="0" collapsed="false"/>
    <row r="339" customFormat="false" ht="12.75" hidden="false" customHeight="true" outlineLevel="0" collapsed="false">
      <c r="A339" s="10" t="s">
        <v>58</v>
      </c>
      <c r="G339" s="9" t="s">
        <v>59</v>
      </c>
    </row>
    <row r="340" customFormat="false" ht="12.75" hidden="false" customHeight="true" outlineLevel="0" collapsed="false">
      <c r="A340" s="8" t="s">
        <v>102</v>
      </c>
      <c r="B340" s="8" t="n">
        <f aca="false">$BN$3</f>
        <v>2</v>
      </c>
      <c r="G340" s="8" t="s">
        <v>102</v>
      </c>
      <c r="H340" s="8" t="n">
        <f aca="false">$BS$3</f>
        <v>24</v>
      </c>
    </row>
    <row r="341" customFormat="false" ht="12.75" hidden="false" customHeight="true" outlineLevel="0" collapsed="false">
      <c r="A341" s="8" t="s">
        <v>103</v>
      </c>
      <c r="B341" s="8" t="s">
        <v>104</v>
      </c>
      <c r="C341" s="8" t="s">
        <v>105</v>
      </c>
      <c r="D341" s="8" t="s">
        <v>106</v>
      </c>
      <c r="E341" s="8" t="s">
        <v>107</v>
      </c>
      <c r="G341" s="8" t="s">
        <v>103</v>
      </c>
      <c r="H341" s="8" t="s">
        <v>104</v>
      </c>
      <c r="I341" s="8" t="s">
        <v>105</v>
      </c>
      <c r="J341" s="8" t="s">
        <v>106</v>
      </c>
      <c r="K341" s="8" t="s">
        <v>107</v>
      </c>
    </row>
    <row r="342" customFormat="false" ht="12.75" hidden="false" customHeight="true" outlineLevel="0" collapsed="false">
      <c r="A342" s="8" t="n">
        <v>30</v>
      </c>
      <c r="B342" s="8" t="n">
        <v>0.722</v>
      </c>
      <c r="C342" s="13" t="n">
        <f aca="false">SUM(B$342:B342)</f>
        <v>0.722</v>
      </c>
      <c r="D342" s="8" t="n">
        <f aca="false">A342*B$340</f>
        <v>60</v>
      </c>
      <c r="E342" s="8" t="n">
        <f aca="false">B342*D342</f>
        <v>43.32</v>
      </c>
      <c r="G342" s="8" t="n">
        <v>7</v>
      </c>
      <c r="H342" s="8" t="n">
        <v>0.835</v>
      </c>
      <c r="I342" s="13" t="n">
        <f aca="false">SUM(H$342:H342)</f>
        <v>0.835</v>
      </c>
      <c r="J342" s="8" t="n">
        <f aca="false">G342*H$340</f>
        <v>168</v>
      </c>
      <c r="K342" s="8" t="n">
        <f aca="false">H342*J342</f>
        <v>140.28</v>
      </c>
    </row>
    <row r="343" customFormat="false" ht="12.75" hidden="false" customHeight="true" outlineLevel="0" collapsed="false">
      <c r="A343" s="8" t="n">
        <v>40</v>
      </c>
      <c r="B343" s="8" t="n">
        <v>0.213</v>
      </c>
      <c r="C343" s="13" t="n">
        <f aca="false">SUM(B$342:B343)</f>
        <v>0.935</v>
      </c>
      <c r="D343" s="8" t="n">
        <f aca="false">A343*B$340</f>
        <v>80</v>
      </c>
      <c r="E343" s="8" t="n">
        <f aca="false">B343*D343</f>
        <v>17.04</v>
      </c>
      <c r="G343" s="8" t="n">
        <v>8</v>
      </c>
      <c r="H343" s="8" t="n">
        <v>0.13</v>
      </c>
      <c r="I343" s="13" t="n">
        <f aca="false">SUM(H$342:H343)</f>
        <v>0.965</v>
      </c>
      <c r="J343" s="8" t="n">
        <f aca="false">G343*H$340</f>
        <v>192</v>
      </c>
      <c r="K343" s="8" t="n">
        <f aca="false">H343*J343</f>
        <v>24.96</v>
      </c>
    </row>
    <row r="344" customFormat="false" ht="12.75" hidden="false" customHeight="true" outlineLevel="0" collapsed="false">
      <c r="A344" s="8" t="n">
        <v>50</v>
      </c>
      <c r="B344" s="8" t="n">
        <v>0.05</v>
      </c>
      <c r="C344" s="13" t="n">
        <f aca="false">SUM(B$342:B344)</f>
        <v>0.985</v>
      </c>
      <c r="D344" s="8" t="n">
        <f aca="false">A344*B$340</f>
        <v>100</v>
      </c>
      <c r="E344" s="8" t="n">
        <f aca="false">B344*D344</f>
        <v>5</v>
      </c>
      <c r="G344" s="8" t="n">
        <v>10</v>
      </c>
      <c r="H344" s="8" t="n">
        <v>0.02</v>
      </c>
      <c r="I344" s="13" t="n">
        <f aca="false">SUM(H$342:H344)</f>
        <v>0.985</v>
      </c>
      <c r="J344" s="8" t="n">
        <f aca="false">G344*H$340</f>
        <v>240</v>
      </c>
      <c r="K344" s="8" t="n">
        <f aca="false">H344*J344</f>
        <v>4.8</v>
      </c>
    </row>
    <row r="345" customFormat="false" ht="12.75" hidden="false" customHeight="true" outlineLevel="0" collapsed="false">
      <c r="A345" s="8" t="n">
        <v>60</v>
      </c>
      <c r="B345" s="8" t="n">
        <v>0.01</v>
      </c>
      <c r="C345" s="13" t="n">
        <f aca="false">SUM(B$342:B345)</f>
        <v>0.995</v>
      </c>
      <c r="D345" s="8" t="n">
        <f aca="false">A345*B$340</f>
        <v>120</v>
      </c>
      <c r="E345" s="8" t="n">
        <f aca="false">B345*D345</f>
        <v>1.2</v>
      </c>
      <c r="G345" s="8" t="n">
        <v>12</v>
      </c>
      <c r="H345" s="8" t="n">
        <v>0.01</v>
      </c>
      <c r="I345" s="13" t="n">
        <f aca="false">SUM(H$342:H345)</f>
        <v>0.995</v>
      </c>
      <c r="J345" s="8" t="n">
        <f aca="false">G345*H$340</f>
        <v>288</v>
      </c>
      <c r="K345" s="8" t="n">
        <f aca="false">H345*J345</f>
        <v>2.88</v>
      </c>
    </row>
    <row r="346" customFormat="false" ht="12.75" hidden="false" customHeight="true" outlineLevel="0" collapsed="false">
      <c r="A346" s="8" t="n">
        <v>70</v>
      </c>
      <c r="B346" s="8" t="n">
        <v>0.003</v>
      </c>
      <c r="C346" s="13" t="n">
        <f aca="false">SUM(B$342:B346)</f>
        <v>0.998</v>
      </c>
      <c r="D346" s="8" t="n">
        <f aca="false">A346*B$340</f>
        <v>140</v>
      </c>
      <c r="E346" s="8" t="n">
        <f aca="false">B346*D346</f>
        <v>0.42</v>
      </c>
      <c r="G346" s="8" t="n">
        <v>15</v>
      </c>
      <c r="H346" s="8" t="n">
        <v>0.003</v>
      </c>
      <c r="I346" s="13" t="n">
        <f aca="false">SUM(H$342:H346)</f>
        <v>0.998</v>
      </c>
      <c r="J346" s="8" t="n">
        <f aca="false">G346*H$340</f>
        <v>360</v>
      </c>
      <c r="K346" s="8" t="n">
        <f aca="false">H346*J346</f>
        <v>1.08</v>
      </c>
    </row>
    <row r="347" customFormat="false" ht="12.75" hidden="false" customHeight="true" outlineLevel="0" collapsed="false">
      <c r="A347" s="8" t="n">
        <v>80</v>
      </c>
      <c r="B347" s="8" t="n">
        <v>0.001</v>
      </c>
      <c r="C347" s="13" t="n">
        <f aca="false">SUM(B$342:B347)</f>
        <v>0.999</v>
      </c>
      <c r="D347" s="8" t="n">
        <f aca="false">A347*B$340</f>
        <v>160</v>
      </c>
      <c r="E347" s="8" t="n">
        <f aca="false">B347*D347</f>
        <v>0.16</v>
      </c>
      <c r="G347" s="8" t="n">
        <v>18</v>
      </c>
      <c r="H347" s="8" t="n">
        <v>0.001</v>
      </c>
      <c r="I347" s="13" t="n">
        <f aca="false">SUM(H$342:H347)</f>
        <v>0.999</v>
      </c>
      <c r="J347" s="8" t="n">
        <f aca="false">G347*H$340</f>
        <v>432</v>
      </c>
      <c r="K347" s="8" t="n">
        <f aca="false">H347*J347</f>
        <v>0.432</v>
      </c>
    </row>
    <row r="348" customFormat="false" ht="12.75" hidden="false" customHeight="true" outlineLevel="0" collapsed="false">
      <c r="A348" s="8" t="n">
        <v>100</v>
      </c>
      <c r="B348" s="8" t="n">
        <v>0.001</v>
      </c>
      <c r="C348" s="13" t="n">
        <f aca="false">SUM(B$342:B348)</f>
        <v>1</v>
      </c>
      <c r="D348" s="8" t="n">
        <f aca="false">A348*B$340</f>
        <v>200</v>
      </c>
      <c r="E348" s="8" t="n">
        <f aca="false">B348*D348</f>
        <v>0.2</v>
      </c>
      <c r="G348" s="8" t="n">
        <v>20</v>
      </c>
      <c r="H348" s="8" t="n">
        <v>0.001</v>
      </c>
      <c r="I348" s="13" t="n">
        <f aca="false">SUM(H$342:H348)</f>
        <v>1</v>
      </c>
      <c r="J348" s="8" t="n">
        <f aca="false">G348*H$340</f>
        <v>480</v>
      </c>
      <c r="K348" s="8" t="n">
        <f aca="false">H348*J348</f>
        <v>0.48</v>
      </c>
    </row>
    <row r="349" customFormat="false" ht="12.75" hidden="false" customHeight="true" outlineLevel="0" collapsed="false"/>
    <row r="350" customFormat="false" ht="12.75" hidden="false" customHeight="true" outlineLevel="0" collapsed="false">
      <c r="D350" s="8" t="s">
        <v>108</v>
      </c>
      <c r="E350" s="8" t="n">
        <f aca="false">SUM(E342:E348)</f>
        <v>67.34</v>
      </c>
      <c r="J350" s="8" t="s">
        <v>108</v>
      </c>
      <c r="K350" s="8" t="n">
        <f aca="false">SUM(K342:K348)</f>
        <v>174.912</v>
      </c>
    </row>
    <row r="351" customFormat="false" ht="12.75" hidden="false" customHeight="true" outlineLevel="0" collapsed="false"/>
    <row r="352" customFormat="false" ht="12.75" hidden="false" customHeight="true" outlineLevel="0" collapsed="false">
      <c r="A352" s="11" t="s">
        <v>60</v>
      </c>
    </row>
    <row r="353" customFormat="false" ht="12.75" hidden="false" customHeight="true" outlineLevel="0" collapsed="false">
      <c r="A353" s="8" t="s">
        <v>102</v>
      </c>
      <c r="B353" s="8" t="n">
        <f aca="false">$BX$3</f>
        <v>19</v>
      </c>
    </row>
    <row r="354" customFormat="false" ht="12.75" hidden="false" customHeight="true" outlineLevel="0" collapsed="false">
      <c r="A354" s="8" t="s">
        <v>103</v>
      </c>
      <c r="B354" s="8" t="s">
        <v>104</v>
      </c>
      <c r="C354" s="8" t="s">
        <v>105</v>
      </c>
      <c r="D354" s="8" t="s">
        <v>106</v>
      </c>
      <c r="E354" s="8" t="s">
        <v>107</v>
      </c>
    </row>
    <row r="355" customFormat="false" ht="12.75" hidden="false" customHeight="true" outlineLevel="0" collapsed="false">
      <c r="A355" s="8" t="n">
        <v>7</v>
      </c>
      <c r="B355" s="8" t="n">
        <v>0.786</v>
      </c>
      <c r="C355" s="13" t="n">
        <f aca="false">SUM(B$355:B355)</f>
        <v>0.786</v>
      </c>
      <c r="D355" s="8" t="n">
        <f aca="false">A355*$B$353</f>
        <v>133</v>
      </c>
      <c r="E355" s="8" t="n">
        <f aca="false">B355*D355</f>
        <v>104.538</v>
      </c>
    </row>
    <row r="356" customFormat="false" ht="12.75" hidden="false" customHeight="true" outlineLevel="0" collapsed="false">
      <c r="A356" s="8" t="n">
        <v>8</v>
      </c>
      <c r="B356" s="8" t="n">
        <v>0.15</v>
      </c>
      <c r="C356" s="13" t="n">
        <f aca="false">SUM(B$355:B356)</f>
        <v>0.936</v>
      </c>
      <c r="D356" s="8" t="n">
        <f aca="false">A356*$B$353</f>
        <v>152</v>
      </c>
      <c r="E356" s="8" t="n">
        <f aca="false">B356*D356</f>
        <v>22.8</v>
      </c>
    </row>
    <row r="357" customFormat="false" ht="12.75" hidden="false" customHeight="true" outlineLevel="0" collapsed="false">
      <c r="A357" s="8" t="n">
        <v>10</v>
      </c>
      <c r="B357" s="8" t="n">
        <v>0.05</v>
      </c>
      <c r="C357" s="13" t="n">
        <f aca="false">SUM(B$355:B357)</f>
        <v>0.986</v>
      </c>
      <c r="D357" s="8" t="n">
        <f aca="false">A357*$B$353</f>
        <v>190</v>
      </c>
      <c r="E357" s="8" t="n">
        <f aca="false">B357*D357</f>
        <v>9.5</v>
      </c>
    </row>
    <row r="358" customFormat="false" ht="12.75" hidden="false" customHeight="true" outlineLevel="0" collapsed="false">
      <c r="A358" s="8" t="n">
        <v>12</v>
      </c>
      <c r="B358" s="8" t="n">
        <v>0.007</v>
      </c>
      <c r="C358" s="13" t="n">
        <f aca="false">SUM(B$355:B358)</f>
        <v>0.993</v>
      </c>
      <c r="D358" s="8" t="n">
        <f aca="false">A358*$B$353</f>
        <v>228</v>
      </c>
      <c r="E358" s="8" t="n">
        <f aca="false">B358*D358</f>
        <v>1.596</v>
      </c>
    </row>
    <row r="359" customFormat="false" ht="12.75" hidden="false" customHeight="true" outlineLevel="0" collapsed="false">
      <c r="A359" s="8" t="n">
        <v>15</v>
      </c>
      <c r="B359" s="8" t="n">
        <v>0.005</v>
      </c>
      <c r="C359" s="13" t="n">
        <f aca="false">SUM(B$355:B359)</f>
        <v>0.998</v>
      </c>
      <c r="D359" s="8" t="n">
        <f aca="false">A359*$B$353</f>
        <v>285</v>
      </c>
      <c r="E359" s="8" t="n">
        <f aca="false">B359*D359</f>
        <v>1.425</v>
      </c>
    </row>
    <row r="360" customFormat="false" ht="12.75" hidden="false" customHeight="true" outlineLevel="0" collapsed="false">
      <c r="A360" s="8" t="n">
        <v>18</v>
      </c>
      <c r="B360" s="8" t="n">
        <v>0.001</v>
      </c>
      <c r="C360" s="13" t="n">
        <f aca="false">SUM(B$355:B360)</f>
        <v>0.999</v>
      </c>
      <c r="D360" s="8" t="n">
        <f aca="false">A360*$B$353</f>
        <v>342</v>
      </c>
      <c r="E360" s="8" t="n">
        <f aca="false">B360*D360</f>
        <v>0.342</v>
      </c>
    </row>
    <row r="361" customFormat="false" ht="12.75" hidden="false" customHeight="true" outlineLevel="0" collapsed="false">
      <c r="A361" s="8" t="n">
        <v>20</v>
      </c>
      <c r="B361" s="8" t="n">
        <v>0.001</v>
      </c>
      <c r="C361" s="13" t="n">
        <f aca="false">SUM(B$355:B361)</f>
        <v>1</v>
      </c>
      <c r="D361" s="8" t="n">
        <f aca="false">A361*$B$353</f>
        <v>380</v>
      </c>
      <c r="E361" s="8" t="n">
        <f aca="false">B361*D361</f>
        <v>0.38</v>
      </c>
    </row>
    <row r="362" customFormat="false" ht="12.75" hidden="false" customHeight="true" outlineLevel="0" collapsed="false"/>
    <row r="363" customFormat="false" ht="12.75" hidden="false" customHeight="true" outlineLevel="0" collapsed="false">
      <c r="D363" s="8" t="s">
        <v>108</v>
      </c>
      <c r="E363" s="8" t="n">
        <f aca="false">SUM(E355:E361)</f>
        <v>140.581</v>
      </c>
    </row>
    <row r="364" customFormat="false" ht="12.75" hidden="false" customHeight="true" outlineLevel="0" collapsed="false"/>
    <row r="365" customFormat="false" ht="12.75" hidden="false" customHeight="true" outlineLevel="0" collapsed="false">
      <c r="A365" s="18" t="s">
        <v>141</v>
      </c>
      <c r="B365" s="8" t="s">
        <v>110</v>
      </c>
      <c r="C365" s="8" t="s">
        <v>111</v>
      </c>
      <c r="D365" s="8" t="s">
        <v>112</v>
      </c>
    </row>
    <row r="366" customFormat="false" ht="12.75" hidden="false" customHeight="true" outlineLevel="0" collapsed="false">
      <c r="A366" s="10" t="s">
        <v>47</v>
      </c>
      <c r="B366" s="8" t="n">
        <f aca="false">E285</f>
        <v>41.292</v>
      </c>
      <c r="C366" s="8" t="n">
        <v>5</v>
      </c>
      <c r="D366" s="8" t="n">
        <f aca="false">B366*C366/C$380</f>
        <v>1.86</v>
      </c>
    </row>
    <row r="367" customFormat="false" ht="12.75" hidden="false" customHeight="true" outlineLevel="0" collapsed="false">
      <c r="A367" s="9" t="s">
        <v>48</v>
      </c>
      <c r="B367" s="8" t="n">
        <f aca="false">K285</f>
        <v>47.866</v>
      </c>
      <c r="C367" s="8" t="n">
        <v>5</v>
      </c>
      <c r="D367" s="8" t="n">
        <f aca="false">B367*C367/C$380</f>
        <v>2.15612612612613</v>
      </c>
    </row>
    <row r="368" customFormat="false" ht="12.75" hidden="false" customHeight="true" outlineLevel="0" collapsed="false">
      <c r="A368" s="10" t="s">
        <v>50</v>
      </c>
      <c r="B368" s="8" t="n">
        <f aca="false">E298</f>
        <v>61.5675</v>
      </c>
      <c r="C368" s="8" t="n">
        <v>6</v>
      </c>
      <c r="D368" s="8" t="n">
        <f aca="false">B368*C368/C$380</f>
        <v>3.32797297297297</v>
      </c>
    </row>
    <row r="369" customFormat="false" ht="12.75" hidden="false" customHeight="true" outlineLevel="0" collapsed="false">
      <c r="A369" s="9" t="s">
        <v>51</v>
      </c>
      <c r="B369" s="8" t="n">
        <f aca="false">K298</f>
        <v>31.8201</v>
      </c>
      <c r="C369" s="8" t="n">
        <v>6</v>
      </c>
      <c r="D369" s="8" t="n">
        <f aca="false">B369*C369/C$380</f>
        <v>1.72000540540541</v>
      </c>
    </row>
    <row r="370" customFormat="false" ht="12.75" hidden="false" customHeight="true" outlineLevel="0" collapsed="false">
      <c r="A370" s="10" t="s">
        <v>52</v>
      </c>
      <c r="B370" s="8" t="n">
        <f aca="false">E311</f>
        <v>56.656</v>
      </c>
      <c r="C370" s="8" t="n">
        <v>5</v>
      </c>
      <c r="D370" s="8" t="n">
        <f aca="false">B370*C370/C$380</f>
        <v>2.55207207207207</v>
      </c>
    </row>
    <row r="371" customFormat="false" ht="12.75" hidden="false" customHeight="true" outlineLevel="0" collapsed="false">
      <c r="A371" s="9" t="s">
        <v>53</v>
      </c>
      <c r="B371" s="8" t="n">
        <f aca="false">K311</f>
        <v>61.182</v>
      </c>
      <c r="C371" s="8" t="n">
        <v>5</v>
      </c>
      <c r="D371" s="8" t="n">
        <f aca="false">B371*C371/C$380</f>
        <v>2.75594594594595</v>
      </c>
    </row>
    <row r="372" customFormat="false" ht="12.75" hidden="false" customHeight="true" outlineLevel="0" collapsed="false">
      <c r="A372" s="10" t="s">
        <v>54</v>
      </c>
      <c r="B372" s="8" t="n">
        <f aca="false">E324</f>
        <v>31.559</v>
      </c>
      <c r="C372" s="8" t="n">
        <v>6</v>
      </c>
      <c r="D372" s="8" t="n">
        <f aca="false">B372*C372/C$380</f>
        <v>1.70589189189189</v>
      </c>
    </row>
    <row r="373" customFormat="false" ht="12.75" hidden="false" customHeight="true" outlineLevel="0" collapsed="false">
      <c r="A373" s="9" t="s">
        <v>55</v>
      </c>
      <c r="B373" s="8" t="n">
        <f aca="false">K324</f>
        <v>75.45</v>
      </c>
      <c r="C373" s="8" t="n">
        <v>12</v>
      </c>
      <c r="D373" s="8" t="n">
        <f aca="false">B373*C373/C$380</f>
        <v>8.15675675675676</v>
      </c>
    </row>
    <row r="374" customFormat="false" ht="12.75" hidden="false" customHeight="true" outlineLevel="0" collapsed="false">
      <c r="A374" s="10" t="s">
        <v>56</v>
      </c>
      <c r="B374" s="8" t="n">
        <f aca="false">E337</f>
        <v>117.168</v>
      </c>
      <c r="C374" s="8" t="n">
        <v>15</v>
      </c>
      <c r="D374" s="8" t="n">
        <f aca="false">B374*C374/C$380</f>
        <v>15.8335135135135</v>
      </c>
    </row>
    <row r="375" customFormat="false" ht="12.75" hidden="false" customHeight="true" outlineLevel="0" collapsed="false">
      <c r="A375" s="9" t="s">
        <v>57</v>
      </c>
      <c r="B375" s="8" t="n">
        <f aca="false">K337</f>
        <v>62.529</v>
      </c>
      <c r="C375" s="8" t="n">
        <v>12</v>
      </c>
      <c r="D375" s="8" t="n">
        <f aca="false">B375*C375/C$380</f>
        <v>6.75989189189189</v>
      </c>
    </row>
    <row r="376" customFormat="false" ht="12.75" hidden="false" customHeight="true" outlineLevel="0" collapsed="false">
      <c r="A376" s="10" t="s">
        <v>58</v>
      </c>
      <c r="B376" s="8" t="n">
        <f aca="false">E350</f>
        <v>67.34</v>
      </c>
      <c r="C376" s="8" t="n">
        <v>9</v>
      </c>
      <c r="D376" s="8" t="n">
        <f aca="false">B376*C376/C$380</f>
        <v>5.46</v>
      </c>
    </row>
    <row r="377" customFormat="false" ht="12.75" hidden="false" customHeight="true" outlineLevel="0" collapsed="false">
      <c r="A377" s="9" t="s">
        <v>59</v>
      </c>
      <c r="B377" s="8" t="n">
        <f aca="false">K350</f>
        <v>174.912</v>
      </c>
      <c r="C377" s="8" t="n">
        <v>15</v>
      </c>
      <c r="D377" s="8" t="n">
        <f aca="false">B377*C377/C$380</f>
        <v>23.6367567567568</v>
      </c>
    </row>
    <row r="378" customFormat="false" ht="12.75" hidden="false" customHeight="true" outlineLevel="0" collapsed="false">
      <c r="A378" s="11" t="s">
        <v>60</v>
      </c>
      <c r="B378" s="8" t="n">
        <f aca="false">E363</f>
        <v>140.581</v>
      </c>
      <c r="C378" s="8" t="n">
        <v>10</v>
      </c>
      <c r="D378" s="8" t="n">
        <f aca="false">B378*C378/C$380</f>
        <v>12.664954954955</v>
      </c>
    </row>
    <row r="379" customFormat="false" ht="12.75" hidden="false" customHeight="true" outlineLevel="0" collapsed="false"/>
    <row r="380" customFormat="false" ht="12.75" hidden="false" customHeight="true" outlineLevel="0" collapsed="false">
      <c r="B380" s="8" t="s">
        <v>113</v>
      </c>
      <c r="C380" s="8" t="n">
        <f aca="false">SUM(C366:C378)</f>
        <v>111</v>
      </c>
      <c r="D380" s="8" t="n">
        <f aca="false">SUM(D366:D378)</f>
        <v>88.5898882882883</v>
      </c>
    </row>
    <row r="381" customFormat="false" ht="12.75" hidden="false" customHeight="true" outlineLevel="0" collapsed="false"/>
    <row r="382" customFormat="false" ht="12.75" hidden="false" customHeight="true" outlineLevel="0" collapsed="false">
      <c r="A382" s="16" t="s">
        <v>142</v>
      </c>
      <c r="B382" s="17"/>
      <c r="C382" s="17"/>
      <c r="D382" s="17"/>
      <c r="E382" s="17"/>
      <c r="F382" s="17"/>
      <c r="G382" s="17"/>
      <c r="H382" s="17"/>
      <c r="I382" s="17"/>
      <c r="J382" s="17"/>
      <c r="K382" s="17"/>
    </row>
    <row r="383" customFormat="false" ht="12.75" hidden="false" customHeight="true" outlineLevel="0" collapsed="false"/>
    <row r="384" customFormat="false" ht="12.75" hidden="false" customHeight="true" outlineLevel="0" collapsed="false">
      <c r="A384" s="10" t="s">
        <v>47</v>
      </c>
      <c r="G384" s="9" t="s">
        <v>48</v>
      </c>
    </row>
    <row r="385" customFormat="false" ht="12.75" hidden="false" customHeight="true" outlineLevel="0" collapsed="false">
      <c r="A385" s="8" t="s">
        <v>102</v>
      </c>
      <c r="B385" s="8" t="n">
        <f aca="false">$P$3</f>
        <v>1.2</v>
      </c>
      <c r="G385" s="8" t="s">
        <v>102</v>
      </c>
      <c r="H385" s="8" t="n">
        <f aca="false">$U$3</f>
        <v>1.4</v>
      </c>
    </row>
    <row r="386" customFormat="false" ht="12.75" hidden="false" customHeight="true" outlineLevel="0" collapsed="false">
      <c r="A386" s="8" t="s">
        <v>103</v>
      </c>
      <c r="B386" s="8" t="s">
        <v>104</v>
      </c>
      <c r="C386" s="8" t="s">
        <v>105</v>
      </c>
      <c r="D386" s="8" t="s">
        <v>106</v>
      </c>
      <c r="E386" s="8" t="s">
        <v>107</v>
      </c>
      <c r="G386" s="8" t="s">
        <v>103</v>
      </c>
      <c r="H386" s="8" t="s">
        <v>104</v>
      </c>
      <c r="I386" s="8" t="s">
        <v>105</v>
      </c>
      <c r="J386" s="8" t="s">
        <v>106</v>
      </c>
      <c r="K386" s="8" t="s">
        <v>107</v>
      </c>
    </row>
    <row r="387" customFormat="false" ht="12.75" hidden="false" customHeight="true" outlineLevel="0" collapsed="false">
      <c r="A387" s="8" t="n">
        <v>30</v>
      </c>
      <c r="B387" s="8" t="n">
        <v>0</v>
      </c>
      <c r="C387" s="13" t="n">
        <f aca="false">SUM(B$387:B387)</f>
        <v>0</v>
      </c>
      <c r="D387" s="8" t="n">
        <f aca="false">A387*B$385</f>
        <v>36</v>
      </c>
      <c r="E387" s="8" t="n">
        <f aca="false">B387*D387</f>
        <v>0</v>
      </c>
      <c r="G387" s="8" t="n">
        <v>30</v>
      </c>
      <c r="H387" s="8" t="n">
        <v>0</v>
      </c>
      <c r="I387" s="13" t="n">
        <f aca="false">SUM(H$387:H387)</f>
        <v>0</v>
      </c>
      <c r="J387" s="8" t="n">
        <f aca="false">G387*H$385</f>
        <v>42</v>
      </c>
      <c r="K387" s="8" t="n">
        <f aca="false">H387*J387</f>
        <v>0</v>
      </c>
    </row>
    <row r="388" customFormat="false" ht="12.75" hidden="false" customHeight="true" outlineLevel="0" collapsed="false">
      <c r="A388" s="8" t="n">
        <v>40</v>
      </c>
      <c r="B388" s="8" t="n">
        <v>0</v>
      </c>
      <c r="C388" s="13" t="n">
        <f aca="false">SUM(B$387:B388)</f>
        <v>0</v>
      </c>
      <c r="D388" s="8" t="n">
        <f aca="false">A388*B$385</f>
        <v>48</v>
      </c>
      <c r="E388" s="8" t="n">
        <f aca="false">B388*D388</f>
        <v>0</v>
      </c>
      <c r="G388" s="8" t="n">
        <v>40</v>
      </c>
      <c r="H388" s="8" t="n">
        <v>0</v>
      </c>
      <c r="I388" s="13" t="n">
        <f aca="false">SUM(H$387:H388)</f>
        <v>0</v>
      </c>
      <c r="J388" s="8" t="n">
        <f aca="false">G388*H$385</f>
        <v>56</v>
      </c>
      <c r="K388" s="8" t="n">
        <f aca="false">H388*J388</f>
        <v>0</v>
      </c>
    </row>
    <row r="389" customFormat="false" ht="12.75" hidden="false" customHeight="true" outlineLevel="0" collapsed="false">
      <c r="A389" s="8" t="n">
        <v>50</v>
      </c>
      <c r="B389" s="8" t="n">
        <v>0.4</v>
      </c>
      <c r="C389" s="13" t="n">
        <f aca="false">SUM(B$387:B389)</f>
        <v>0.4</v>
      </c>
      <c r="D389" s="8" t="n">
        <f aca="false">A389*B$385</f>
        <v>60</v>
      </c>
      <c r="E389" s="8" t="n">
        <f aca="false">B389*D389</f>
        <v>24</v>
      </c>
      <c r="G389" s="8" t="n">
        <v>50</v>
      </c>
      <c r="H389" s="8" t="n">
        <v>0.5</v>
      </c>
      <c r="I389" s="13" t="n">
        <f aca="false">SUM(H$387:H389)</f>
        <v>0.5</v>
      </c>
      <c r="J389" s="8" t="n">
        <f aca="false">G389*H$385</f>
        <v>70</v>
      </c>
      <c r="K389" s="8" t="n">
        <f aca="false">H389*J389</f>
        <v>35</v>
      </c>
    </row>
    <row r="390" customFormat="false" ht="12.75" hidden="false" customHeight="true" outlineLevel="0" collapsed="false">
      <c r="A390" s="8" t="n">
        <v>60</v>
      </c>
      <c r="B390" s="8" t="n">
        <v>0.2</v>
      </c>
      <c r="C390" s="13" t="n">
        <f aca="false">SUM(B$387:B390)</f>
        <v>0.6</v>
      </c>
      <c r="D390" s="8" t="n">
        <f aca="false">A390*B$385</f>
        <v>72</v>
      </c>
      <c r="E390" s="8" t="n">
        <f aca="false">B390*D390</f>
        <v>14.4</v>
      </c>
      <c r="G390" s="8" t="n">
        <v>60</v>
      </c>
      <c r="H390" s="8" t="n">
        <v>0.2</v>
      </c>
      <c r="I390" s="13" t="n">
        <f aca="false">SUM(H$387:H390)</f>
        <v>0.7</v>
      </c>
      <c r="J390" s="8" t="n">
        <f aca="false">G390*H$385</f>
        <v>84</v>
      </c>
      <c r="K390" s="8" t="n">
        <f aca="false">H390*J390</f>
        <v>16.8</v>
      </c>
    </row>
    <row r="391" customFormat="false" ht="12.75" hidden="false" customHeight="true" outlineLevel="0" collapsed="false">
      <c r="A391" s="8" t="n">
        <v>70</v>
      </c>
      <c r="B391" s="8" t="n">
        <v>0.2</v>
      </c>
      <c r="C391" s="13" t="n">
        <f aca="false">SUM(B$387:B391)</f>
        <v>0.8</v>
      </c>
      <c r="D391" s="8" t="n">
        <f aca="false">A391*B$385</f>
        <v>84</v>
      </c>
      <c r="E391" s="8" t="n">
        <f aca="false">B391*D391</f>
        <v>16.8</v>
      </c>
      <c r="G391" s="8" t="n">
        <v>70</v>
      </c>
      <c r="H391" s="8" t="n">
        <v>0.1</v>
      </c>
      <c r="I391" s="13" t="n">
        <f aca="false">SUM(H$387:H391)</f>
        <v>0.8</v>
      </c>
      <c r="J391" s="8" t="n">
        <f aca="false">G391*H$385</f>
        <v>98</v>
      </c>
      <c r="K391" s="8" t="n">
        <f aca="false">H391*J391</f>
        <v>9.8</v>
      </c>
    </row>
    <row r="392" customFormat="false" ht="12.75" hidden="false" customHeight="true" outlineLevel="0" collapsed="false">
      <c r="A392" s="8" t="n">
        <v>80</v>
      </c>
      <c r="B392" s="8" t="n">
        <v>0.1</v>
      </c>
      <c r="C392" s="13" t="n">
        <f aca="false">SUM(B$387:B392)</f>
        <v>0.9</v>
      </c>
      <c r="D392" s="8" t="n">
        <f aca="false">A392*B$385</f>
        <v>96</v>
      </c>
      <c r="E392" s="8" t="n">
        <f aca="false">B392*D392</f>
        <v>9.6</v>
      </c>
      <c r="G392" s="8" t="n">
        <v>80</v>
      </c>
      <c r="H392" s="8" t="n">
        <v>0.1</v>
      </c>
      <c r="I392" s="13" t="n">
        <f aca="false">SUM(H$387:H392)</f>
        <v>0.9</v>
      </c>
      <c r="J392" s="8" t="n">
        <f aca="false">G392*H$385</f>
        <v>112</v>
      </c>
      <c r="K392" s="8" t="n">
        <f aca="false">H392*J392</f>
        <v>11.2</v>
      </c>
    </row>
    <row r="393" customFormat="false" ht="12.75" hidden="false" customHeight="true" outlineLevel="0" collapsed="false">
      <c r="A393" s="8" t="n">
        <v>100</v>
      </c>
      <c r="B393" s="8" t="n">
        <v>0.1</v>
      </c>
      <c r="C393" s="13" t="n">
        <f aca="false">SUM(B$387:B393)</f>
        <v>1</v>
      </c>
      <c r="D393" s="8" t="n">
        <f aca="false">A393*B$385</f>
        <v>120</v>
      </c>
      <c r="E393" s="8" t="n">
        <f aca="false">B393*D393</f>
        <v>12</v>
      </c>
      <c r="G393" s="8" t="n">
        <v>100</v>
      </c>
      <c r="H393" s="8" t="n">
        <v>0.1</v>
      </c>
      <c r="I393" s="13" t="n">
        <f aca="false">SUM(H$387:H393)</f>
        <v>1</v>
      </c>
      <c r="J393" s="8" t="n">
        <f aca="false">G393*H$385</f>
        <v>140</v>
      </c>
      <c r="K393" s="8" t="n">
        <f aca="false">H393*J393</f>
        <v>14</v>
      </c>
    </row>
    <row r="394" customFormat="false" ht="12.75" hidden="false" customHeight="true" outlineLevel="0" collapsed="false"/>
    <row r="395" customFormat="false" ht="12.75" hidden="false" customHeight="true" outlineLevel="0" collapsed="false">
      <c r="D395" s="8" t="s">
        <v>108</v>
      </c>
      <c r="E395" s="8" t="n">
        <f aca="false">SUM(E387:E393)</f>
        <v>76.8</v>
      </c>
      <c r="J395" s="8" t="s">
        <v>108</v>
      </c>
      <c r="K395" s="8" t="n">
        <f aca="false">SUM(K387:K393)</f>
        <v>86.8</v>
      </c>
    </row>
    <row r="396" customFormat="false" ht="12.75" hidden="false" customHeight="true" outlineLevel="0" collapsed="false"/>
    <row r="397" customFormat="false" ht="12.75" hidden="false" customHeight="true" outlineLevel="0" collapsed="false">
      <c r="A397" s="10" t="s">
        <v>50</v>
      </c>
      <c r="G397" s="9" t="s">
        <v>51</v>
      </c>
    </row>
    <row r="398" customFormat="false" ht="12.75" hidden="false" customHeight="true" outlineLevel="0" collapsed="false">
      <c r="A398" s="8" t="s">
        <v>102</v>
      </c>
      <c r="B398" s="8" t="n">
        <f aca="false">$Z$3</f>
        <v>7.5</v>
      </c>
      <c r="G398" s="8" t="s">
        <v>102</v>
      </c>
      <c r="H398" s="8" t="n">
        <f aca="false">$AE$3</f>
        <v>3.9</v>
      </c>
    </row>
    <row r="399" customFormat="false" ht="12.75" hidden="false" customHeight="true" outlineLevel="0" collapsed="false">
      <c r="A399" s="8" t="s">
        <v>103</v>
      </c>
      <c r="B399" s="8" t="s">
        <v>104</v>
      </c>
      <c r="C399" s="8" t="s">
        <v>105</v>
      </c>
      <c r="D399" s="8" t="s">
        <v>106</v>
      </c>
      <c r="E399" s="8" t="s">
        <v>107</v>
      </c>
      <c r="G399" s="8" t="s">
        <v>103</v>
      </c>
      <c r="H399" s="8" t="s">
        <v>104</v>
      </c>
      <c r="I399" s="8" t="s">
        <v>105</v>
      </c>
      <c r="J399" s="8" t="s">
        <v>106</v>
      </c>
      <c r="K399" s="8" t="s">
        <v>107</v>
      </c>
    </row>
    <row r="400" customFormat="false" ht="12.75" hidden="false" customHeight="true" outlineLevel="0" collapsed="false">
      <c r="A400" s="8" t="n">
        <v>7</v>
      </c>
      <c r="B400" s="8" t="n">
        <v>0</v>
      </c>
      <c r="C400" s="13" t="n">
        <f aca="false">SUM(B$400:B400)</f>
        <v>0</v>
      </c>
      <c r="D400" s="8" t="n">
        <f aca="false">A400*B$398</f>
        <v>52.5</v>
      </c>
      <c r="E400" s="8" t="n">
        <f aca="false">B400*D400</f>
        <v>0</v>
      </c>
      <c r="G400" s="8" t="n">
        <v>7</v>
      </c>
      <c r="H400" s="8" t="n">
        <v>0</v>
      </c>
      <c r="I400" s="13" t="n">
        <f aca="false">SUM(H$400:H400)</f>
        <v>0</v>
      </c>
      <c r="J400" s="8" t="n">
        <f aca="false">G400*H$398</f>
        <v>27.3</v>
      </c>
      <c r="K400" s="8" t="n">
        <f aca="false">H400*J400</f>
        <v>0</v>
      </c>
    </row>
    <row r="401" customFormat="false" ht="12.75" hidden="false" customHeight="true" outlineLevel="0" collapsed="false">
      <c r="A401" s="8" t="n">
        <v>8</v>
      </c>
      <c r="B401" s="8" t="n">
        <v>0</v>
      </c>
      <c r="C401" s="13" t="n">
        <f aca="false">SUM(B$400:B401)</f>
        <v>0</v>
      </c>
      <c r="D401" s="8" t="n">
        <f aca="false">A401*B$398</f>
        <v>60</v>
      </c>
      <c r="E401" s="8" t="n">
        <f aca="false">B401*D401</f>
        <v>0</v>
      </c>
      <c r="G401" s="8" t="n">
        <v>8</v>
      </c>
      <c r="H401" s="8" t="n">
        <v>0</v>
      </c>
      <c r="I401" s="13" t="n">
        <f aca="false">SUM(H$400:H401)</f>
        <v>0</v>
      </c>
      <c r="J401" s="8" t="n">
        <f aca="false">G401*H$398</f>
        <v>31.2</v>
      </c>
      <c r="K401" s="8" t="n">
        <f aca="false">H401*J401</f>
        <v>0</v>
      </c>
    </row>
    <row r="402" customFormat="false" ht="12.75" hidden="false" customHeight="true" outlineLevel="0" collapsed="false">
      <c r="A402" s="8" t="n">
        <v>10</v>
      </c>
      <c r="B402" s="8" t="n">
        <v>0.4</v>
      </c>
      <c r="C402" s="13" t="n">
        <f aca="false">SUM(B$400:B402)</f>
        <v>0.4</v>
      </c>
      <c r="D402" s="8" t="n">
        <f aca="false">A402*B$398</f>
        <v>75</v>
      </c>
      <c r="E402" s="8" t="n">
        <f aca="false">B402*D402</f>
        <v>30</v>
      </c>
      <c r="G402" s="8" t="n">
        <v>10</v>
      </c>
      <c r="H402" s="8" t="n">
        <v>0.5</v>
      </c>
      <c r="I402" s="13" t="n">
        <f aca="false">SUM(H$400:H402)</f>
        <v>0.5</v>
      </c>
      <c r="J402" s="8" t="n">
        <f aca="false">G402*H$398</f>
        <v>39</v>
      </c>
      <c r="K402" s="8" t="n">
        <f aca="false">H402*J402</f>
        <v>19.5</v>
      </c>
    </row>
    <row r="403" customFormat="false" ht="12.75" hidden="false" customHeight="true" outlineLevel="0" collapsed="false">
      <c r="A403" s="8" t="n">
        <v>12</v>
      </c>
      <c r="B403" s="8" t="n">
        <v>0.2</v>
      </c>
      <c r="C403" s="13" t="n">
        <f aca="false">SUM(B$400:B403)</f>
        <v>0.6</v>
      </c>
      <c r="D403" s="8" t="n">
        <f aca="false">A403*B$398</f>
        <v>90</v>
      </c>
      <c r="E403" s="8" t="n">
        <f aca="false">B403*D403</f>
        <v>18</v>
      </c>
      <c r="G403" s="8" t="n">
        <v>12</v>
      </c>
      <c r="H403" s="8" t="n">
        <v>0.2</v>
      </c>
      <c r="I403" s="13" t="n">
        <f aca="false">SUM(H$400:H403)</f>
        <v>0.7</v>
      </c>
      <c r="J403" s="8" t="n">
        <f aca="false">G403*H$398</f>
        <v>46.8</v>
      </c>
      <c r="K403" s="8" t="n">
        <f aca="false">H403*J403</f>
        <v>9.36</v>
      </c>
    </row>
    <row r="404" customFormat="false" ht="12.75" hidden="false" customHeight="true" outlineLevel="0" collapsed="false">
      <c r="A404" s="8" t="n">
        <v>15</v>
      </c>
      <c r="B404" s="8" t="n">
        <v>0.2</v>
      </c>
      <c r="C404" s="13" t="n">
        <f aca="false">SUM(B$400:B404)</f>
        <v>0.8</v>
      </c>
      <c r="D404" s="8" t="n">
        <f aca="false">A404*B$398</f>
        <v>112.5</v>
      </c>
      <c r="E404" s="8" t="n">
        <f aca="false">B404*D404</f>
        <v>22.5</v>
      </c>
      <c r="G404" s="8" t="n">
        <v>15</v>
      </c>
      <c r="H404" s="8" t="n">
        <v>0.1</v>
      </c>
      <c r="I404" s="13" t="n">
        <f aca="false">SUM(H$400:H404)</f>
        <v>0.8</v>
      </c>
      <c r="J404" s="8" t="n">
        <f aca="false">G404*H$398</f>
        <v>58.5</v>
      </c>
      <c r="K404" s="8" t="n">
        <f aca="false">H404*J404</f>
        <v>5.85</v>
      </c>
    </row>
    <row r="405" customFormat="false" ht="12.75" hidden="false" customHeight="true" outlineLevel="0" collapsed="false">
      <c r="A405" s="8" t="n">
        <v>18</v>
      </c>
      <c r="B405" s="8" t="n">
        <v>0.1</v>
      </c>
      <c r="C405" s="13" t="n">
        <f aca="false">SUM(B$400:B405)</f>
        <v>0.9</v>
      </c>
      <c r="D405" s="8" t="n">
        <f aca="false">A405*B$398</f>
        <v>135</v>
      </c>
      <c r="E405" s="8" t="n">
        <f aca="false">B405*D405</f>
        <v>13.5</v>
      </c>
      <c r="G405" s="8" t="n">
        <v>18</v>
      </c>
      <c r="H405" s="8" t="n">
        <v>0.1</v>
      </c>
      <c r="I405" s="13" t="n">
        <f aca="false">SUM(H$400:H405)</f>
        <v>0.9</v>
      </c>
      <c r="J405" s="8" t="n">
        <f aca="false">G405*H$398</f>
        <v>70.2</v>
      </c>
      <c r="K405" s="8" t="n">
        <f aca="false">H405*J405</f>
        <v>7.02</v>
      </c>
    </row>
    <row r="406" customFormat="false" ht="12.75" hidden="false" customHeight="true" outlineLevel="0" collapsed="false">
      <c r="A406" s="8" t="n">
        <v>20</v>
      </c>
      <c r="B406" s="8" t="n">
        <v>0.1</v>
      </c>
      <c r="C406" s="13" t="n">
        <f aca="false">SUM(B$400:B406)</f>
        <v>1</v>
      </c>
      <c r="D406" s="8" t="n">
        <f aca="false">A406*B$398</f>
        <v>150</v>
      </c>
      <c r="E406" s="8" t="n">
        <f aca="false">B406*D406</f>
        <v>15</v>
      </c>
      <c r="G406" s="8" t="n">
        <v>20</v>
      </c>
      <c r="H406" s="8" t="n">
        <v>0.1</v>
      </c>
      <c r="I406" s="13" t="n">
        <f aca="false">SUM(H$400:H406)</f>
        <v>1</v>
      </c>
      <c r="J406" s="8" t="n">
        <f aca="false">G406*H$398</f>
        <v>78</v>
      </c>
      <c r="K406" s="8" t="n">
        <f aca="false">H406*J406</f>
        <v>7.8</v>
      </c>
    </row>
    <row r="407" customFormat="false" ht="12.75" hidden="false" customHeight="true" outlineLevel="0" collapsed="false"/>
    <row r="408" customFormat="false" ht="12.75" hidden="false" customHeight="true" outlineLevel="0" collapsed="false">
      <c r="D408" s="8" t="s">
        <v>108</v>
      </c>
      <c r="E408" s="8" t="n">
        <f aca="false">SUM(E400:E406)</f>
        <v>99</v>
      </c>
      <c r="J408" s="8" t="s">
        <v>108</v>
      </c>
      <c r="K408" s="8" t="n">
        <f aca="false">SUM(K400:K406)</f>
        <v>49.53</v>
      </c>
    </row>
    <row r="409" customFormat="false" ht="12.75" hidden="false" customHeight="true" outlineLevel="0" collapsed="false"/>
    <row r="410" customFormat="false" ht="12.75" hidden="false" customHeight="true" outlineLevel="0" collapsed="false">
      <c r="A410" s="10" t="s">
        <v>52</v>
      </c>
      <c r="G410" s="9" t="s">
        <v>53</v>
      </c>
    </row>
    <row r="411" customFormat="false" ht="12.75" hidden="false" customHeight="true" outlineLevel="0" collapsed="false">
      <c r="A411" s="8" t="s">
        <v>102</v>
      </c>
      <c r="B411" s="8" t="n">
        <f aca="false">$AJ$3</f>
        <v>1.6</v>
      </c>
      <c r="G411" s="8" t="s">
        <v>102</v>
      </c>
      <c r="H411" s="8" t="n">
        <f aca="false">$AO$3</f>
        <v>1.8</v>
      </c>
    </row>
    <row r="412" customFormat="false" ht="12.75" hidden="false" customHeight="true" outlineLevel="0" collapsed="false">
      <c r="A412" s="8" t="s">
        <v>103</v>
      </c>
      <c r="B412" s="8" t="s">
        <v>104</v>
      </c>
      <c r="C412" s="8" t="s">
        <v>105</v>
      </c>
      <c r="D412" s="8" t="s">
        <v>106</v>
      </c>
      <c r="E412" s="8" t="s">
        <v>107</v>
      </c>
      <c r="G412" s="8" t="s">
        <v>103</v>
      </c>
      <c r="H412" s="8" t="s">
        <v>104</v>
      </c>
      <c r="I412" s="8" t="s">
        <v>105</v>
      </c>
      <c r="J412" s="8" t="s">
        <v>106</v>
      </c>
      <c r="K412" s="8" t="s">
        <v>107</v>
      </c>
    </row>
    <row r="413" customFormat="false" ht="12.75" hidden="false" customHeight="true" outlineLevel="0" collapsed="false">
      <c r="A413" s="8" t="n">
        <v>30</v>
      </c>
      <c r="B413" s="8" t="n">
        <v>0</v>
      </c>
      <c r="C413" s="13" t="n">
        <f aca="false">SUM(B$413:B413)</f>
        <v>0</v>
      </c>
      <c r="D413" s="8" t="n">
        <f aca="false">A413*B$411</f>
        <v>48</v>
      </c>
      <c r="E413" s="8" t="n">
        <f aca="false">B413*D413</f>
        <v>0</v>
      </c>
      <c r="G413" s="8" t="n">
        <v>30</v>
      </c>
      <c r="H413" s="8" t="n">
        <v>0</v>
      </c>
      <c r="I413" s="13" t="n">
        <f aca="false">SUM(H$413:H413)</f>
        <v>0</v>
      </c>
      <c r="J413" s="8" t="n">
        <f aca="false">G413*H$411</f>
        <v>54</v>
      </c>
      <c r="K413" s="8" t="n">
        <f aca="false">H413*J413</f>
        <v>0</v>
      </c>
    </row>
    <row r="414" customFormat="false" ht="12.75" hidden="false" customHeight="true" outlineLevel="0" collapsed="false">
      <c r="A414" s="8" t="n">
        <v>40</v>
      </c>
      <c r="B414" s="8" t="n">
        <v>0</v>
      </c>
      <c r="C414" s="13" t="n">
        <f aca="false">SUM(B$413:B414)</f>
        <v>0</v>
      </c>
      <c r="D414" s="8" t="n">
        <f aca="false">A414*B$411</f>
        <v>64</v>
      </c>
      <c r="E414" s="8" t="n">
        <f aca="false">B414*D414</f>
        <v>0</v>
      </c>
      <c r="G414" s="8" t="n">
        <v>40</v>
      </c>
      <c r="H414" s="8" t="n">
        <v>0</v>
      </c>
      <c r="I414" s="13" t="n">
        <f aca="false">SUM(H$413:H414)</f>
        <v>0</v>
      </c>
      <c r="J414" s="8" t="n">
        <f aca="false">G414*H$411</f>
        <v>72</v>
      </c>
      <c r="K414" s="8" t="n">
        <f aca="false">H414*J414</f>
        <v>0</v>
      </c>
    </row>
    <row r="415" customFormat="false" ht="12.75" hidden="false" customHeight="true" outlineLevel="0" collapsed="false">
      <c r="A415" s="8" t="n">
        <v>50</v>
      </c>
      <c r="B415" s="8" t="n">
        <v>0.5</v>
      </c>
      <c r="C415" s="13" t="n">
        <f aca="false">SUM(B$413:B415)</f>
        <v>0.5</v>
      </c>
      <c r="D415" s="8" t="n">
        <f aca="false">A415*B$411</f>
        <v>80</v>
      </c>
      <c r="E415" s="8" t="n">
        <f aca="false">B415*D415</f>
        <v>40</v>
      </c>
      <c r="G415" s="8" t="n">
        <v>50</v>
      </c>
      <c r="H415" s="8" t="n">
        <v>0.6</v>
      </c>
      <c r="I415" s="13" t="n">
        <f aca="false">SUM(H$413:H415)</f>
        <v>0.6</v>
      </c>
      <c r="J415" s="8" t="n">
        <f aca="false">G415*H$411</f>
        <v>90</v>
      </c>
      <c r="K415" s="8" t="n">
        <f aca="false">H415*J415</f>
        <v>54</v>
      </c>
    </row>
    <row r="416" customFormat="false" ht="12.75" hidden="false" customHeight="true" outlineLevel="0" collapsed="false">
      <c r="A416" s="8" t="n">
        <v>60</v>
      </c>
      <c r="B416" s="8" t="n">
        <v>0.2</v>
      </c>
      <c r="C416" s="13" t="n">
        <f aca="false">SUM(B$413:B416)</f>
        <v>0.7</v>
      </c>
      <c r="D416" s="8" t="n">
        <f aca="false">A416*B$411</f>
        <v>96</v>
      </c>
      <c r="E416" s="8" t="n">
        <f aca="false">B416*D416</f>
        <v>19.2</v>
      </c>
      <c r="G416" s="8" t="n">
        <v>60</v>
      </c>
      <c r="H416" s="8" t="n">
        <v>0.2</v>
      </c>
      <c r="I416" s="13" t="n">
        <f aca="false">SUM(H$413:H416)</f>
        <v>0.8</v>
      </c>
      <c r="J416" s="8" t="n">
        <f aca="false">G416*H$411</f>
        <v>108</v>
      </c>
      <c r="K416" s="8" t="n">
        <f aca="false">H416*J416</f>
        <v>21.6</v>
      </c>
    </row>
    <row r="417" customFormat="false" ht="12.75" hidden="false" customHeight="true" outlineLevel="0" collapsed="false">
      <c r="A417" s="8" t="n">
        <v>70</v>
      </c>
      <c r="B417" s="8" t="n">
        <v>0.1</v>
      </c>
      <c r="C417" s="13" t="n">
        <f aca="false">SUM(B$413:B417)</f>
        <v>0.8</v>
      </c>
      <c r="D417" s="8" t="n">
        <f aca="false">A417*B$411</f>
        <v>112</v>
      </c>
      <c r="E417" s="8" t="n">
        <f aca="false">B417*D417</f>
        <v>11.2</v>
      </c>
      <c r="G417" s="8" t="n">
        <v>70</v>
      </c>
      <c r="H417" s="8" t="n">
        <v>0.1</v>
      </c>
      <c r="I417" s="13" t="n">
        <f aca="false">SUM(H$413:H417)</f>
        <v>0.9</v>
      </c>
      <c r="J417" s="8" t="n">
        <f aca="false">G417*H$411</f>
        <v>126</v>
      </c>
      <c r="K417" s="8" t="n">
        <f aca="false">H417*J417</f>
        <v>12.6</v>
      </c>
    </row>
    <row r="418" customFormat="false" ht="12.75" hidden="false" customHeight="true" outlineLevel="0" collapsed="false">
      <c r="A418" s="8" t="n">
        <v>80</v>
      </c>
      <c r="B418" s="8" t="n">
        <v>0.1</v>
      </c>
      <c r="C418" s="13" t="n">
        <f aca="false">SUM(B$413:B418)</f>
        <v>0.9</v>
      </c>
      <c r="D418" s="8" t="n">
        <f aca="false">A418*B$411</f>
        <v>128</v>
      </c>
      <c r="E418" s="8" t="n">
        <f aca="false">B418*D418</f>
        <v>12.8</v>
      </c>
      <c r="G418" s="8" t="n">
        <v>80</v>
      </c>
      <c r="H418" s="8" t="n">
        <v>0.05</v>
      </c>
      <c r="I418" s="13" t="n">
        <f aca="false">SUM(H$413:H418)</f>
        <v>0.95</v>
      </c>
      <c r="J418" s="8" t="n">
        <f aca="false">G418*H$411</f>
        <v>144</v>
      </c>
      <c r="K418" s="8" t="n">
        <f aca="false">H418*J418</f>
        <v>7.2</v>
      </c>
    </row>
    <row r="419" customFormat="false" ht="12.75" hidden="false" customHeight="true" outlineLevel="0" collapsed="false">
      <c r="A419" s="8" t="n">
        <v>100</v>
      </c>
      <c r="B419" s="8" t="n">
        <v>0.1</v>
      </c>
      <c r="C419" s="13" t="n">
        <f aca="false">SUM(B$413:B419)</f>
        <v>1</v>
      </c>
      <c r="D419" s="8" t="n">
        <f aca="false">A419*B$411</f>
        <v>160</v>
      </c>
      <c r="E419" s="8" t="n">
        <f aca="false">B419*D419</f>
        <v>16</v>
      </c>
      <c r="G419" s="8" t="n">
        <v>100</v>
      </c>
      <c r="H419" s="8" t="n">
        <v>0.05</v>
      </c>
      <c r="I419" s="13" t="n">
        <f aca="false">SUM(H$413:H419)</f>
        <v>1</v>
      </c>
      <c r="J419" s="8" t="n">
        <f aca="false">G419*H$411</f>
        <v>180</v>
      </c>
      <c r="K419" s="8" t="n">
        <f aca="false">H419*J419</f>
        <v>9</v>
      </c>
    </row>
    <row r="420" customFormat="false" ht="12.75" hidden="false" customHeight="true" outlineLevel="0" collapsed="false"/>
    <row r="421" customFormat="false" ht="12.75" hidden="false" customHeight="true" outlineLevel="0" collapsed="false">
      <c r="D421" s="8" t="s">
        <v>108</v>
      </c>
      <c r="E421" s="8" t="n">
        <f aca="false">SUM(E413:E419)</f>
        <v>99.2</v>
      </c>
      <c r="J421" s="8" t="s">
        <v>108</v>
      </c>
      <c r="K421" s="8" t="n">
        <f aca="false">SUM(K413:K419)</f>
        <v>104.4</v>
      </c>
    </row>
    <row r="422" customFormat="false" ht="12.75" hidden="false" customHeight="true" outlineLevel="0" collapsed="false"/>
    <row r="423" customFormat="false" ht="12.75" hidden="false" customHeight="true" outlineLevel="0" collapsed="false">
      <c r="A423" s="10" t="s">
        <v>54</v>
      </c>
      <c r="G423" s="9" t="s">
        <v>55</v>
      </c>
    </row>
    <row r="424" customFormat="false" ht="12.75" hidden="false" customHeight="true" outlineLevel="0" collapsed="false">
      <c r="A424" s="8" t="s">
        <v>102</v>
      </c>
      <c r="B424" s="8" t="n">
        <f aca="false">$AT$3</f>
        <v>3.8</v>
      </c>
      <c r="G424" s="8" t="s">
        <v>102</v>
      </c>
      <c r="H424" s="8" t="n">
        <f aca="false">$AY$3</f>
        <v>10</v>
      </c>
    </row>
    <row r="425" customFormat="false" ht="12.75" hidden="false" customHeight="true" outlineLevel="0" collapsed="false">
      <c r="A425" s="8" t="s">
        <v>103</v>
      </c>
      <c r="B425" s="8" t="s">
        <v>104</v>
      </c>
      <c r="C425" s="8" t="s">
        <v>105</v>
      </c>
      <c r="D425" s="8" t="s">
        <v>106</v>
      </c>
      <c r="E425" s="8" t="s">
        <v>107</v>
      </c>
      <c r="G425" s="8" t="s">
        <v>103</v>
      </c>
      <c r="H425" s="8" t="s">
        <v>104</v>
      </c>
      <c r="I425" s="8" t="s">
        <v>105</v>
      </c>
      <c r="J425" s="8" t="s">
        <v>106</v>
      </c>
      <c r="K425" s="8" t="s">
        <v>107</v>
      </c>
    </row>
    <row r="426" customFormat="false" ht="12.75" hidden="false" customHeight="true" outlineLevel="0" collapsed="false">
      <c r="A426" s="8" t="n">
        <v>7</v>
      </c>
      <c r="B426" s="8" t="n">
        <v>0</v>
      </c>
      <c r="C426" s="13" t="n">
        <f aca="false">SUM(B$426:B426)</f>
        <v>0</v>
      </c>
      <c r="D426" s="8" t="n">
        <f aca="false">A426*B$424</f>
        <v>26.6</v>
      </c>
      <c r="E426" s="8" t="n">
        <f aca="false">B426*D426</f>
        <v>0</v>
      </c>
      <c r="G426" s="8" t="n">
        <v>7</v>
      </c>
      <c r="H426" s="8" t="n">
        <v>0</v>
      </c>
      <c r="I426" s="13" t="n">
        <f aca="false">SUM(H$426:H426)</f>
        <v>0</v>
      </c>
      <c r="J426" s="8" t="n">
        <f aca="false">G426*H$424</f>
        <v>70</v>
      </c>
      <c r="K426" s="8" t="n">
        <f aca="false">H426*J426</f>
        <v>0</v>
      </c>
    </row>
    <row r="427" customFormat="false" ht="12.75" hidden="false" customHeight="true" outlineLevel="0" collapsed="false">
      <c r="A427" s="8" t="n">
        <v>8</v>
      </c>
      <c r="B427" s="8" t="n">
        <v>0</v>
      </c>
      <c r="C427" s="13" t="n">
        <f aca="false">SUM(B$426:B427)</f>
        <v>0</v>
      </c>
      <c r="D427" s="8" t="n">
        <f aca="false">A427*B$424</f>
        <v>30.4</v>
      </c>
      <c r="E427" s="8" t="n">
        <f aca="false">B427*D427</f>
        <v>0</v>
      </c>
      <c r="G427" s="8" t="n">
        <v>8</v>
      </c>
      <c r="H427" s="8" t="n">
        <v>0</v>
      </c>
      <c r="I427" s="13" t="n">
        <f aca="false">SUM(H$426:H427)</f>
        <v>0</v>
      </c>
      <c r="J427" s="8" t="n">
        <f aca="false">G427*H$424</f>
        <v>80</v>
      </c>
      <c r="K427" s="8" t="n">
        <f aca="false">H427*J427</f>
        <v>0</v>
      </c>
    </row>
    <row r="428" customFormat="false" ht="12.75" hidden="false" customHeight="true" outlineLevel="0" collapsed="false">
      <c r="A428" s="8" t="n">
        <v>10</v>
      </c>
      <c r="B428" s="8" t="n">
        <v>0</v>
      </c>
      <c r="C428" s="13" t="n">
        <f aca="false">SUM(B$426:B428)</f>
        <v>0</v>
      </c>
      <c r="D428" s="8" t="n">
        <f aca="false">A428*B$424</f>
        <v>38</v>
      </c>
      <c r="E428" s="8" t="n">
        <f aca="false">B428*D428</f>
        <v>0</v>
      </c>
      <c r="G428" s="8" t="n">
        <v>10</v>
      </c>
      <c r="H428" s="8" t="n">
        <v>0.81</v>
      </c>
      <c r="I428" s="13" t="n">
        <f aca="false">SUM(H$426:H428)</f>
        <v>0.81</v>
      </c>
      <c r="J428" s="8" t="n">
        <f aca="false">G428*H$424</f>
        <v>100</v>
      </c>
      <c r="K428" s="8" t="n">
        <f aca="false">H428*J428</f>
        <v>81</v>
      </c>
    </row>
    <row r="429" customFormat="false" ht="12.75" hidden="false" customHeight="true" outlineLevel="0" collapsed="false">
      <c r="A429" s="8" t="n">
        <v>12</v>
      </c>
      <c r="B429" s="8" t="n">
        <v>0</v>
      </c>
      <c r="C429" s="13" t="n">
        <f aca="false">SUM(B$426:B429)</f>
        <v>0</v>
      </c>
      <c r="D429" s="8" t="n">
        <f aca="false">A429*B$424</f>
        <v>45.6</v>
      </c>
      <c r="E429" s="8" t="n">
        <f aca="false">B429*D429</f>
        <v>0</v>
      </c>
      <c r="G429" s="8" t="n">
        <v>12</v>
      </c>
      <c r="H429" s="8" t="n">
        <v>0.1</v>
      </c>
      <c r="I429" s="13" t="n">
        <f aca="false">SUM(H$426:H429)</f>
        <v>0.91</v>
      </c>
      <c r="J429" s="8" t="n">
        <f aca="false">G429*H$424</f>
        <v>120</v>
      </c>
      <c r="K429" s="8" t="n">
        <f aca="false">H429*J429</f>
        <v>12</v>
      </c>
    </row>
    <row r="430" customFormat="false" ht="12.75" hidden="false" customHeight="true" outlineLevel="0" collapsed="false">
      <c r="A430" s="8" t="n">
        <v>15</v>
      </c>
      <c r="B430" s="8" t="n">
        <v>0.5</v>
      </c>
      <c r="C430" s="13" t="n">
        <f aca="false">SUM(B$426:B430)</f>
        <v>0.5</v>
      </c>
      <c r="D430" s="8" t="n">
        <f aca="false">A430*B$424</f>
        <v>57</v>
      </c>
      <c r="E430" s="8" t="n">
        <f aca="false">B430*D430</f>
        <v>28.5</v>
      </c>
      <c r="G430" s="8" t="n">
        <v>15</v>
      </c>
      <c r="H430" s="8" t="n">
        <v>0.05</v>
      </c>
      <c r="I430" s="13" t="n">
        <f aca="false">SUM(H$426:H430)</f>
        <v>0.96</v>
      </c>
      <c r="J430" s="8" t="n">
        <f aca="false">G430*H$424</f>
        <v>150</v>
      </c>
      <c r="K430" s="8" t="n">
        <f aca="false">H430*J430</f>
        <v>7.5</v>
      </c>
    </row>
    <row r="431" customFormat="false" ht="12.75" hidden="false" customHeight="true" outlineLevel="0" collapsed="false">
      <c r="A431" s="8" t="n">
        <v>18</v>
      </c>
      <c r="B431" s="8" t="n">
        <v>0.3</v>
      </c>
      <c r="C431" s="13" t="n">
        <f aca="false">SUM(B$426:B431)</f>
        <v>0.8</v>
      </c>
      <c r="D431" s="8" t="n">
        <f aca="false">A431*B$424</f>
        <v>68.4</v>
      </c>
      <c r="E431" s="8" t="n">
        <f aca="false">B431*D431</f>
        <v>20.52</v>
      </c>
      <c r="G431" s="8" t="n">
        <v>18</v>
      </c>
      <c r="H431" s="8" t="n">
        <v>0.02</v>
      </c>
      <c r="I431" s="13" t="n">
        <f aca="false">SUM(H$426:H431)</f>
        <v>0.98</v>
      </c>
      <c r="J431" s="8" t="n">
        <f aca="false">G431*H$424</f>
        <v>180</v>
      </c>
      <c r="K431" s="8" t="n">
        <f aca="false">H431*J431</f>
        <v>3.6</v>
      </c>
    </row>
    <row r="432" customFormat="false" ht="12.75" hidden="false" customHeight="true" outlineLevel="0" collapsed="false">
      <c r="A432" s="8" t="n">
        <v>20</v>
      </c>
      <c r="B432" s="8" t="n">
        <v>0.2</v>
      </c>
      <c r="C432" s="13" t="n">
        <f aca="false">SUM(B$426:B432)</f>
        <v>1</v>
      </c>
      <c r="D432" s="8" t="n">
        <f aca="false">A432*B$424</f>
        <v>76</v>
      </c>
      <c r="E432" s="8" t="n">
        <f aca="false">B432*D432</f>
        <v>15.2</v>
      </c>
      <c r="G432" s="8" t="n">
        <v>20</v>
      </c>
      <c r="H432" s="8" t="n">
        <v>0.02</v>
      </c>
      <c r="I432" s="13" t="n">
        <f aca="false">SUM(H$426:H432)</f>
        <v>1</v>
      </c>
      <c r="J432" s="8" t="n">
        <f aca="false">G432*H$424</f>
        <v>200</v>
      </c>
      <c r="K432" s="8" t="n">
        <f aca="false">H432*J432</f>
        <v>4</v>
      </c>
    </row>
    <row r="433" customFormat="false" ht="12.75" hidden="false" customHeight="true" outlineLevel="0" collapsed="false"/>
    <row r="434" customFormat="false" ht="12.75" hidden="false" customHeight="true" outlineLevel="0" collapsed="false">
      <c r="D434" s="8" t="s">
        <v>108</v>
      </c>
      <c r="E434" s="8" t="n">
        <f aca="false">SUM(E426:E432)</f>
        <v>64.22</v>
      </c>
      <c r="J434" s="8" t="s">
        <v>108</v>
      </c>
      <c r="K434" s="8" t="n">
        <f aca="false">SUM(K426:K432)</f>
        <v>108.1</v>
      </c>
    </row>
    <row r="435" customFormat="false" ht="12.75" hidden="false" customHeight="true" outlineLevel="0" collapsed="false"/>
    <row r="436" customFormat="false" ht="12.75" hidden="false" customHeight="true" outlineLevel="0" collapsed="false">
      <c r="A436" s="10" t="s">
        <v>56</v>
      </c>
      <c r="G436" s="9" t="s">
        <v>57</v>
      </c>
    </row>
    <row r="437" customFormat="false" ht="12.75" hidden="false" customHeight="true" outlineLevel="0" collapsed="false">
      <c r="A437" s="8" t="s">
        <v>102</v>
      </c>
      <c r="B437" s="8" t="n">
        <f aca="false">$BD$3</f>
        <v>16</v>
      </c>
      <c r="G437" s="8" t="s">
        <v>102</v>
      </c>
      <c r="H437" s="8" t="n">
        <f aca="false">$BI$3</f>
        <v>1.9</v>
      </c>
    </row>
    <row r="438" customFormat="false" ht="12.75" hidden="false" customHeight="true" outlineLevel="0" collapsed="false">
      <c r="A438" s="8" t="s">
        <v>103</v>
      </c>
      <c r="B438" s="8" t="s">
        <v>104</v>
      </c>
      <c r="C438" s="8" t="s">
        <v>105</v>
      </c>
      <c r="D438" s="8" t="s">
        <v>106</v>
      </c>
      <c r="E438" s="8" t="s">
        <v>107</v>
      </c>
      <c r="G438" s="8" t="s">
        <v>103</v>
      </c>
      <c r="H438" s="8" t="s">
        <v>104</v>
      </c>
      <c r="I438" s="8" t="s">
        <v>105</v>
      </c>
      <c r="J438" s="8" t="s">
        <v>106</v>
      </c>
      <c r="K438" s="8" t="s">
        <v>107</v>
      </c>
    </row>
    <row r="439" customFormat="false" ht="12.75" hidden="false" customHeight="true" outlineLevel="0" collapsed="false">
      <c r="A439" s="8" t="n">
        <v>7</v>
      </c>
      <c r="B439" s="8" t="n">
        <v>0</v>
      </c>
      <c r="C439" s="13" t="n">
        <f aca="false">SUM(B$439:B439)</f>
        <v>0</v>
      </c>
      <c r="D439" s="8" t="n">
        <f aca="false">A439*B$437</f>
        <v>112</v>
      </c>
      <c r="E439" s="8" t="n">
        <f aca="false">B439*D439</f>
        <v>0</v>
      </c>
      <c r="G439" s="8" t="n">
        <v>30</v>
      </c>
      <c r="H439" s="8" t="n">
        <v>0</v>
      </c>
      <c r="I439" s="13" t="n">
        <f aca="false">SUM(H$439:H439)</f>
        <v>0</v>
      </c>
      <c r="J439" s="8" t="n">
        <f aca="false">G439*H$437</f>
        <v>57</v>
      </c>
      <c r="K439" s="8" t="n">
        <f aca="false">H439*J439</f>
        <v>0</v>
      </c>
    </row>
    <row r="440" customFormat="false" ht="12.75" hidden="false" customHeight="true" outlineLevel="0" collapsed="false">
      <c r="A440" s="8" t="n">
        <v>8</v>
      </c>
      <c r="B440" s="8" t="n">
        <v>0</v>
      </c>
      <c r="C440" s="13" t="n">
        <f aca="false">SUM(B$439:B440)</f>
        <v>0</v>
      </c>
      <c r="D440" s="8" t="n">
        <f aca="false">A440*B$437</f>
        <v>128</v>
      </c>
      <c r="E440" s="8" t="n">
        <f aca="false">B440*D440</f>
        <v>0</v>
      </c>
      <c r="G440" s="8" t="n">
        <v>40</v>
      </c>
      <c r="H440" s="8" t="n">
        <v>0</v>
      </c>
      <c r="I440" s="13" t="n">
        <f aca="false">SUM(H$439:H440)</f>
        <v>0</v>
      </c>
      <c r="J440" s="8" t="n">
        <f aca="false">G440*H$437</f>
        <v>76</v>
      </c>
      <c r="K440" s="8" t="n">
        <f aca="false">H440*J440</f>
        <v>0</v>
      </c>
    </row>
    <row r="441" customFormat="false" ht="12.75" hidden="false" customHeight="true" outlineLevel="0" collapsed="false">
      <c r="A441" s="8" t="n">
        <v>10</v>
      </c>
      <c r="B441" s="8" t="n">
        <v>0.938</v>
      </c>
      <c r="C441" s="13" t="n">
        <f aca="false">SUM(B$439:B441)</f>
        <v>0.938</v>
      </c>
      <c r="D441" s="8" t="n">
        <f aca="false">A441*B$437</f>
        <v>160</v>
      </c>
      <c r="E441" s="8" t="n">
        <f aca="false">B441*D441</f>
        <v>150.08</v>
      </c>
      <c r="G441" s="8" t="n">
        <v>50</v>
      </c>
      <c r="H441" s="8" t="n">
        <v>0.65</v>
      </c>
      <c r="I441" s="13" t="n">
        <f aca="false">SUM(H$439:H441)</f>
        <v>0.65</v>
      </c>
      <c r="J441" s="8" t="n">
        <f aca="false">G441*H$437</f>
        <v>95</v>
      </c>
      <c r="K441" s="8" t="n">
        <f aca="false">H441*J441</f>
        <v>61.75</v>
      </c>
    </row>
    <row r="442" customFormat="false" ht="12.75" hidden="false" customHeight="true" outlineLevel="0" collapsed="false">
      <c r="A442" s="8" t="n">
        <v>12</v>
      </c>
      <c r="B442" s="8" t="n">
        <v>0.05</v>
      </c>
      <c r="C442" s="13" t="n">
        <f aca="false">SUM(B$439:B442)</f>
        <v>0.988</v>
      </c>
      <c r="D442" s="8" t="n">
        <f aca="false">A442*B$437</f>
        <v>192</v>
      </c>
      <c r="E442" s="8" t="n">
        <f aca="false">B442*D442</f>
        <v>9.6</v>
      </c>
      <c r="G442" s="8" t="n">
        <v>60</v>
      </c>
      <c r="H442" s="8" t="n">
        <v>0.2</v>
      </c>
      <c r="I442" s="13" t="n">
        <f aca="false">SUM(H$439:H442)</f>
        <v>0.85</v>
      </c>
      <c r="J442" s="8" t="n">
        <f aca="false">G442*H$437</f>
        <v>114</v>
      </c>
      <c r="K442" s="8" t="n">
        <f aca="false">H442*J442</f>
        <v>22.8</v>
      </c>
    </row>
    <row r="443" customFormat="false" ht="12.75" hidden="false" customHeight="true" outlineLevel="0" collapsed="false">
      <c r="A443" s="8" t="n">
        <v>15</v>
      </c>
      <c r="B443" s="8" t="n">
        <v>0.01</v>
      </c>
      <c r="C443" s="13" t="n">
        <f aca="false">SUM(B$439:B443)</f>
        <v>0.998</v>
      </c>
      <c r="D443" s="8" t="n">
        <f aca="false">A443*B$437</f>
        <v>240</v>
      </c>
      <c r="E443" s="8" t="n">
        <f aca="false">B443*D443</f>
        <v>2.4</v>
      </c>
      <c r="G443" s="8" t="n">
        <v>70</v>
      </c>
      <c r="H443" s="8" t="n">
        <v>0.05</v>
      </c>
      <c r="I443" s="13" t="n">
        <f aca="false">SUM(H$439:H443)</f>
        <v>0.9</v>
      </c>
      <c r="J443" s="8" t="n">
        <f aca="false">G443*H$437</f>
        <v>133</v>
      </c>
      <c r="K443" s="8" t="n">
        <f aca="false">H443*J443</f>
        <v>6.65</v>
      </c>
    </row>
    <row r="444" customFormat="false" ht="12.75" hidden="false" customHeight="true" outlineLevel="0" collapsed="false">
      <c r="A444" s="8" t="n">
        <v>18</v>
      </c>
      <c r="B444" s="8" t="n">
        <v>0.001</v>
      </c>
      <c r="C444" s="13" t="n">
        <f aca="false">SUM(B$439:B444)</f>
        <v>0.999</v>
      </c>
      <c r="D444" s="8" t="n">
        <f aca="false">A444*B$437</f>
        <v>288</v>
      </c>
      <c r="E444" s="8" t="n">
        <f aca="false">B444*D444</f>
        <v>0.288</v>
      </c>
      <c r="G444" s="8" t="n">
        <v>80</v>
      </c>
      <c r="H444" s="8" t="n">
        <v>0.05</v>
      </c>
      <c r="I444" s="13" t="n">
        <f aca="false">SUM(H$439:H444)</f>
        <v>0.95</v>
      </c>
      <c r="J444" s="8" t="n">
        <f aca="false">G444*H$437</f>
        <v>152</v>
      </c>
      <c r="K444" s="8" t="n">
        <f aca="false">H444*J444</f>
        <v>7.6</v>
      </c>
    </row>
    <row r="445" customFormat="false" ht="12.75" hidden="false" customHeight="true" outlineLevel="0" collapsed="false">
      <c r="A445" s="8" t="n">
        <v>20</v>
      </c>
      <c r="B445" s="8" t="n">
        <v>0.001</v>
      </c>
      <c r="C445" s="13" t="n">
        <f aca="false">SUM(B$439:B445)</f>
        <v>1</v>
      </c>
      <c r="D445" s="8" t="n">
        <f aca="false">A445*B$437</f>
        <v>320</v>
      </c>
      <c r="E445" s="8" t="n">
        <f aca="false">B445*D445</f>
        <v>0.32</v>
      </c>
      <c r="G445" s="8" t="n">
        <v>100</v>
      </c>
      <c r="H445" s="8" t="n">
        <v>0.05</v>
      </c>
      <c r="I445" s="13" t="n">
        <f aca="false">SUM(H$439:H445)</f>
        <v>1</v>
      </c>
      <c r="J445" s="8" t="n">
        <f aca="false">G445*H$437</f>
        <v>190</v>
      </c>
      <c r="K445" s="8" t="n">
        <f aca="false">H445*J445</f>
        <v>9.5</v>
      </c>
    </row>
    <row r="446" customFormat="false" ht="12.75" hidden="false" customHeight="true" outlineLevel="0" collapsed="false"/>
    <row r="447" customFormat="false" ht="12.75" hidden="false" customHeight="true" outlineLevel="0" collapsed="false">
      <c r="D447" s="8" t="s">
        <v>108</v>
      </c>
      <c r="E447" s="8" t="n">
        <f aca="false">SUM(E439:E445)</f>
        <v>162.688</v>
      </c>
      <c r="J447" s="8" t="s">
        <v>108</v>
      </c>
      <c r="K447" s="8" t="n">
        <f aca="false">SUM(K439:K445)</f>
        <v>108.3</v>
      </c>
    </row>
    <row r="448" customFormat="false" ht="12.75" hidden="false" customHeight="true" outlineLevel="0" collapsed="false"/>
    <row r="449" customFormat="false" ht="12.75" hidden="false" customHeight="true" outlineLevel="0" collapsed="false">
      <c r="A449" s="10" t="s">
        <v>58</v>
      </c>
      <c r="G449" s="9" t="s">
        <v>59</v>
      </c>
    </row>
    <row r="450" customFormat="false" ht="12.75" hidden="false" customHeight="true" outlineLevel="0" collapsed="false">
      <c r="A450" s="8" t="s">
        <v>102</v>
      </c>
      <c r="B450" s="8" t="n">
        <f aca="false">$BN$3</f>
        <v>2</v>
      </c>
      <c r="G450" s="8" t="s">
        <v>102</v>
      </c>
      <c r="H450" s="8" t="n">
        <f aca="false">$BS$3</f>
        <v>24</v>
      </c>
    </row>
    <row r="451" customFormat="false" ht="12.75" hidden="false" customHeight="true" outlineLevel="0" collapsed="false">
      <c r="A451" s="8" t="s">
        <v>103</v>
      </c>
      <c r="B451" s="8" t="s">
        <v>104</v>
      </c>
      <c r="C451" s="8" t="s">
        <v>105</v>
      </c>
      <c r="D451" s="8" t="s">
        <v>106</v>
      </c>
      <c r="E451" s="8" t="s">
        <v>107</v>
      </c>
      <c r="G451" s="8" t="s">
        <v>103</v>
      </c>
      <c r="H451" s="8" t="s">
        <v>104</v>
      </c>
      <c r="I451" s="8" t="s">
        <v>105</v>
      </c>
      <c r="J451" s="8" t="s">
        <v>106</v>
      </c>
      <c r="K451" s="8" t="s">
        <v>107</v>
      </c>
    </row>
    <row r="452" customFormat="false" ht="12.75" hidden="false" customHeight="true" outlineLevel="0" collapsed="false">
      <c r="A452" s="8" t="n">
        <v>30</v>
      </c>
      <c r="B452" s="8" t="n">
        <v>0</v>
      </c>
      <c r="C452" s="13" t="n">
        <f aca="false">SUM(B$452:B452)</f>
        <v>0</v>
      </c>
      <c r="D452" s="8" t="n">
        <f aca="false">A452*B$450</f>
        <v>60</v>
      </c>
      <c r="E452" s="8" t="n">
        <f aca="false">B452*D452</f>
        <v>0</v>
      </c>
      <c r="G452" s="8" t="n">
        <v>7</v>
      </c>
      <c r="H452" s="8" t="n">
        <v>0</v>
      </c>
      <c r="I452" s="13" t="n">
        <f aca="false">SUM(H$452:H452)</f>
        <v>0</v>
      </c>
      <c r="J452" s="8" t="n">
        <f aca="false">G452*H$450</f>
        <v>168</v>
      </c>
      <c r="K452" s="8" t="n">
        <f aca="false">H452*J452</f>
        <v>0</v>
      </c>
    </row>
    <row r="453" customFormat="false" ht="12.75" hidden="false" customHeight="true" outlineLevel="0" collapsed="false">
      <c r="A453" s="8" t="n">
        <v>40</v>
      </c>
      <c r="B453" s="8" t="n">
        <v>0</v>
      </c>
      <c r="C453" s="13" t="n">
        <f aca="false">SUM(B$452:B453)</f>
        <v>0</v>
      </c>
      <c r="D453" s="8" t="n">
        <f aca="false">A453*B$450</f>
        <v>80</v>
      </c>
      <c r="E453" s="8" t="n">
        <f aca="false">B453*D453</f>
        <v>0</v>
      </c>
      <c r="G453" s="8" t="n">
        <v>8</v>
      </c>
      <c r="H453" s="8" t="n">
        <v>0</v>
      </c>
      <c r="I453" s="13" t="n">
        <f aca="false">SUM(H$452:H453)</f>
        <v>0</v>
      </c>
      <c r="J453" s="8" t="n">
        <f aca="false">G453*H$450</f>
        <v>192</v>
      </c>
      <c r="K453" s="8" t="n">
        <f aca="false">H453*J453</f>
        <v>0</v>
      </c>
    </row>
    <row r="454" customFormat="false" ht="12.75" hidden="false" customHeight="true" outlineLevel="0" collapsed="false">
      <c r="A454" s="8" t="n">
        <v>50</v>
      </c>
      <c r="B454" s="8" t="n">
        <v>0.4</v>
      </c>
      <c r="C454" s="13" t="n">
        <f aca="false">SUM(B$452:B454)</f>
        <v>0.4</v>
      </c>
      <c r="D454" s="8" t="n">
        <f aca="false">A454*B$450</f>
        <v>100</v>
      </c>
      <c r="E454" s="8" t="n">
        <f aca="false">B454*D454</f>
        <v>40</v>
      </c>
      <c r="G454" s="8" t="n">
        <v>10</v>
      </c>
      <c r="H454" s="8" t="n">
        <v>0.65</v>
      </c>
      <c r="I454" s="13" t="n">
        <f aca="false">SUM(H$452:H454)</f>
        <v>0.65</v>
      </c>
      <c r="J454" s="8" t="n">
        <f aca="false">G454*H$450</f>
        <v>240</v>
      </c>
      <c r="K454" s="8" t="n">
        <f aca="false">H454*J454</f>
        <v>156</v>
      </c>
    </row>
    <row r="455" customFormat="false" ht="12.75" hidden="false" customHeight="true" outlineLevel="0" collapsed="false">
      <c r="A455" s="8" t="n">
        <v>60</v>
      </c>
      <c r="B455" s="8" t="n">
        <v>0.2</v>
      </c>
      <c r="C455" s="13" t="n">
        <f aca="false">SUM(B$452:B455)</f>
        <v>0.6</v>
      </c>
      <c r="D455" s="8" t="n">
        <f aca="false">A455*B$450</f>
        <v>120</v>
      </c>
      <c r="E455" s="8" t="n">
        <f aca="false">B455*D455</f>
        <v>24</v>
      </c>
      <c r="G455" s="8" t="n">
        <v>12</v>
      </c>
      <c r="H455" s="8" t="n">
        <v>0.2</v>
      </c>
      <c r="I455" s="13" t="n">
        <f aca="false">SUM(H$452:H455)</f>
        <v>0.85</v>
      </c>
      <c r="J455" s="8" t="n">
        <f aca="false">G455*H$450</f>
        <v>288</v>
      </c>
      <c r="K455" s="8" t="n">
        <f aca="false">H455*J455</f>
        <v>57.6</v>
      </c>
    </row>
    <row r="456" customFormat="false" ht="12.75" hidden="false" customHeight="true" outlineLevel="0" collapsed="false">
      <c r="A456" s="8" t="n">
        <v>70</v>
      </c>
      <c r="B456" s="8" t="n">
        <v>0.2</v>
      </c>
      <c r="C456" s="13" t="n">
        <f aca="false">SUM(B$452:B456)</f>
        <v>0.8</v>
      </c>
      <c r="D456" s="8" t="n">
        <f aca="false">A456*B$450</f>
        <v>140</v>
      </c>
      <c r="E456" s="8" t="n">
        <f aca="false">B456*D456</f>
        <v>28</v>
      </c>
      <c r="G456" s="8" t="n">
        <v>15</v>
      </c>
      <c r="H456" s="8" t="n">
        <v>0.05</v>
      </c>
      <c r="I456" s="13" t="n">
        <f aca="false">SUM(H$452:H456)</f>
        <v>0.9</v>
      </c>
      <c r="J456" s="8" t="n">
        <f aca="false">G456*H$450</f>
        <v>360</v>
      </c>
      <c r="K456" s="8" t="n">
        <f aca="false">H456*J456</f>
        <v>18</v>
      </c>
    </row>
    <row r="457" customFormat="false" ht="12.75" hidden="false" customHeight="true" outlineLevel="0" collapsed="false">
      <c r="A457" s="8" t="n">
        <v>80</v>
      </c>
      <c r="B457" s="8" t="n">
        <v>0.1</v>
      </c>
      <c r="C457" s="13" t="n">
        <f aca="false">SUM(B$452:B457)</f>
        <v>0.9</v>
      </c>
      <c r="D457" s="8" t="n">
        <f aca="false">A457*B$450</f>
        <v>160</v>
      </c>
      <c r="E457" s="8" t="n">
        <f aca="false">B457*D457</f>
        <v>16</v>
      </c>
      <c r="G457" s="8" t="n">
        <v>18</v>
      </c>
      <c r="H457" s="8" t="n">
        <v>0.05</v>
      </c>
      <c r="I457" s="13" t="n">
        <f aca="false">SUM(H$452:H457)</f>
        <v>0.95</v>
      </c>
      <c r="J457" s="8" t="n">
        <f aca="false">G457*H$450</f>
        <v>432</v>
      </c>
      <c r="K457" s="8" t="n">
        <f aca="false">H457*J457</f>
        <v>21.6</v>
      </c>
    </row>
    <row r="458" customFormat="false" ht="12.75" hidden="false" customHeight="true" outlineLevel="0" collapsed="false">
      <c r="A458" s="8" t="n">
        <v>100</v>
      </c>
      <c r="B458" s="8" t="n">
        <v>0.1</v>
      </c>
      <c r="C458" s="13" t="n">
        <f aca="false">SUM(B$452:B458)</f>
        <v>1</v>
      </c>
      <c r="D458" s="8" t="n">
        <f aca="false">A458*B$450</f>
        <v>200</v>
      </c>
      <c r="E458" s="8" t="n">
        <f aca="false">B458*D458</f>
        <v>20</v>
      </c>
      <c r="G458" s="8" t="n">
        <v>20</v>
      </c>
      <c r="H458" s="8" t="n">
        <v>0.05</v>
      </c>
      <c r="I458" s="13" t="n">
        <f aca="false">SUM(H$452:H458)</f>
        <v>1</v>
      </c>
      <c r="J458" s="8" t="n">
        <f aca="false">G458*H$450</f>
        <v>480</v>
      </c>
      <c r="K458" s="8" t="n">
        <f aca="false">H458*J458</f>
        <v>24</v>
      </c>
    </row>
    <row r="459" customFormat="false" ht="12.75" hidden="false" customHeight="true" outlineLevel="0" collapsed="false"/>
    <row r="460" customFormat="false" ht="12.75" hidden="false" customHeight="true" outlineLevel="0" collapsed="false">
      <c r="D460" s="8" t="s">
        <v>108</v>
      </c>
      <c r="E460" s="8" t="n">
        <f aca="false">SUM(E452:E458)</f>
        <v>128</v>
      </c>
      <c r="J460" s="8" t="s">
        <v>108</v>
      </c>
      <c r="K460" s="8" t="n">
        <f aca="false">SUM(K452:K458)</f>
        <v>277.2</v>
      </c>
    </row>
    <row r="461" customFormat="false" ht="12.75" hidden="false" customHeight="true" outlineLevel="0" collapsed="false"/>
    <row r="462" customFormat="false" ht="12.75" hidden="false" customHeight="true" outlineLevel="0" collapsed="false">
      <c r="A462" s="11" t="s">
        <v>60</v>
      </c>
    </row>
    <row r="463" customFormat="false" ht="12.75" hidden="false" customHeight="true" outlineLevel="0" collapsed="false">
      <c r="A463" s="8" t="s">
        <v>102</v>
      </c>
      <c r="B463" s="8" t="n">
        <f aca="false">$BX$3</f>
        <v>19</v>
      </c>
    </row>
    <row r="464" customFormat="false" ht="12.75" hidden="false" customHeight="true" outlineLevel="0" collapsed="false">
      <c r="A464" s="8" t="s">
        <v>103</v>
      </c>
      <c r="B464" s="8" t="s">
        <v>104</v>
      </c>
      <c r="C464" s="8" t="s">
        <v>105</v>
      </c>
      <c r="D464" s="8" t="s">
        <v>106</v>
      </c>
      <c r="E464" s="8" t="s">
        <v>107</v>
      </c>
    </row>
    <row r="465" customFormat="false" ht="12.75" hidden="false" customHeight="true" outlineLevel="0" collapsed="false">
      <c r="A465" s="8" t="n">
        <v>7</v>
      </c>
      <c r="B465" s="8" t="n">
        <v>0</v>
      </c>
      <c r="C465" s="13" t="n">
        <f aca="false">SUM(B$465:B465)</f>
        <v>0</v>
      </c>
      <c r="D465" s="8" t="n">
        <f aca="false">A465*$B$463</f>
        <v>133</v>
      </c>
      <c r="E465" s="8" t="n">
        <f aca="false">B465*D465</f>
        <v>0</v>
      </c>
    </row>
    <row r="466" customFormat="false" ht="12.75" hidden="false" customHeight="true" outlineLevel="0" collapsed="false">
      <c r="A466" s="8" t="n">
        <v>8</v>
      </c>
      <c r="B466" s="8" t="n">
        <v>0</v>
      </c>
      <c r="C466" s="13" t="n">
        <f aca="false">SUM(B$465:B466)</f>
        <v>0</v>
      </c>
      <c r="D466" s="8" t="n">
        <f aca="false">A466*$B$463</f>
        <v>152</v>
      </c>
      <c r="E466" s="8" t="n">
        <f aca="false">B466*D466</f>
        <v>0</v>
      </c>
    </row>
    <row r="467" customFormat="false" ht="12.75" hidden="false" customHeight="true" outlineLevel="0" collapsed="false">
      <c r="A467" s="8" t="n">
        <v>10</v>
      </c>
      <c r="B467" s="8" t="n">
        <v>0.938</v>
      </c>
      <c r="C467" s="13" t="n">
        <f aca="false">SUM(B$465:B467)</f>
        <v>0.938</v>
      </c>
      <c r="D467" s="8" t="n">
        <f aca="false">A467*$B$463</f>
        <v>190</v>
      </c>
      <c r="E467" s="8" t="n">
        <f aca="false">B467*D467</f>
        <v>178.22</v>
      </c>
    </row>
    <row r="468" customFormat="false" ht="12.75" hidden="false" customHeight="true" outlineLevel="0" collapsed="false">
      <c r="A468" s="8" t="n">
        <v>12</v>
      </c>
      <c r="B468" s="8" t="n">
        <v>0.05</v>
      </c>
      <c r="C468" s="13" t="n">
        <f aca="false">SUM(B$465:B468)</f>
        <v>0.988</v>
      </c>
      <c r="D468" s="8" t="n">
        <f aca="false">A468*$B$463</f>
        <v>228</v>
      </c>
      <c r="E468" s="8" t="n">
        <f aca="false">B468*D468</f>
        <v>11.4</v>
      </c>
    </row>
    <row r="469" customFormat="false" ht="12.75" hidden="false" customHeight="true" outlineLevel="0" collapsed="false">
      <c r="A469" s="8" t="n">
        <v>15</v>
      </c>
      <c r="B469" s="8" t="n">
        <v>0.01</v>
      </c>
      <c r="C469" s="13" t="n">
        <f aca="false">SUM(B$465:B469)</f>
        <v>0.998</v>
      </c>
      <c r="D469" s="8" t="n">
        <f aca="false">A469*$B$463</f>
        <v>285</v>
      </c>
      <c r="E469" s="8" t="n">
        <f aca="false">B469*D469</f>
        <v>2.85</v>
      </c>
    </row>
    <row r="470" customFormat="false" ht="12.75" hidden="false" customHeight="true" outlineLevel="0" collapsed="false">
      <c r="A470" s="8" t="n">
        <v>18</v>
      </c>
      <c r="B470" s="8" t="n">
        <v>0.001</v>
      </c>
      <c r="C470" s="13" t="n">
        <f aca="false">SUM(B$465:B470)</f>
        <v>0.999</v>
      </c>
      <c r="D470" s="8" t="n">
        <f aca="false">A470*$B$463</f>
        <v>342</v>
      </c>
      <c r="E470" s="8" t="n">
        <f aca="false">B470*D470</f>
        <v>0.342</v>
      </c>
    </row>
    <row r="471" customFormat="false" ht="12.75" hidden="false" customHeight="true" outlineLevel="0" collapsed="false">
      <c r="A471" s="8" t="n">
        <v>20</v>
      </c>
      <c r="B471" s="8" t="n">
        <v>0.001</v>
      </c>
      <c r="C471" s="13" t="n">
        <f aca="false">SUM(B$465:B471)</f>
        <v>1</v>
      </c>
      <c r="D471" s="8" t="n">
        <f aca="false">A471*$B$463</f>
        <v>380</v>
      </c>
      <c r="E471" s="8" t="n">
        <f aca="false">B471*D471</f>
        <v>0.38</v>
      </c>
    </row>
    <row r="472" customFormat="false" ht="12.75" hidden="false" customHeight="true" outlineLevel="0" collapsed="false"/>
    <row r="473" customFormat="false" ht="12.75" hidden="false" customHeight="true" outlineLevel="0" collapsed="false">
      <c r="D473" s="8" t="s">
        <v>108</v>
      </c>
      <c r="E473" s="8" t="n">
        <f aca="false">SUM(E465:E471)</f>
        <v>193.192</v>
      </c>
    </row>
    <row r="474" customFormat="false" ht="12.75" hidden="false" customHeight="true" outlineLevel="0" collapsed="false"/>
    <row r="475" customFormat="false" ht="12.75" hidden="false" customHeight="true" outlineLevel="0" collapsed="false">
      <c r="A475" s="18" t="s">
        <v>143</v>
      </c>
      <c r="B475" s="8" t="s">
        <v>110</v>
      </c>
      <c r="C475" s="8" t="s">
        <v>111</v>
      </c>
      <c r="D475" s="8" t="s">
        <v>112</v>
      </c>
    </row>
    <row r="476" customFormat="false" ht="12.75" hidden="false" customHeight="true" outlineLevel="0" collapsed="false">
      <c r="A476" s="10" t="s">
        <v>47</v>
      </c>
      <c r="B476" s="8" t="n">
        <f aca="false">E395</f>
        <v>76.8</v>
      </c>
      <c r="C476" s="8" t="n">
        <v>1</v>
      </c>
      <c r="D476" s="8" t="n">
        <f aca="false">B476*C476/C$490</f>
        <v>0.972151898734177</v>
      </c>
    </row>
    <row r="477" customFormat="false" ht="12.75" hidden="false" customHeight="true" outlineLevel="0" collapsed="false">
      <c r="A477" s="9" t="s">
        <v>48</v>
      </c>
      <c r="B477" s="8" t="n">
        <f aca="false">K395</f>
        <v>86.8</v>
      </c>
      <c r="C477" s="8" t="n">
        <v>2</v>
      </c>
      <c r="D477" s="8" t="n">
        <f aca="false">B477*C477/C$490</f>
        <v>2.19746835443038</v>
      </c>
    </row>
    <row r="478" customFormat="false" ht="12.75" hidden="false" customHeight="true" outlineLevel="0" collapsed="false">
      <c r="A478" s="10" t="s">
        <v>50</v>
      </c>
      <c r="B478" s="8" t="n">
        <f aca="false">E408</f>
        <v>99</v>
      </c>
      <c r="C478" s="8" t="n">
        <v>2</v>
      </c>
      <c r="D478" s="8" t="n">
        <f aca="false">B478*C478/C$490</f>
        <v>2.50632911392405</v>
      </c>
    </row>
    <row r="479" customFormat="false" ht="12.75" hidden="false" customHeight="true" outlineLevel="0" collapsed="false">
      <c r="A479" s="9" t="s">
        <v>51</v>
      </c>
      <c r="B479" s="8" t="n">
        <f aca="false">K408</f>
        <v>49.53</v>
      </c>
      <c r="C479" s="8" t="n">
        <v>2</v>
      </c>
      <c r="D479" s="8" t="n">
        <f aca="false">B479*C479/C$490</f>
        <v>1.25392405063291</v>
      </c>
    </row>
    <row r="480" customFormat="false" ht="12.75" hidden="false" customHeight="true" outlineLevel="0" collapsed="false">
      <c r="A480" s="10" t="s">
        <v>52</v>
      </c>
      <c r="B480" s="8" t="n">
        <f aca="false">E421</f>
        <v>99.2</v>
      </c>
      <c r="C480" s="8" t="n">
        <v>4</v>
      </c>
      <c r="D480" s="8" t="n">
        <f aca="false">B480*C480/C$490</f>
        <v>5.02278481012658</v>
      </c>
    </row>
    <row r="481" customFormat="false" ht="12.75" hidden="false" customHeight="true" outlineLevel="0" collapsed="false">
      <c r="A481" s="9" t="s">
        <v>53</v>
      </c>
      <c r="B481" s="8" t="n">
        <f aca="false">K421</f>
        <v>104.4</v>
      </c>
      <c r="C481" s="8" t="n">
        <v>3</v>
      </c>
      <c r="D481" s="8" t="n">
        <f aca="false">B481*C481/C$490</f>
        <v>3.96455696202532</v>
      </c>
    </row>
    <row r="482" customFormat="false" ht="12.75" hidden="false" customHeight="true" outlineLevel="0" collapsed="false">
      <c r="A482" s="10" t="s">
        <v>54</v>
      </c>
      <c r="B482" s="8" t="n">
        <f aca="false">E434</f>
        <v>64.22</v>
      </c>
      <c r="C482" s="8" t="n">
        <v>2</v>
      </c>
      <c r="D482" s="8" t="n">
        <f aca="false">B482*C482/C$490</f>
        <v>1.62582278481013</v>
      </c>
    </row>
    <row r="483" customFormat="false" ht="12.75" hidden="false" customHeight="true" outlineLevel="0" collapsed="false">
      <c r="A483" s="9" t="s">
        <v>55</v>
      </c>
      <c r="B483" s="8" t="n">
        <f aca="false">K434</f>
        <v>108.1</v>
      </c>
      <c r="C483" s="8" t="n">
        <v>9</v>
      </c>
      <c r="D483" s="8" t="n">
        <f aca="false">B483*C483/C$490</f>
        <v>12.3151898734177</v>
      </c>
    </row>
    <row r="484" customFormat="false" ht="12.75" hidden="false" customHeight="true" outlineLevel="0" collapsed="false">
      <c r="A484" s="10" t="s">
        <v>56</v>
      </c>
      <c r="B484" s="8" t="n">
        <f aca="false">E447</f>
        <v>162.688</v>
      </c>
      <c r="C484" s="8" t="n">
        <v>13</v>
      </c>
      <c r="D484" s="8" t="n">
        <f aca="false">B484*C484/C$490</f>
        <v>26.7714430379747</v>
      </c>
    </row>
    <row r="485" customFormat="false" ht="12.75" hidden="false" customHeight="true" outlineLevel="0" collapsed="false">
      <c r="A485" s="9" t="s">
        <v>57</v>
      </c>
      <c r="B485" s="8" t="n">
        <f aca="false">K447</f>
        <v>108.3</v>
      </c>
      <c r="C485" s="8" t="n">
        <v>9</v>
      </c>
      <c r="D485" s="8" t="n">
        <f aca="false">B485*C485/C$490</f>
        <v>12.3379746835443</v>
      </c>
    </row>
    <row r="486" customFormat="false" ht="12.75" hidden="false" customHeight="true" outlineLevel="0" collapsed="false">
      <c r="A486" s="10" t="s">
        <v>58</v>
      </c>
      <c r="B486" s="8" t="n">
        <f aca="false">E460</f>
        <v>128</v>
      </c>
      <c r="C486" s="8" t="n">
        <v>9</v>
      </c>
      <c r="D486" s="8" t="n">
        <f aca="false">B486*C486/C$490</f>
        <v>14.5822784810127</v>
      </c>
    </row>
    <row r="487" customFormat="false" ht="12.75" hidden="false" customHeight="true" outlineLevel="0" collapsed="false">
      <c r="A487" s="9" t="s">
        <v>59</v>
      </c>
      <c r="B487" s="8" t="n">
        <f aca="false">K460</f>
        <v>277.2</v>
      </c>
      <c r="C487" s="8" t="n">
        <v>13</v>
      </c>
      <c r="D487" s="8" t="n">
        <f aca="false">B487*C487/C$490</f>
        <v>45.6151898734177</v>
      </c>
    </row>
    <row r="488" customFormat="false" ht="12.75" hidden="false" customHeight="true" outlineLevel="0" collapsed="false">
      <c r="A488" s="11" t="s">
        <v>60</v>
      </c>
      <c r="B488" s="8" t="n">
        <f aca="false">E473</f>
        <v>193.192</v>
      </c>
      <c r="C488" s="8" t="n">
        <v>10</v>
      </c>
      <c r="D488" s="8" t="n">
        <f aca="false">B488*C488/C$490</f>
        <v>24.4546835443038</v>
      </c>
    </row>
    <row r="489" customFormat="false" ht="12.75" hidden="false" customHeight="true" outlineLevel="0" collapsed="false"/>
    <row r="490" customFormat="false" ht="12.75" hidden="false" customHeight="true" outlineLevel="0" collapsed="false">
      <c r="B490" s="8" t="s">
        <v>113</v>
      </c>
      <c r="C490" s="8" t="n">
        <f aca="false">SUM(C476:C488)</f>
        <v>79</v>
      </c>
      <c r="D490" s="8" t="n">
        <f aca="false">SUM(D476:D488)</f>
        <v>153.619797468354</v>
      </c>
    </row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>
      <c r="A493" s="9" t="s">
        <v>144</v>
      </c>
      <c r="C493" s="8" t="s">
        <v>36</v>
      </c>
      <c r="D493" s="13" t="s">
        <v>145</v>
      </c>
      <c r="E493" s="8" t="s">
        <v>36</v>
      </c>
      <c r="F493" s="13" t="s">
        <v>145</v>
      </c>
      <c r="G493" s="8" t="s">
        <v>36</v>
      </c>
      <c r="H493" s="13" t="s">
        <v>145</v>
      </c>
      <c r="I493" s="8" t="s">
        <v>36</v>
      </c>
      <c r="J493" s="13" t="s">
        <v>145</v>
      </c>
      <c r="K493" s="8" t="s">
        <v>36</v>
      </c>
      <c r="L493" s="13" t="s">
        <v>145</v>
      </c>
      <c r="M493" s="8" t="s">
        <v>36</v>
      </c>
      <c r="N493" s="13" t="s">
        <v>145</v>
      </c>
      <c r="O493" s="8" t="s">
        <v>36</v>
      </c>
      <c r="P493" s="13" t="s">
        <v>145</v>
      </c>
      <c r="Q493" s="8" t="s">
        <v>36</v>
      </c>
      <c r="R493" s="13" t="s">
        <v>145</v>
      </c>
      <c r="S493" s="8" t="s">
        <v>36</v>
      </c>
      <c r="T493" s="13" t="s">
        <v>145</v>
      </c>
      <c r="U493" s="8" t="s">
        <v>36</v>
      </c>
      <c r="V493" s="13" t="s">
        <v>145</v>
      </c>
      <c r="W493" s="8" t="s">
        <v>36</v>
      </c>
      <c r="X493" s="13" t="s">
        <v>145</v>
      </c>
      <c r="Y493" s="8" t="s">
        <v>36</v>
      </c>
      <c r="Z493" s="13" t="s">
        <v>145</v>
      </c>
      <c r="AA493" s="8" t="s">
        <v>36</v>
      </c>
      <c r="AB493" s="13" t="s">
        <v>145</v>
      </c>
      <c r="AC493" s="8" t="s">
        <v>36</v>
      </c>
      <c r="AD493" s="13" t="s">
        <v>145</v>
      </c>
    </row>
    <row r="494" customFormat="false" ht="12.75" hidden="false" customHeight="true" outlineLevel="0" collapsed="false">
      <c r="A494" s="8" t="s">
        <v>106</v>
      </c>
      <c r="B494" s="8" t="s">
        <v>146</v>
      </c>
      <c r="C494" s="14" t="s">
        <v>39</v>
      </c>
      <c r="D494" s="14" t="s">
        <v>39</v>
      </c>
      <c r="E494" s="10" t="s">
        <v>47</v>
      </c>
      <c r="F494" s="10" t="s">
        <v>47</v>
      </c>
      <c r="G494" s="9" t="s">
        <v>48</v>
      </c>
      <c r="H494" s="9" t="s">
        <v>48</v>
      </c>
      <c r="I494" s="10" t="s">
        <v>50</v>
      </c>
      <c r="J494" s="10" t="s">
        <v>50</v>
      </c>
      <c r="K494" s="9" t="s">
        <v>51</v>
      </c>
      <c r="L494" s="9" t="s">
        <v>51</v>
      </c>
      <c r="M494" s="10" t="s">
        <v>52</v>
      </c>
      <c r="N494" s="10" t="s">
        <v>52</v>
      </c>
      <c r="O494" s="9" t="s">
        <v>53</v>
      </c>
      <c r="P494" s="9" t="s">
        <v>53</v>
      </c>
      <c r="Q494" s="10" t="s">
        <v>54</v>
      </c>
      <c r="R494" s="10" t="s">
        <v>54</v>
      </c>
      <c r="S494" s="9" t="s">
        <v>55</v>
      </c>
      <c r="T494" s="9" t="s">
        <v>55</v>
      </c>
      <c r="U494" s="10" t="s">
        <v>56</v>
      </c>
      <c r="V494" s="10" t="s">
        <v>56</v>
      </c>
      <c r="W494" s="9" t="s">
        <v>57</v>
      </c>
      <c r="X494" s="9" t="s">
        <v>57</v>
      </c>
      <c r="Y494" s="10" t="s">
        <v>58</v>
      </c>
      <c r="Z494" s="10" t="s">
        <v>58</v>
      </c>
      <c r="AA494" s="9" t="s">
        <v>59</v>
      </c>
      <c r="AB494" s="9" t="s">
        <v>59</v>
      </c>
      <c r="AC494" s="11" t="s">
        <v>60</v>
      </c>
      <c r="AD494" s="11" t="s">
        <v>60</v>
      </c>
    </row>
    <row r="495" customFormat="false" ht="12.75" hidden="false" customHeight="true" outlineLevel="0" collapsed="false">
      <c r="A495" s="8" t="n">
        <v>0.97</v>
      </c>
      <c r="B495" s="8" t="n">
        <f aca="false">F519</f>
        <v>89.3404761904762</v>
      </c>
      <c r="C495" s="8" t="n">
        <f aca="false">A495/B495</f>
        <v>0.010857340830957</v>
      </c>
      <c r="D495" s="8" t="n">
        <f aca="false">1/C495</f>
        <v>92.1035837015218</v>
      </c>
      <c r="E495" s="8" t="n">
        <f aca="false">N3/A495*C495</f>
        <v>0.0134317618527303</v>
      </c>
      <c r="F495" s="8" t="n">
        <f aca="false">1/E495</f>
        <v>74.4503968253968</v>
      </c>
      <c r="G495" s="8" t="n">
        <f aca="false">S3/A495*C495</f>
        <v>0.0156703888281854</v>
      </c>
      <c r="H495" s="8" t="n">
        <f aca="false">1/G495</f>
        <v>63.8146258503401</v>
      </c>
      <c r="I495" s="8" t="n">
        <f aca="false">X3/A495*C495</f>
        <v>0.0167897023159129</v>
      </c>
      <c r="J495" s="8" t="n">
        <f aca="false">1/I495</f>
        <v>59.5603174603175</v>
      </c>
      <c r="K495" s="8" t="n">
        <f aca="false">AC3/A495*C495</f>
        <v>0.0145510753404579</v>
      </c>
      <c r="L495" s="8" t="n">
        <f aca="false">1/K495</f>
        <v>68.7234432234432</v>
      </c>
      <c r="M495" s="8" t="n">
        <f aca="false">AH3/A495*C495</f>
        <v>0.0179090158036404</v>
      </c>
      <c r="N495" s="8" t="n">
        <f aca="false">1/M495</f>
        <v>55.8377976190476</v>
      </c>
      <c r="O495" s="8" t="n">
        <f aca="false">AM3/A495*C495</f>
        <v>0.0201476427790955</v>
      </c>
      <c r="P495" s="8" t="n">
        <f aca="false">1/O495</f>
        <v>49.6335978835979</v>
      </c>
      <c r="Q495" s="8" t="n">
        <f aca="false">AR3/A495*C495</f>
        <v>0.021266956266823</v>
      </c>
      <c r="R495" s="8" t="n">
        <f aca="false">1/Q495</f>
        <v>47.0213032581454</v>
      </c>
      <c r="S495" s="8" t="n">
        <f aca="false">AW3/A495*C495</f>
        <v>0.0223862697545505</v>
      </c>
      <c r="T495" s="8" t="n">
        <f aca="false">1/S495</f>
        <v>44.6702380952381</v>
      </c>
      <c r="U495" s="8" t="n">
        <f aca="false">BB3/A495*C495</f>
        <v>0.0179090158036404</v>
      </c>
      <c r="V495" s="8" t="n">
        <f aca="false">1/U495</f>
        <v>55.8377976190476</v>
      </c>
      <c r="W495" s="8" t="n">
        <f aca="false">BG3/A495*C495</f>
        <v>0.021266956266823</v>
      </c>
      <c r="X495" s="8" t="n">
        <f aca="false">1/W495</f>
        <v>47.0213032581454</v>
      </c>
      <c r="Y495" s="8" t="n">
        <f aca="false">BL3/A495*C495</f>
        <v>0.0223862697545505</v>
      </c>
      <c r="Z495" s="8" t="n">
        <f aca="false">1/Y495</f>
        <v>44.6702380952381</v>
      </c>
      <c r="AA495" s="8" t="n">
        <f aca="false">BQ3/A495*C495</f>
        <v>0.0223862697545505</v>
      </c>
      <c r="AB495" s="8" t="n">
        <f aca="false">1/AA495</f>
        <v>44.6702380952381</v>
      </c>
      <c r="AC495" s="8" t="n">
        <f aca="false">BV3/A495*C495</f>
        <v>0.021266956266823</v>
      </c>
      <c r="AD495" s="8" t="n">
        <f aca="false">1/AC495</f>
        <v>47.0213032581454</v>
      </c>
    </row>
    <row r="496" customFormat="false" ht="12.75" hidden="false" customHeight="true" outlineLevel="0" collapsed="false"/>
    <row r="497" customFormat="false" ht="12.75" hidden="false" customHeight="true" outlineLevel="0" collapsed="false">
      <c r="E497" s="8" t="n">
        <f aca="false">B495*E495</f>
        <v>1.2</v>
      </c>
      <c r="G497" s="8" t="n">
        <f aca="false">B495*G495</f>
        <v>1.4</v>
      </c>
      <c r="I497" s="8" t="n">
        <f aca="false">I495*B495</f>
        <v>1.5</v>
      </c>
      <c r="K497" s="8" t="n">
        <f aca="false">B495*K495</f>
        <v>1.3</v>
      </c>
      <c r="M497" s="8" t="n">
        <f aca="false">B495*M495</f>
        <v>1.6</v>
      </c>
      <c r="O497" s="8" t="n">
        <f aca="false">B495*O495</f>
        <v>1.8</v>
      </c>
      <c r="Q497" s="8" t="n">
        <f aca="false">B495*Q495</f>
        <v>1.9</v>
      </c>
      <c r="S497" s="8" t="n">
        <f aca="false">B495*S495</f>
        <v>2</v>
      </c>
      <c r="U497" s="8" t="n">
        <f aca="false">B495*U495</f>
        <v>1.6</v>
      </c>
      <c r="W497" s="8" t="n">
        <f aca="false">B495*W495</f>
        <v>1.9</v>
      </c>
      <c r="Y497" s="8" t="n">
        <f aca="false">B495*Y495</f>
        <v>2</v>
      </c>
      <c r="AA497" s="8" t="n">
        <f aca="false">B495*AA495</f>
        <v>2</v>
      </c>
      <c r="AC497" s="8" t="n">
        <f aca="false">B495*AC495</f>
        <v>1.9</v>
      </c>
    </row>
    <row r="498" customFormat="false" ht="12.75" hidden="false" customHeight="true" outlineLevel="0" collapsed="false"/>
    <row r="499" customFormat="false" ht="12.75" hidden="false" customHeight="true" outlineLevel="0" collapsed="false">
      <c r="A499" s="8" t="s">
        <v>147</v>
      </c>
      <c r="B499" s="8" t="s">
        <v>148</v>
      </c>
      <c r="C499" s="8" t="s">
        <v>103</v>
      </c>
      <c r="D499" s="8" t="s">
        <v>149</v>
      </c>
      <c r="E499" s="8" t="s">
        <v>111</v>
      </c>
      <c r="F499" s="8" t="s">
        <v>112</v>
      </c>
    </row>
    <row r="500" customFormat="false" ht="12.75" hidden="false" customHeight="true" outlineLevel="0" collapsed="false">
      <c r="A500" s="10" t="s">
        <v>50</v>
      </c>
      <c r="B500" s="8" t="n">
        <f aca="false">Z$3</f>
        <v>7.5</v>
      </c>
      <c r="C500" s="8" t="n">
        <v>12</v>
      </c>
      <c r="D500" s="8" t="n">
        <f aca="false">B500*C500</f>
        <v>90</v>
      </c>
      <c r="E500" s="8" t="n">
        <v>12</v>
      </c>
      <c r="F500" s="8" t="n">
        <f aca="false">D500*E500/E$519</f>
        <v>6.42857142857143</v>
      </c>
    </row>
    <row r="501" customFormat="false" ht="12.75" hidden="false" customHeight="true" outlineLevel="0" collapsed="false">
      <c r="A501" s="10" t="s">
        <v>50</v>
      </c>
      <c r="B501" s="8" t="n">
        <f aca="false">Z$3</f>
        <v>7.5</v>
      </c>
      <c r="C501" s="8" t="n">
        <v>15</v>
      </c>
      <c r="D501" s="8" t="n">
        <f aca="false">B501*C501</f>
        <v>112.5</v>
      </c>
      <c r="E501" s="8" t="n">
        <v>10</v>
      </c>
      <c r="F501" s="8" t="n">
        <f aca="false">D501*E501/E$519</f>
        <v>6.69642857142857</v>
      </c>
    </row>
    <row r="502" customFormat="false" ht="12.75" hidden="false" customHeight="true" outlineLevel="0" collapsed="false">
      <c r="A502" s="10" t="s">
        <v>50</v>
      </c>
      <c r="B502" s="8" t="n">
        <f aca="false">Z$3</f>
        <v>7.5</v>
      </c>
      <c r="C502" s="8" t="n">
        <v>18</v>
      </c>
      <c r="D502" s="8" t="n">
        <f aca="false">B502*C502</f>
        <v>135</v>
      </c>
      <c r="E502" s="8" t="n">
        <v>8</v>
      </c>
      <c r="F502" s="8" t="n">
        <f aca="false">D502*E502/E$519</f>
        <v>6.42857142857143</v>
      </c>
    </row>
    <row r="503" customFormat="false" ht="12.75" hidden="false" customHeight="true" outlineLevel="0" collapsed="false">
      <c r="A503" s="9" t="s">
        <v>51</v>
      </c>
      <c r="B503" s="8" t="n">
        <f aca="false">AE$3</f>
        <v>3.9</v>
      </c>
      <c r="C503" s="8" t="n">
        <v>12</v>
      </c>
      <c r="D503" s="8" t="n">
        <f aca="false">B503*C503</f>
        <v>46.8</v>
      </c>
      <c r="E503" s="8" t="n">
        <v>12</v>
      </c>
      <c r="F503" s="8" t="n">
        <f aca="false">D503*E503/E$519</f>
        <v>3.34285714285714</v>
      </c>
    </row>
    <row r="504" customFormat="false" ht="12.75" hidden="false" customHeight="true" outlineLevel="0" collapsed="false">
      <c r="A504" s="9" t="s">
        <v>51</v>
      </c>
      <c r="B504" s="8" t="n">
        <f aca="false">AE$3</f>
        <v>3.9</v>
      </c>
      <c r="C504" s="8" t="n">
        <v>15</v>
      </c>
      <c r="D504" s="8" t="n">
        <f aca="false">B504*C504</f>
        <v>58.5</v>
      </c>
      <c r="E504" s="8" t="n">
        <v>10</v>
      </c>
      <c r="F504" s="8" t="n">
        <f aca="false">D504*E504/E$519</f>
        <v>3.48214285714286</v>
      </c>
    </row>
    <row r="505" customFormat="false" ht="12.75" hidden="false" customHeight="true" outlineLevel="0" collapsed="false">
      <c r="A505" s="9" t="s">
        <v>51</v>
      </c>
      <c r="B505" s="8" t="n">
        <f aca="false">AE$3</f>
        <v>3.9</v>
      </c>
      <c r="C505" s="8" t="n">
        <v>18</v>
      </c>
      <c r="D505" s="8" t="n">
        <f aca="false">B505*C505</f>
        <v>70.2</v>
      </c>
      <c r="E505" s="8" t="n">
        <v>8</v>
      </c>
      <c r="F505" s="8" t="n">
        <f aca="false">D505*E505/E$519</f>
        <v>3.34285714285714</v>
      </c>
    </row>
    <row r="506" customFormat="false" ht="12.75" hidden="false" customHeight="true" outlineLevel="0" collapsed="false">
      <c r="A506" s="10" t="s">
        <v>56</v>
      </c>
      <c r="B506" s="8" t="n">
        <f aca="false">BD$3</f>
        <v>16</v>
      </c>
      <c r="C506" s="8" t="n">
        <v>5</v>
      </c>
      <c r="D506" s="8" t="n">
        <f aca="false">B506*C506</f>
        <v>80</v>
      </c>
      <c r="E506" s="8" t="n">
        <v>10</v>
      </c>
      <c r="F506" s="8" t="n">
        <f aca="false">D506*E506/E$519</f>
        <v>4.76190476190476</v>
      </c>
    </row>
    <row r="507" customFormat="false" ht="12.75" hidden="false" customHeight="true" outlineLevel="0" collapsed="false">
      <c r="A507" s="10" t="s">
        <v>56</v>
      </c>
      <c r="B507" s="8" t="n">
        <f aca="false">BD$3</f>
        <v>16</v>
      </c>
      <c r="C507" s="8" t="n">
        <v>6</v>
      </c>
      <c r="D507" s="8" t="n">
        <f aca="false">B507*C507</f>
        <v>96</v>
      </c>
      <c r="E507" s="8" t="n">
        <v>8</v>
      </c>
      <c r="F507" s="8" t="n">
        <f aca="false">D507*E507/E$519</f>
        <v>4.57142857142857</v>
      </c>
    </row>
    <row r="508" customFormat="false" ht="12.75" hidden="false" customHeight="true" outlineLevel="0" collapsed="false">
      <c r="A508" s="10" t="s">
        <v>56</v>
      </c>
      <c r="B508" s="8" t="n">
        <f aca="false">BD$3</f>
        <v>16</v>
      </c>
      <c r="C508" s="8" t="n">
        <v>7</v>
      </c>
      <c r="D508" s="8" t="n">
        <f aca="false">B508*C508</f>
        <v>112</v>
      </c>
      <c r="E508" s="8" t="n">
        <v>6</v>
      </c>
      <c r="F508" s="8" t="n">
        <f aca="false">D508*E508/E$519</f>
        <v>4</v>
      </c>
    </row>
    <row r="509" customFormat="false" ht="12.75" hidden="false" customHeight="true" outlineLevel="0" collapsed="false">
      <c r="A509" s="9" t="s">
        <v>55</v>
      </c>
      <c r="B509" s="8" t="n">
        <f aca="false">AY$3</f>
        <v>10</v>
      </c>
      <c r="C509" s="8" t="n">
        <v>7</v>
      </c>
      <c r="D509" s="8" t="n">
        <f aca="false">B509*C509</f>
        <v>70</v>
      </c>
      <c r="E509" s="8" t="n">
        <v>12</v>
      </c>
      <c r="F509" s="8" t="n">
        <f aca="false">D509*E509/E$519</f>
        <v>5</v>
      </c>
    </row>
    <row r="510" customFormat="false" ht="12.75" hidden="false" customHeight="true" outlineLevel="0" collapsed="false">
      <c r="A510" s="9" t="s">
        <v>55</v>
      </c>
      <c r="B510" s="8" t="n">
        <f aca="false">AY$3</f>
        <v>10</v>
      </c>
      <c r="C510" s="8" t="n">
        <v>8</v>
      </c>
      <c r="D510" s="8" t="n">
        <f aca="false">B510*C510</f>
        <v>80</v>
      </c>
      <c r="E510" s="8" t="n">
        <v>10</v>
      </c>
      <c r="F510" s="8" t="n">
        <f aca="false">D510*E510/E$519</f>
        <v>4.76190476190476</v>
      </c>
    </row>
    <row r="511" customFormat="false" ht="12.75" hidden="false" customHeight="true" outlineLevel="0" collapsed="false">
      <c r="A511" s="9" t="s">
        <v>55</v>
      </c>
      <c r="B511" s="8" t="n">
        <f aca="false">AY$3</f>
        <v>10</v>
      </c>
      <c r="C511" s="8" t="n">
        <v>10</v>
      </c>
      <c r="D511" s="8" t="n">
        <f aca="false">B511*C511</f>
        <v>100</v>
      </c>
      <c r="E511" s="8" t="n">
        <v>8</v>
      </c>
      <c r="F511" s="8" t="n">
        <f aca="false">D511*E511/E$519</f>
        <v>4.76190476190476</v>
      </c>
    </row>
    <row r="512" customFormat="false" ht="12.75" hidden="false" customHeight="true" outlineLevel="0" collapsed="false">
      <c r="A512" s="10" t="s">
        <v>54</v>
      </c>
      <c r="B512" s="8" t="n">
        <f aca="false">AT$3</f>
        <v>3.8</v>
      </c>
      <c r="C512" s="8" t="n">
        <v>15</v>
      </c>
      <c r="D512" s="8" t="n">
        <f aca="false">B512*C512</f>
        <v>57</v>
      </c>
      <c r="E512" s="8" t="n">
        <v>12</v>
      </c>
      <c r="F512" s="8" t="n">
        <f aca="false">D512*E512/E$519</f>
        <v>4.07142857142857</v>
      </c>
    </row>
    <row r="513" customFormat="false" ht="12.75" hidden="false" customHeight="true" outlineLevel="0" collapsed="false">
      <c r="A513" s="10" t="s">
        <v>54</v>
      </c>
      <c r="B513" s="8" t="n">
        <f aca="false">AT$3</f>
        <v>3.8</v>
      </c>
      <c r="C513" s="8" t="n">
        <v>18</v>
      </c>
      <c r="D513" s="8" t="n">
        <f aca="false">B513*C513</f>
        <v>68.4</v>
      </c>
      <c r="E513" s="8" t="n">
        <v>10</v>
      </c>
      <c r="F513" s="8" t="n">
        <f aca="false">D513*E513/E$519</f>
        <v>4.07142857142857</v>
      </c>
    </row>
    <row r="514" customFormat="false" ht="12.75" hidden="false" customHeight="true" outlineLevel="0" collapsed="false">
      <c r="A514" s="10" t="s">
        <v>54</v>
      </c>
      <c r="B514" s="8" t="n">
        <f aca="false">AT$3</f>
        <v>3.8</v>
      </c>
      <c r="C514" s="8" t="n">
        <v>20</v>
      </c>
      <c r="D514" s="8" t="n">
        <f aca="false">B514*C514</f>
        <v>76</v>
      </c>
      <c r="E514" s="8" t="n">
        <v>8</v>
      </c>
      <c r="F514" s="8" t="n">
        <f aca="false">D514*E514/E$519</f>
        <v>3.61904761904762</v>
      </c>
    </row>
    <row r="515" customFormat="false" ht="12.75" hidden="false" customHeight="true" outlineLevel="0" collapsed="false">
      <c r="A515" s="9" t="s">
        <v>59</v>
      </c>
      <c r="B515" s="8" t="n">
        <f aca="false">BS$3</f>
        <v>24</v>
      </c>
      <c r="C515" s="8" t="n">
        <v>5</v>
      </c>
      <c r="D515" s="8" t="n">
        <f aca="false">B515*C515</f>
        <v>120</v>
      </c>
      <c r="E515" s="8" t="n">
        <v>10</v>
      </c>
      <c r="F515" s="8" t="n">
        <f aca="false">D515*E515/E$519</f>
        <v>7.14285714285714</v>
      </c>
    </row>
    <row r="516" customFormat="false" ht="12.75" hidden="false" customHeight="true" outlineLevel="0" collapsed="false">
      <c r="A516" s="9" t="s">
        <v>59</v>
      </c>
      <c r="B516" s="8" t="n">
        <f aca="false">BS$3</f>
        <v>24</v>
      </c>
      <c r="C516" s="8" t="n">
        <v>6</v>
      </c>
      <c r="D516" s="8" t="n">
        <f aca="false">B516*C516</f>
        <v>144</v>
      </c>
      <c r="E516" s="8" t="n">
        <v>8</v>
      </c>
      <c r="F516" s="8" t="n">
        <f aca="false">D516*E516/E$519</f>
        <v>6.85714285714286</v>
      </c>
    </row>
    <row r="517" customFormat="false" ht="12.75" hidden="false" customHeight="true" outlineLevel="0" collapsed="false">
      <c r="A517" s="9" t="s">
        <v>59</v>
      </c>
      <c r="B517" s="8" t="n">
        <f aca="false">BS$3</f>
        <v>24</v>
      </c>
      <c r="C517" s="8" t="n">
        <v>7</v>
      </c>
      <c r="D517" s="8" t="n">
        <f aca="false">B517*C517</f>
        <v>168</v>
      </c>
      <c r="E517" s="8" t="n">
        <v>6</v>
      </c>
      <c r="F517" s="8" t="n">
        <f aca="false">D517*E517/E$519</f>
        <v>6</v>
      </c>
    </row>
    <row r="518" customFormat="false" ht="12.75" hidden="false" customHeight="true" outlineLevel="0" collapsed="false"/>
    <row r="519" customFormat="false" ht="12.75" hidden="false" customHeight="true" outlineLevel="0" collapsed="false">
      <c r="D519" s="8" t="s">
        <v>113</v>
      </c>
      <c r="E519" s="8" t="n">
        <f aca="false">SUM(E500:E517)</f>
        <v>168</v>
      </c>
      <c r="F519" s="8" t="n">
        <f aca="false">SUM(F500:F517)</f>
        <v>89.3404761904762</v>
      </c>
    </row>
    <row r="520" customFormat="false" ht="12.75" hidden="false" customHeight="true" outlineLevel="0" collapsed="false"/>
    <row r="521" customFormat="false" ht="12.75" hidden="false" customHeight="true" outlineLevel="0" collapsed="false">
      <c r="A521" s="9" t="s">
        <v>150</v>
      </c>
      <c r="B521" s="9"/>
      <c r="C521" s="9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</row>
    <row r="522" customFormat="false" ht="12.75" hidden="false" customHeight="true" outlineLevel="0" collapsed="false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</row>
    <row r="523" customFormat="false" ht="12.75" hidden="false" customHeight="true" outlineLevel="0" collapsed="false">
      <c r="A523" s="20" t="s">
        <v>151</v>
      </c>
      <c r="B523" s="20"/>
      <c r="C523" s="20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</row>
    <row r="524" customFormat="false" ht="12.75" hidden="false" customHeight="true" outlineLevel="0" collapsed="false">
      <c r="A524" s="20" t="s">
        <v>152</v>
      </c>
      <c r="B524" s="20"/>
      <c r="C524" s="20"/>
      <c r="D524" s="20"/>
      <c r="E524" s="20"/>
      <c r="F524" s="20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</row>
    <row r="525" customFormat="false" ht="12.75" hidden="false" customHeight="true" outlineLevel="0" collapsed="false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</row>
    <row r="526" customFormat="false" ht="12.75" hidden="false" customHeight="true" outlineLevel="0" collapsed="false">
      <c r="A526" s="20" t="s">
        <v>153</v>
      </c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</row>
    <row r="527" customFormat="false" ht="12.75" hidden="false" customHeight="true" outlineLevel="0" collapsed="false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</row>
    <row r="528" customFormat="false" ht="12.75" hidden="false" customHeight="true" outlineLevel="0" collapsed="false">
      <c r="A528" s="13"/>
      <c r="B528" s="13"/>
      <c r="C528" s="13"/>
      <c r="D528" s="20" t="s">
        <v>119</v>
      </c>
      <c r="E528" s="20" t="s">
        <v>120</v>
      </c>
      <c r="F528" s="20" t="s">
        <v>119</v>
      </c>
      <c r="G528" s="20" t="s">
        <v>120</v>
      </c>
      <c r="H528" s="20" t="s">
        <v>119</v>
      </c>
      <c r="I528" s="20" t="s">
        <v>120</v>
      </c>
      <c r="J528" s="20" t="s">
        <v>119</v>
      </c>
      <c r="K528" s="20" t="s">
        <v>120</v>
      </c>
      <c r="L528" s="20" t="s">
        <v>119</v>
      </c>
      <c r="M528" s="20" t="s">
        <v>120</v>
      </c>
      <c r="N528" s="20" t="s">
        <v>119</v>
      </c>
      <c r="O528" s="20" t="s">
        <v>120</v>
      </c>
      <c r="P528" s="20" t="s">
        <v>119</v>
      </c>
      <c r="Q528" s="20" t="s">
        <v>120</v>
      </c>
      <c r="R528" s="20" t="s">
        <v>119</v>
      </c>
      <c r="S528" s="20" t="s">
        <v>120</v>
      </c>
      <c r="T528" s="20" t="s">
        <v>119</v>
      </c>
      <c r="U528" s="20" t="s">
        <v>120</v>
      </c>
      <c r="V528" s="20" t="s">
        <v>119</v>
      </c>
      <c r="W528" s="20" t="s">
        <v>120</v>
      </c>
      <c r="X528" s="20" t="s">
        <v>119</v>
      </c>
      <c r="Y528" s="20" t="s">
        <v>120</v>
      </c>
      <c r="Z528" s="20" t="s">
        <v>119</v>
      </c>
      <c r="AA528" s="20" t="s">
        <v>120</v>
      </c>
      <c r="AB528" s="20" t="s">
        <v>119</v>
      </c>
      <c r="AC528" s="20" t="s">
        <v>120</v>
      </c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</row>
    <row r="529" customFormat="false" ht="12.75" hidden="false" customHeight="true" outlineLevel="0" collapsed="false">
      <c r="A529" s="13"/>
      <c r="B529" s="13" t="s">
        <v>121</v>
      </c>
      <c r="C529" s="20" t="s">
        <v>122</v>
      </c>
      <c r="D529" s="10" t="s">
        <v>47</v>
      </c>
      <c r="E529" s="10" t="s">
        <v>47</v>
      </c>
      <c r="F529" s="9" t="s">
        <v>48</v>
      </c>
      <c r="G529" s="9" t="s">
        <v>48</v>
      </c>
      <c r="H529" s="10" t="s">
        <v>50</v>
      </c>
      <c r="I529" s="10" t="s">
        <v>50</v>
      </c>
      <c r="J529" s="9" t="s">
        <v>51</v>
      </c>
      <c r="K529" s="9" t="s">
        <v>51</v>
      </c>
      <c r="L529" s="10" t="s">
        <v>52</v>
      </c>
      <c r="M529" s="10" t="s">
        <v>52</v>
      </c>
      <c r="N529" s="9" t="s">
        <v>53</v>
      </c>
      <c r="O529" s="9" t="s">
        <v>53</v>
      </c>
      <c r="P529" s="10" t="s">
        <v>54</v>
      </c>
      <c r="Q529" s="10" t="s">
        <v>54</v>
      </c>
      <c r="R529" s="9" t="s">
        <v>55</v>
      </c>
      <c r="S529" s="9" t="s">
        <v>55</v>
      </c>
      <c r="T529" s="10" t="s">
        <v>56</v>
      </c>
      <c r="U529" s="10" t="s">
        <v>56</v>
      </c>
      <c r="V529" s="9" t="s">
        <v>57</v>
      </c>
      <c r="W529" s="9" t="s">
        <v>57</v>
      </c>
      <c r="X529" s="10" t="s">
        <v>58</v>
      </c>
      <c r="Y529" s="10" t="s">
        <v>58</v>
      </c>
      <c r="Z529" s="9" t="s">
        <v>59</v>
      </c>
      <c r="AA529" s="9" t="s">
        <v>59</v>
      </c>
      <c r="AB529" s="11" t="s">
        <v>60</v>
      </c>
      <c r="AC529" s="11" t="s">
        <v>60</v>
      </c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</row>
    <row r="530" customFormat="false" ht="12.75" hidden="false" customHeight="true" outlineLevel="0" collapsed="false">
      <c r="A530" s="13" t="s">
        <v>116</v>
      </c>
      <c r="B530" s="21" t="n">
        <f aca="false">D$145</f>
        <v>6.73</v>
      </c>
      <c r="C530" s="21" t="n">
        <v>0.47</v>
      </c>
      <c r="D530" s="21" t="n">
        <f aca="false">N$3*$C$149/$C$152/$C$149*$D$149*C533</f>
        <v>0.0838038632986627</v>
      </c>
      <c r="E530" s="21" t="n">
        <f aca="false">1/D530</f>
        <v>11.9326241134752</v>
      </c>
      <c r="F530" s="21" t="n">
        <f aca="false">S$3*$C$149/$C$152/$C$149*$D$149*C533</f>
        <v>0.0977711738484398</v>
      </c>
      <c r="G530" s="21" t="n">
        <f aca="false">1/F530</f>
        <v>10.2279635258359</v>
      </c>
      <c r="H530" s="21" t="n">
        <f aca="false">X$3*$C$149/$C$152/$C$149*$D$149*C533</f>
        <v>0.104754829123328</v>
      </c>
      <c r="I530" s="21" t="n">
        <f aca="false">1/H530</f>
        <v>9.54609929078014</v>
      </c>
      <c r="J530" s="21" t="n">
        <f aca="false">AC$3*$C$149/$C$152/$C$149*$D$149*C533</f>
        <v>0.0907875185735513</v>
      </c>
      <c r="K530" s="21" t="n">
        <f aca="false">1/J530</f>
        <v>11.0147299509002</v>
      </c>
      <c r="L530" s="21" t="n">
        <f aca="false">AH$3*$C$149/$C$152/$C$149*$D$149*C533</f>
        <v>0.111738484398217</v>
      </c>
      <c r="M530" s="21" t="n">
        <f aca="false">1/L530</f>
        <v>8.94946808510638</v>
      </c>
      <c r="N530" s="21" t="n">
        <f aca="false">AM$3*$C$149/$C$152/$C$149*$D$149*C533</f>
        <v>0.125705794947994</v>
      </c>
      <c r="O530" s="21" t="n">
        <f aca="false">1/N530</f>
        <v>7.95508274231679</v>
      </c>
      <c r="P530" s="21" t="n">
        <f aca="false">AR$3*$C$149/$C$152/$C$149*$D$149*C533</f>
        <v>0.132689450222883</v>
      </c>
      <c r="Q530" s="21" t="n">
        <f aca="false">1/P530</f>
        <v>7.53639417693169</v>
      </c>
      <c r="R530" s="21" t="n">
        <f aca="false">AW$3*$C$149/$C$152/$C$149*$D$149*C533</f>
        <v>0.139673105497771</v>
      </c>
      <c r="S530" s="21" t="n">
        <f aca="false">1/R530</f>
        <v>7.15957446808511</v>
      </c>
      <c r="T530" s="21" t="n">
        <f aca="false">BB$3*$C$149/$C$152/$C$149*$D$149*C533</f>
        <v>0.111738484398217</v>
      </c>
      <c r="U530" s="21" t="n">
        <f aca="false">1/T530</f>
        <v>8.94946808510638</v>
      </c>
      <c r="V530" s="21" t="n">
        <f aca="false">BG$3*$C$149/$C$152/$C$149*$D$149*C533</f>
        <v>0.132689450222883</v>
      </c>
      <c r="W530" s="21" t="n">
        <f aca="false">1/V530</f>
        <v>7.53639417693169</v>
      </c>
      <c r="X530" s="21" t="n">
        <f aca="false">BL$3*$C$149/$C$152/$C$149*$D$149*C533</f>
        <v>0.139673105497771</v>
      </c>
      <c r="Y530" s="21" t="n">
        <f aca="false">1/X530</f>
        <v>7.15957446808511</v>
      </c>
      <c r="Z530" s="21" t="n">
        <f aca="false">BQ$3*$C$149/$C$152/$C$149*$D$149*C533</f>
        <v>0.139673105497771</v>
      </c>
      <c r="AA530" s="21" t="n">
        <f aca="false">1/Z530</f>
        <v>7.15957446808511</v>
      </c>
      <c r="AB530" s="21" t="n">
        <f aca="false">BV$3*$C$149/$C$152/$C$149*$D$149*C533</f>
        <v>0.132689450222883</v>
      </c>
      <c r="AC530" s="21" t="n">
        <f aca="false">1/AB530</f>
        <v>7.53639417693169</v>
      </c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</row>
    <row r="531" customFormat="false" ht="12.75" hidden="false" customHeight="true" outlineLevel="0" collapsed="false">
      <c r="A531" s="13" t="s">
        <v>123</v>
      </c>
      <c r="B531" s="21" t="n">
        <v>150</v>
      </c>
      <c r="C531" s="21" t="n">
        <v>0.5</v>
      </c>
      <c r="D531" s="21" t="n">
        <f aca="false">N$3*$C$150/$C$152/$C$150*$D$150*C533</f>
        <v>0.004</v>
      </c>
      <c r="E531" s="21" t="n">
        <f aca="false">1/D531</f>
        <v>250</v>
      </c>
      <c r="F531" s="21" t="n">
        <f aca="false">S$3*$C$150/$C$152/$C$150*$D$150*C533</f>
        <v>0.00466666666666667</v>
      </c>
      <c r="G531" s="21" t="n">
        <f aca="false">1/F531</f>
        <v>214.285714285714</v>
      </c>
      <c r="H531" s="21" t="n">
        <f aca="false">X$3*$C$150/$C$152/$C$150*$D$150*C533</f>
        <v>0.005</v>
      </c>
      <c r="I531" s="21" t="n">
        <f aca="false">1/H531</f>
        <v>200</v>
      </c>
      <c r="J531" s="21" t="n">
        <f aca="false">AC$3*$C$150/$C$152/$C$150*$D$150*C533</f>
        <v>0.00433333333333333</v>
      </c>
      <c r="K531" s="21" t="n">
        <f aca="false">1/J531</f>
        <v>230.769230769231</v>
      </c>
      <c r="L531" s="21" t="n">
        <f aca="false">AH$3*$C$150/$C$152/$C$150*$D$150*C533</f>
        <v>0.00533333333333333</v>
      </c>
      <c r="M531" s="21" t="n">
        <f aca="false">1/L531</f>
        <v>187.5</v>
      </c>
      <c r="N531" s="21" t="n">
        <f aca="false">AM$3*$C$150/$C$152/$C$150*$D$150*C533</f>
        <v>0.006</v>
      </c>
      <c r="O531" s="21" t="n">
        <f aca="false">1/N531</f>
        <v>166.666666666667</v>
      </c>
      <c r="P531" s="21" t="n">
        <f aca="false">AR$3*$C$150/$C$152/$C$150*$D$150*C533</f>
        <v>0.00633333333333333</v>
      </c>
      <c r="Q531" s="21" t="n">
        <f aca="false">1/P531</f>
        <v>157.894736842105</v>
      </c>
      <c r="R531" s="21" t="n">
        <f aca="false">AW$3*$C$150/$C$152/$C$150*$D$150*C533</f>
        <v>0.00666666666666667</v>
      </c>
      <c r="S531" s="21" t="n">
        <f aca="false">1/R531</f>
        <v>150</v>
      </c>
      <c r="T531" s="21" t="n">
        <f aca="false">BB$3*$C$150/$C$152/$C$150*$D$150*C533</f>
        <v>0.00533333333333333</v>
      </c>
      <c r="U531" s="21" t="n">
        <f aca="false">1/T531</f>
        <v>187.5</v>
      </c>
      <c r="V531" s="21" t="n">
        <f aca="false">BG$3*$C$150/$C$152/$C$150*$D$150*C533</f>
        <v>0.00633333333333333</v>
      </c>
      <c r="W531" s="21" t="n">
        <f aca="false">1/V531</f>
        <v>157.894736842105</v>
      </c>
      <c r="X531" s="21" t="n">
        <f aca="false">BL$3*$C$150/$C$152/$C$150*$D$150*C533</f>
        <v>0.00666666666666667</v>
      </c>
      <c r="Y531" s="21" t="n">
        <f aca="false">1/X531</f>
        <v>150</v>
      </c>
      <c r="Z531" s="21" t="n">
        <f aca="false">BQ$3*$C$150/$C$152/$C$150*$D$150*C533</f>
        <v>0.00666666666666667</v>
      </c>
      <c r="AA531" s="21" t="n">
        <f aca="false">1/Z531</f>
        <v>150</v>
      </c>
      <c r="AB531" s="21" t="n">
        <f aca="false">BV$3*$C$150/$C$152/$C$150*$D$150*C533</f>
        <v>0.00633333333333333</v>
      </c>
      <c r="AC531" s="21" t="n">
        <f aca="false">1/AB531</f>
        <v>157.894736842105</v>
      </c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</row>
    <row r="532" customFormat="false" ht="12.75" hidden="false" customHeight="true" outlineLevel="0" collapsed="false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</row>
    <row r="533" customFormat="false" ht="12.75" hidden="false" customHeight="true" outlineLevel="0" collapsed="false">
      <c r="A533" s="13"/>
      <c r="B533" s="13" t="s">
        <v>124</v>
      </c>
      <c r="C533" s="21" t="n">
        <f aca="false">C530+C531</f>
        <v>0.97</v>
      </c>
      <c r="D533" s="21" t="n">
        <f aca="false">B530*D530+B531*D531</f>
        <v>1.164</v>
      </c>
      <c r="E533" s="13"/>
      <c r="F533" s="13"/>
      <c r="G533" s="21" t="n">
        <f aca="false">B530*F530+B531*F531</f>
        <v>1.358</v>
      </c>
      <c r="H533" s="13"/>
      <c r="I533" s="21" t="n">
        <f aca="false">B530*H530+B531*H531</f>
        <v>1.455</v>
      </c>
      <c r="J533" s="13"/>
      <c r="K533" s="21" t="n">
        <f aca="false">B530*J530+B531*J531</f>
        <v>1.261</v>
      </c>
      <c r="L533" s="13"/>
      <c r="M533" s="21" t="n">
        <f aca="false">B530*L530+B531*L531</f>
        <v>1.552</v>
      </c>
      <c r="N533" s="13"/>
      <c r="O533" s="21" t="n">
        <f aca="false">B530*N530+B531*N531</f>
        <v>1.746</v>
      </c>
      <c r="P533" s="13"/>
      <c r="Q533" s="21" t="n">
        <f aca="false">B530*P530+B531*P531</f>
        <v>1.843</v>
      </c>
      <c r="R533" s="13"/>
      <c r="S533" s="21" t="n">
        <f aca="false">B530*R530+B531*R531</f>
        <v>1.94</v>
      </c>
      <c r="T533" s="13"/>
      <c r="U533" s="21" t="n">
        <f aca="false">B530*T530+B531*T531</f>
        <v>1.552</v>
      </c>
      <c r="V533" s="13"/>
      <c r="W533" s="21" t="n">
        <f aca="false">B530*V530+B531*V531</f>
        <v>1.843</v>
      </c>
      <c r="X533" s="13"/>
      <c r="Y533" s="21" t="n">
        <f aca="false">B530*X530+B531*X531</f>
        <v>1.94</v>
      </c>
      <c r="Z533" s="13"/>
      <c r="AA533" s="21" t="n">
        <f aca="false">B530*Z530+B531*Z531</f>
        <v>1.94</v>
      </c>
      <c r="AB533" s="13"/>
      <c r="AC533" s="21" t="n">
        <f aca="false">B530*AB530+B531*AB531</f>
        <v>1.843</v>
      </c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</row>
    <row r="534" customFormat="false" ht="12.75" hidden="false" customHeight="true" outlineLevel="0" collapsed="false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</row>
    <row r="535" customFormat="false" ht="12.75" hidden="false" customHeight="true" outlineLevel="0" collapsed="false">
      <c r="A535" s="20" t="s">
        <v>154</v>
      </c>
      <c r="B535" s="20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</row>
    <row r="536" customFormat="false" ht="12.75" hidden="false" customHeight="true" outlineLevel="0" collapsed="false">
      <c r="A536" s="20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</row>
    <row r="537" customFormat="false" ht="12.75" hidden="false" customHeight="true" outlineLevel="0" collapsed="false">
      <c r="A537" s="9" t="s">
        <v>144</v>
      </c>
      <c r="B537" s="13"/>
      <c r="C537" s="20" t="s">
        <v>36</v>
      </c>
      <c r="D537" s="20" t="s">
        <v>145</v>
      </c>
      <c r="E537" s="20" t="s">
        <v>36</v>
      </c>
      <c r="F537" s="20" t="s">
        <v>145</v>
      </c>
      <c r="G537" s="20" t="s">
        <v>36</v>
      </c>
      <c r="H537" s="20" t="s">
        <v>145</v>
      </c>
      <c r="I537" s="20" t="s">
        <v>36</v>
      </c>
      <c r="J537" s="20" t="s">
        <v>145</v>
      </c>
      <c r="K537" s="20" t="s">
        <v>36</v>
      </c>
      <c r="L537" s="20" t="s">
        <v>145</v>
      </c>
      <c r="M537" s="20" t="s">
        <v>36</v>
      </c>
      <c r="N537" s="20" t="s">
        <v>145</v>
      </c>
      <c r="O537" s="20" t="s">
        <v>36</v>
      </c>
      <c r="P537" s="20" t="s">
        <v>145</v>
      </c>
      <c r="Q537" s="20" t="s">
        <v>36</v>
      </c>
      <c r="R537" s="20" t="s">
        <v>145</v>
      </c>
      <c r="S537" s="20" t="s">
        <v>36</v>
      </c>
      <c r="T537" s="20" t="s">
        <v>145</v>
      </c>
      <c r="U537" s="20" t="s">
        <v>36</v>
      </c>
      <c r="V537" s="20" t="s">
        <v>145</v>
      </c>
      <c r="W537" s="20" t="s">
        <v>36</v>
      </c>
      <c r="X537" s="20" t="s">
        <v>145</v>
      </c>
      <c r="Y537" s="20" t="s">
        <v>36</v>
      </c>
      <c r="Z537" s="20" t="s">
        <v>145</v>
      </c>
      <c r="AA537" s="20" t="s">
        <v>36</v>
      </c>
      <c r="AB537" s="20" t="s">
        <v>145</v>
      </c>
      <c r="AC537" s="20" t="s">
        <v>36</v>
      </c>
      <c r="AD537" s="20" t="s">
        <v>145</v>
      </c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</row>
    <row r="538" customFormat="false" ht="12.75" hidden="false" customHeight="true" outlineLevel="0" collapsed="false">
      <c r="A538" s="13" t="s">
        <v>106</v>
      </c>
      <c r="B538" s="20" t="s">
        <v>146</v>
      </c>
      <c r="C538" s="14" t="s">
        <v>39</v>
      </c>
      <c r="D538" s="14" t="s">
        <v>39</v>
      </c>
      <c r="E538" s="10" t="s">
        <v>47</v>
      </c>
      <c r="F538" s="10" t="s">
        <v>47</v>
      </c>
      <c r="G538" s="9" t="s">
        <v>48</v>
      </c>
      <c r="H538" s="9" t="s">
        <v>48</v>
      </c>
      <c r="I538" s="10" t="s">
        <v>50</v>
      </c>
      <c r="J538" s="10" t="s">
        <v>50</v>
      </c>
      <c r="K538" s="9" t="s">
        <v>51</v>
      </c>
      <c r="L538" s="9" t="s">
        <v>51</v>
      </c>
      <c r="M538" s="10" t="s">
        <v>52</v>
      </c>
      <c r="N538" s="10" t="s">
        <v>52</v>
      </c>
      <c r="O538" s="9" t="s">
        <v>53</v>
      </c>
      <c r="P538" s="9" t="s">
        <v>53</v>
      </c>
      <c r="Q538" s="10" t="s">
        <v>54</v>
      </c>
      <c r="R538" s="10" t="s">
        <v>54</v>
      </c>
      <c r="S538" s="9" t="s">
        <v>55</v>
      </c>
      <c r="T538" s="9" t="s">
        <v>55</v>
      </c>
      <c r="U538" s="10" t="s">
        <v>56</v>
      </c>
      <c r="V538" s="10" t="s">
        <v>56</v>
      </c>
      <c r="W538" s="9" t="s">
        <v>57</v>
      </c>
      <c r="X538" s="9" t="s">
        <v>57</v>
      </c>
      <c r="Y538" s="10" t="s">
        <v>58</v>
      </c>
      <c r="Z538" s="10" t="s">
        <v>58</v>
      </c>
      <c r="AA538" s="9" t="s">
        <v>59</v>
      </c>
      <c r="AB538" s="9" t="s">
        <v>59</v>
      </c>
      <c r="AC538" s="11" t="s">
        <v>60</v>
      </c>
      <c r="AD538" s="11" t="s">
        <v>60</v>
      </c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</row>
    <row r="539" customFormat="false" ht="12.75" hidden="false" customHeight="true" outlineLevel="0" collapsed="false">
      <c r="A539" s="21" t="n">
        <f aca="false">A495</f>
        <v>0.97</v>
      </c>
      <c r="B539" s="21" t="n">
        <f aca="false">F$519</f>
        <v>89.3404761904762</v>
      </c>
      <c r="C539" s="21" t="n">
        <f aca="false">A539/B539</f>
        <v>0.010857340830957</v>
      </c>
      <c r="D539" s="21" t="n">
        <f aca="false">1/C539</f>
        <v>92.1035837015218</v>
      </c>
      <c r="E539" s="21" t="n">
        <f aca="false">N$3/A539*C539*A539</f>
        <v>0.0130288089971484</v>
      </c>
      <c r="F539" s="21" t="n">
        <f aca="false">1/E539</f>
        <v>76.7529864179349</v>
      </c>
      <c r="G539" s="21" t="n">
        <f aca="false">S$3/A539*C539*A539</f>
        <v>0.0152002771633398</v>
      </c>
      <c r="H539" s="21" t="n">
        <f aca="false">1/G539</f>
        <v>65.7882740725156</v>
      </c>
      <c r="I539" s="21" t="n">
        <f aca="false">X$3/A539*C539*A539</f>
        <v>0.0162860112464355</v>
      </c>
      <c r="J539" s="21" t="n">
        <f aca="false">1/I539</f>
        <v>61.4023891343479</v>
      </c>
      <c r="K539" s="21" t="n">
        <f aca="false">AC$3/A539*C539*A539</f>
        <v>0.0141145430802441</v>
      </c>
      <c r="L539" s="21" t="n">
        <f aca="false">1/K539</f>
        <v>70.8489105396322</v>
      </c>
      <c r="M539" s="21" t="n">
        <f aca="false">AH$3/A539*C539*A539</f>
        <v>0.0173717453295312</v>
      </c>
      <c r="N539" s="21" t="n">
        <f aca="false">1/M539</f>
        <v>57.5647398134512</v>
      </c>
      <c r="O539" s="21" t="n">
        <f aca="false">AM$3/A539*C539*A539</f>
        <v>0.0195432134957226</v>
      </c>
      <c r="P539" s="21" t="n">
        <f aca="false">1/O539</f>
        <v>51.1686576119566</v>
      </c>
      <c r="Q539" s="21" t="n">
        <f aca="false">AR$3/A539*C539*A539</f>
        <v>0.0206289475788183</v>
      </c>
      <c r="R539" s="21" t="n">
        <f aca="false">1/Q539</f>
        <v>48.475570369222</v>
      </c>
      <c r="S539" s="21" t="n">
        <f aca="false">AW$3/A539*C539*A539</f>
        <v>0.021714681661914</v>
      </c>
      <c r="T539" s="21" t="n">
        <f aca="false">1/S539</f>
        <v>46.0517918507609</v>
      </c>
      <c r="U539" s="21" t="n">
        <f aca="false">BB$3/A539*C539*A539</f>
        <v>0.0173717453295312</v>
      </c>
      <c r="V539" s="21" t="n">
        <f aca="false">1/U539</f>
        <v>57.5647398134512</v>
      </c>
      <c r="W539" s="21" t="n">
        <f aca="false">BG$3/A539*C539*A539</f>
        <v>0.0206289475788183</v>
      </c>
      <c r="X539" s="21" t="n">
        <f aca="false">1/W539</f>
        <v>48.475570369222</v>
      </c>
      <c r="Y539" s="21" t="n">
        <f aca="false">BL$3/A539*C539</f>
        <v>0.0223862697545505</v>
      </c>
      <c r="Z539" s="21" t="n">
        <f aca="false">1/Y539</f>
        <v>44.6702380952381</v>
      </c>
      <c r="AA539" s="21" t="n">
        <f aca="false">BQ$3/A539*C539</f>
        <v>0.0223862697545505</v>
      </c>
      <c r="AB539" s="21" t="n">
        <f aca="false">1/AA539</f>
        <v>44.6702380952381</v>
      </c>
      <c r="AC539" s="21" t="n">
        <f aca="false">BV$3/A539*C539</f>
        <v>0.021266956266823</v>
      </c>
      <c r="AD539" s="21" t="n">
        <f aca="false">1/AC539</f>
        <v>47.0213032581454</v>
      </c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</row>
    <row r="540" customFormat="false" ht="12.75" hidden="false" customHeight="true" outlineLevel="0" collapsed="false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</row>
    <row r="541" customFormat="false" ht="12.75" hidden="false" customHeight="true" outlineLevel="0" collapsed="false">
      <c r="A541" s="13"/>
      <c r="B541" s="13"/>
      <c r="C541" s="13"/>
      <c r="D541" s="13"/>
      <c r="E541" s="21" t="n">
        <f aca="false">B539*E539</f>
        <v>1.164</v>
      </c>
      <c r="F541" s="13"/>
      <c r="G541" s="21" t="n">
        <f aca="false">B539*G539</f>
        <v>1.358</v>
      </c>
      <c r="H541" s="13"/>
      <c r="I541" s="21" t="n">
        <f aca="false">I539*B539</f>
        <v>1.455</v>
      </c>
      <c r="J541" s="13"/>
      <c r="K541" s="21" t="n">
        <f aca="false">B539*K539</f>
        <v>1.261</v>
      </c>
      <c r="L541" s="13"/>
      <c r="M541" s="21" t="n">
        <f aca="false">B539*M539</f>
        <v>1.552</v>
      </c>
      <c r="N541" s="13"/>
      <c r="O541" s="21" t="n">
        <f aca="false">B539*O539</f>
        <v>1.746</v>
      </c>
      <c r="P541" s="13"/>
      <c r="Q541" s="21" t="n">
        <f aca="false">B539*Q539</f>
        <v>1.843</v>
      </c>
      <c r="R541" s="13"/>
      <c r="S541" s="21" t="n">
        <f aca="false">B539*S539</f>
        <v>1.94</v>
      </c>
      <c r="T541" s="13"/>
      <c r="U541" s="21" t="n">
        <f aca="false">B539*U539</f>
        <v>1.552</v>
      </c>
      <c r="V541" s="13"/>
      <c r="W541" s="21" t="n">
        <f aca="false">B539*W539</f>
        <v>1.843</v>
      </c>
      <c r="X541" s="13"/>
      <c r="Y541" s="21" t="n">
        <f aca="false">B539*Y539*A539</f>
        <v>1.94</v>
      </c>
      <c r="Z541" s="13"/>
      <c r="AA541" s="21" t="n">
        <f aca="false">B539*AA539*A539</f>
        <v>1.94</v>
      </c>
      <c r="AB541" s="13"/>
      <c r="AC541" s="21" t="n">
        <f aca="false">B539*AC539*A539</f>
        <v>1.843</v>
      </c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</row>
    <row r="542" customFormat="false" ht="12.75" hidden="false" customHeight="true" outlineLevel="0" collapsed="false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</row>
    <row r="543" customFormat="false" ht="12.75" hidden="false" customHeight="true" outlineLevel="0" collapsed="false">
      <c r="A543" s="13"/>
      <c r="B543" s="13"/>
      <c r="C543" s="21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</row>
    <row r="544" customFormat="false" ht="12.75" hidden="false" customHeight="true" outlineLevel="0" collapsed="false">
      <c r="A544" s="20" t="s">
        <v>155</v>
      </c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</row>
    <row r="545" customFormat="false" ht="12.75" hidden="false" customHeight="true" outlineLevel="0" collapsed="false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</row>
    <row r="546" customFormat="false" ht="12.75" hidden="false" customHeight="true" outlineLevel="0" collapsed="false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</row>
    <row r="547" customFormat="false" ht="12.75" hidden="false" customHeight="true" outlineLevel="0" collapsed="false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</row>
    <row r="548" customFormat="false" ht="12.75" hidden="false" customHeight="true" outlineLevel="0" collapsed="false">
      <c r="A548" s="13"/>
      <c r="B548" s="13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13"/>
    </row>
    <row r="549" customFormat="false" ht="12.75" hidden="false" customHeight="true" outlineLevel="0" collapsed="false">
      <c r="A549" s="13"/>
      <c r="B549" s="20"/>
      <c r="C549" s="9"/>
      <c r="D549" s="10" t="s">
        <v>156</v>
      </c>
      <c r="E549" s="10"/>
      <c r="F549" s="10"/>
      <c r="G549" s="10"/>
      <c r="H549" s="10"/>
      <c r="I549" s="11"/>
      <c r="J549" s="9" t="s">
        <v>156</v>
      </c>
      <c r="K549" s="9"/>
      <c r="L549" s="9"/>
      <c r="M549" s="9"/>
      <c r="N549" s="9"/>
      <c r="O549" s="9"/>
      <c r="P549" s="10" t="s">
        <v>156</v>
      </c>
      <c r="Q549" s="10"/>
      <c r="R549" s="10"/>
      <c r="S549" s="10"/>
      <c r="T549" s="10"/>
      <c r="U549" s="11"/>
      <c r="V549" s="9" t="s">
        <v>156</v>
      </c>
      <c r="W549" s="9"/>
      <c r="X549" s="9"/>
      <c r="Y549" s="9"/>
      <c r="Z549" s="9"/>
      <c r="AA549" s="9"/>
      <c r="AB549" s="10" t="s">
        <v>156</v>
      </c>
      <c r="AC549" s="10"/>
      <c r="AD549" s="10"/>
      <c r="AE549" s="10"/>
      <c r="AF549" s="10"/>
      <c r="AG549" s="11"/>
      <c r="AH549" s="9" t="s">
        <v>156</v>
      </c>
      <c r="AI549" s="9"/>
      <c r="AJ549" s="9"/>
      <c r="AK549" s="9"/>
      <c r="AL549" s="9"/>
      <c r="AM549" s="9"/>
      <c r="AN549" s="10" t="s">
        <v>156</v>
      </c>
      <c r="AO549" s="10"/>
      <c r="AP549" s="10"/>
      <c r="AQ549" s="10"/>
      <c r="AR549" s="11"/>
      <c r="AS549" s="11"/>
      <c r="AT549" s="9" t="s">
        <v>156</v>
      </c>
      <c r="AU549" s="9"/>
      <c r="AV549" s="9"/>
      <c r="AW549" s="9"/>
      <c r="AX549" s="9"/>
      <c r="AY549" s="9"/>
      <c r="AZ549" s="10" t="s">
        <v>156</v>
      </c>
      <c r="BA549" s="10"/>
      <c r="BB549" s="10"/>
      <c r="BC549" s="10"/>
      <c r="BD549" s="10"/>
      <c r="BE549" s="11"/>
      <c r="BF549" s="9" t="s">
        <v>156</v>
      </c>
      <c r="BG549" s="9"/>
      <c r="BH549" s="9"/>
      <c r="BI549" s="9"/>
      <c r="BJ549" s="9"/>
      <c r="BK549" s="9"/>
      <c r="BL549" s="10" t="s">
        <v>156</v>
      </c>
      <c r="BM549" s="10"/>
      <c r="BN549" s="10"/>
      <c r="BO549" s="10"/>
      <c r="BP549" s="10"/>
      <c r="BQ549" s="11"/>
      <c r="BR549" s="9" t="s">
        <v>36</v>
      </c>
      <c r="BS549" s="9"/>
      <c r="BT549" s="9"/>
      <c r="BU549" s="9"/>
      <c r="BV549" s="9"/>
      <c r="BW549" s="9"/>
      <c r="BX549" s="11" t="s">
        <v>36</v>
      </c>
      <c r="BY549" s="11"/>
      <c r="BZ549" s="11"/>
      <c r="CA549" s="11"/>
      <c r="CB549" s="11"/>
      <c r="CC549" s="11"/>
      <c r="CD549" s="12"/>
    </row>
    <row r="550" customFormat="false" ht="12.75" hidden="false" customHeight="true" outlineLevel="0" collapsed="false">
      <c r="A550" s="13"/>
      <c r="B550" s="20" t="s">
        <v>38</v>
      </c>
      <c r="C550" s="9" t="s">
        <v>157</v>
      </c>
      <c r="D550" s="10" t="s">
        <v>47</v>
      </c>
      <c r="E550" s="10" t="s">
        <v>40</v>
      </c>
      <c r="F550" s="10" t="s">
        <v>41</v>
      </c>
      <c r="G550" s="10" t="s">
        <v>45</v>
      </c>
      <c r="H550" s="10" t="s">
        <v>46</v>
      </c>
      <c r="I550" s="11" t="s">
        <v>158</v>
      </c>
      <c r="J550" s="9" t="s">
        <v>48</v>
      </c>
      <c r="K550" s="9" t="s">
        <v>40</v>
      </c>
      <c r="L550" s="9" t="s">
        <v>49</v>
      </c>
      <c r="M550" s="9" t="s">
        <v>45</v>
      </c>
      <c r="N550" s="9" t="s">
        <v>46</v>
      </c>
      <c r="O550" s="9" t="s">
        <v>158</v>
      </c>
      <c r="P550" s="10" t="s">
        <v>50</v>
      </c>
      <c r="Q550" s="10" t="s">
        <v>40</v>
      </c>
      <c r="R550" s="10" t="s">
        <v>41</v>
      </c>
      <c r="S550" s="10" t="s">
        <v>45</v>
      </c>
      <c r="T550" s="10" t="s">
        <v>46</v>
      </c>
      <c r="U550" s="11" t="s">
        <v>158</v>
      </c>
      <c r="V550" s="9" t="s">
        <v>51</v>
      </c>
      <c r="W550" s="9" t="s">
        <v>40</v>
      </c>
      <c r="X550" s="9" t="s">
        <v>41</v>
      </c>
      <c r="Y550" s="9" t="s">
        <v>45</v>
      </c>
      <c r="Z550" s="9" t="s">
        <v>46</v>
      </c>
      <c r="AA550" s="9" t="s">
        <v>158</v>
      </c>
      <c r="AB550" s="10" t="s">
        <v>52</v>
      </c>
      <c r="AC550" s="10" t="s">
        <v>40</v>
      </c>
      <c r="AD550" s="10" t="s">
        <v>41</v>
      </c>
      <c r="AE550" s="10" t="s">
        <v>45</v>
      </c>
      <c r="AF550" s="10" t="s">
        <v>46</v>
      </c>
      <c r="AG550" s="11" t="s">
        <v>158</v>
      </c>
      <c r="AH550" s="9" t="s">
        <v>53</v>
      </c>
      <c r="AI550" s="9" t="s">
        <v>40</v>
      </c>
      <c r="AJ550" s="9" t="s">
        <v>41</v>
      </c>
      <c r="AK550" s="9" t="s">
        <v>45</v>
      </c>
      <c r="AL550" s="9" t="s">
        <v>46</v>
      </c>
      <c r="AM550" s="9" t="s">
        <v>158</v>
      </c>
      <c r="AN550" s="10" t="s">
        <v>54</v>
      </c>
      <c r="AO550" s="10" t="s">
        <v>40</v>
      </c>
      <c r="AP550" s="10" t="s">
        <v>41</v>
      </c>
      <c r="AQ550" s="10" t="s">
        <v>45</v>
      </c>
      <c r="AR550" s="11" t="s">
        <v>46</v>
      </c>
      <c r="AS550" s="11" t="s">
        <v>158</v>
      </c>
      <c r="AT550" s="9" t="s">
        <v>55</v>
      </c>
      <c r="AU550" s="9" t="s">
        <v>40</v>
      </c>
      <c r="AV550" s="9" t="s">
        <v>41</v>
      </c>
      <c r="AW550" s="9" t="s">
        <v>45</v>
      </c>
      <c r="AX550" s="9" t="s">
        <v>46</v>
      </c>
      <c r="AY550" s="9" t="s">
        <v>158</v>
      </c>
      <c r="AZ550" s="10" t="s">
        <v>56</v>
      </c>
      <c r="BA550" s="10" t="s">
        <v>40</v>
      </c>
      <c r="BB550" s="10" t="s">
        <v>41</v>
      </c>
      <c r="BC550" s="10" t="s">
        <v>45</v>
      </c>
      <c r="BD550" s="10" t="s">
        <v>46</v>
      </c>
      <c r="BE550" s="11" t="s">
        <v>158</v>
      </c>
      <c r="BF550" s="9" t="s">
        <v>57</v>
      </c>
      <c r="BG550" s="9" t="s">
        <v>40</v>
      </c>
      <c r="BH550" s="9" t="s">
        <v>41</v>
      </c>
      <c r="BI550" s="9" t="s">
        <v>45</v>
      </c>
      <c r="BJ550" s="9" t="s">
        <v>46</v>
      </c>
      <c r="BK550" s="9" t="s">
        <v>158</v>
      </c>
      <c r="BL550" s="10" t="s">
        <v>58</v>
      </c>
      <c r="BM550" s="10" t="s">
        <v>40</v>
      </c>
      <c r="BN550" s="10" t="s">
        <v>41</v>
      </c>
      <c r="BO550" s="10" t="s">
        <v>45</v>
      </c>
      <c r="BP550" s="10" t="s">
        <v>46</v>
      </c>
      <c r="BQ550" s="11" t="s">
        <v>158</v>
      </c>
      <c r="BR550" s="9" t="s">
        <v>59</v>
      </c>
      <c r="BS550" s="9" t="s">
        <v>40</v>
      </c>
      <c r="BT550" s="9" t="s">
        <v>41</v>
      </c>
      <c r="BU550" s="9" t="s">
        <v>45</v>
      </c>
      <c r="BV550" s="9" t="s">
        <v>46</v>
      </c>
      <c r="BW550" s="9" t="s">
        <v>158</v>
      </c>
      <c r="BX550" s="11" t="s">
        <v>60</v>
      </c>
      <c r="BY550" s="11" t="s">
        <v>40</v>
      </c>
      <c r="BZ550" s="11" t="s">
        <v>41</v>
      </c>
      <c r="CA550" s="11" t="s">
        <v>45</v>
      </c>
      <c r="CB550" s="11" t="s">
        <v>46</v>
      </c>
      <c r="CC550" s="11" t="s">
        <v>158</v>
      </c>
      <c r="CD550" s="12"/>
    </row>
    <row r="551" customFormat="false" ht="12.75" hidden="false" customHeight="true" outlineLevel="0" collapsed="false">
      <c r="A551" s="13" t="s">
        <v>61</v>
      </c>
      <c r="B551" s="13" t="n">
        <f aca="false">C3</f>
        <v>2</v>
      </c>
      <c r="C551" s="21" t="n">
        <f aca="false">0.97</f>
        <v>0.97</v>
      </c>
      <c r="D551" s="21" t="n">
        <f aca="false">IF(F551/B551&gt;1,1,F551/B551)</f>
        <v>0.582</v>
      </c>
      <c r="E551" s="21" t="n">
        <f aca="false">1/D551</f>
        <v>1.71821305841924</v>
      </c>
      <c r="F551" s="21" t="n">
        <f aca="false">N$3*C551</f>
        <v>1.164</v>
      </c>
      <c r="G551" s="21" t="n">
        <v>1</v>
      </c>
      <c r="H551" s="21" t="n">
        <f aca="false">F551*G551</f>
        <v>1.164</v>
      </c>
      <c r="I551" s="21" t="n">
        <f aca="false">P$3</f>
        <v>1.2</v>
      </c>
      <c r="J551" s="21" t="n">
        <f aca="false">IF(L551/B551&gt;1,1,L551/B551)</f>
        <v>0.679</v>
      </c>
      <c r="K551" s="21" t="n">
        <f aca="false">1/J551</f>
        <v>1.47275405007364</v>
      </c>
      <c r="L551" s="21" t="n">
        <f aca="false">S$3*C551</f>
        <v>1.358</v>
      </c>
      <c r="M551" s="21" t="n">
        <f aca="false">T$3</f>
        <v>1</v>
      </c>
      <c r="N551" s="21" t="n">
        <f aca="false">L551*M551</f>
        <v>1.358</v>
      </c>
      <c r="O551" s="21" t="n">
        <f aca="false">U$3</f>
        <v>1.4</v>
      </c>
      <c r="P551" s="21" t="n">
        <f aca="false">IF(R551/B551&gt;1,1,R551/B551)</f>
        <v>0.7275</v>
      </c>
      <c r="Q551" s="21" t="n">
        <f aca="false">1/P551</f>
        <v>1.3745704467354</v>
      </c>
      <c r="R551" s="21" t="n">
        <f aca="false">X$3*C551</f>
        <v>1.455</v>
      </c>
      <c r="S551" s="21" t="n">
        <f aca="false">Y$3</f>
        <v>5</v>
      </c>
      <c r="T551" s="21" t="n">
        <f aca="false">R551*S551</f>
        <v>7.275</v>
      </c>
      <c r="U551" s="21" t="n">
        <f aca="false">Z$3</f>
        <v>7.5</v>
      </c>
      <c r="V551" s="21" t="n">
        <f aca="false">IF(X551/B551&gt;1,1,X551/B551)</f>
        <v>0.6305</v>
      </c>
      <c r="W551" s="21" t="n">
        <f aca="false">1/V551</f>
        <v>1.58604282315623</v>
      </c>
      <c r="X551" s="21" t="n">
        <f aca="false">AC$3*C551</f>
        <v>1.261</v>
      </c>
      <c r="Y551" s="21" t="n">
        <f aca="false">AD$3</f>
        <v>3</v>
      </c>
      <c r="Z551" s="21" t="n">
        <f aca="false">X551*Y551</f>
        <v>3.783</v>
      </c>
      <c r="AA551" s="21" t="n">
        <f aca="false">AE$3</f>
        <v>3.9</v>
      </c>
      <c r="AB551" s="21" t="n">
        <f aca="false">IF(AD551/B551&gt;1,1,AD551/B551)</f>
        <v>0.776</v>
      </c>
      <c r="AC551" s="21" t="n">
        <f aca="false">1/AB551</f>
        <v>1.28865979381443</v>
      </c>
      <c r="AD551" s="21" t="n">
        <f aca="false">AH$3*C551</f>
        <v>1.552</v>
      </c>
      <c r="AE551" s="21" t="n">
        <f aca="false">AI$3</f>
        <v>1</v>
      </c>
      <c r="AF551" s="21" t="n">
        <f aca="false">AD551*AE551</f>
        <v>1.552</v>
      </c>
      <c r="AG551" s="21" t="n">
        <f aca="false">AJ$3</f>
        <v>1.6</v>
      </c>
      <c r="AH551" s="21" t="n">
        <f aca="false">IF(AJ551/B551&gt;1,1,AJ551/B551)</f>
        <v>0.873</v>
      </c>
      <c r="AI551" s="21" t="n">
        <f aca="false">1/AH551</f>
        <v>1.1454753722795</v>
      </c>
      <c r="AJ551" s="21" t="n">
        <f aca="false">AM$3*C551</f>
        <v>1.746</v>
      </c>
      <c r="AK551" s="21" t="n">
        <f aca="false">AN$3</f>
        <v>1</v>
      </c>
      <c r="AL551" s="21" t="n">
        <f aca="false">AJ551*AK551</f>
        <v>1.746</v>
      </c>
      <c r="AM551" s="21" t="n">
        <f aca="false">AO$3</f>
        <v>1.8</v>
      </c>
      <c r="AN551" s="21" t="n">
        <f aca="false">IF(AP551/B551&gt;1,1,AP551/B551)</f>
        <v>0.9215</v>
      </c>
      <c r="AO551" s="21" t="n">
        <f aca="false">1/AN551</f>
        <v>1.0851871947911</v>
      </c>
      <c r="AP551" s="21" t="n">
        <f aca="false">AR$3*C551</f>
        <v>1.843</v>
      </c>
      <c r="AQ551" s="21" t="n">
        <f aca="false">AS$3</f>
        <v>2</v>
      </c>
      <c r="AR551" s="21" t="n">
        <f aca="false">AP551*AQ551</f>
        <v>3.686</v>
      </c>
      <c r="AS551" s="21" t="n">
        <f aca="false">AT$3</f>
        <v>3.8</v>
      </c>
      <c r="AT551" s="21" t="n">
        <f aca="false">IF(AV551/B551&gt;1,1,AV551/B551)</f>
        <v>0.97</v>
      </c>
      <c r="AU551" s="21" t="n">
        <f aca="false">1/AT551</f>
        <v>1.03092783505155</v>
      </c>
      <c r="AV551" s="21" t="n">
        <f aca="false">AW$3*C551</f>
        <v>1.94</v>
      </c>
      <c r="AW551" s="21" t="n">
        <f aca="false">AX$3</f>
        <v>5</v>
      </c>
      <c r="AX551" s="21" t="n">
        <f aca="false">AV551*AW551</f>
        <v>9.7</v>
      </c>
      <c r="AY551" s="21" t="n">
        <f aca="false">AY$3</f>
        <v>10</v>
      </c>
      <c r="AZ551" s="21" t="n">
        <f aca="false">IF(BB551/B551&gt;1,1,BB551/B551)</f>
        <v>0.776</v>
      </c>
      <c r="BA551" s="21" t="n">
        <f aca="false">1/AZ551</f>
        <v>1.28865979381443</v>
      </c>
      <c r="BB551" s="21" t="n">
        <f aca="false">BB$3*C551</f>
        <v>1.552</v>
      </c>
      <c r="BC551" s="21" t="n">
        <f aca="false">BC$3</f>
        <v>10</v>
      </c>
      <c r="BD551" s="21" t="n">
        <f aca="false">BB551*BC551</f>
        <v>15.52</v>
      </c>
      <c r="BE551" s="21" t="n">
        <f aca="false">BD$3</f>
        <v>16</v>
      </c>
      <c r="BF551" s="21" t="n">
        <f aca="false">IF(BH551/B551&gt;1,1,BH551/B551)</f>
        <v>0.9215</v>
      </c>
      <c r="BG551" s="21" t="n">
        <f aca="false">1/BF551</f>
        <v>1.0851871947911</v>
      </c>
      <c r="BH551" s="21" t="n">
        <f aca="false">BG$3*C551</f>
        <v>1.843</v>
      </c>
      <c r="BI551" s="21" t="n">
        <f aca="false">BH$3</f>
        <v>1</v>
      </c>
      <c r="BJ551" s="21" t="n">
        <f aca="false">BH551*BI551</f>
        <v>1.843</v>
      </c>
      <c r="BK551" s="21" t="n">
        <f aca="false">BI$3</f>
        <v>1.9</v>
      </c>
      <c r="BL551" s="21" t="n">
        <f aca="false">IF(BN551/B551&gt;1,1,BN551/B551)</f>
        <v>0.97</v>
      </c>
      <c r="BM551" s="21" t="n">
        <f aca="false">1/BL551</f>
        <v>1.03092783505155</v>
      </c>
      <c r="BN551" s="21" t="n">
        <f aca="false">BL$3*C551</f>
        <v>1.94</v>
      </c>
      <c r="BO551" s="21" t="n">
        <f aca="false">BM$3</f>
        <v>1</v>
      </c>
      <c r="BP551" s="21" t="n">
        <f aca="false">BN551*BO551</f>
        <v>1.94</v>
      </c>
      <c r="BQ551" s="21" t="n">
        <f aca="false">BN$3</f>
        <v>2</v>
      </c>
      <c r="BR551" s="21" t="n">
        <f aca="false">IF(BT551/B551&gt;1,1,BT551/B551)</f>
        <v>0.97</v>
      </c>
      <c r="BS551" s="21" t="n">
        <f aca="false">1/BR551</f>
        <v>1.03092783505155</v>
      </c>
      <c r="BT551" s="21" t="n">
        <f aca="false">BQ$3*C551</f>
        <v>1.94</v>
      </c>
      <c r="BU551" s="21" t="n">
        <f aca="false">BR$3</f>
        <v>12</v>
      </c>
      <c r="BV551" s="21" t="n">
        <f aca="false">BT551*BU551</f>
        <v>23.28</v>
      </c>
      <c r="BW551" s="21" t="n">
        <f aca="false">BS$3</f>
        <v>24</v>
      </c>
      <c r="BX551" s="21" t="n">
        <f aca="false">IF(BZ551/B551&gt;1,1,BZ551/B551)</f>
        <v>0.9215</v>
      </c>
      <c r="BY551" s="21" t="n">
        <f aca="false">1/BX551</f>
        <v>1.0851871947911</v>
      </c>
      <c r="BZ551" s="21" t="n">
        <f aca="false">BV$3*C551</f>
        <v>1.843</v>
      </c>
      <c r="CA551" s="21" t="n">
        <f aca="false">BW$3</f>
        <v>10</v>
      </c>
      <c r="CB551" s="21" t="n">
        <f aca="false">BZ551*CA551</f>
        <v>18.43</v>
      </c>
      <c r="CC551" s="21" t="n">
        <f aca="false">BX$3</f>
        <v>19</v>
      </c>
      <c r="CD551" s="21"/>
    </row>
    <row r="552" customFormat="false" ht="12.75" hidden="false" customHeight="true" outlineLevel="0" collapsed="false">
      <c r="A552" s="13" t="s">
        <v>63</v>
      </c>
      <c r="B552" s="13" t="n">
        <f aca="false">C4</f>
        <v>3</v>
      </c>
      <c r="C552" s="21" t="n">
        <f aca="false">C$551</f>
        <v>0.97</v>
      </c>
      <c r="D552" s="21" t="n">
        <f aca="false">IF(F552/B552&gt;1,1,F552/B552)</f>
        <v>0.388</v>
      </c>
      <c r="E552" s="21" t="n">
        <f aca="false">1/D552</f>
        <v>2.57731958762887</v>
      </c>
      <c r="F552" s="21" t="n">
        <f aca="false">N$3*C552</f>
        <v>1.164</v>
      </c>
      <c r="G552" s="21" t="n">
        <f aca="false">O$3</f>
        <v>1</v>
      </c>
      <c r="H552" s="21" t="n">
        <f aca="false">F552*G552</f>
        <v>1.164</v>
      </c>
      <c r="I552" s="21" t="n">
        <f aca="false">P$3</f>
        <v>1.2</v>
      </c>
      <c r="J552" s="21" t="n">
        <f aca="false">IF(L552/B552&gt;1,1,L552/B552)</f>
        <v>0.452666666666667</v>
      </c>
      <c r="K552" s="21" t="n">
        <f aca="false">1/J552</f>
        <v>2.20913107511046</v>
      </c>
      <c r="L552" s="21" t="n">
        <f aca="false">S$3*C552</f>
        <v>1.358</v>
      </c>
      <c r="M552" s="21" t="n">
        <f aca="false">T$3</f>
        <v>1</v>
      </c>
      <c r="N552" s="21" t="n">
        <f aca="false">L552*M552</f>
        <v>1.358</v>
      </c>
      <c r="O552" s="21" t="n">
        <f aca="false">U$3</f>
        <v>1.4</v>
      </c>
      <c r="P552" s="21" t="n">
        <f aca="false">IF(R552/B552&gt;1,1,R552/B552)</f>
        <v>0.485</v>
      </c>
      <c r="Q552" s="21" t="n">
        <f aca="false">1/P552</f>
        <v>2.06185567010309</v>
      </c>
      <c r="R552" s="21" t="n">
        <f aca="false">X$3*C552</f>
        <v>1.455</v>
      </c>
      <c r="S552" s="21" t="n">
        <f aca="false">Y$3</f>
        <v>5</v>
      </c>
      <c r="T552" s="21" t="n">
        <f aca="false">R552*S552</f>
        <v>7.275</v>
      </c>
      <c r="U552" s="21" t="n">
        <f aca="false">Z$3</f>
        <v>7.5</v>
      </c>
      <c r="V552" s="21" t="n">
        <f aca="false">IF(X552/B552&gt;1,1,X552/B552)</f>
        <v>0.420333333333333</v>
      </c>
      <c r="W552" s="21" t="n">
        <f aca="false">1/V552</f>
        <v>2.37906423473434</v>
      </c>
      <c r="X552" s="21" t="n">
        <f aca="false">AC$3*C552</f>
        <v>1.261</v>
      </c>
      <c r="Y552" s="21" t="n">
        <f aca="false">AD$3</f>
        <v>3</v>
      </c>
      <c r="Z552" s="21" t="n">
        <f aca="false">X552*Y552</f>
        <v>3.783</v>
      </c>
      <c r="AA552" s="21" t="n">
        <f aca="false">AE$3</f>
        <v>3.9</v>
      </c>
      <c r="AB552" s="21" t="n">
        <f aca="false">IF(AD552/B552&gt;1,1,AD552/B552)</f>
        <v>0.517333333333333</v>
      </c>
      <c r="AC552" s="21" t="n">
        <f aca="false">1/AB552</f>
        <v>1.93298969072165</v>
      </c>
      <c r="AD552" s="21" t="n">
        <f aca="false">AH$3*C552</f>
        <v>1.552</v>
      </c>
      <c r="AE552" s="21" t="n">
        <f aca="false">AI$3</f>
        <v>1</v>
      </c>
      <c r="AF552" s="21" t="n">
        <f aca="false">AD552*AE552</f>
        <v>1.552</v>
      </c>
      <c r="AG552" s="21" t="n">
        <f aca="false">AJ$3</f>
        <v>1.6</v>
      </c>
      <c r="AH552" s="21" t="n">
        <f aca="false">IF(AJ552/B552&gt;1,1,AJ552/B552)</f>
        <v>0.582</v>
      </c>
      <c r="AI552" s="21" t="n">
        <f aca="false">1/AH552</f>
        <v>1.71821305841924</v>
      </c>
      <c r="AJ552" s="21" t="n">
        <f aca="false">AM$3*C552</f>
        <v>1.746</v>
      </c>
      <c r="AK552" s="21" t="n">
        <f aca="false">AN$3</f>
        <v>1</v>
      </c>
      <c r="AL552" s="21" t="n">
        <f aca="false">AJ552*AK552</f>
        <v>1.746</v>
      </c>
      <c r="AM552" s="21" t="n">
        <f aca="false">AO$3</f>
        <v>1.8</v>
      </c>
      <c r="AN552" s="21" t="n">
        <f aca="false">IF(AP552/B552&gt;1,1,AP552/B552)</f>
        <v>0.614333333333333</v>
      </c>
      <c r="AO552" s="21" t="n">
        <f aca="false">1/AN552</f>
        <v>1.62778079218665</v>
      </c>
      <c r="AP552" s="21" t="n">
        <f aca="false">AR$3*C552</f>
        <v>1.843</v>
      </c>
      <c r="AQ552" s="21" t="n">
        <f aca="false">AS$3</f>
        <v>2</v>
      </c>
      <c r="AR552" s="21" t="n">
        <f aca="false">AP552*AQ552</f>
        <v>3.686</v>
      </c>
      <c r="AS552" s="21" t="n">
        <f aca="false">AT$3</f>
        <v>3.8</v>
      </c>
      <c r="AT552" s="21" t="n">
        <f aca="false">IF(AV552/B552&gt;1,1,AV552/B552)</f>
        <v>0.646666666666667</v>
      </c>
      <c r="AU552" s="21" t="n">
        <f aca="false">1/AT552</f>
        <v>1.54639175257732</v>
      </c>
      <c r="AV552" s="21" t="n">
        <f aca="false">AW$3*C552</f>
        <v>1.94</v>
      </c>
      <c r="AW552" s="21" t="n">
        <f aca="false">AX$3</f>
        <v>5</v>
      </c>
      <c r="AX552" s="21" t="n">
        <f aca="false">AV552*AW552</f>
        <v>9.7</v>
      </c>
      <c r="AY552" s="21" t="n">
        <f aca="false">AY$3</f>
        <v>10</v>
      </c>
      <c r="AZ552" s="21" t="n">
        <f aca="false">IF(BB552/B552&gt;1,1,BB552/B552)</f>
        <v>0.517333333333333</v>
      </c>
      <c r="BA552" s="21" t="n">
        <f aca="false">1/AZ552</f>
        <v>1.93298969072165</v>
      </c>
      <c r="BB552" s="21" t="n">
        <f aca="false">BB$3*C552</f>
        <v>1.552</v>
      </c>
      <c r="BC552" s="21" t="n">
        <f aca="false">BC$3</f>
        <v>10</v>
      </c>
      <c r="BD552" s="21" t="n">
        <f aca="false">BB552*BC552</f>
        <v>15.52</v>
      </c>
      <c r="BE552" s="21" t="n">
        <f aca="false">BD$3</f>
        <v>16</v>
      </c>
      <c r="BF552" s="21" t="n">
        <f aca="false">IF(BH552/B552&gt;1,1,BH552/B552)</f>
        <v>0.614333333333333</v>
      </c>
      <c r="BG552" s="21" t="n">
        <f aca="false">1/BF552</f>
        <v>1.62778079218665</v>
      </c>
      <c r="BH552" s="21" t="n">
        <f aca="false">BG$3*C552</f>
        <v>1.843</v>
      </c>
      <c r="BI552" s="21" t="n">
        <f aca="false">BH$3</f>
        <v>1</v>
      </c>
      <c r="BJ552" s="21" t="n">
        <f aca="false">BH552*BI552</f>
        <v>1.843</v>
      </c>
      <c r="BK552" s="21" t="n">
        <f aca="false">BI$3</f>
        <v>1.9</v>
      </c>
      <c r="BL552" s="21" t="n">
        <f aca="false">IF(BN552/B552&gt;1,1,BN552/B552)</f>
        <v>0.646666666666667</v>
      </c>
      <c r="BM552" s="21" t="n">
        <f aca="false">1/BL552</f>
        <v>1.54639175257732</v>
      </c>
      <c r="BN552" s="21" t="n">
        <f aca="false">BL$3*C552</f>
        <v>1.94</v>
      </c>
      <c r="BO552" s="21" t="n">
        <f aca="false">BM$3</f>
        <v>1</v>
      </c>
      <c r="BP552" s="21" t="n">
        <f aca="false">BN552*BO552</f>
        <v>1.94</v>
      </c>
      <c r="BQ552" s="21" t="n">
        <f aca="false">BN$3</f>
        <v>2</v>
      </c>
      <c r="BR552" s="21" t="n">
        <f aca="false">IF(BT552/B552&gt;1,1,BT552/B552)</f>
        <v>0.646666666666667</v>
      </c>
      <c r="BS552" s="21" t="n">
        <f aca="false">1/BR552</f>
        <v>1.54639175257732</v>
      </c>
      <c r="BT552" s="21" t="n">
        <f aca="false">BQ$3*C552</f>
        <v>1.94</v>
      </c>
      <c r="BU552" s="21" t="n">
        <f aca="false">BR$3</f>
        <v>12</v>
      </c>
      <c r="BV552" s="21" t="n">
        <f aca="false">BT552*BU552</f>
        <v>23.28</v>
      </c>
      <c r="BW552" s="21" t="n">
        <f aca="false">BS$3</f>
        <v>24</v>
      </c>
      <c r="BX552" s="21" t="n">
        <f aca="false">IF(BZ552/B552&gt;1,1,BZ552/B552)</f>
        <v>0.614333333333333</v>
      </c>
      <c r="BY552" s="21" t="n">
        <f aca="false">1/BX552</f>
        <v>1.62778079218665</v>
      </c>
      <c r="BZ552" s="21" t="n">
        <f aca="false">BV$3*C552</f>
        <v>1.843</v>
      </c>
      <c r="CA552" s="21" t="n">
        <f aca="false">BW$3</f>
        <v>10</v>
      </c>
      <c r="CB552" s="21" t="n">
        <f aca="false">BZ552*CA552</f>
        <v>18.43</v>
      </c>
      <c r="CC552" s="21" t="n">
        <f aca="false">BX$3</f>
        <v>19</v>
      </c>
      <c r="CD552" s="21"/>
    </row>
    <row r="553" customFormat="false" ht="12.75" hidden="false" customHeight="true" outlineLevel="0" collapsed="false">
      <c r="A553" s="13" t="s">
        <v>65</v>
      </c>
      <c r="B553" s="13" t="n">
        <f aca="false">C5</f>
        <v>4</v>
      </c>
      <c r="C553" s="21" t="n">
        <f aca="false">C$551</f>
        <v>0.97</v>
      </c>
      <c r="D553" s="21" t="n">
        <f aca="false">IF(F553/B553&gt;1,1,F553/B553)</f>
        <v>0.291</v>
      </c>
      <c r="E553" s="21" t="n">
        <f aca="false">1/D553</f>
        <v>3.43642611683849</v>
      </c>
      <c r="F553" s="21" t="n">
        <f aca="false">N$3*C553</f>
        <v>1.164</v>
      </c>
      <c r="G553" s="21" t="n">
        <f aca="false">O$3</f>
        <v>1</v>
      </c>
      <c r="H553" s="21" t="n">
        <f aca="false">F553*G553</f>
        <v>1.164</v>
      </c>
      <c r="I553" s="21" t="n">
        <f aca="false">P$3</f>
        <v>1.2</v>
      </c>
      <c r="J553" s="21" t="n">
        <f aca="false">IF(L553/B553&gt;1,1,L553/B553)</f>
        <v>0.3395</v>
      </c>
      <c r="K553" s="21" t="n">
        <f aca="false">1/J553</f>
        <v>2.94550810014728</v>
      </c>
      <c r="L553" s="21" t="n">
        <f aca="false">S$3*C553</f>
        <v>1.358</v>
      </c>
      <c r="M553" s="21" t="n">
        <f aca="false">T$3</f>
        <v>1</v>
      </c>
      <c r="N553" s="21" t="n">
        <f aca="false">L553*M553</f>
        <v>1.358</v>
      </c>
      <c r="O553" s="21" t="n">
        <f aca="false">U$3</f>
        <v>1.4</v>
      </c>
      <c r="P553" s="21" t="n">
        <f aca="false">IF(R553/B553&gt;1,1,R553/B553)</f>
        <v>0.36375</v>
      </c>
      <c r="Q553" s="21" t="n">
        <f aca="false">1/P553</f>
        <v>2.74914089347079</v>
      </c>
      <c r="R553" s="21" t="n">
        <f aca="false">X$3*C553</f>
        <v>1.455</v>
      </c>
      <c r="S553" s="21" t="n">
        <f aca="false">Y$3</f>
        <v>5</v>
      </c>
      <c r="T553" s="21" t="n">
        <f aca="false">R553*S553</f>
        <v>7.275</v>
      </c>
      <c r="U553" s="21" t="n">
        <f aca="false">Z$3</f>
        <v>7.5</v>
      </c>
      <c r="V553" s="21" t="n">
        <f aca="false">IF(X553/B553&gt;1,1,X553/B553)</f>
        <v>0.31525</v>
      </c>
      <c r="W553" s="21" t="n">
        <f aca="false">1/V553</f>
        <v>3.17208564631245</v>
      </c>
      <c r="X553" s="21" t="n">
        <f aca="false">AC$3*C553</f>
        <v>1.261</v>
      </c>
      <c r="Y553" s="21" t="n">
        <f aca="false">AD$3</f>
        <v>3</v>
      </c>
      <c r="Z553" s="21" t="n">
        <f aca="false">X553*Y553</f>
        <v>3.783</v>
      </c>
      <c r="AA553" s="21" t="n">
        <f aca="false">AE$3</f>
        <v>3.9</v>
      </c>
      <c r="AB553" s="21" t="n">
        <f aca="false">IF(AD553/B553&gt;1,1,AD553/B553)</f>
        <v>0.388</v>
      </c>
      <c r="AC553" s="21" t="n">
        <f aca="false">1/AB553</f>
        <v>2.57731958762887</v>
      </c>
      <c r="AD553" s="21" t="n">
        <f aca="false">AH$3*C553</f>
        <v>1.552</v>
      </c>
      <c r="AE553" s="21" t="n">
        <f aca="false">AI$3</f>
        <v>1</v>
      </c>
      <c r="AF553" s="21" t="n">
        <f aca="false">AD553*AE553</f>
        <v>1.552</v>
      </c>
      <c r="AG553" s="21" t="n">
        <f aca="false">AJ$3</f>
        <v>1.6</v>
      </c>
      <c r="AH553" s="21" t="n">
        <f aca="false">IF(AJ553/B553&gt;1,1,AJ553/B553)</f>
        <v>0.4365</v>
      </c>
      <c r="AI553" s="21" t="n">
        <f aca="false">1/AH553</f>
        <v>2.29095074455899</v>
      </c>
      <c r="AJ553" s="21" t="n">
        <f aca="false">AM$3*C553</f>
        <v>1.746</v>
      </c>
      <c r="AK553" s="21" t="n">
        <f aca="false">AN$3</f>
        <v>1</v>
      </c>
      <c r="AL553" s="21" t="n">
        <f aca="false">AJ553*AK553</f>
        <v>1.746</v>
      </c>
      <c r="AM553" s="21" t="n">
        <f aca="false">AO$3</f>
        <v>1.8</v>
      </c>
      <c r="AN553" s="21" t="n">
        <f aca="false">IF(AP553/B553&gt;1,1,AP553/B553)</f>
        <v>0.46075</v>
      </c>
      <c r="AO553" s="21" t="n">
        <f aca="false">1/AN553</f>
        <v>2.1703743895822</v>
      </c>
      <c r="AP553" s="21" t="n">
        <f aca="false">AR$3*C553</f>
        <v>1.843</v>
      </c>
      <c r="AQ553" s="21" t="n">
        <f aca="false">AS$3</f>
        <v>2</v>
      </c>
      <c r="AR553" s="21" t="n">
        <f aca="false">AP553*AQ553</f>
        <v>3.686</v>
      </c>
      <c r="AS553" s="21" t="n">
        <f aca="false">AT$3</f>
        <v>3.8</v>
      </c>
      <c r="AT553" s="21" t="n">
        <f aca="false">IF(AV553/B553&gt;1,1,AV553/B553)</f>
        <v>0.485</v>
      </c>
      <c r="AU553" s="21" t="n">
        <f aca="false">1/AT553</f>
        <v>2.06185567010309</v>
      </c>
      <c r="AV553" s="21" t="n">
        <f aca="false">AW$3*C553</f>
        <v>1.94</v>
      </c>
      <c r="AW553" s="21" t="n">
        <f aca="false">AX$3</f>
        <v>5</v>
      </c>
      <c r="AX553" s="21" t="n">
        <f aca="false">AV553*AW553</f>
        <v>9.7</v>
      </c>
      <c r="AY553" s="21" t="n">
        <f aca="false">AY$3</f>
        <v>10</v>
      </c>
      <c r="AZ553" s="21" t="n">
        <f aca="false">IF(BB553/B553&gt;1,1,BB553/B553)</f>
        <v>0.388</v>
      </c>
      <c r="BA553" s="21" t="n">
        <f aca="false">1/AZ553</f>
        <v>2.57731958762887</v>
      </c>
      <c r="BB553" s="21" t="n">
        <f aca="false">BB$3*C553</f>
        <v>1.552</v>
      </c>
      <c r="BC553" s="21" t="n">
        <f aca="false">BC$3</f>
        <v>10</v>
      </c>
      <c r="BD553" s="21" t="n">
        <f aca="false">BB553*BC553</f>
        <v>15.52</v>
      </c>
      <c r="BE553" s="21" t="n">
        <f aca="false">BD$3</f>
        <v>16</v>
      </c>
      <c r="BF553" s="21" t="n">
        <f aca="false">IF(BH553/B553&gt;1,1,BH553/B553)</f>
        <v>0.46075</v>
      </c>
      <c r="BG553" s="21" t="n">
        <f aca="false">1/BF553</f>
        <v>2.1703743895822</v>
      </c>
      <c r="BH553" s="21" t="n">
        <f aca="false">BG$3*C553</f>
        <v>1.843</v>
      </c>
      <c r="BI553" s="21" t="n">
        <f aca="false">BH$3</f>
        <v>1</v>
      </c>
      <c r="BJ553" s="21" t="n">
        <f aca="false">BH553*BI553</f>
        <v>1.843</v>
      </c>
      <c r="BK553" s="21" t="n">
        <f aca="false">BI$3</f>
        <v>1.9</v>
      </c>
      <c r="BL553" s="21" t="n">
        <f aca="false">IF(BN553/B553&gt;1,1,BN553/B553)</f>
        <v>0.485</v>
      </c>
      <c r="BM553" s="21" t="n">
        <f aca="false">1/BL553</f>
        <v>2.06185567010309</v>
      </c>
      <c r="BN553" s="21" t="n">
        <f aca="false">BL$3*C553</f>
        <v>1.94</v>
      </c>
      <c r="BO553" s="21" t="n">
        <f aca="false">BM$3</f>
        <v>1</v>
      </c>
      <c r="BP553" s="21" t="n">
        <f aca="false">BN553*BO553</f>
        <v>1.94</v>
      </c>
      <c r="BQ553" s="21" t="n">
        <f aca="false">BN$3</f>
        <v>2</v>
      </c>
      <c r="BR553" s="21" t="n">
        <f aca="false">IF(BT553/B553&gt;1,1,BT553/B553)</f>
        <v>0.485</v>
      </c>
      <c r="BS553" s="21" t="n">
        <f aca="false">1/BR553</f>
        <v>2.06185567010309</v>
      </c>
      <c r="BT553" s="21" t="n">
        <f aca="false">BQ$3*C553</f>
        <v>1.94</v>
      </c>
      <c r="BU553" s="21" t="n">
        <f aca="false">BR$3</f>
        <v>12</v>
      </c>
      <c r="BV553" s="21" t="n">
        <f aca="false">BT553*BU553</f>
        <v>23.28</v>
      </c>
      <c r="BW553" s="21" t="n">
        <f aca="false">BS$3</f>
        <v>24</v>
      </c>
      <c r="BX553" s="21" t="n">
        <f aca="false">IF(BZ553/B553&gt;1,1,BZ553/B553)</f>
        <v>0.46075</v>
      </c>
      <c r="BY553" s="21" t="n">
        <f aca="false">1/BX553</f>
        <v>2.1703743895822</v>
      </c>
      <c r="BZ553" s="21" t="n">
        <f aca="false">BV$3*C553</f>
        <v>1.843</v>
      </c>
      <c r="CA553" s="21" t="n">
        <f aca="false">BW$3</f>
        <v>10</v>
      </c>
      <c r="CB553" s="21" t="n">
        <f aca="false">BZ553*CA553</f>
        <v>18.43</v>
      </c>
      <c r="CC553" s="21" t="n">
        <f aca="false">BX$3</f>
        <v>19</v>
      </c>
      <c r="CD553" s="21"/>
    </row>
    <row r="554" customFormat="false" ht="12.75" hidden="false" customHeight="true" outlineLevel="0" collapsed="false">
      <c r="A554" s="13" t="s">
        <v>67</v>
      </c>
      <c r="B554" s="13" t="n">
        <f aca="false">C6</f>
        <v>5</v>
      </c>
      <c r="C554" s="21" t="n">
        <f aca="false">C$551</f>
        <v>0.97</v>
      </c>
      <c r="D554" s="21" t="n">
        <f aca="false">IF(F554/B554&gt;1,1,F554/B554)</f>
        <v>0.2328</v>
      </c>
      <c r="E554" s="21" t="n">
        <f aca="false">1/D554</f>
        <v>4.29553264604811</v>
      </c>
      <c r="F554" s="21" t="n">
        <f aca="false">N$3*C554</f>
        <v>1.164</v>
      </c>
      <c r="G554" s="21" t="n">
        <f aca="false">O$3</f>
        <v>1</v>
      </c>
      <c r="H554" s="21" t="n">
        <f aca="false">F554*G554</f>
        <v>1.164</v>
      </c>
      <c r="I554" s="21" t="n">
        <f aca="false">P$3</f>
        <v>1.2</v>
      </c>
      <c r="J554" s="21" t="n">
        <f aca="false">IF(L554/B554&gt;1,1,L554/B554)</f>
        <v>0.2716</v>
      </c>
      <c r="K554" s="21" t="n">
        <f aca="false">1/J554</f>
        <v>3.68188512518409</v>
      </c>
      <c r="L554" s="21" t="n">
        <f aca="false">S$3*C554</f>
        <v>1.358</v>
      </c>
      <c r="M554" s="21" t="n">
        <f aca="false">T$3</f>
        <v>1</v>
      </c>
      <c r="N554" s="21" t="n">
        <f aca="false">L554*M554</f>
        <v>1.358</v>
      </c>
      <c r="O554" s="21" t="n">
        <f aca="false">U$3</f>
        <v>1.4</v>
      </c>
      <c r="P554" s="21" t="n">
        <f aca="false">IF(R554/B554&gt;1,1,R554/B554)</f>
        <v>0.291</v>
      </c>
      <c r="Q554" s="21" t="n">
        <f aca="false">1/P554</f>
        <v>3.43642611683849</v>
      </c>
      <c r="R554" s="21" t="n">
        <f aca="false">X$3*C554</f>
        <v>1.455</v>
      </c>
      <c r="S554" s="21" t="n">
        <f aca="false">Y$3</f>
        <v>5</v>
      </c>
      <c r="T554" s="21" t="n">
        <f aca="false">R554*S554</f>
        <v>7.275</v>
      </c>
      <c r="U554" s="21" t="n">
        <f aca="false">Z$3</f>
        <v>7.5</v>
      </c>
      <c r="V554" s="21" t="n">
        <f aca="false">IF(X554/B554&gt;1,1,X554/B554)</f>
        <v>0.2522</v>
      </c>
      <c r="W554" s="21" t="n">
        <f aca="false">1/V554</f>
        <v>3.96510705789056</v>
      </c>
      <c r="X554" s="21" t="n">
        <f aca="false">AC$3*C554</f>
        <v>1.261</v>
      </c>
      <c r="Y554" s="21" t="n">
        <f aca="false">AD$3</f>
        <v>3</v>
      </c>
      <c r="Z554" s="21" t="n">
        <f aca="false">X554*Y554</f>
        <v>3.783</v>
      </c>
      <c r="AA554" s="21" t="n">
        <f aca="false">AE$3</f>
        <v>3.9</v>
      </c>
      <c r="AB554" s="21" t="n">
        <f aca="false">IF(AD554/B554&gt;1,1,AD554/B554)</f>
        <v>0.3104</v>
      </c>
      <c r="AC554" s="21" t="n">
        <f aca="false">1/AB554</f>
        <v>3.22164948453608</v>
      </c>
      <c r="AD554" s="21" t="n">
        <f aca="false">AH$3*C554</f>
        <v>1.552</v>
      </c>
      <c r="AE554" s="21" t="n">
        <f aca="false">AI$3</f>
        <v>1</v>
      </c>
      <c r="AF554" s="21" t="n">
        <f aca="false">AD554*AE554</f>
        <v>1.552</v>
      </c>
      <c r="AG554" s="21" t="n">
        <f aca="false">AJ$3</f>
        <v>1.6</v>
      </c>
      <c r="AH554" s="21" t="n">
        <f aca="false">IF(AJ554/B554&gt;1,1,AJ554/B554)</f>
        <v>0.3492</v>
      </c>
      <c r="AI554" s="21" t="n">
        <f aca="false">1/AH554</f>
        <v>2.86368843069874</v>
      </c>
      <c r="AJ554" s="21" t="n">
        <f aca="false">AM$3*C554</f>
        <v>1.746</v>
      </c>
      <c r="AK554" s="21" t="n">
        <f aca="false">AN$3</f>
        <v>1</v>
      </c>
      <c r="AL554" s="21" t="n">
        <f aca="false">AJ554*AK554</f>
        <v>1.746</v>
      </c>
      <c r="AM554" s="21" t="n">
        <f aca="false">AO$3</f>
        <v>1.8</v>
      </c>
      <c r="AN554" s="21" t="n">
        <f aca="false">IF(AP554/B554&gt;1,1,AP554/B554)</f>
        <v>0.3686</v>
      </c>
      <c r="AO554" s="21" t="n">
        <f aca="false">1/AN554</f>
        <v>2.71296798697775</v>
      </c>
      <c r="AP554" s="21" t="n">
        <f aca="false">AR$3*C554</f>
        <v>1.843</v>
      </c>
      <c r="AQ554" s="21" t="n">
        <f aca="false">AS$3</f>
        <v>2</v>
      </c>
      <c r="AR554" s="21" t="n">
        <f aca="false">AP554*AQ554</f>
        <v>3.686</v>
      </c>
      <c r="AS554" s="21" t="n">
        <f aca="false">AT$3</f>
        <v>3.8</v>
      </c>
      <c r="AT554" s="21" t="n">
        <f aca="false">IF(AV554/B554&gt;1,1,AV554/B554)</f>
        <v>0.388</v>
      </c>
      <c r="AU554" s="21" t="n">
        <f aca="false">1/AT554</f>
        <v>2.57731958762887</v>
      </c>
      <c r="AV554" s="21" t="n">
        <f aca="false">AW$3*C554</f>
        <v>1.94</v>
      </c>
      <c r="AW554" s="21" t="n">
        <f aca="false">AX$3</f>
        <v>5</v>
      </c>
      <c r="AX554" s="21" t="n">
        <f aca="false">AV554*AW554</f>
        <v>9.7</v>
      </c>
      <c r="AY554" s="21" t="n">
        <f aca="false">AY$3</f>
        <v>10</v>
      </c>
      <c r="AZ554" s="21" t="n">
        <f aca="false">IF(BB554/B554&gt;1,1,BB554/B554)</f>
        <v>0.3104</v>
      </c>
      <c r="BA554" s="21" t="n">
        <f aca="false">1/AZ554</f>
        <v>3.22164948453608</v>
      </c>
      <c r="BB554" s="21" t="n">
        <f aca="false">BB$3*C554</f>
        <v>1.552</v>
      </c>
      <c r="BC554" s="21" t="n">
        <f aca="false">BC$3</f>
        <v>10</v>
      </c>
      <c r="BD554" s="21" t="n">
        <f aca="false">BB554*BC554</f>
        <v>15.52</v>
      </c>
      <c r="BE554" s="21" t="n">
        <f aca="false">BD$3</f>
        <v>16</v>
      </c>
      <c r="BF554" s="21" t="n">
        <f aca="false">IF(BH554/B554&gt;1,1,BH554/B554)</f>
        <v>0.3686</v>
      </c>
      <c r="BG554" s="21" t="n">
        <f aca="false">1/BF554</f>
        <v>2.71296798697775</v>
      </c>
      <c r="BH554" s="21" t="n">
        <f aca="false">BG$3*C554</f>
        <v>1.843</v>
      </c>
      <c r="BI554" s="21" t="n">
        <f aca="false">BH$3</f>
        <v>1</v>
      </c>
      <c r="BJ554" s="21" t="n">
        <f aca="false">BH554*BI554</f>
        <v>1.843</v>
      </c>
      <c r="BK554" s="21" t="n">
        <f aca="false">BI$3</f>
        <v>1.9</v>
      </c>
      <c r="BL554" s="21" t="n">
        <f aca="false">IF(BN554/B554&gt;1,1,BN554/B554)</f>
        <v>0.388</v>
      </c>
      <c r="BM554" s="21" t="n">
        <f aca="false">1/BL554</f>
        <v>2.57731958762887</v>
      </c>
      <c r="BN554" s="21" t="n">
        <f aca="false">BL$3*C554</f>
        <v>1.94</v>
      </c>
      <c r="BO554" s="21" t="n">
        <f aca="false">BM$3</f>
        <v>1</v>
      </c>
      <c r="BP554" s="21" t="n">
        <f aca="false">BN554*BO554</f>
        <v>1.94</v>
      </c>
      <c r="BQ554" s="21" t="n">
        <f aca="false">BN$3</f>
        <v>2</v>
      </c>
      <c r="BR554" s="21" t="n">
        <f aca="false">IF(BT554/B554&gt;1,1,BT554/B554)</f>
        <v>0.388</v>
      </c>
      <c r="BS554" s="21" t="n">
        <f aca="false">1/BR554</f>
        <v>2.57731958762887</v>
      </c>
      <c r="BT554" s="21" t="n">
        <f aca="false">BQ$3*C554</f>
        <v>1.94</v>
      </c>
      <c r="BU554" s="21" t="n">
        <f aca="false">BR$3</f>
        <v>12</v>
      </c>
      <c r="BV554" s="21" t="n">
        <f aca="false">BT554*BU554</f>
        <v>23.28</v>
      </c>
      <c r="BW554" s="21" t="n">
        <f aca="false">BS$3</f>
        <v>24</v>
      </c>
      <c r="BX554" s="21" t="n">
        <f aca="false">IF(BZ554/B554&gt;1,1,BZ554/B554)</f>
        <v>0.3686</v>
      </c>
      <c r="BY554" s="21" t="n">
        <f aca="false">1/BX554</f>
        <v>2.71296798697775</v>
      </c>
      <c r="BZ554" s="21" t="n">
        <f aca="false">BV$3*C554</f>
        <v>1.843</v>
      </c>
      <c r="CA554" s="21" t="n">
        <f aca="false">BW$3</f>
        <v>10</v>
      </c>
      <c r="CB554" s="21" t="n">
        <f aca="false">BZ554*CA554</f>
        <v>18.43</v>
      </c>
      <c r="CC554" s="21" t="n">
        <f aca="false">BX$3</f>
        <v>19</v>
      </c>
      <c r="CD554" s="21"/>
    </row>
    <row r="555" customFormat="false" ht="12.75" hidden="false" customHeight="true" outlineLevel="0" collapsed="false">
      <c r="A555" s="13" t="s">
        <v>69</v>
      </c>
      <c r="B555" s="13" t="n">
        <f aca="false">C7</f>
        <v>7</v>
      </c>
      <c r="C555" s="21" t="n">
        <f aca="false">C$551</f>
        <v>0.97</v>
      </c>
      <c r="D555" s="21" t="n">
        <f aca="false">IF(F555/B555&gt;1,1,F555/B555)</f>
        <v>0.166285714285714</v>
      </c>
      <c r="E555" s="21" t="n">
        <f aca="false">1/D555</f>
        <v>6.01374570446735</v>
      </c>
      <c r="F555" s="21" t="n">
        <f aca="false">N$3*C555</f>
        <v>1.164</v>
      </c>
      <c r="G555" s="21" t="n">
        <f aca="false">O$3</f>
        <v>1</v>
      </c>
      <c r="H555" s="21" t="n">
        <f aca="false">F555*G555</f>
        <v>1.164</v>
      </c>
      <c r="I555" s="21" t="n">
        <f aca="false">P$3</f>
        <v>1.2</v>
      </c>
      <c r="J555" s="21" t="n">
        <f aca="false">IF(L555/B555&gt;1,1,L555/B555)</f>
        <v>0.194</v>
      </c>
      <c r="K555" s="21" t="n">
        <f aca="false">1/J555</f>
        <v>5.15463917525773</v>
      </c>
      <c r="L555" s="21" t="n">
        <f aca="false">S$3*C555</f>
        <v>1.358</v>
      </c>
      <c r="M555" s="21" t="n">
        <f aca="false">T$3</f>
        <v>1</v>
      </c>
      <c r="N555" s="21" t="n">
        <f aca="false">L555*M555</f>
        <v>1.358</v>
      </c>
      <c r="O555" s="21" t="n">
        <f aca="false">U$3</f>
        <v>1.4</v>
      </c>
      <c r="P555" s="21" t="n">
        <f aca="false">IF(R555/B555&gt;1,1,R555/B555)</f>
        <v>0.207857142857143</v>
      </c>
      <c r="Q555" s="21" t="n">
        <f aca="false">1/P555</f>
        <v>4.81099656357388</v>
      </c>
      <c r="R555" s="21" t="n">
        <f aca="false">X$3*C555</f>
        <v>1.455</v>
      </c>
      <c r="S555" s="21" t="n">
        <f aca="false">Y$3</f>
        <v>5</v>
      </c>
      <c r="T555" s="21" t="n">
        <f aca="false">R555*S555</f>
        <v>7.275</v>
      </c>
      <c r="U555" s="21" t="n">
        <f aca="false">Z$3</f>
        <v>7.5</v>
      </c>
      <c r="V555" s="21" t="n">
        <f aca="false">IF(X555/B555&gt;1,1,X555/B555)</f>
        <v>0.180142857142857</v>
      </c>
      <c r="W555" s="21" t="n">
        <f aca="false">1/V555</f>
        <v>5.55114988104679</v>
      </c>
      <c r="X555" s="21" t="n">
        <f aca="false">AC$3*C555</f>
        <v>1.261</v>
      </c>
      <c r="Y555" s="21" t="n">
        <f aca="false">AD$3</f>
        <v>3</v>
      </c>
      <c r="Z555" s="21" t="n">
        <f aca="false">X555*Y555</f>
        <v>3.783</v>
      </c>
      <c r="AA555" s="21" t="n">
        <f aca="false">AE$3</f>
        <v>3.9</v>
      </c>
      <c r="AB555" s="21" t="n">
        <f aca="false">IF(AD555/B555&gt;1,1,AD555/B555)</f>
        <v>0.221714285714286</v>
      </c>
      <c r="AC555" s="21" t="n">
        <f aca="false">1/AB555</f>
        <v>4.51030927835052</v>
      </c>
      <c r="AD555" s="21" t="n">
        <f aca="false">AH$3*C555</f>
        <v>1.552</v>
      </c>
      <c r="AE555" s="21" t="n">
        <f aca="false">AI$3</f>
        <v>1</v>
      </c>
      <c r="AF555" s="21" t="n">
        <f aca="false">AD555*AE555</f>
        <v>1.552</v>
      </c>
      <c r="AG555" s="21" t="n">
        <f aca="false">AJ$3</f>
        <v>1.6</v>
      </c>
      <c r="AH555" s="21" t="n">
        <f aca="false">IF(AJ555/B555&gt;1,1,AJ555/B555)</f>
        <v>0.249428571428571</v>
      </c>
      <c r="AI555" s="21" t="n">
        <f aca="false">1/AH555</f>
        <v>4.00916380297824</v>
      </c>
      <c r="AJ555" s="21" t="n">
        <f aca="false">AM$3*C555</f>
        <v>1.746</v>
      </c>
      <c r="AK555" s="21" t="n">
        <f aca="false">AN$3</f>
        <v>1</v>
      </c>
      <c r="AL555" s="21" t="n">
        <f aca="false">AJ555*AK555</f>
        <v>1.746</v>
      </c>
      <c r="AM555" s="21" t="n">
        <f aca="false">AO$3</f>
        <v>1.8</v>
      </c>
      <c r="AN555" s="21" t="n">
        <f aca="false">IF(AP555/B555&gt;1,1,AP555/B555)</f>
        <v>0.263285714285714</v>
      </c>
      <c r="AO555" s="21" t="n">
        <f aca="false">1/AN555</f>
        <v>3.79815518176885</v>
      </c>
      <c r="AP555" s="21" t="n">
        <f aca="false">AR$3*C555</f>
        <v>1.843</v>
      </c>
      <c r="AQ555" s="21" t="n">
        <f aca="false">AS$3</f>
        <v>2</v>
      </c>
      <c r="AR555" s="21" t="n">
        <f aca="false">AP555*AQ555</f>
        <v>3.686</v>
      </c>
      <c r="AS555" s="21" t="n">
        <f aca="false">AT$3</f>
        <v>3.8</v>
      </c>
      <c r="AT555" s="21" t="n">
        <f aca="false">IF(AV555/B555&gt;1,1,AV555/B555)</f>
        <v>0.277142857142857</v>
      </c>
      <c r="AU555" s="21" t="n">
        <f aca="false">1/AT555</f>
        <v>3.60824742268041</v>
      </c>
      <c r="AV555" s="21" t="n">
        <f aca="false">AW$3*C555</f>
        <v>1.94</v>
      </c>
      <c r="AW555" s="21" t="n">
        <f aca="false">AX$3</f>
        <v>5</v>
      </c>
      <c r="AX555" s="21" t="n">
        <f aca="false">AV555*AW555</f>
        <v>9.7</v>
      </c>
      <c r="AY555" s="21" t="n">
        <f aca="false">AY$3</f>
        <v>10</v>
      </c>
      <c r="AZ555" s="21" t="n">
        <f aca="false">IF(BB555/B555&gt;1,1,BB555/B555)</f>
        <v>0.221714285714286</v>
      </c>
      <c r="BA555" s="21" t="n">
        <f aca="false">1/AZ555</f>
        <v>4.51030927835052</v>
      </c>
      <c r="BB555" s="21" t="n">
        <f aca="false">BB$3*C555</f>
        <v>1.552</v>
      </c>
      <c r="BC555" s="21" t="n">
        <f aca="false">BC$3</f>
        <v>10</v>
      </c>
      <c r="BD555" s="21" t="n">
        <f aca="false">BB555*BC555</f>
        <v>15.52</v>
      </c>
      <c r="BE555" s="21" t="n">
        <f aca="false">BD$3</f>
        <v>16</v>
      </c>
      <c r="BF555" s="21" t="n">
        <f aca="false">IF(BH555/B555&gt;1,1,BH555/B555)</f>
        <v>0.263285714285714</v>
      </c>
      <c r="BG555" s="21" t="n">
        <f aca="false">1/BF555</f>
        <v>3.79815518176885</v>
      </c>
      <c r="BH555" s="21" t="n">
        <f aca="false">BG$3*C555</f>
        <v>1.843</v>
      </c>
      <c r="BI555" s="21" t="n">
        <f aca="false">BH$3</f>
        <v>1</v>
      </c>
      <c r="BJ555" s="21" t="n">
        <f aca="false">BH555*BI555</f>
        <v>1.843</v>
      </c>
      <c r="BK555" s="21" t="n">
        <f aca="false">BI$3</f>
        <v>1.9</v>
      </c>
      <c r="BL555" s="21" t="n">
        <f aca="false">IF(BN555/B555&gt;1,1,BN555/B555)</f>
        <v>0.277142857142857</v>
      </c>
      <c r="BM555" s="21" t="n">
        <f aca="false">1/BL555</f>
        <v>3.60824742268041</v>
      </c>
      <c r="BN555" s="21" t="n">
        <f aca="false">BL$3*C555</f>
        <v>1.94</v>
      </c>
      <c r="BO555" s="21" t="n">
        <f aca="false">BM$3</f>
        <v>1</v>
      </c>
      <c r="BP555" s="21" t="n">
        <f aca="false">BN555*BO555</f>
        <v>1.94</v>
      </c>
      <c r="BQ555" s="21" t="n">
        <f aca="false">BN$3</f>
        <v>2</v>
      </c>
      <c r="BR555" s="21" t="n">
        <f aca="false">IF(BT555/B555&gt;1,1,BT555/B555)</f>
        <v>0.277142857142857</v>
      </c>
      <c r="BS555" s="21" t="n">
        <f aca="false">1/BR555</f>
        <v>3.60824742268041</v>
      </c>
      <c r="BT555" s="21" t="n">
        <f aca="false">BQ$3*C555</f>
        <v>1.94</v>
      </c>
      <c r="BU555" s="21" t="n">
        <f aca="false">BR$3</f>
        <v>12</v>
      </c>
      <c r="BV555" s="21" t="n">
        <f aca="false">BT555*BU555</f>
        <v>23.28</v>
      </c>
      <c r="BW555" s="21" t="n">
        <f aca="false">BS$3</f>
        <v>24</v>
      </c>
      <c r="BX555" s="21" t="n">
        <f aca="false">IF(BZ555/B555&gt;1,1,BZ555/B555)</f>
        <v>0.263285714285714</v>
      </c>
      <c r="BY555" s="21" t="n">
        <f aca="false">1/BX555</f>
        <v>3.79815518176885</v>
      </c>
      <c r="BZ555" s="21" t="n">
        <f aca="false">BV$3*C555</f>
        <v>1.843</v>
      </c>
      <c r="CA555" s="21" t="n">
        <f aca="false">BW$3</f>
        <v>10</v>
      </c>
      <c r="CB555" s="21" t="n">
        <f aca="false">BZ555*CA555</f>
        <v>18.43</v>
      </c>
      <c r="CC555" s="21" t="n">
        <f aca="false">BX$3</f>
        <v>19</v>
      </c>
      <c r="CD555" s="21"/>
    </row>
    <row r="556" customFormat="false" ht="12.75" hidden="false" customHeight="true" outlineLevel="0" collapsed="false">
      <c r="A556" s="13" t="s">
        <v>71</v>
      </c>
      <c r="B556" s="13" t="n">
        <f aca="false">C8</f>
        <v>8</v>
      </c>
      <c r="C556" s="21" t="n">
        <f aca="false">C$551</f>
        <v>0.97</v>
      </c>
      <c r="D556" s="21" t="n">
        <f aca="false">IF(F556/B556&gt;1,1,F556/B556)</f>
        <v>0.1455</v>
      </c>
      <c r="E556" s="21" t="n">
        <f aca="false">1/D556</f>
        <v>6.87285223367698</v>
      </c>
      <c r="F556" s="21" t="n">
        <f aca="false">N$3*C556</f>
        <v>1.164</v>
      </c>
      <c r="G556" s="21" t="n">
        <f aca="false">O$3</f>
        <v>1</v>
      </c>
      <c r="H556" s="21" t="n">
        <f aca="false">F556*G556</f>
        <v>1.164</v>
      </c>
      <c r="I556" s="21" t="n">
        <f aca="false">P$3</f>
        <v>1.2</v>
      </c>
      <c r="J556" s="21" t="n">
        <f aca="false">IF(L556/B556&gt;1,1,L556/B556)</f>
        <v>0.16975</v>
      </c>
      <c r="K556" s="21" t="n">
        <f aca="false">1/J556</f>
        <v>5.89101620029455</v>
      </c>
      <c r="L556" s="21" t="n">
        <f aca="false">S$3*C556</f>
        <v>1.358</v>
      </c>
      <c r="M556" s="21" t="n">
        <f aca="false">T$3</f>
        <v>1</v>
      </c>
      <c r="N556" s="21" t="n">
        <f aca="false">L556*M556</f>
        <v>1.358</v>
      </c>
      <c r="O556" s="21" t="n">
        <f aca="false">U$3</f>
        <v>1.4</v>
      </c>
      <c r="P556" s="21" t="n">
        <f aca="false">IF(R556/B556&gt;1,1,R556/B556)</f>
        <v>0.181875</v>
      </c>
      <c r="Q556" s="21" t="n">
        <f aca="false">1/P556</f>
        <v>5.49828178694158</v>
      </c>
      <c r="R556" s="21" t="n">
        <f aca="false">X$3*C556</f>
        <v>1.455</v>
      </c>
      <c r="S556" s="21" t="n">
        <f aca="false">Y$3</f>
        <v>5</v>
      </c>
      <c r="T556" s="21" t="n">
        <f aca="false">R556*S556</f>
        <v>7.275</v>
      </c>
      <c r="U556" s="21" t="n">
        <f aca="false">Z$3</f>
        <v>7.5</v>
      </c>
      <c r="V556" s="21" t="n">
        <f aca="false">IF(X556/B556&gt;1,1,X556/B556)</f>
        <v>0.157625</v>
      </c>
      <c r="W556" s="21" t="n">
        <f aca="false">1/V556</f>
        <v>6.3441712926249</v>
      </c>
      <c r="X556" s="21" t="n">
        <f aca="false">AC$3*C556</f>
        <v>1.261</v>
      </c>
      <c r="Y556" s="21" t="n">
        <f aca="false">AD$3</f>
        <v>3</v>
      </c>
      <c r="Z556" s="21" t="n">
        <f aca="false">X556*Y556</f>
        <v>3.783</v>
      </c>
      <c r="AA556" s="21" t="n">
        <f aca="false">AE$3</f>
        <v>3.9</v>
      </c>
      <c r="AB556" s="21" t="n">
        <f aca="false">IF(AD556/B556&gt;1,1,AD556/B556)</f>
        <v>0.194</v>
      </c>
      <c r="AC556" s="21" t="n">
        <f aca="false">1/AB556</f>
        <v>5.15463917525773</v>
      </c>
      <c r="AD556" s="21" t="n">
        <f aca="false">AH$3*C556</f>
        <v>1.552</v>
      </c>
      <c r="AE556" s="21" t="n">
        <f aca="false">AI$3</f>
        <v>1</v>
      </c>
      <c r="AF556" s="21" t="n">
        <f aca="false">AD556*AE556</f>
        <v>1.552</v>
      </c>
      <c r="AG556" s="21" t="n">
        <f aca="false">AJ$3</f>
        <v>1.6</v>
      </c>
      <c r="AH556" s="21" t="n">
        <f aca="false">IF(AJ556/B556&gt;1,1,AJ556/B556)</f>
        <v>0.21825</v>
      </c>
      <c r="AI556" s="21" t="n">
        <f aca="false">1/AH556</f>
        <v>4.58190148911798</v>
      </c>
      <c r="AJ556" s="21" t="n">
        <f aca="false">AM$3*C556</f>
        <v>1.746</v>
      </c>
      <c r="AK556" s="21" t="n">
        <f aca="false">AN$3</f>
        <v>1</v>
      </c>
      <c r="AL556" s="21" t="n">
        <f aca="false">AJ556*AK556</f>
        <v>1.746</v>
      </c>
      <c r="AM556" s="21" t="n">
        <f aca="false">AO$3</f>
        <v>1.8</v>
      </c>
      <c r="AN556" s="21" t="n">
        <f aca="false">IF(AP556/B556&gt;1,1,AP556/B556)</f>
        <v>0.230375</v>
      </c>
      <c r="AO556" s="21" t="n">
        <f aca="false">1/AN556</f>
        <v>4.34074877916441</v>
      </c>
      <c r="AP556" s="21" t="n">
        <f aca="false">AR$3*C556</f>
        <v>1.843</v>
      </c>
      <c r="AQ556" s="21" t="n">
        <f aca="false">AS$3</f>
        <v>2</v>
      </c>
      <c r="AR556" s="21" t="n">
        <f aca="false">AP556*AQ556</f>
        <v>3.686</v>
      </c>
      <c r="AS556" s="21" t="n">
        <f aca="false">AT$3</f>
        <v>3.8</v>
      </c>
      <c r="AT556" s="21" t="n">
        <f aca="false">IF(AV556/B556&gt;1,1,AV556/B556)</f>
        <v>0.2425</v>
      </c>
      <c r="AU556" s="21" t="n">
        <f aca="false">1/AT556</f>
        <v>4.12371134020619</v>
      </c>
      <c r="AV556" s="21" t="n">
        <f aca="false">AW$3*C556</f>
        <v>1.94</v>
      </c>
      <c r="AW556" s="21" t="n">
        <f aca="false">AX$3</f>
        <v>5</v>
      </c>
      <c r="AX556" s="21" t="n">
        <f aca="false">AV556*AW556</f>
        <v>9.7</v>
      </c>
      <c r="AY556" s="21" t="n">
        <f aca="false">AY$3</f>
        <v>10</v>
      </c>
      <c r="AZ556" s="21" t="n">
        <f aca="false">IF(BB556/B556&gt;1,1,BB556/B556)</f>
        <v>0.194</v>
      </c>
      <c r="BA556" s="21" t="n">
        <f aca="false">1/AZ556</f>
        <v>5.15463917525773</v>
      </c>
      <c r="BB556" s="21" t="n">
        <f aca="false">BB$3*C556</f>
        <v>1.552</v>
      </c>
      <c r="BC556" s="21" t="n">
        <f aca="false">BC$3</f>
        <v>10</v>
      </c>
      <c r="BD556" s="21" t="n">
        <f aca="false">BB556*BC556</f>
        <v>15.52</v>
      </c>
      <c r="BE556" s="21" t="n">
        <f aca="false">BD$3</f>
        <v>16</v>
      </c>
      <c r="BF556" s="21" t="n">
        <f aca="false">IF(BH556/B556&gt;1,1,BH556/B556)</f>
        <v>0.230375</v>
      </c>
      <c r="BG556" s="21" t="n">
        <f aca="false">1/BF556</f>
        <v>4.34074877916441</v>
      </c>
      <c r="BH556" s="21" t="n">
        <f aca="false">BG$3*C556</f>
        <v>1.843</v>
      </c>
      <c r="BI556" s="21" t="n">
        <f aca="false">BH$3</f>
        <v>1</v>
      </c>
      <c r="BJ556" s="21" t="n">
        <f aca="false">BH556*BI556</f>
        <v>1.843</v>
      </c>
      <c r="BK556" s="21" t="n">
        <f aca="false">BI$3</f>
        <v>1.9</v>
      </c>
      <c r="BL556" s="21" t="n">
        <f aca="false">IF(BN556/B556&gt;1,1,BN556/B556)</f>
        <v>0.2425</v>
      </c>
      <c r="BM556" s="21" t="n">
        <f aca="false">1/BL556</f>
        <v>4.12371134020619</v>
      </c>
      <c r="BN556" s="21" t="n">
        <f aca="false">BL$3*C556</f>
        <v>1.94</v>
      </c>
      <c r="BO556" s="21" t="n">
        <f aca="false">BM$3</f>
        <v>1</v>
      </c>
      <c r="BP556" s="21" t="n">
        <f aca="false">BN556*BO556</f>
        <v>1.94</v>
      </c>
      <c r="BQ556" s="21" t="n">
        <f aca="false">BN$3</f>
        <v>2</v>
      </c>
      <c r="BR556" s="21" t="n">
        <f aca="false">IF(BT556/B556&gt;1,1,BT556/B556)</f>
        <v>0.2425</v>
      </c>
      <c r="BS556" s="21" t="n">
        <f aca="false">1/BR556</f>
        <v>4.12371134020619</v>
      </c>
      <c r="BT556" s="21" t="n">
        <f aca="false">BQ$3*C556</f>
        <v>1.94</v>
      </c>
      <c r="BU556" s="21" t="n">
        <f aca="false">BR$3</f>
        <v>12</v>
      </c>
      <c r="BV556" s="21" t="n">
        <f aca="false">BT556*BU556</f>
        <v>23.28</v>
      </c>
      <c r="BW556" s="21" t="n">
        <f aca="false">BS$3</f>
        <v>24</v>
      </c>
      <c r="BX556" s="21" t="n">
        <f aca="false">IF(BZ556/B556&gt;1,1,BZ556/B556)</f>
        <v>0.230375</v>
      </c>
      <c r="BY556" s="21" t="n">
        <f aca="false">1/BX556</f>
        <v>4.34074877916441</v>
      </c>
      <c r="BZ556" s="21" t="n">
        <f aca="false">BV$3*C556</f>
        <v>1.843</v>
      </c>
      <c r="CA556" s="21" t="n">
        <f aca="false">BW$3</f>
        <v>10</v>
      </c>
      <c r="CB556" s="21" t="n">
        <f aca="false">BZ556*CA556</f>
        <v>18.43</v>
      </c>
      <c r="CC556" s="21" t="n">
        <f aca="false">BX$3</f>
        <v>19</v>
      </c>
      <c r="CD556" s="21"/>
    </row>
    <row r="557" customFormat="false" ht="12.75" hidden="false" customHeight="true" outlineLevel="0" collapsed="false">
      <c r="A557" s="13" t="s">
        <v>73</v>
      </c>
      <c r="B557" s="13" t="n">
        <f aca="false">C9</f>
        <v>10</v>
      </c>
      <c r="C557" s="21" t="n">
        <f aca="false">C$551</f>
        <v>0.97</v>
      </c>
      <c r="D557" s="21" t="n">
        <f aca="false">IF(F557/B557&gt;1,1,F557/B557)</f>
        <v>0.1164</v>
      </c>
      <c r="E557" s="21" t="n">
        <f aca="false">1/D557</f>
        <v>8.59106529209622</v>
      </c>
      <c r="F557" s="21" t="n">
        <f aca="false">N$3*C557</f>
        <v>1.164</v>
      </c>
      <c r="G557" s="21" t="n">
        <f aca="false">O$3</f>
        <v>1</v>
      </c>
      <c r="H557" s="21" t="n">
        <f aca="false">F557*G557</f>
        <v>1.164</v>
      </c>
      <c r="I557" s="21" t="n">
        <f aca="false">P$3</f>
        <v>1.2</v>
      </c>
      <c r="J557" s="21" t="n">
        <f aca="false">IF(L557/B557&gt;1,1,L557/B557)</f>
        <v>0.1358</v>
      </c>
      <c r="K557" s="21" t="n">
        <f aca="false">1/J557</f>
        <v>7.36377025036819</v>
      </c>
      <c r="L557" s="21" t="n">
        <f aca="false">S$3*C557</f>
        <v>1.358</v>
      </c>
      <c r="M557" s="21" t="n">
        <f aca="false">T$3</f>
        <v>1</v>
      </c>
      <c r="N557" s="21" t="n">
        <f aca="false">L557*M557</f>
        <v>1.358</v>
      </c>
      <c r="O557" s="21" t="n">
        <f aca="false">U$3</f>
        <v>1.4</v>
      </c>
      <c r="P557" s="21" t="n">
        <f aca="false">IF(R557/B557&gt;1,1,R557/B557)</f>
        <v>0.1455</v>
      </c>
      <c r="Q557" s="21" t="n">
        <f aca="false">1/P557</f>
        <v>6.87285223367698</v>
      </c>
      <c r="R557" s="21" t="n">
        <f aca="false">X$3*C557</f>
        <v>1.455</v>
      </c>
      <c r="S557" s="21" t="n">
        <f aca="false">Y$3</f>
        <v>5</v>
      </c>
      <c r="T557" s="21" t="n">
        <f aca="false">R557*S557</f>
        <v>7.275</v>
      </c>
      <c r="U557" s="21" t="n">
        <f aca="false">Z$3</f>
        <v>7.5</v>
      </c>
      <c r="V557" s="21" t="n">
        <f aca="false">IF(X557/B557&gt;1,1,X557/B557)</f>
        <v>0.1261</v>
      </c>
      <c r="W557" s="21" t="n">
        <f aca="false">1/V557</f>
        <v>7.93021411578113</v>
      </c>
      <c r="X557" s="21" t="n">
        <f aca="false">AC$3*C557</f>
        <v>1.261</v>
      </c>
      <c r="Y557" s="21" t="n">
        <f aca="false">AD$3</f>
        <v>3</v>
      </c>
      <c r="Z557" s="21" t="n">
        <f aca="false">X557*Y557</f>
        <v>3.783</v>
      </c>
      <c r="AA557" s="21" t="n">
        <f aca="false">AE$3</f>
        <v>3.9</v>
      </c>
      <c r="AB557" s="21" t="n">
        <f aca="false">IF(AD557/B557&gt;1,1,AD557/B557)</f>
        <v>0.1552</v>
      </c>
      <c r="AC557" s="21" t="n">
        <f aca="false">1/AB557</f>
        <v>6.44329896907217</v>
      </c>
      <c r="AD557" s="21" t="n">
        <f aca="false">AH$3*C557</f>
        <v>1.552</v>
      </c>
      <c r="AE557" s="21" t="n">
        <f aca="false">AI$3</f>
        <v>1</v>
      </c>
      <c r="AF557" s="21" t="n">
        <f aca="false">AD557*AE557</f>
        <v>1.552</v>
      </c>
      <c r="AG557" s="21" t="n">
        <f aca="false">AJ$3</f>
        <v>1.6</v>
      </c>
      <c r="AH557" s="21" t="n">
        <f aca="false">IF(AJ557/B557&gt;1,1,AJ557/B557)</f>
        <v>0.1746</v>
      </c>
      <c r="AI557" s="21" t="n">
        <f aca="false">1/AH557</f>
        <v>5.72737686139748</v>
      </c>
      <c r="AJ557" s="21" t="n">
        <f aca="false">AM$3*C557</f>
        <v>1.746</v>
      </c>
      <c r="AK557" s="21" t="n">
        <f aca="false">AN$3</f>
        <v>1</v>
      </c>
      <c r="AL557" s="21" t="n">
        <f aca="false">AJ557*AK557</f>
        <v>1.746</v>
      </c>
      <c r="AM557" s="21" t="n">
        <f aca="false">AO$3</f>
        <v>1.8</v>
      </c>
      <c r="AN557" s="21" t="n">
        <f aca="false">IF(AP557/B557&gt;1,1,AP557/B557)</f>
        <v>0.1843</v>
      </c>
      <c r="AO557" s="21" t="n">
        <f aca="false">1/AN557</f>
        <v>5.42593597395551</v>
      </c>
      <c r="AP557" s="21" t="n">
        <f aca="false">AR$3*C557</f>
        <v>1.843</v>
      </c>
      <c r="AQ557" s="21" t="n">
        <f aca="false">AS$3</f>
        <v>2</v>
      </c>
      <c r="AR557" s="21" t="n">
        <f aca="false">AP557*AQ557</f>
        <v>3.686</v>
      </c>
      <c r="AS557" s="21" t="n">
        <f aca="false">AT$3</f>
        <v>3.8</v>
      </c>
      <c r="AT557" s="21" t="n">
        <f aca="false">IF(AV557/B557&gt;1,1,AV557/B557)</f>
        <v>0.194</v>
      </c>
      <c r="AU557" s="21" t="n">
        <f aca="false">1/AT557</f>
        <v>5.15463917525773</v>
      </c>
      <c r="AV557" s="21" t="n">
        <f aca="false">AW$3*C557</f>
        <v>1.94</v>
      </c>
      <c r="AW557" s="21" t="n">
        <f aca="false">AX$3</f>
        <v>5</v>
      </c>
      <c r="AX557" s="21" t="n">
        <f aca="false">AV557*AW557</f>
        <v>9.7</v>
      </c>
      <c r="AY557" s="21" t="n">
        <f aca="false">AY$3</f>
        <v>10</v>
      </c>
      <c r="AZ557" s="21" t="n">
        <f aca="false">IF(BB557/B557&gt;1,1,BB557/B557)</f>
        <v>0.1552</v>
      </c>
      <c r="BA557" s="21" t="n">
        <f aca="false">1/AZ557</f>
        <v>6.44329896907217</v>
      </c>
      <c r="BB557" s="21" t="n">
        <f aca="false">BB$3*C557</f>
        <v>1.552</v>
      </c>
      <c r="BC557" s="21" t="n">
        <f aca="false">BC$3</f>
        <v>10</v>
      </c>
      <c r="BD557" s="21" t="n">
        <f aca="false">BB557*BC557</f>
        <v>15.52</v>
      </c>
      <c r="BE557" s="21" t="n">
        <f aca="false">BD$3</f>
        <v>16</v>
      </c>
      <c r="BF557" s="21" t="n">
        <f aca="false">IF(BH557/B557&gt;1,1,BH557/B557)</f>
        <v>0.1843</v>
      </c>
      <c r="BG557" s="21" t="n">
        <f aca="false">1/BF557</f>
        <v>5.42593597395551</v>
      </c>
      <c r="BH557" s="21" t="n">
        <f aca="false">BG$3*C557</f>
        <v>1.843</v>
      </c>
      <c r="BI557" s="21" t="n">
        <f aca="false">BH$3</f>
        <v>1</v>
      </c>
      <c r="BJ557" s="21" t="n">
        <f aca="false">BH557*BI557</f>
        <v>1.843</v>
      </c>
      <c r="BK557" s="21" t="n">
        <f aca="false">BI$3</f>
        <v>1.9</v>
      </c>
      <c r="BL557" s="21" t="n">
        <f aca="false">IF(BN557/B557&gt;1,1,BN557/B557)</f>
        <v>0.194</v>
      </c>
      <c r="BM557" s="21" t="n">
        <f aca="false">1/BL557</f>
        <v>5.15463917525773</v>
      </c>
      <c r="BN557" s="21" t="n">
        <f aca="false">BL$3*C557</f>
        <v>1.94</v>
      </c>
      <c r="BO557" s="21" t="n">
        <f aca="false">BM$3</f>
        <v>1</v>
      </c>
      <c r="BP557" s="21" t="n">
        <f aca="false">BN557*BO557</f>
        <v>1.94</v>
      </c>
      <c r="BQ557" s="21" t="n">
        <f aca="false">BN$3</f>
        <v>2</v>
      </c>
      <c r="BR557" s="21" t="n">
        <f aca="false">IF(BT557/B557&gt;1,1,BT557/B557)</f>
        <v>0.194</v>
      </c>
      <c r="BS557" s="21" t="n">
        <f aca="false">1/BR557</f>
        <v>5.15463917525773</v>
      </c>
      <c r="BT557" s="21" t="n">
        <f aca="false">BQ$3*C557</f>
        <v>1.94</v>
      </c>
      <c r="BU557" s="21" t="n">
        <f aca="false">BR$3</f>
        <v>12</v>
      </c>
      <c r="BV557" s="21" t="n">
        <f aca="false">BT557*BU557</f>
        <v>23.28</v>
      </c>
      <c r="BW557" s="21" t="n">
        <f aca="false">BS$3</f>
        <v>24</v>
      </c>
      <c r="BX557" s="21" t="n">
        <f aca="false">IF(BZ557/B557&gt;1,1,BZ557/B557)</f>
        <v>0.1843</v>
      </c>
      <c r="BY557" s="21" t="n">
        <f aca="false">1/BX557</f>
        <v>5.42593597395551</v>
      </c>
      <c r="BZ557" s="21" t="n">
        <f aca="false">BV$3*C557</f>
        <v>1.843</v>
      </c>
      <c r="CA557" s="21" t="n">
        <f aca="false">BW$3</f>
        <v>10</v>
      </c>
      <c r="CB557" s="21" t="n">
        <f aca="false">BZ557*CA557</f>
        <v>18.43</v>
      </c>
      <c r="CC557" s="21" t="n">
        <f aca="false">BX$3</f>
        <v>19</v>
      </c>
      <c r="CD557" s="21"/>
    </row>
    <row r="558" customFormat="false" ht="12.75" hidden="false" customHeight="true" outlineLevel="0" collapsed="false">
      <c r="A558" s="13" t="s">
        <v>75</v>
      </c>
      <c r="B558" s="13" t="n">
        <f aca="false">C10</f>
        <v>12</v>
      </c>
      <c r="C558" s="21" t="n">
        <f aca="false">C$551</f>
        <v>0.97</v>
      </c>
      <c r="D558" s="21" t="n">
        <f aca="false">IF(F558/B558&gt;1,1,F558/B558)</f>
        <v>0.097</v>
      </c>
      <c r="E558" s="21" t="n">
        <f aca="false">1/D558</f>
        <v>10.3092783505155</v>
      </c>
      <c r="F558" s="21" t="n">
        <f aca="false">N$3*C558</f>
        <v>1.164</v>
      </c>
      <c r="G558" s="21" t="n">
        <f aca="false">O$3</f>
        <v>1</v>
      </c>
      <c r="H558" s="21" t="n">
        <f aca="false">F558*G558</f>
        <v>1.164</v>
      </c>
      <c r="I558" s="21" t="n">
        <f aca="false">P$3</f>
        <v>1.2</v>
      </c>
      <c r="J558" s="21" t="n">
        <f aca="false">IF(L558/B558&gt;1,1,L558/B558)</f>
        <v>0.113166666666667</v>
      </c>
      <c r="K558" s="21" t="n">
        <f aca="false">1/J558</f>
        <v>8.83652430044183</v>
      </c>
      <c r="L558" s="21" t="n">
        <f aca="false">S$3*C558</f>
        <v>1.358</v>
      </c>
      <c r="M558" s="21" t="n">
        <f aca="false">T$3</f>
        <v>1</v>
      </c>
      <c r="N558" s="21" t="n">
        <f aca="false">L558*M558</f>
        <v>1.358</v>
      </c>
      <c r="O558" s="21" t="n">
        <f aca="false">U$3</f>
        <v>1.4</v>
      </c>
      <c r="P558" s="21" t="n">
        <f aca="false">IF(R558/B558&gt;1,1,R558/B558)</f>
        <v>0.12125</v>
      </c>
      <c r="Q558" s="21" t="n">
        <f aca="false">1/P558</f>
        <v>8.24742268041237</v>
      </c>
      <c r="R558" s="21" t="n">
        <f aca="false">X$3*C558</f>
        <v>1.455</v>
      </c>
      <c r="S558" s="21" t="n">
        <f aca="false">Y$3</f>
        <v>5</v>
      </c>
      <c r="T558" s="21" t="n">
        <f aca="false">R558*S558</f>
        <v>7.275</v>
      </c>
      <c r="U558" s="21" t="n">
        <f aca="false">Z$3</f>
        <v>7.5</v>
      </c>
      <c r="V558" s="21" t="n">
        <f aca="false">IF(X558/B558&gt;1,1,X558/B558)</f>
        <v>0.105083333333333</v>
      </c>
      <c r="W558" s="21" t="n">
        <f aca="false">1/V558</f>
        <v>9.51625693893735</v>
      </c>
      <c r="X558" s="21" t="n">
        <f aca="false">AC$3*C558</f>
        <v>1.261</v>
      </c>
      <c r="Y558" s="21" t="n">
        <f aca="false">AD$3</f>
        <v>3</v>
      </c>
      <c r="Z558" s="21" t="n">
        <f aca="false">X558*Y558</f>
        <v>3.783</v>
      </c>
      <c r="AA558" s="21" t="n">
        <f aca="false">AE$3</f>
        <v>3.9</v>
      </c>
      <c r="AB558" s="21" t="n">
        <f aca="false">IF(AD558/B558&gt;1,1,AD558/B558)</f>
        <v>0.129333333333333</v>
      </c>
      <c r="AC558" s="21" t="n">
        <f aca="false">1/AB558</f>
        <v>7.7319587628866</v>
      </c>
      <c r="AD558" s="21" t="n">
        <f aca="false">AH$3*C558</f>
        <v>1.552</v>
      </c>
      <c r="AE558" s="21" t="n">
        <f aca="false">AI$3</f>
        <v>1</v>
      </c>
      <c r="AF558" s="21" t="n">
        <f aca="false">AD558*AE558</f>
        <v>1.552</v>
      </c>
      <c r="AG558" s="21" t="n">
        <f aca="false">AJ$3</f>
        <v>1.6</v>
      </c>
      <c r="AH558" s="21" t="n">
        <f aca="false">IF(AJ558/B558&gt;1,1,AJ558/B558)</f>
        <v>0.1455</v>
      </c>
      <c r="AI558" s="21" t="n">
        <f aca="false">1/AH558</f>
        <v>6.87285223367698</v>
      </c>
      <c r="AJ558" s="21" t="n">
        <f aca="false">AM$3*C558</f>
        <v>1.746</v>
      </c>
      <c r="AK558" s="21" t="n">
        <f aca="false">AN$3</f>
        <v>1</v>
      </c>
      <c r="AL558" s="21" t="n">
        <f aca="false">AJ558*AK558</f>
        <v>1.746</v>
      </c>
      <c r="AM558" s="21" t="n">
        <f aca="false">AO$3</f>
        <v>1.8</v>
      </c>
      <c r="AN558" s="21" t="n">
        <f aca="false">IF(AP558/B558&gt;1,1,AP558/B558)</f>
        <v>0.153583333333333</v>
      </c>
      <c r="AO558" s="21" t="n">
        <f aca="false">1/AN558</f>
        <v>6.51112316874661</v>
      </c>
      <c r="AP558" s="21" t="n">
        <f aca="false">AR$3*C558</f>
        <v>1.843</v>
      </c>
      <c r="AQ558" s="21" t="n">
        <f aca="false">AS$3</f>
        <v>2</v>
      </c>
      <c r="AR558" s="21" t="n">
        <f aca="false">AP558*AQ558</f>
        <v>3.686</v>
      </c>
      <c r="AS558" s="21" t="n">
        <f aca="false">AT$3</f>
        <v>3.8</v>
      </c>
      <c r="AT558" s="21" t="n">
        <f aca="false">IF(AV558/B558&gt;1,1,AV558/B558)</f>
        <v>0.161666666666667</v>
      </c>
      <c r="AU558" s="21" t="n">
        <f aca="false">1/AT558</f>
        <v>6.18556701030928</v>
      </c>
      <c r="AV558" s="21" t="n">
        <f aca="false">AW$3*C558</f>
        <v>1.94</v>
      </c>
      <c r="AW558" s="21" t="n">
        <f aca="false">AX$3</f>
        <v>5</v>
      </c>
      <c r="AX558" s="21" t="n">
        <f aca="false">AV558*AW558</f>
        <v>9.7</v>
      </c>
      <c r="AY558" s="21" t="n">
        <f aca="false">AY$3</f>
        <v>10</v>
      </c>
      <c r="AZ558" s="21" t="n">
        <f aca="false">IF(BB558/B558&gt;1,1,BB558/B558)</f>
        <v>0.129333333333333</v>
      </c>
      <c r="BA558" s="21" t="n">
        <f aca="false">1/AZ558</f>
        <v>7.7319587628866</v>
      </c>
      <c r="BB558" s="21" t="n">
        <f aca="false">BB$3*C558</f>
        <v>1.552</v>
      </c>
      <c r="BC558" s="21" t="n">
        <f aca="false">BC$3</f>
        <v>10</v>
      </c>
      <c r="BD558" s="21" t="n">
        <f aca="false">BB558*BC558</f>
        <v>15.52</v>
      </c>
      <c r="BE558" s="21" t="n">
        <f aca="false">BD$3</f>
        <v>16</v>
      </c>
      <c r="BF558" s="21" t="n">
        <f aca="false">IF(BH558/B558&gt;1,1,BH558/B558)</f>
        <v>0.153583333333333</v>
      </c>
      <c r="BG558" s="21" t="n">
        <f aca="false">1/BF558</f>
        <v>6.51112316874661</v>
      </c>
      <c r="BH558" s="21" t="n">
        <f aca="false">BG$3*C558</f>
        <v>1.843</v>
      </c>
      <c r="BI558" s="21" t="n">
        <f aca="false">BH$3</f>
        <v>1</v>
      </c>
      <c r="BJ558" s="21" t="n">
        <f aca="false">BH558*BI558</f>
        <v>1.843</v>
      </c>
      <c r="BK558" s="21" t="n">
        <f aca="false">BI$3</f>
        <v>1.9</v>
      </c>
      <c r="BL558" s="21" t="n">
        <f aca="false">IF(BN558/B558&gt;1,1,BN558/B558)</f>
        <v>0.161666666666667</v>
      </c>
      <c r="BM558" s="21" t="n">
        <f aca="false">1/BL558</f>
        <v>6.18556701030928</v>
      </c>
      <c r="BN558" s="21" t="n">
        <f aca="false">BL$3*C558</f>
        <v>1.94</v>
      </c>
      <c r="BO558" s="21" t="n">
        <f aca="false">BM$3</f>
        <v>1</v>
      </c>
      <c r="BP558" s="21" t="n">
        <f aca="false">BN558*BO558</f>
        <v>1.94</v>
      </c>
      <c r="BQ558" s="21" t="n">
        <f aca="false">BN$3</f>
        <v>2</v>
      </c>
      <c r="BR558" s="21" t="n">
        <f aca="false">IF(BT558/B558&gt;1,1,BT558/B558)</f>
        <v>0.161666666666667</v>
      </c>
      <c r="BS558" s="21" t="n">
        <f aca="false">1/BR558</f>
        <v>6.18556701030928</v>
      </c>
      <c r="BT558" s="21" t="n">
        <f aca="false">BQ$3*C558</f>
        <v>1.94</v>
      </c>
      <c r="BU558" s="21" t="n">
        <f aca="false">BR$3</f>
        <v>12</v>
      </c>
      <c r="BV558" s="21" t="n">
        <f aca="false">BT558*BU558</f>
        <v>23.28</v>
      </c>
      <c r="BW558" s="21" t="n">
        <f aca="false">BS$3</f>
        <v>24</v>
      </c>
      <c r="BX558" s="21" t="n">
        <f aca="false">IF(BZ558/B558&gt;1,1,BZ558/B558)</f>
        <v>0.153583333333333</v>
      </c>
      <c r="BY558" s="21" t="n">
        <f aca="false">1/BX558</f>
        <v>6.51112316874661</v>
      </c>
      <c r="BZ558" s="21" t="n">
        <f aca="false">BV$3*C558</f>
        <v>1.843</v>
      </c>
      <c r="CA558" s="21" t="n">
        <f aca="false">BW$3</f>
        <v>10</v>
      </c>
      <c r="CB558" s="21" t="n">
        <f aca="false">BZ558*CA558</f>
        <v>18.43</v>
      </c>
      <c r="CC558" s="21" t="n">
        <f aca="false">BX$3</f>
        <v>19</v>
      </c>
      <c r="CD558" s="21"/>
    </row>
    <row r="559" customFormat="false" ht="12.75" hidden="false" customHeight="true" outlineLevel="0" collapsed="false">
      <c r="A559" s="13" t="s">
        <v>77</v>
      </c>
      <c r="B559" s="13" t="n">
        <f aca="false">C11</f>
        <v>30</v>
      </c>
      <c r="C559" s="21" t="n">
        <f aca="false">C$551</f>
        <v>0.97</v>
      </c>
      <c r="D559" s="21" t="n">
        <f aca="false">IF(F559/B559&gt;1,1,F559/B559)</f>
        <v>0.0388</v>
      </c>
      <c r="E559" s="21" t="n">
        <f aca="false">1/D559</f>
        <v>25.7731958762887</v>
      </c>
      <c r="F559" s="21" t="n">
        <f aca="false">N$3*C559</f>
        <v>1.164</v>
      </c>
      <c r="G559" s="21" t="n">
        <f aca="false">O$3</f>
        <v>1</v>
      </c>
      <c r="H559" s="21" t="n">
        <f aca="false">F559*G559</f>
        <v>1.164</v>
      </c>
      <c r="I559" s="21" t="n">
        <f aca="false">P$3</f>
        <v>1.2</v>
      </c>
      <c r="J559" s="21" t="n">
        <f aca="false">IF(L559/B559&gt;1,1,L559/B559)</f>
        <v>0.0452666666666667</v>
      </c>
      <c r="K559" s="21" t="n">
        <f aca="false">1/J559</f>
        <v>22.0913107511046</v>
      </c>
      <c r="L559" s="21" t="n">
        <f aca="false">S$3*C559</f>
        <v>1.358</v>
      </c>
      <c r="M559" s="21" t="n">
        <f aca="false">T$3</f>
        <v>1</v>
      </c>
      <c r="N559" s="21" t="n">
        <f aca="false">L559*M559</f>
        <v>1.358</v>
      </c>
      <c r="O559" s="21" t="n">
        <f aca="false">U$3</f>
        <v>1.4</v>
      </c>
      <c r="P559" s="21" t="n">
        <f aca="false">IF(R559/B559&gt;1,1,R559/B559)</f>
        <v>0.0485</v>
      </c>
      <c r="Q559" s="21" t="n">
        <f aca="false">1/P559</f>
        <v>20.6185567010309</v>
      </c>
      <c r="R559" s="21" t="n">
        <f aca="false">X$3*C559</f>
        <v>1.455</v>
      </c>
      <c r="S559" s="21" t="n">
        <f aca="false">Y$3</f>
        <v>5</v>
      </c>
      <c r="T559" s="21" t="n">
        <f aca="false">R559*S559</f>
        <v>7.275</v>
      </c>
      <c r="U559" s="21" t="n">
        <f aca="false">Z$3</f>
        <v>7.5</v>
      </c>
      <c r="V559" s="21" t="n">
        <f aca="false">IF(X559/B559&gt;1,1,X559/B559)</f>
        <v>0.0420333333333333</v>
      </c>
      <c r="W559" s="21" t="n">
        <f aca="false">1/V559</f>
        <v>23.7906423473434</v>
      </c>
      <c r="X559" s="21" t="n">
        <f aca="false">AC$3*C559</f>
        <v>1.261</v>
      </c>
      <c r="Y559" s="21" t="n">
        <f aca="false">AD$3</f>
        <v>3</v>
      </c>
      <c r="Z559" s="21" t="n">
        <f aca="false">X559*Y559</f>
        <v>3.783</v>
      </c>
      <c r="AA559" s="21" t="n">
        <f aca="false">AE$3</f>
        <v>3.9</v>
      </c>
      <c r="AB559" s="21" t="n">
        <f aca="false">IF(AD559/B559&gt;1,1,AD559/B559)</f>
        <v>0.0517333333333333</v>
      </c>
      <c r="AC559" s="21" t="n">
        <f aca="false">1/AB559</f>
        <v>19.3298969072165</v>
      </c>
      <c r="AD559" s="21" t="n">
        <f aca="false">AH$3*C559</f>
        <v>1.552</v>
      </c>
      <c r="AE559" s="21" t="n">
        <f aca="false">AI$3</f>
        <v>1</v>
      </c>
      <c r="AF559" s="21" t="n">
        <f aca="false">AD559*AE559</f>
        <v>1.552</v>
      </c>
      <c r="AG559" s="21" t="n">
        <f aca="false">AJ$3</f>
        <v>1.6</v>
      </c>
      <c r="AH559" s="21" t="n">
        <f aca="false">IF(AJ559/B559&gt;1,1,AJ559/B559)</f>
        <v>0.0582</v>
      </c>
      <c r="AI559" s="21" t="n">
        <f aca="false">1/AH559</f>
        <v>17.1821305841924</v>
      </c>
      <c r="AJ559" s="21" t="n">
        <f aca="false">AM$3*C559</f>
        <v>1.746</v>
      </c>
      <c r="AK559" s="21" t="n">
        <f aca="false">AN$3</f>
        <v>1</v>
      </c>
      <c r="AL559" s="21" t="n">
        <f aca="false">AJ559*AK559</f>
        <v>1.746</v>
      </c>
      <c r="AM559" s="21" t="n">
        <f aca="false">AO$3</f>
        <v>1.8</v>
      </c>
      <c r="AN559" s="21" t="n">
        <f aca="false">IF(AP559/B559&gt;1,1,AP559/B559)</f>
        <v>0.0614333333333333</v>
      </c>
      <c r="AO559" s="21" t="n">
        <f aca="false">1/AN559</f>
        <v>16.2778079218665</v>
      </c>
      <c r="AP559" s="21" t="n">
        <f aca="false">AR$3*C559</f>
        <v>1.843</v>
      </c>
      <c r="AQ559" s="21" t="n">
        <f aca="false">AS$3</f>
        <v>2</v>
      </c>
      <c r="AR559" s="21" t="n">
        <f aca="false">AP559*AQ559</f>
        <v>3.686</v>
      </c>
      <c r="AS559" s="21" t="n">
        <f aca="false">AT$3</f>
        <v>3.8</v>
      </c>
      <c r="AT559" s="21" t="n">
        <f aca="false">IF(AV559/B559&gt;1,1,AV559/B559)</f>
        <v>0.0646666666666667</v>
      </c>
      <c r="AU559" s="21" t="n">
        <f aca="false">1/AT559</f>
        <v>15.4639175257732</v>
      </c>
      <c r="AV559" s="21" t="n">
        <f aca="false">AW$3*C559</f>
        <v>1.94</v>
      </c>
      <c r="AW559" s="21" t="n">
        <f aca="false">AX$3</f>
        <v>5</v>
      </c>
      <c r="AX559" s="21" t="n">
        <f aca="false">AV559*AW559</f>
        <v>9.7</v>
      </c>
      <c r="AY559" s="21" t="n">
        <f aca="false">AY$3</f>
        <v>10</v>
      </c>
      <c r="AZ559" s="21" t="n">
        <f aca="false">IF(BB559/B559&gt;1,1,BB559/B559)</f>
        <v>0.0517333333333333</v>
      </c>
      <c r="BA559" s="21" t="n">
        <f aca="false">1/AZ559</f>
        <v>19.3298969072165</v>
      </c>
      <c r="BB559" s="21" t="n">
        <f aca="false">BB$3*C559</f>
        <v>1.552</v>
      </c>
      <c r="BC559" s="21" t="n">
        <f aca="false">BC$3</f>
        <v>10</v>
      </c>
      <c r="BD559" s="21" t="n">
        <f aca="false">BB559*BC559</f>
        <v>15.52</v>
      </c>
      <c r="BE559" s="21" t="n">
        <f aca="false">BD$3</f>
        <v>16</v>
      </c>
      <c r="BF559" s="21" t="n">
        <f aca="false">IF(BH559/B559&gt;1,1,BH559/B559)</f>
        <v>0.0614333333333333</v>
      </c>
      <c r="BG559" s="21" t="n">
        <f aca="false">1/BF559</f>
        <v>16.2778079218665</v>
      </c>
      <c r="BH559" s="21" t="n">
        <f aca="false">BG$3*C559</f>
        <v>1.843</v>
      </c>
      <c r="BI559" s="21" t="n">
        <f aca="false">BH$3</f>
        <v>1</v>
      </c>
      <c r="BJ559" s="21" t="n">
        <f aca="false">BH559*BI559</f>
        <v>1.843</v>
      </c>
      <c r="BK559" s="21" t="n">
        <f aca="false">BI$3</f>
        <v>1.9</v>
      </c>
      <c r="BL559" s="21" t="n">
        <f aca="false">IF(BN559/B559&gt;1,1,BN559/B559)</f>
        <v>0.0646666666666667</v>
      </c>
      <c r="BM559" s="21" t="n">
        <f aca="false">1/BL559</f>
        <v>15.4639175257732</v>
      </c>
      <c r="BN559" s="21" t="n">
        <f aca="false">BL$3*C559</f>
        <v>1.94</v>
      </c>
      <c r="BO559" s="21" t="n">
        <f aca="false">BM$3</f>
        <v>1</v>
      </c>
      <c r="BP559" s="21" t="n">
        <f aca="false">BN559*BO559</f>
        <v>1.94</v>
      </c>
      <c r="BQ559" s="21" t="n">
        <f aca="false">BN$3</f>
        <v>2</v>
      </c>
      <c r="BR559" s="21" t="n">
        <f aca="false">IF(BT559/B559&gt;1,1,BT559/B559)</f>
        <v>0.0646666666666667</v>
      </c>
      <c r="BS559" s="21" t="n">
        <f aca="false">1/BR559</f>
        <v>15.4639175257732</v>
      </c>
      <c r="BT559" s="21" t="n">
        <f aca="false">BQ$3*C559</f>
        <v>1.94</v>
      </c>
      <c r="BU559" s="21" t="n">
        <f aca="false">BR$3</f>
        <v>12</v>
      </c>
      <c r="BV559" s="21" t="n">
        <f aca="false">BT559*BU559</f>
        <v>23.28</v>
      </c>
      <c r="BW559" s="21" t="n">
        <f aca="false">BS$3</f>
        <v>24</v>
      </c>
      <c r="BX559" s="21" t="n">
        <f aca="false">IF(BZ559/B559&gt;1,1,BZ559/B559)</f>
        <v>0.0614333333333333</v>
      </c>
      <c r="BY559" s="21" t="n">
        <f aca="false">1/BX559</f>
        <v>16.2778079218665</v>
      </c>
      <c r="BZ559" s="21" t="n">
        <f aca="false">BV$3*C559</f>
        <v>1.843</v>
      </c>
      <c r="CA559" s="21" t="n">
        <f aca="false">BW$3</f>
        <v>10</v>
      </c>
      <c r="CB559" s="21" t="n">
        <f aca="false">BZ559*CA559</f>
        <v>18.43</v>
      </c>
      <c r="CC559" s="21" t="n">
        <f aca="false">BX$3</f>
        <v>19</v>
      </c>
      <c r="CD559" s="21"/>
    </row>
    <row r="560" customFormat="false" ht="12.75" hidden="false" customHeight="true" outlineLevel="0" collapsed="false">
      <c r="A560" s="13" t="s">
        <v>79</v>
      </c>
      <c r="B560" s="13" t="n">
        <f aca="false">C12</f>
        <v>35</v>
      </c>
      <c r="C560" s="21" t="n">
        <f aca="false">C$551</f>
        <v>0.97</v>
      </c>
      <c r="D560" s="21" t="n">
        <f aca="false">IF(F560/B560&gt;1,1,F560/B560)</f>
        <v>0.0332571428571429</v>
      </c>
      <c r="E560" s="21" t="n">
        <f aca="false">1/D560</f>
        <v>30.0687285223368</v>
      </c>
      <c r="F560" s="21" t="n">
        <f aca="false">N$3*C560</f>
        <v>1.164</v>
      </c>
      <c r="G560" s="21" t="n">
        <f aca="false">O$3</f>
        <v>1</v>
      </c>
      <c r="H560" s="21" t="n">
        <f aca="false">F560*G560</f>
        <v>1.164</v>
      </c>
      <c r="I560" s="21" t="n">
        <f aca="false">P$3</f>
        <v>1.2</v>
      </c>
      <c r="J560" s="21" t="n">
        <f aca="false">IF(L560/B560&gt;1,1,L560/B560)</f>
        <v>0.0388</v>
      </c>
      <c r="K560" s="21" t="n">
        <f aca="false">1/J560</f>
        <v>25.7731958762887</v>
      </c>
      <c r="L560" s="21" t="n">
        <f aca="false">S$3*C560</f>
        <v>1.358</v>
      </c>
      <c r="M560" s="21" t="n">
        <f aca="false">T$3</f>
        <v>1</v>
      </c>
      <c r="N560" s="21" t="n">
        <f aca="false">L560*M560</f>
        <v>1.358</v>
      </c>
      <c r="O560" s="21" t="n">
        <f aca="false">U$3</f>
        <v>1.4</v>
      </c>
      <c r="P560" s="21" t="n">
        <f aca="false">IF(R560/B560&gt;1,1,R560/B560)</f>
        <v>0.0415714285714286</v>
      </c>
      <c r="Q560" s="21" t="n">
        <f aca="false">1/P560</f>
        <v>24.0549828178694</v>
      </c>
      <c r="R560" s="21" t="n">
        <f aca="false">X$3*C560</f>
        <v>1.455</v>
      </c>
      <c r="S560" s="21" t="n">
        <f aca="false">Y$3</f>
        <v>5</v>
      </c>
      <c r="T560" s="21" t="n">
        <f aca="false">R560*S560</f>
        <v>7.275</v>
      </c>
      <c r="U560" s="21" t="n">
        <f aca="false">Z$3</f>
        <v>7.5</v>
      </c>
      <c r="V560" s="21" t="n">
        <f aca="false">IF(X560/B560&gt;1,1,X560/B560)</f>
        <v>0.0360285714285714</v>
      </c>
      <c r="W560" s="21" t="n">
        <f aca="false">1/V560</f>
        <v>27.7557494052339</v>
      </c>
      <c r="X560" s="21" t="n">
        <f aca="false">AC$3*C560</f>
        <v>1.261</v>
      </c>
      <c r="Y560" s="21" t="n">
        <f aca="false">AD$3</f>
        <v>3</v>
      </c>
      <c r="Z560" s="21" t="n">
        <f aca="false">X560*Y560</f>
        <v>3.783</v>
      </c>
      <c r="AA560" s="21" t="n">
        <f aca="false">AE$3</f>
        <v>3.9</v>
      </c>
      <c r="AB560" s="21" t="n">
        <f aca="false">IF(AD560/B560&gt;1,1,AD560/B560)</f>
        <v>0.0443428571428571</v>
      </c>
      <c r="AC560" s="21" t="n">
        <f aca="false">1/AB560</f>
        <v>22.5515463917526</v>
      </c>
      <c r="AD560" s="21" t="n">
        <f aca="false">AH$3*C560</f>
        <v>1.552</v>
      </c>
      <c r="AE560" s="21" t="n">
        <f aca="false">AI$3</f>
        <v>1</v>
      </c>
      <c r="AF560" s="21" t="n">
        <f aca="false">AD560*AE560</f>
        <v>1.552</v>
      </c>
      <c r="AG560" s="21" t="n">
        <f aca="false">AJ$3</f>
        <v>1.6</v>
      </c>
      <c r="AH560" s="21" t="n">
        <f aca="false">IF(AJ560/B560&gt;1,1,AJ560/B560)</f>
        <v>0.0498857142857143</v>
      </c>
      <c r="AI560" s="21" t="n">
        <f aca="false">1/AH560</f>
        <v>20.0458190148912</v>
      </c>
      <c r="AJ560" s="21" t="n">
        <f aca="false">AM$3*C560</f>
        <v>1.746</v>
      </c>
      <c r="AK560" s="21" t="n">
        <f aca="false">AN$3</f>
        <v>1</v>
      </c>
      <c r="AL560" s="21" t="n">
        <f aca="false">AJ560*AK560</f>
        <v>1.746</v>
      </c>
      <c r="AM560" s="21" t="n">
        <f aca="false">AO$3</f>
        <v>1.8</v>
      </c>
      <c r="AN560" s="21" t="n">
        <f aca="false">IF(AP560/B560&gt;1,1,AP560/B560)</f>
        <v>0.0526571428571429</v>
      </c>
      <c r="AO560" s="21" t="n">
        <f aca="false">1/AN560</f>
        <v>18.9907759088443</v>
      </c>
      <c r="AP560" s="21" t="n">
        <f aca="false">AR$3*C560</f>
        <v>1.843</v>
      </c>
      <c r="AQ560" s="21" t="n">
        <f aca="false">AS$3</f>
        <v>2</v>
      </c>
      <c r="AR560" s="21" t="n">
        <f aca="false">AP560*AQ560</f>
        <v>3.686</v>
      </c>
      <c r="AS560" s="21" t="n">
        <f aca="false">AT$3</f>
        <v>3.8</v>
      </c>
      <c r="AT560" s="21" t="n">
        <f aca="false">IF(AV560/B560&gt;1,1,AV560/B560)</f>
        <v>0.0554285714285714</v>
      </c>
      <c r="AU560" s="21" t="n">
        <f aca="false">1/AT560</f>
        <v>18.0412371134021</v>
      </c>
      <c r="AV560" s="21" t="n">
        <f aca="false">AW$3*C560</f>
        <v>1.94</v>
      </c>
      <c r="AW560" s="21" t="n">
        <f aca="false">AX$3</f>
        <v>5</v>
      </c>
      <c r="AX560" s="21" t="n">
        <f aca="false">AV560*AW560</f>
        <v>9.7</v>
      </c>
      <c r="AY560" s="21" t="n">
        <f aca="false">AY$3</f>
        <v>10</v>
      </c>
      <c r="AZ560" s="21" t="n">
        <f aca="false">IF(BB560/B560&gt;1,1,BB560/B560)</f>
        <v>0.0443428571428571</v>
      </c>
      <c r="BA560" s="21" t="n">
        <f aca="false">1/AZ560</f>
        <v>22.5515463917526</v>
      </c>
      <c r="BB560" s="21" t="n">
        <f aca="false">BB$3*C560</f>
        <v>1.552</v>
      </c>
      <c r="BC560" s="21" t="n">
        <f aca="false">BC$3</f>
        <v>10</v>
      </c>
      <c r="BD560" s="21" t="n">
        <f aca="false">BB560*BC560</f>
        <v>15.52</v>
      </c>
      <c r="BE560" s="21" t="n">
        <f aca="false">BD$3</f>
        <v>16</v>
      </c>
      <c r="BF560" s="21" t="n">
        <f aca="false">IF(BH560/B560&gt;1,1,BH560/B560)</f>
        <v>0.0526571428571429</v>
      </c>
      <c r="BG560" s="21" t="n">
        <f aca="false">1/BF560</f>
        <v>18.9907759088443</v>
      </c>
      <c r="BH560" s="21" t="n">
        <f aca="false">BG$3*C560</f>
        <v>1.843</v>
      </c>
      <c r="BI560" s="21" t="n">
        <f aca="false">BH$3</f>
        <v>1</v>
      </c>
      <c r="BJ560" s="21" t="n">
        <f aca="false">BH560*BI560</f>
        <v>1.843</v>
      </c>
      <c r="BK560" s="21" t="n">
        <f aca="false">BI$3</f>
        <v>1.9</v>
      </c>
      <c r="BL560" s="21" t="n">
        <f aca="false">IF(BN560/B560&gt;1,1,BN560/B560)</f>
        <v>0.0554285714285714</v>
      </c>
      <c r="BM560" s="21" t="n">
        <f aca="false">1/BL560</f>
        <v>18.0412371134021</v>
      </c>
      <c r="BN560" s="21" t="n">
        <f aca="false">BL$3*C560</f>
        <v>1.94</v>
      </c>
      <c r="BO560" s="21" t="n">
        <f aca="false">BM$3</f>
        <v>1</v>
      </c>
      <c r="BP560" s="21" t="n">
        <f aca="false">BN560*BO560</f>
        <v>1.94</v>
      </c>
      <c r="BQ560" s="21" t="n">
        <f aca="false">BN$3</f>
        <v>2</v>
      </c>
      <c r="BR560" s="21" t="n">
        <f aca="false">IF(BT560/B560&gt;1,1,BT560/B560)</f>
        <v>0.0554285714285714</v>
      </c>
      <c r="BS560" s="21" t="n">
        <f aca="false">1/BR560</f>
        <v>18.0412371134021</v>
      </c>
      <c r="BT560" s="21" t="n">
        <f aca="false">BQ$3*C560</f>
        <v>1.94</v>
      </c>
      <c r="BU560" s="21" t="n">
        <f aca="false">BR$3</f>
        <v>12</v>
      </c>
      <c r="BV560" s="21" t="n">
        <f aca="false">BT560*BU560</f>
        <v>23.28</v>
      </c>
      <c r="BW560" s="21" t="n">
        <f aca="false">BS$3</f>
        <v>24</v>
      </c>
      <c r="BX560" s="21" t="n">
        <f aca="false">IF(BZ560/B560&gt;1,1,BZ560/B560)</f>
        <v>0.0526571428571429</v>
      </c>
      <c r="BY560" s="21" t="n">
        <f aca="false">1/BX560</f>
        <v>18.9907759088443</v>
      </c>
      <c r="BZ560" s="21" t="n">
        <f aca="false">BV$3*C560</f>
        <v>1.843</v>
      </c>
      <c r="CA560" s="21" t="n">
        <f aca="false">BW$3</f>
        <v>10</v>
      </c>
      <c r="CB560" s="21" t="n">
        <f aca="false">BZ560*CA560</f>
        <v>18.43</v>
      </c>
      <c r="CC560" s="21" t="n">
        <f aca="false">BX$3</f>
        <v>19</v>
      </c>
      <c r="CD560" s="21"/>
    </row>
    <row r="561" customFormat="false" ht="12.75" hidden="false" customHeight="true" outlineLevel="0" collapsed="false">
      <c r="A561" s="13" t="s">
        <v>81</v>
      </c>
      <c r="B561" s="13" t="n">
        <f aca="false">C13</f>
        <v>15</v>
      </c>
      <c r="C561" s="21" t="n">
        <f aca="false">C$551</f>
        <v>0.97</v>
      </c>
      <c r="D561" s="21" t="n">
        <f aca="false">IF(F561/B561&gt;1,1,F561/B561)</f>
        <v>0.0776</v>
      </c>
      <c r="E561" s="21" t="n">
        <f aca="false">1/D561</f>
        <v>12.8865979381443</v>
      </c>
      <c r="F561" s="21" t="n">
        <f aca="false">N$3*C561</f>
        <v>1.164</v>
      </c>
      <c r="G561" s="21" t="n">
        <f aca="false">O$3</f>
        <v>1</v>
      </c>
      <c r="H561" s="21" t="n">
        <f aca="false">F561*G561</f>
        <v>1.164</v>
      </c>
      <c r="I561" s="21" t="n">
        <f aca="false">P$3</f>
        <v>1.2</v>
      </c>
      <c r="J561" s="21" t="n">
        <f aca="false">IF(L561/B561&gt;1,1,L561/B561)</f>
        <v>0.0905333333333333</v>
      </c>
      <c r="K561" s="21" t="n">
        <f aca="false">1/J561</f>
        <v>11.0456553755523</v>
      </c>
      <c r="L561" s="21" t="n">
        <f aca="false">S$3*C561</f>
        <v>1.358</v>
      </c>
      <c r="M561" s="21" t="n">
        <f aca="false">T$3</f>
        <v>1</v>
      </c>
      <c r="N561" s="21" t="n">
        <f aca="false">L561*M561</f>
        <v>1.358</v>
      </c>
      <c r="O561" s="21" t="n">
        <f aca="false">U$3</f>
        <v>1.4</v>
      </c>
      <c r="P561" s="21" t="n">
        <f aca="false">IF(R561/B561&gt;1,1,R561/B561)</f>
        <v>0.097</v>
      </c>
      <c r="Q561" s="21" t="n">
        <f aca="false">1/P561</f>
        <v>10.3092783505155</v>
      </c>
      <c r="R561" s="21" t="n">
        <f aca="false">X$3*C561</f>
        <v>1.455</v>
      </c>
      <c r="S561" s="21" t="n">
        <f aca="false">Y$3</f>
        <v>5</v>
      </c>
      <c r="T561" s="21" t="n">
        <f aca="false">R561*S561</f>
        <v>7.275</v>
      </c>
      <c r="U561" s="21" t="n">
        <f aca="false">Z$3</f>
        <v>7.5</v>
      </c>
      <c r="V561" s="21" t="n">
        <f aca="false">IF(X561/B561&gt;1,1,X561/B561)</f>
        <v>0.0840666666666667</v>
      </c>
      <c r="W561" s="21" t="n">
        <f aca="false">1/V561</f>
        <v>11.8953211736717</v>
      </c>
      <c r="X561" s="21" t="n">
        <f aca="false">AC$3*C561</f>
        <v>1.261</v>
      </c>
      <c r="Y561" s="21" t="n">
        <f aca="false">AD$3</f>
        <v>3</v>
      </c>
      <c r="Z561" s="21" t="n">
        <f aca="false">X561*Y561</f>
        <v>3.783</v>
      </c>
      <c r="AA561" s="21" t="n">
        <f aca="false">AE$3</f>
        <v>3.9</v>
      </c>
      <c r="AB561" s="21" t="n">
        <f aca="false">IF(AD561/B561&gt;1,1,AD561/B561)</f>
        <v>0.103466666666667</v>
      </c>
      <c r="AC561" s="21" t="n">
        <f aca="false">1/AB561</f>
        <v>9.66494845360825</v>
      </c>
      <c r="AD561" s="21" t="n">
        <f aca="false">AH$3*C561</f>
        <v>1.552</v>
      </c>
      <c r="AE561" s="21" t="n">
        <f aca="false">AI$3</f>
        <v>1</v>
      </c>
      <c r="AF561" s="21" t="n">
        <f aca="false">AD561*AE561</f>
        <v>1.552</v>
      </c>
      <c r="AG561" s="21" t="n">
        <f aca="false">AJ$3</f>
        <v>1.6</v>
      </c>
      <c r="AH561" s="21" t="n">
        <f aca="false">IF(AJ561/B561&gt;1,1,AJ561/B561)</f>
        <v>0.1164</v>
      </c>
      <c r="AI561" s="21" t="n">
        <f aca="false">1/AH561</f>
        <v>8.59106529209622</v>
      </c>
      <c r="AJ561" s="21" t="n">
        <f aca="false">AM$3*C561</f>
        <v>1.746</v>
      </c>
      <c r="AK561" s="21" t="n">
        <f aca="false">AN$3</f>
        <v>1</v>
      </c>
      <c r="AL561" s="21" t="n">
        <f aca="false">AJ561*AK561</f>
        <v>1.746</v>
      </c>
      <c r="AM561" s="21" t="n">
        <f aca="false">AO$3</f>
        <v>1.8</v>
      </c>
      <c r="AN561" s="21" t="n">
        <f aca="false">IF(AP561/B561&gt;1,1,AP561/B561)</f>
        <v>0.122866666666667</v>
      </c>
      <c r="AO561" s="21" t="n">
        <f aca="false">1/AN561</f>
        <v>8.13890396093326</v>
      </c>
      <c r="AP561" s="21" t="n">
        <f aca="false">AR$3*C561</f>
        <v>1.843</v>
      </c>
      <c r="AQ561" s="21" t="n">
        <f aca="false">AS$3</f>
        <v>2</v>
      </c>
      <c r="AR561" s="21" t="n">
        <f aca="false">AP561*AQ561</f>
        <v>3.686</v>
      </c>
      <c r="AS561" s="21" t="n">
        <f aca="false">AT$3</f>
        <v>3.8</v>
      </c>
      <c r="AT561" s="21" t="n">
        <f aca="false">IF(AV561/B561&gt;1,1,AV561/B561)</f>
        <v>0.129333333333333</v>
      </c>
      <c r="AU561" s="21" t="n">
        <f aca="false">1/AT561</f>
        <v>7.7319587628866</v>
      </c>
      <c r="AV561" s="21" t="n">
        <f aca="false">AW$3*C561</f>
        <v>1.94</v>
      </c>
      <c r="AW561" s="21" t="n">
        <f aca="false">AX$3</f>
        <v>5</v>
      </c>
      <c r="AX561" s="21" t="n">
        <f aca="false">AV561*AW561</f>
        <v>9.7</v>
      </c>
      <c r="AY561" s="21" t="n">
        <f aca="false">AY$3</f>
        <v>10</v>
      </c>
      <c r="AZ561" s="21" t="n">
        <f aca="false">IF(BB561/B561&gt;1,1,BB561/B561)</f>
        <v>0.103466666666667</v>
      </c>
      <c r="BA561" s="21" t="n">
        <f aca="false">1/AZ561</f>
        <v>9.66494845360825</v>
      </c>
      <c r="BB561" s="21" t="n">
        <f aca="false">BB$3*C561</f>
        <v>1.552</v>
      </c>
      <c r="BC561" s="21" t="n">
        <f aca="false">BC$3</f>
        <v>10</v>
      </c>
      <c r="BD561" s="21" t="n">
        <f aca="false">BB561*BC561</f>
        <v>15.52</v>
      </c>
      <c r="BE561" s="21" t="n">
        <f aca="false">BD$3</f>
        <v>16</v>
      </c>
      <c r="BF561" s="21" t="n">
        <f aca="false">IF(BH561/B561&gt;1,1,BH561/B561)</f>
        <v>0.122866666666667</v>
      </c>
      <c r="BG561" s="21" t="n">
        <f aca="false">1/BF561</f>
        <v>8.13890396093326</v>
      </c>
      <c r="BH561" s="21" t="n">
        <f aca="false">BG$3*C561</f>
        <v>1.843</v>
      </c>
      <c r="BI561" s="21" t="n">
        <f aca="false">BH$3</f>
        <v>1</v>
      </c>
      <c r="BJ561" s="21" t="n">
        <f aca="false">BH561*BI561</f>
        <v>1.843</v>
      </c>
      <c r="BK561" s="21" t="n">
        <f aca="false">BI$3</f>
        <v>1.9</v>
      </c>
      <c r="BL561" s="21" t="n">
        <f aca="false">IF(BN561/B561&gt;1,1,BN561/B561)</f>
        <v>0.129333333333333</v>
      </c>
      <c r="BM561" s="21" t="n">
        <f aca="false">1/BL561</f>
        <v>7.7319587628866</v>
      </c>
      <c r="BN561" s="21" t="n">
        <f aca="false">BL$3*C561</f>
        <v>1.94</v>
      </c>
      <c r="BO561" s="21" t="n">
        <f aca="false">BM$3</f>
        <v>1</v>
      </c>
      <c r="BP561" s="21" t="n">
        <f aca="false">BN561*BO561</f>
        <v>1.94</v>
      </c>
      <c r="BQ561" s="21" t="n">
        <f aca="false">BN$3</f>
        <v>2</v>
      </c>
      <c r="BR561" s="21" t="n">
        <f aca="false">IF(BT561/B561&gt;1,1,BT561/B561)</f>
        <v>0.129333333333333</v>
      </c>
      <c r="BS561" s="21" t="n">
        <f aca="false">1/BR561</f>
        <v>7.7319587628866</v>
      </c>
      <c r="BT561" s="21" t="n">
        <f aca="false">BQ$3*C561</f>
        <v>1.94</v>
      </c>
      <c r="BU561" s="21" t="n">
        <f aca="false">BR$3</f>
        <v>12</v>
      </c>
      <c r="BV561" s="21" t="n">
        <f aca="false">BT561*BU561</f>
        <v>23.28</v>
      </c>
      <c r="BW561" s="21" t="n">
        <f aca="false">BS$3</f>
        <v>24</v>
      </c>
      <c r="BX561" s="21" t="n">
        <f aca="false">IF(BZ561/B561&gt;1,1,BZ561/B561)</f>
        <v>0.122866666666667</v>
      </c>
      <c r="BY561" s="21" t="n">
        <f aca="false">1/BX561</f>
        <v>8.13890396093326</v>
      </c>
      <c r="BZ561" s="21" t="n">
        <f aca="false">BV$3*C561</f>
        <v>1.843</v>
      </c>
      <c r="CA561" s="21" t="n">
        <f aca="false">BW$3</f>
        <v>10</v>
      </c>
      <c r="CB561" s="21" t="n">
        <f aca="false">BZ561*CA561</f>
        <v>18.43</v>
      </c>
      <c r="CC561" s="21" t="n">
        <f aca="false">BX$3</f>
        <v>19</v>
      </c>
      <c r="CD561" s="21"/>
    </row>
    <row r="562" customFormat="false" ht="12.75" hidden="false" customHeight="true" outlineLevel="0" collapsed="false">
      <c r="A562" s="13" t="s">
        <v>83</v>
      </c>
      <c r="B562" s="13" t="n">
        <f aca="false">C14</f>
        <v>18</v>
      </c>
      <c r="C562" s="21" t="n">
        <f aca="false">C$551</f>
        <v>0.97</v>
      </c>
      <c r="D562" s="21" t="n">
        <f aca="false">IF(F562/B562&gt;1,1,F562/B562)</f>
        <v>0.0646666666666667</v>
      </c>
      <c r="E562" s="21" t="n">
        <f aca="false">1/D562</f>
        <v>15.4639175257732</v>
      </c>
      <c r="F562" s="21" t="n">
        <f aca="false">N$3*C562</f>
        <v>1.164</v>
      </c>
      <c r="G562" s="21" t="n">
        <f aca="false">O$3</f>
        <v>1</v>
      </c>
      <c r="H562" s="21" t="n">
        <f aca="false">F562*G562</f>
        <v>1.164</v>
      </c>
      <c r="I562" s="21" t="n">
        <f aca="false">P$3</f>
        <v>1.2</v>
      </c>
      <c r="J562" s="21" t="n">
        <f aca="false">IF(L562/B562&gt;1,1,L562/B562)</f>
        <v>0.0754444444444444</v>
      </c>
      <c r="K562" s="21" t="n">
        <f aca="false">1/J562</f>
        <v>13.2547864506627</v>
      </c>
      <c r="L562" s="21" t="n">
        <f aca="false">S$3*C562</f>
        <v>1.358</v>
      </c>
      <c r="M562" s="21" t="n">
        <f aca="false">T$3</f>
        <v>1</v>
      </c>
      <c r="N562" s="21" t="n">
        <f aca="false">L562*M562</f>
        <v>1.358</v>
      </c>
      <c r="O562" s="21" t="n">
        <f aca="false">U$3</f>
        <v>1.4</v>
      </c>
      <c r="P562" s="21" t="n">
        <f aca="false">IF(R562/B562&gt;1,1,R562/B562)</f>
        <v>0.0808333333333333</v>
      </c>
      <c r="Q562" s="21" t="n">
        <f aca="false">1/P562</f>
        <v>12.3711340206186</v>
      </c>
      <c r="R562" s="21" t="n">
        <f aca="false">X$3*C562</f>
        <v>1.455</v>
      </c>
      <c r="S562" s="21" t="n">
        <f aca="false">Y$3</f>
        <v>5</v>
      </c>
      <c r="T562" s="21" t="n">
        <f aca="false">R562*S562</f>
        <v>7.275</v>
      </c>
      <c r="U562" s="21" t="n">
        <f aca="false">Z$3</f>
        <v>7.5</v>
      </c>
      <c r="V562" s="21" t="n">
        <f aca="false">IF(X562/B562&gt;1,1,X562/B562)</f>
        <v>0.0700555555555555</v>
      </c>
      <c r="W562" s="21" t="n">
        <f aca="false">1/V562</f>
        <v>14.274385408406</v>
      </c>
      <c r="X562" s="21" t="n">
        <f aca="false">AC$3*C562</f>
        <v>1.261</v>
      </c>
      <c r="Y562" s="21" t="n">
        <f aca="false">AD$3</f>
        <v>3</v>
      </c>
      <c r="Z562" s="21" t="n">
        <f aca="false">X562*Y562</f>
        <v>3.783</v>
      </c>
      <c r="AA562" s="21" t="n">
        <f aca="false">AE$3</f>
        <v>3.9</v>
      </c>
      <c r="AB562" s="21" t="n">
        <f aca="false">IF(AD562/B562&gt;1,1,AD562/B562)</f>
        <v>0.0862222222222222</v>
      </c>
      <c r="AC562" s="21" t="n">
        <f aca="false">1/AB562</f>
        <v>11.5979381443299</v>
      </c>
      <c r="AD562" s="21" t="n">
        <f aca="false">AH$3*C562</f>
        <v>1.552</v>
      </c>
      <c r="AE562" s="21" t="n">
        <f aca="false">AI$3</f>
        <v>1</v>
      </c>
      <c r="AF562" s="21" t="n">
        <f aca="false">AD562*AE562</f>
        <v>1.552</v>
      </c>
      <c r="AG562" s="21" t="n">
        <f aca="false">AJ$3</f>
        <v>1.6</v>
      </c>
      <c r="AH562" s="21" t="n">
        <f aca="false">IF(AJ562/B562&gt;1,1,AJ562/B562)</f>
        <v>0.097</v>
      </c>
      <c r="AI562" s="21" t="n">
        <f aca="false">1/AH562</f>
        <v>10.3092783505155</v>
      </c>
      <c r="AJ562" s="21" t="n">
        <f aca="false">AM$3*C562</f>
        <v>1.746</v>
      </c>
      <c r="AK562" s="21" t="n">
        <f aca="false">AN$3</f>
        <v>1</v>
      </c>
      <c r="AL562" s="21" t="n">
        <f aca="false">AJ562*AK562</f>
        <v>1.746</v>
      </c>
      <c r="AM562" s="21" t="n">
        <f aca="false">AO$3</f>
        <v>1.8</v>
      </c>
      <c r="AN562" s="21" t="n">
        <f aca="false">IF(AP562/B562&gt;1,1,AP562/B562)</f>
        <v>0.102388888888889</v>
      </c>
      <c r="AO562" s="21" t="n">
        <f aca="false">1/AN562</f>
        <v>9.76668475311991</v>
      </c>
      <c r="AP562" s="21" t="n">
        <f aca="false">AR$3*C562</f>
        <v>1.843</v>
      </c>
      <c r="AQ562" s="21" t="n">
        <f aca="false">AS$3</f>
        <v>2</v>
      </c>
      <c r="AR562" s="21" t="n">
        <f aca="false">AP562*AQ562</f>
        <v>3.686</v>
      </c>
      <c r="AS562" s="21" t="n">
        <f aca="false">AT$3</f>
        <v>3.8</v>
      </c>
      <c r="AT562" s="21" t="n">
        <f aca="false">IF(AV562/B562&gt;1,1,AV562/B562)</f>
        <v>0.107777777777778</v>
      </c>
      <c r="AU562" s="21" t="n">
        <f aca="false">1/AT562</f>
        <v>9.27835051546392</v>
      </c>
      <c r="AV562" s="21" t="n">
        <f aca="false">AW$3*C562</f>
        <v>1.94</v>
      </c>
      <c r="AW562" s="21" t="n">
        <f aca="false">AX$3</f>
        <v>5</v>
      </c>
      <c r="AX562" s="21" t="n">
        <f aca="false">AV562*AW562</f>
        <v>9.7</v>
      </c>
      <c r="AY562" s="21" t="n">
        <f aca="false">AY$3</f>
        <v>10</v>
      </c>
      <c r="AZ562" s="21" t="n">
        <f aca="false">IF(BB562/B562&gt;1,1,BB562/B562)</f>
        <v>0.0862222222222222</v>
      </c>
      <c r="BA562" s="21" t="n">
        <f aca="false">1/AZ562</f>
        <v>11.5979381443299</v>
      </c>
      <c r="BB562" s="21" t="n">
        <f aca="false">BB$3*C562</f>
        <v>1.552</v>
      </c>
      <c r="BC562" s="21" t="n">
        <f aca="false">BC$3</f>
        <v>10</v>
      </c>
      <c r="BD562" s="21" t="n">
        <f aca="false">BB562*BC562</f>
        <v>15.52</v>
      </c>
      <c r="BE562" s="21" t="n">
        <f aca="false">BD$3</f>
        <v>16</v>
      </c>
      <c r="BF562" s="21" t="n">
        <f aca="false">IF(BH562/B562&gt;1,1,BH562/B562)</f>
        <v>0.102388888888889</v>
      </c>
      <c r="BG562" s="21" t="n">
        <f aca="false">1/BF562</f>
        <v>9.76668475311991</v>
      </c>
      <c r="BH562" s="21" t="n">
        <f aca="false">BG$3*C562</f>
        <v>1.843</v>
      </c>
      <c r="BI562" s="21" t="n">
        <f aca="false">BH$3</f>
        <v>1</v>
      </c>
      <c r="BJ562" s="21" t="n">
        <f aca="false">BH562*BI562</f>
        <v>1.843</v>
      </c>
      <c r="BK562" s="21" t="n">
        <f aca="false">BI$3</f>
        <v>1.9</v>
      </c>
      <c r="BL562" s="21" t="n">
        <f aca="false">IF(BN562/B562&gt;1,1,BN562/B562)</f>
        <v>0.107777777777778</v>
      </c>
      <c r="BM562" s="21" t="n">
        <f aca="false">1/BL562</f>
        <v>9.27835051546392</v>
      </c>
      <c r="BN562" s="21" t="n">
        <f aca="false">BL$3*C562</f>
        <v>1.94</v>
      </c>
      <c r="BO562" s="21" t="n">
        <f aca="false">BM$3</f>
        <v>1</v>
      </c>
      <c r="BP562" s="21" t="n">
        <f aca="false">BN562*BO562</f>
        <v>1.94</v>
      </c>
      <c r="BQ562" s="21" t="n">
        <f aca="false">BN$3</f>
        <v>2</v>
      </c>
      <c r="BR562" s="21" t="n">
        <f aca="false">IF(BT562/B562&gt;1,1,BT562/B562)</f>
        <v>0.107777777777778</v>
      </c>
      <c r="BS562" s="21" t="n">
        <f aca="false">1/BR562</f>
        <v>9.27835051546392</v>
      </c>
      <c r="BT562" s="21" t="n">
        <f aca="false">BQ$3*C562</f>
        <v>1.94</v>
      </c>
      <c r="BU562" s="21" t="n">
        <f aca="false">BR$3</f>
        <v>12</v>
      </c>
      <c r="BV562" s="21" t="n">
        <f aca="false">BT562*BU562</f>
        <v>23.28</v>
      </c>
      <c r="BW562" s="21" t="n">
        <f aca="false">BS$3</f>
        <v>24</v>
      </c>
      <c r="BX562" s="21" t="n">
        <f aca="false">IF(BZ562/B562&gt;1,1,BZ562/B562)</f>
        <v>0.102388888888889</v>
      </c>
      <c r="BY562" s="21" t="n">
        <f aca="false">1/BX562</f>
        <v>9.76668475311991</v>
      </c>
      <c r="BZ562" s="21" t="n">
        <f aca="false">BV$3*C562</f>
        <v>1.843</v>
      </c>
      <c r="CA562" s="21" t="n">
        <f aca="false">BW$3</f>
        <v>10</v>
      </c>
      <c r="CB562" s="21" t="n">
        <f aca="false">BZ562*CA562</f>
        <v>18.43</v>
      </c>
      <c r="CC562" s="21" t="n">
        <f aca="false">BX$3</f>
        <v>19</v>
      </c>
      <c r="CD562" s="21"/>
    </row>
    <row r="563" customFormat="false" ht="12.75" hidden="false" customHeight="true" outlineLevel="0" collapsed="false">
      <c r="A563" s="13" t="s">
        <v>85</v>
      </c>
      <c r="B563" s="13" t="n">
        <f aca="false">C15</f>
        <v>20</v>
      </c>
      <c r="C563" s="21" t="n">
        <f aca="false">C$551</f>
        <v>0.97</v>
      </c>
      <c r="D563" s="21" t="n">
        <f aca="false">IF(F563/B563&gt;1,1,F563/B563)</f>
        <v>0.0582</v>
      </c>
      <c r="E563" s="21" t="n">
        <f aca="false">1/D563</f>
        <v>17.1821305841924</v>
      </c>
      <c r="F563" s="21" t="n">
        <f aca="false">N$3*C563</f>
        <v>1.164</v>
      </c>
      <c r="G563" s="21" t="n">
        <f aca="false">O$3</f>
        <v>1</v>
      </c>
      <c r="H563" s="21" t="n">
        <f aca="false">F563*G563</f>
        <v>1.164</v>
      </c>
      <c r="I563" s="21" t="n">
        <f aca="false">P$3</f>
        <v>1.2</v>
      </c>
      <c r="J563" s="21" t="n">
        <f aca="false">IF(L563/B563&gt;1,1,L563/B563)</f>
        <v>0.0679</v>
      </c>
      <c r="K563" s="21" t="n">
        <f aca="false">1/J563</f>
        <v>14.7275405007364</v>
      </c>
      <c r="L563" s="21" t="n">
        <f aca="false">S$3*C563</f>
        <v>1.358</v>
      </c>
      <c r="M563" s="21" t="n">
        <f aca="false">T$3</f>
        <v>1</v>
      </c>
      <c r="N563" s="21" t="n">
        <f aca="false">L563*M563</f>
        <v>1.358</v>
      </c>
      <c r="O563" s="21" t="n">
        <f aca="false">U$3</f>
        <v>1.4</v>
      </c>
      <c r="P563" s="21" t="n">
        <f aca="false">IF(R563/B563&gt;1,1,R563/B563)</f>
        <v>0.07275</v>
      </c>
      <c r="Q563" s="21" t="n">
        <f aca="false">1/P563</f>
        <v>13.745704467354</v>
      </c>
      <c r="R563" s="21" t="n">
        <f aca="false">X$3*C563</f>
        <v>1.455</v>
      </c>
      <c r="S563" s="21" t="n">
        <f aca="false">Y$3</f>
        <v>5</v>
      </c>
      <c r="T563" s="21" t="n">
        <f aca="false">R563*S563</f>
        <v>7.275</v>
      </c>
      <c r="U563" s="21" t="n">
        <f aca="false">Z$3</f>
        <v>7.5</v>
      </c>
      <c r="V563" s="21" t="n">
        <f aca="false">IF(X563/B563&gt;1,1,X563/B563)</f>
        <v>0.06305</v>
      </c>
      <c r="W563" s="21" t="n">
        <f aca="false">1/V563</f>
        <v>15.8604282315623</v>
      </c>
      <c r="X563" s="21" t="n">
        <f aca="false">AC$3*C563</f>
        <v>1.261</v>
      </c>
      <c r="Y563" s="21" t="n">
        <f aca="false">AD$3</f>
        <v>3</v>
      </c>
      <c r="Z563" s="21" t="n">
        <f aca="false">X563*Y563</f>
        <v>3.783</v>
      </c>
      <c r="AA563" s="21" t="n">
        <f aca="false">AE$3</f>
        <v>3.9</v>
      </c>
      <c r="AB563" s="21" t="n">
        <f aca="false">IF(AD563/B563&gt;1,1,AD563/B563)</f>
        <v>0.0776</v>
      </c>
      <c r="AC563" s="21" t="n">
        <f aca="false">1/AB563</f>
        <v>12.8865979381443</v>
      </c>
      <c r="AD563" s="21" t="n">
        <f aca="false">AH$3*C563</f>
        <v>1.552</v>
      </c>
      <c r="AE563" s="21" t="n">
        <f aca="false">AI$3</f>
        <v>1</v>
      </c>
      <c r="AF563" s="21" t="n">
        <f aca="false">AD563*AE563</f>
        <v>1.552</v>
      </c>
      <c r="AG563" s="21" t="n">
        <f aca="false">AJ$3</f>
        <v>1.6</v>
      </c>
      <c r="AH563" s="21" t="n">
        <f aca="false">IF(AJ563/B563&gt;1,1,AJ563/B563)</f>
        <v>0.0873</v>
      </c>
      <c r="AI563" s="21" t="n">
        <f aca="false">1/AH563</f>
        <v>11.454753722795</v>
      </c>
      <c r="AJ563" s="21" t="n">
        <f aca="false">AM$3*C563</f>
        <v>1.746</v>
      </c>
      <c r="AK563" s="21" t="n">
        <f aca="false">AN$3</f>
        <v>1</v>
      </c>
      <c r="AL563" s="21" t="n">
        <f aca="false">AJ563*AK563</f>
        <v>1.746</v>
      </c>
      <c r="AM563" s="21" t="n">
        <f aca="false">AO$3</f>
        <v>1.8</v>
      </c>
      <c r="AN563" s="21" t="n">
        <f aca="false">IF(AP563/B563&gt;1,1,AP563/B563)</f>
        <v>0.09215</v>
      </c>
      <c r="AO563" s="21" t="n">
        <f aca="false">1/AN563</f>
        <v>10.851871947911</v>
      </c>
      <c r="AP563" s="21" t="n">
        <f aca="false">AR$3*C563</f>
        <v>1.843</v>
      </c>
      <c r="AQ563" s="21" t="n">
        <f aca="false">AS$3</f>
        <v>2</v>
      </c>
      <c r="AR563" s="21" t="n">
        <f aca="false">AP563*AQ563</f>
        <v>3.686</v>
      </c>
      <c r="AS563" s="21" t="n">
        <f aca="false">AT$3</f>
        <v>3.8</v>
      </c>
      <c r="AT563" s="21" t="n">
        <f aca="false">IF(AV563/B563&gt;1,1,AV563/B563)</f>
        <v>0.097</v>
      </c>
      <c r="AU563" s="21" t="n">
        <f aca="false">1/AT563</f>
        <v>10.3092783505155</v>
      </c>
      <c r="AV563" s="21" t="n">
        <f aca="false">AW$3*C563</f>
        <v>1.94</v>
      </c>
      <c r="AW563" s="21" t="n">
        <f aca="false">AX$3</f>
        <v>5</v>
      </c>
      <c r="AX563" s="21" t="n">
        <f aca="false">AV563*AW563</f>
        <v>9.7</v>
      </c>
      <c r="AY563" s="21" t="n">
        <f aca="false">AY$3</f>
        <v>10</v>
      </c>
      <c r="AZ563" s="21" t="n">
        <f aca="false">IF(BB563/B563&gt;1,1,BB563/B563)</f>
        <v>0.0776</v>
      </c>
      <c r="BA563" s="21" t="n">
        <f aca="false">1/AZ563</f>
        <v>12.8865979381443</v>
      </c>
      <c r="BB563" s="21" t="n">
        <f aca="false">BB$3*C563</f>
        <v>1.552</v>
      </c>
      <c r="BC563" s="21" t="n">
        <f aca="false">BC$3</f>
        <v>10</v>
      </c>
      <c r="BD563" s="21" t="n">
        <f aca="false">BB563*BC563</f>
        <v>15.52</v>
      </c>
      <c r="BE563" s="21" t="n">
        <f aca="false">BD$3</f>
        <v>16</v>
      </c>
      <c r="BF563" s="21" t="n">
        <f aca="false">IF(BH563/B563&gt;1,1,BH563/B563)</f>
        <v>0.09215</v>
      </c>
      <c r="BG563" s="21" t="n">
        <f aca="false">1/BF563</f>
        <v>10.851871947911</v>
      </c>
      <c r="BH563" s="21" t="n">
        <f aca="false">BG$3*C563</f>
        <v>1.843</v>
      </c>
      <c r="BI563" s="21" t="n">
        <f aca="false">BH$3</f>
        <v>1</v>
      </c>
      <c r="BJ563" s="21" t="n">
        <f aca="false">BH563*BI563</f>
        <v>1.843</v>
      </c>
      <c r="BK563" s="21" t="n">
        <f aca="false">BI$3</f>
        <v>1.9</v>
      </c>
      <c r="BL563" s="21" t="n">
        <f aca="false">IF(BN563/B563&gt;1,1,BN563/B563)</f>
        <v>0.097</v>
      </c>
      <c r="BM563" s="21" t="n">
        <f aca="false">1/BL563</f>
        <v>10.3092783505155</v>
      </c>
      <c r="BN563" s="21" t="n">
        <f aca="false">BL$3*C563</f>
        <v>1.94</v>
      </c>
      <c r="BO563" s="21" t="n">
        <f aca="false">BM$3</f>
        <v>1</v>
      </c>
      <c r="BP563" s="21" t="n">
        <f aca="false">BN563*BO563</f>
        <v>1.94</v>
      </c>
      <c r="BQ563" s="21" t="n">
        <f aca="false">BN$3</f>
        <v>2</v>
      </c>
      <c r="BR563" s="21" t="n">
        <f aca="false">IF(BT563/B563&gt;1,1,BT563/B563)</f>
        <v>0.097</v>
      </c>
      <c r="BS563" s="21" t="n">
        <f aca="false">1/BR563</f>
        <v>10.3092783505155</v>
      </c>
      <c r="BT563" s="21" t="n">
        <f aca="false">BQ$3*C563</f>
        <v>1.94</v>
      </c>
      <c r="BU563" s="21" t="n">
        <f aca="false">BR$3</f>
        <v>12</v>
      </c>
      <c r="BV563" s="21" t="n">
        <f aca="false">BT563*BU563</f>
        <v>23.28</v>
      </c>
      <c r="BW563" s="21" t="n">
        <f aca="false">BS$3</f>
        <v>24</v>
      </c>
      <c r="BX563" s="21" t="n">
        <f aca="false">IF(BZ563/B563&gt;1,1,BZ563/B563)</f>
        <v>0.09215</v>
      </c>
      <c r="BY563" s="21" t="n">
        <f aca="false">1/BX563</f>
        <v>10.851871947911</v>
      </c>
      <c r="BZ563" s="21" t="n">
        <f aca="false">BV$3*C563</f>
        <v>1.843</v>
      </c>
      <c r="CA563" s="21" t="n">
        <f aca="false">BW$3</f>
        <v>10</v>
      </c>
      <c r="CB563" s="21" t="n">
        <f aca="false">BZ563*CA563</f>
        <v>18.43</v>
      </c>
      <c r="CC563" s="21" t="n">
        <f aca="false">BX$3</f>
        <v>19</v>
      </c>
      <c r="CD563" s="21"/>
    </row>
    <row r="564" customFormat="false" ht="12.75" hidden="false" customHeight="true" outlineLevel="0" collapsed="false">
      <c r="A564" s="13" t="s">
        <v>87</v>
      </c>
      <c r="B564" s="13" t="n">
        <f aca="false">C16</f>
        <v>25</v>
      </c>
      <c r="C564" s="21" t="n">
        <f aca="false">C$551</f>
        <v>0.97</v>
      </c>
      <c r="D564" s="21" t="n">
        <f aca="false">IF(F564/B564&gt;1,1,F564/B564)</f>
        <v>0.04656</v>
      </c>
      <c r="E564" s="21" t="n">
        <f aca="false">1/D564</f>
        <v>21.4776632302406</v>
      </c>
      <c r="F564" s="21" t="n">
        <f aca="false">N$3*C564</f>
        <v>1.164</v>
      </c>
      <c r="G564" s="21" t="n">
        <f aca="false">O$3</f>
        <v>1</v>
      </c>
      <c r="H564" s="21" t="n">
        <f aca="false">F564*G564</f>
        <v>1.164</v>
      </c>
      <c r="I564" s="21" t="n">
        <f aca="false">P$3</f>
        <v>1.2</v>
      </c>
      <c r="J564" s="21" t="n">
        <f aca="false">IF(L564/B564&gt;1,1,L564/B564)</f>
        <v>0.05432</v>
      </c>
      <c r="K564" s="21" t="n">
        <f aca="false">1/J564</f>
        <v>18.4094256259205</v>
      </c>
      <c r="L564" s="21" t="n">
        <f aca="false">S$3*C564</f>
        <v>1.358</v>
      </c>
      <c r="M564" s="21" t="n">
        <f aca="false">T$3</f>
        <v>1</v>
      </c>
      <c r="N564" s="21" t="n">
        <f aca="false">L564*M564</f>
        <v>1.358</v>
      </c>
      <c r="O564" s="21" t="n">
        <f aca="false">U$3</f>
        <v>1.4</v>
      </c>
      <c r="P564" s="21" t="n">
        <f aca="false">IF(R564/B564&gt;1,1,R564/B564)</f>
        <v>0.0582</v>
      </c>
      <c r="Q564" s="21" t="n">
        <f aca="false">1/P564</f>
        <v>17.1821305841924</v>
      </c>
      <c r="R564" s="21" t="n">
        <f aca="false">X$3*C564</f>
        <v>1.455</v>
      </c>
      <c r="S564" s="21" t="n">
        <f aca="false">Y$3</f>
        <v>5</v>
      </c>
      <c r="T564" s="21" t="n">
        <f aca="false">R564*S564</f>
        <v>7.275</v>
      </c>
      <c r="U564" s="21" t="n">
        <f aca="false">Z$3</f>
        <v>7.5</v>
      </c>
      <c r="V564" s="21" t="n">
        <f aca="false">IF(X564/B564&gt;1,1,X564/B564)</f>
        <v>0.05044</v>
      </c>
      <c r="W564" s="21" t="n">
        <f aca="false">1/V564</f>
        <v>19.8255352894528</v>
      </c>
      <c r="X564" s="21" t="n">
        <f aca="false">AC$3*C564</f>
        <v>1.261</v>
      </c>
      <c r="Y564" s="21" t="n">
        <f aca="false">AD$3</f>
        <v>3</v>
      </c>
      <c r="Z564" s="21" t="n">
        <f aca="false">X564*Y564</f>
        <v>3.783</v>
      </c>
      <c r="AA564" s="21" t="n">
        <f aca="false">AE$3</f>
        <v>3.9</v>
      </c>
      <c r="AB564" s="21" t="n">
        <f aca="false">IF(AD564/B564&gt;1,1,AD564/B564)</f>
        <v>0.06208</v>
      </c>
      <c r="AC564" s="21" t="n">
        <f aca="false">1/AB564</f>
        <v>16.1082474226804</v>
      </c>
      <c r="AD564" s="21" t="n">
        <f aca="false">AH$3*C564</f>
        <v>1.552</v>
      </c>
      <c r="AE564" s="21" t="n">
        <f aca="false">AI$3</f>
        <v>1</v>
      </c>
      <c r="AF564" s="21" t="n">
        <f aca="false">AD564*AE564</f>
        <v>1.552</v>
      </c>
      <c r="AG564" s="21" t="n">
        <f aca="false">AJ$3</f>
        <v>1.6</v>
      </c>
      <c r="AH564" s="21" t="n">
        <f aca="false">IF(AJ564/B564&gt;1,1,AJ564/B564)</f>
        <v>0.06984</v>
      </c>
      <c r="AI564" s="21" t="n">
        <f aca="false">1/AH564</f>
        <v>14.3184421534937</v>
      </c>
      <c r="AJ564" s="21" t="n">
        <f aca="false">AM$3*C564</f>
        <v>1.746</v>
      </c>
      <c r="AK564" s="21" t="n">
        <f aca="false">AN$3</f>
        <v>1</v>
      </c>
      <c r="AL564" s="21" t="n">
        <f aca="false">AJ564*AK564</f>
        <v>1.746</v>
      </c>
      <c r="AM564" s="21" t="n">
        <f aca="false">AO$3</f>
        <v>1.8</v>
      </c>
      <c r="AN564" s="21" t="n">
        <f aca="false">IF(AP564/B564&gt;1,1,AP564/B564)</f>
        <v>0.07372</v>
      </c>
      <c r="AO564" s="21" t="n">
        <f aca="false">1/AN564</f>
        <v>13.5648399348888</v>
      </c>
      <c r="AP564" s="21" t="n">
        <f aca="false">AR$3*C564</f>
        <v>1.843</v>
      </c>
      <c r="AQ564" s="21" t="n">
        <f aca="false">AS$3</f>
        <v>2</v>
      </c>
      <c r="AR564" s="21" t="n">
        <f aca="false">AP564*AQ564</f>
        <v>3.686</v>
      </c>
      <c r="AS564" s="21" t="n">
        <f aca="false">AT$3</f>
        <v>3.8</v>
      </c>
      <c r="AT564" s="21" t="n">
        <f aca="false">IF(AV564/B564&gt;1,1,AV564/B564)</f>
        <v>0.0776</v>
      </c>
      <c r="AU564" s="21" t="n">
        <f aca="false">1/AT564</f>
        <v>12.8865979381443</v>
      </c>
      <c r="AV564" s="21" t="n">
        <f aca="false">AW$3*C564</f>
        <v>1.94</v>
      </c>
      <c r="AW564" s="21" t="n">
        <f aca="false">AX$3</f>
        <v>5</v>
      </c>
      <c r="AX564" s="21" t="n">
        <f aca="false">AV564*AW564</f>
        <v>9.7</v>
      </c>
      <c r="AY564" s="21" t="n">
        <f aca="false">AY$3</f>
        <v>10</v>
      </c>
      <c r="AZ564" s="21" t="n">
        <f aca="false">IF(BB564/B564&gt;1,1,BB564/B564)</f>
        <v>0.06208</v>
      </c>
      <c r="BA564" s="21" t="n">
        <f aca="false">1/AZ564</f>
        <v>16.1082474226804</v>
      </c>
      <c r="BB564" s="21" t="n">
        <f aca="false">BB$3*C564</f>
        <v>1.552</v>
      </c>
      <c r="BC564" s="21" t="n">
        <f aca="false">BC$3</f>
        <v>10</v>
      </c>
      <c r="BD564" s="21" t="n">
        <f aca="false">BB564*BC564</f>
        <v>15.52</v>
      </c>
      <c r="BE564" s="21" t="n">
        <f aca="false">BD$3</f>
        <v>16</v>
      </c>
      <c r="BF564" s="21" t="n">
        <f aca="false">IF(BH564/B564&gt;1,1,BH564/B564)</f>
        <v>0.07372</v>
      </c>
      <c r="BG564" s="21" t="n">
        <f aca="false">1/BF564</f>
        <v>13.5648399348888</v>
      </c>
      <c r="BH564" s="21" t="n">
        <f aca="false">BG$3*C564</f>
        <v>1.843</v>
      </c>
      <c r="BI564" s="21" t="n">
        <f aca="false">BH$3</f>
        <v>1</v>
      </c>
      <c r="BJ564" s="21" t="n">
        <f aca="false">BH564*BI564</f>
        <v>1.843</v>
      </c>
      <c r="BK564" s="21" t="n">
        <f aca="false">BI$3</f>
        <v>1.9</v>
      </c>
      <c r="BL564" s="21" t="n">
        <f aca="false">IF(BN564/B564&gt;1,1,BN564/B564)</f>
        <v>0.0776</v>
      </c>
      <c r="BM564" s="21" t="n">
        <f aca="false">1/BL564</f>
        <v>12.8865979381443</v>
      </c>
      <c r="BN564" s="21" t="n">
        <f aca="false">BL$3*C564</f>
        <v>1.94</v>
      </c>
      <c r="BO564" s="21" t="n">
        <f aca="false">BM$3</f>
        <v>1</v>
      </c>
      <c r="BP564" s="21" t="n">
        <f aca="false">BN564*BO564</f>
        <v>1.94</v>
      </c>
      <c r="BQ564" s="21" t="n">
        <f aca="false">BN$3</f>
        <v>2</v>
      </c>
      <c r="BR564" s="21" t="n">
        <f aca="false">IF(BT564/B564&gt;1,1,BT564/B564)</f>
        <v>0.0776</v>
      </c>
      <c r="BS564" s="21" t="n">
        <f aca="false">1/BR564</f>
        <v>12.8865979381443</v>
      </c>
      <c r="BT564" s="21" t="n">
        <f aca="false">BQ$3*C564</f>
        <v>1.94</v>
      </c>
      <c r="BU564" s="21" t="n">
        <f aca="false">BR$3</f>
        <v>12</v>
      </c>
      <c r="BV564" s="21" t="n">
        <f aca="false">BT564*BU564</f>
        <v>23.28</v>
      </c>
      <c r="BW564" s="21" t="n">
        <f aca="false">BS$3</f>
        <v>24</v>
      </c>
      <c r="BX564" s="21" t="n">
        <f aca="false">IF(BZ564/B564&gt;1,1,BZ564/B564)</f>
        <v>0.07372</v>
      </c>
      <c r="BY564" s="21" t="n">
        <f aca="false">1/BX564</f>
        <v>13.5648399348888</v>
      </c>
      <c r="BZ564" s="21" t="n">
        <f aca="false">BV$3*C564</f>
        <v>1.843</v>
      </c>
      <c r="CA564" s="21" t="n">
        <f aca="false">BW$3</f>
        <v>10</v>
      </c>
      <c r="CB564" s="21" t="n">
        <f aca="false">BZ564*CA564</f>
        <v>18.43</v>
      </c>
      <c r="CC564" s="21" t="n">
        <f aca="false">BX$3</f>
        <v>19</v>
      </c>
      <c r="CD564" s="21"/>
    </row>
    <row r="565" customFormat="false" ht="12.75" hidden="false" customHeight="true" outlineLevel="0" collapsed="false">
      <c r="A565" s="13" t="s">
        <v>89</v>
      </c>
      <c r="B565" s="13" t="n">
        <f aca="false">C17</f>
        <v>40</v>
      </c>
      <c r="C565" s="21" t="n">
        <f aca="false">C$551</f>
        <v>0.97</v>
      </c>
      <c r="D565" s="21" t="n">
        <f aca="false">IF(F565/B565&gt;1,1,F565/B565)</f>
        <v>0.0291</v>
      </c>
      <c r="E565" s="21" t="n">
        <f aca="false">1/D565</f>
        <v>34.3642611683849</v>
      </c>
      <c r="F565" s="21" t="n">
        <f aca="false">N$3*C565</f>
        <v>1.164</v>
      </c>
      <c r="G565" s="21" t="n">
        <f aca="false">O$3</f>
        <v>1</v>
      </c>
      <c r="H565" s="21" t="n">
        <f aca="false">F565*G565</f>
        <v>1.164</v>
      </c>
      <c r="I565" s="21" t="n">
        <f aca="false">P$3</f>
        <v>1.2</v>
      </c>
      <c r="J565" s="21" t="n">
        <f aca="false">IF(L565/B565&gt;1,1,L565/B565)</f>
        <v>0.03395</v>
      </c>
      <c r="K565" s="21" t="n">
        <f aca="false">1/J565</f>
        <v>29.4550810014728</v>
      </c>
      <c r="L565" s="21" t="n">
        <f aca="false">S$3*C565</f>
        <v>1.358</v>
      </c>
      <c r="M565" s="21" t="n">
        <f aca="false">T$3</f>
        <v>1</v>
      </c>
      <c r="N565" s="21" t="n">
        <f aca="false">L565*M565</f>
        <v>1.358</v>
      </c>
      <c r="O565" s="21" t="n">
        <f aca="false">U$3</f>
        <v>1.4</v>
      </c>
      <c r="P565" s="21" t="n">
        <f aca="false">IF(R565/B565&gt;1,1,R565/B565)</f>
        <v>0.036375</v>
      </c>
      <c r="Q565" s="21" t="n">
        <f aca="false">1/P565</f>
        <v>27.4914089347079</v>
      </c>
      <c r="R565" s="21" t="n">
        <f aca="false">X$3*C565</f>
        <v>1.455</v>
      </c>
      <c r="S565" s="21" t="n">
        <f aca="false">Y$3</f>
        <v>5</v>
      </c>
      <c r="T565" s="21" t="n">
        <f aca="false">R565*S565</f>
        <v>7.275</v>
      </c>
      <c r="U565" s="21" t="n">
        <f aca="false">Z$3</f>
        <v>7.5</v>
      </c>
      <c r="V565" s="21" t="n">
        <f aca="false">IF(X565/B565&gt;1,1,X565/B565)</f>
        <v>0.031525</v>
      </c>
      <c r="W565" s="21" t="n">
        <f aca="false">1/V565</f>
        <v>31.7208564631245</v>
      </c>
      <c r="X565" s="21" t="n">
        <f aca="false">AC$3*C565</f>
        <v>1.261</v>
      </c>
      <c r="Y565" s="21" t="n">
        <f aca="false">AD$3</f>
        <v>3</v>
      </c>
      <c r="Z565" s="21" t="n">
        <f aca="false">X565*Y565</f>
        <v>3.783</v>
      </c>
      <c r="AA565" s="21" t="n">
        <f aca="false">AE$3</f>
        <v>3.9</v>
      </c>
      <c r="AB565" s="21" t="n">
        <f aca="false">IF(AD565/B565&gt;1,1,AD565/B565)</f>
        <v>0.0388</v>
      </c>
      <c r="AC565" s="21" t="n">
        <f aca="false">1/AB565</f>
        <v>25.7731958762887</v>
      </c>
      <c r="AD565" s="21" t="n">
        <f aca="false">AH$3*C565</f>
        <v>1.552</v>
      </c>
      <c r="AE565" s="21" t="n">
        <f aca="false">AI$3</f>
        <v>1</v>
      </c>
      <c r="AF565" s="21" t="n">
        <f aca="false">AD565*AE565</f>
        <v>1.552</v>
      </c>
      <c r="AG565" s="21" t="n">
        <f aca="false">AJ$3</f>
        <v>1.6</v>
      </c>
      <c r="AH565" s="21" t="n">
        <f aca="false">IF(AJ565/B565&gt;1,1,AJ565/B565)</f>
        <v>0.04365</v>
      </c>
      <c r="AI565" s="21" t="n">
        <f aca="false">1/AH565</f>
        <v>22.9095074455899</v>
      </c>
      <c r="AJ565" s="21" t="n">
        <f aca="false">AM$3*C565</f>
        <v>1.746</v>
      </c>
      <c r="AK565" s="21" t="n">
        <f aca="false">AN$3</f>
        <v>1</v>
      </c>
      <c r="AL565" s="21" t="n">
        <f aca="false">AJ565*AK565</f>
        <v>1.746</v>
      </c>
      <c r="AM565" s="21" t="n">
        <f aca="false">AO$3</f>
        <v>1.8</v>
      </c>
      <c r="AN565" s="21" t="n">
        <f aca="false">IF(AP565/B565&gt;1,1,AP565/B565)</f>
        <v>0.046075</v>
      </c>
      <c r="AO565" s="21" t="n">
        <f aca="false">1/AN565</f>
        <v>21.703743895822</v>
      </c>
      <c r="AP565" s="21" t="n">
        <f aca="false">AR$3*C565</f>
        <v>1.843</v>
      </c>
      <c r="AQ565" s="21" t="n">
        <f aca="false">AS$3</f>
        <v>2</v>
      </c>
      <c r="AR565" s="21" t="n">
        <f aca="false">AP565*AQ565</f>
        <v>3.686</v>
      </c>
      <c r="AS565" s="21" t="n">
        <f aca="false">AT$3</f>
        <v>3.8</v>
      </c>
      <c r="AT565" s="21" t="n">
        <f aca="false">IF(AV565/B565&gt;1,1,AV565/B565)</f>
        <v>0.0485</v>
      </c>
      <c r="AU565" s="21" t="n">
        <f aca="false">1/AT565</f>
        <v>20.6185567010309</v>
      </c>
      <c r="AV565" s="21" t="n">
        <f aca="false">AW$3*C565</f>
        <v>1.94</v>
      </c>
      <c r="AW565" s="21" t="n">
        <f aca="false">AX$3</f>
        <v>5</v>
      </c>
      <c r="AX565" s="21" t="n">
        <f aca="false">AV565*AW565</f>
        <v>9.7</v>
      </c>
      <c r="AY565" s="21" t="n">
        <f aca="false">AY$3</f>
        <v>10</v>
      </c>
      <c r="AZ565" s="21" t="n">
        <f aca="false">IF(BB565/B565&gt;1,1,BB565/B565)</f>
        <v>0.0388</v>
      </c>
      <c r="BA565" s="21" t="n">
        <f aca="false">1/AZ565</f>
        <v>25.7731958762887</v>
      </c>
      <c r="BB565" s="21" t="n">
        <f aca="false">BB$3*C565</f>
        <v>1.552</v>
      </c>
      <c r="BC565" s="21" t="n">
        <f aca="false">BC$3</f>
        <v>10</v>
      </c>
      <c r="BD565" s="21" t="n">
        <f aca="false">BB565*BC565</f>
        <v>15.52</v>
      </c>
      <c r="BE565" s="21" t="n">
        <f aca="false">BD$3</f>
        <v>16</v>
      </c>
      <c r="BF565" s="21" t="n">
        <f aca="false">IF(BH565/B565&gt;1,1,BH565/B565)</f>
        <v>0.046075</v>
      </c>
      <c r="BG565" s="21" t="n">
        <f aca="false">1/BF565</f>
        <v>21.703743895822</v>
      </c>
      <c r="BH565" s="21" t="n">
        <f aca="false">BG$3*C565</f>
        <v>1.843</v>
      </c>
      <c r="BI565" s="21" t="n">
        <f aca="false">BH$3</f>
        <v>1</v>
      </c>
      <c r="BJ565" s="21" t="n">
        <f aca="false">BH565*BI565</f>
        <v>1.843</v>
      </c>
      <c r="BK565" s="21" t="n">
        <f aca="false">BI$3</f>
        <v>1.9</v>
      </c>
      <c r="BL565" s="21" t="n">
        <f aca="false">IF(BN565/B565&gt;1,1,BN565/B565)</f>
        <v>0.0485</v>
      </c>
      <c r="BM565" s="21" t="n">
        <f aca="false">1/BL565</f>
        <v>20.6185567010309</v>
      </c>
      <c r="BN565" s="21" t="n">
        <f aca="false">BL$3*C565</f>
        <v>1.94</v>
      </c>
      <c r="BO565" s="21" t="n">
        <f aca="false">BM$3</f>
        <v>1</v>
      </c>
      <c r="BP565" s="21" t="n">
        <f aca="false">BN565*BO565</f>
        <v>1.94</v>
      </c>
      <c r="BQ565" s="21" t="n">
        <f aca="false">BN$3</f>
        <v>2</v>
      </c>
      <c r="BR565" s="21" t="n">
        <f aca="false">IF(BT565/B565&gt;1,1,BT565/B565)</f>
        <v>0.0485</v>
      </c>
      <c r="BS565" s="21" t="n">
        <f aca="false">1/BR565</f>
        <v>20.6185567010309</v>
      </c>
      <c r="BT565" s="21" t="n">
        <f aca="false">BQ$3*C565</f>
        <v>1.94</v>
      </c>
      <c r="BU565" s="21" t="n">
        <f aca="false">BR$3</f>
        <v>12</v>
      </c>
      <c r="BV565" s="21" t="n">
        <f aca="false">BT565*BU565</f>
        <v>23.28</v>
      </c>
      <c r="BW565" s="21" t="n">
        <f aca="false">BS$3</f>
        <v>24</v>
      </c>
      <c r="BX565" s="21" t="n">
        <f aca="false">IF(BZ565/B565&gt;1,1,BZ565/B565)</f>
        <v>0.046075</v>
      </c>
      <c r="BY565" s="21" t="n">
        <f aca="false">1/BX565</f>
        <v>21.703743895822</v>
      </c>
      <c r="BZ565" s="21" t="n">
        <f aca="false">BV$3*C565</f>
        <v>1.843</v>
      </c>
      <c r="CA565" s="21" t="n">
        <f aca="false">BW$3</f>
        <v>10</v>
      </c>
      <c r="CB565" s="21" t="n">
        <f aca="false">BZ565*CA565</f>
        <v>18.43</v>
      </c>
      <c r="CC565" s="21" t="n">
        <f aca="false">BX$3</f>
        <v>19</v>
      </c>
      <c r="CD565" s="21"/>
    </row>
    <row r="566" customFormat="false" ht="12.75" hidden="false" customHeight="true" outlineLevel="0" collapsed="false">
      <c r="A566" s="13" t="s">
        <v>91</v>
      </c>
      <c r="B566" s="13" t="n">
        <f aca="false">C18</f>
        <v>45</v>
      </c>
      <c r="C566" s="21" t="n">
        <f aca="false">C$551</f>
        <v>0.97</v>
      </c>
      <c r="D566" s="21" t="n">
        <f aca="false">IF(F566/B566&gt;1,1,F566/B566)</f>
        <v>0.0258666666666667</v>
      </c>
      <c r="E566" s="21" t="n">
        <f aca="false">1/D566</f>
        <v>38.659793814433</v>
      </c>
      <c r="F566" s="21" t="n">
        <f aca="false">N$3*C566</f>
        <v>1.164</v>
      </c>
      <c r="G566" s="21" t="n">
        <f aca="false">O$3</f>
        <v>1</v>
      </c>
      <c r="H566" s="21" t="n">
        <f aca="false">F566*G566</f>
        <v>1.164</v>
      </c>
      <c r="I566" s="21" t="n">
        <f aca="false">P$3</f>
        <v>1.2</v>
      </c>
      <c r="J566" s="21" t="n">
        <f aca="false">IF(L566/B566&gt;1,1,L566/B566)</f>
        <v>0.0301777777777778</v>
      </c>
      <c r="K566" s="21" t="n">
        <f aca="false">1/J566</f>
        <v>33.1369661266568</v>
      </c>
      <c r="L566" s="21" t="n">
        <f aca="false">S$3*C566</f>
        <v>1.358</v>
      </c>
      <c r="M566" s="21" t="n">
        <f aca="false">T$3</f>
        <v>1</v>
      </c>
      <c r="N566" s="21" t="n">
        <f aca="false">L566*M566</f>
        <v>1.358</v>
      </c>
      <c r="O566" s="21" t="n">
        <f aca="false">U$3</f>
        <v>1.4</v>
      </c>
      <c r="P566" s="21" t="n">
        <f aca="false">IF(R566/B566&gt;1,1,R566/B566)</f>
        <v>0.0323333333333333</v>
      </c>
      <c r="Q566" s="21" t="n">
        <f aca="false">1/P566</f>
        <v>30.9278350515464</v>
      </c>
      <c r="R566" s="21" t="n">
        <f aca="false">X$3*C566</f>
        <v>1.455</v>
      </c>
      <c r="S566" s="21" t="n">
        <f aca="false">Y$3</f>
        <v>5</v>
      </c>
      <c r="T566" s="21" t="n">
        <f aca="false">R566*S566</f>
        <v>7.275</v>
      </c>
      <c r="U566" s="21" t="n">
        <f aca="false">Z$3</f>
        <v>7.5</v>
      </c>
      <c r="V566" s="21" t="n">
        <f aca="false">IF(X566/B566&gt;1,1,X566/B566)</f>
        <v>0.0280222222222222</v>
      </c>
      <c r="W566" s="21" t="n">
        <f aca="false">1/V566</f>
        <v>35.6859635210151</v>
      </c>
      <c r="X566" s="21" t="n">
        <f aca="false">AC$3*C566</f>
        <v>1.261</v>
      </c>
      <c r="Y566" s="21" t="n">
        <f aca="false">AD$3</f>
        <v>3</v>
      </c>
      <c r="Z566" s="21" t="n">
        <f aca="false">X566*Y566</f>
        <v>3.783</v>
      </c>
      <c r="AA566" s="21" t="n">
        <f aca="false">AE$3</f>
        <v>3.9</v>
      </c>
      <c r="AB566" s="21" t="n">
        <f aca="false">IF(AD566/B566&gt;1,1,AD566/B566)</f>
        <v>0.0344888888888889</v>
      </c>
      <c r="AC566" s="21" t="n">
        <f aca="false">1/AB566</f>
        <v>28.9948453608247</v>
      </c>
      <c r="AD566" s="21" t="n">
        <f aca="false">AH$3*C566</f>
        <v>1.552</v>
      </c>
      <c r="AE566" s="21" t="n">
        <f aca="false">AI$3</f>
        <v>1</v>
      </c>
      <c r="AF566" s="21" t="n">
        <f aca="false">AD566*AE566</f>
        <v>1.552</v>
      </c>
      <c r="AG566" s="21" t="n">
        <f aca="false">AJ$3</f>
        <v>1.6</v>
      </c>
      <c r="AH566" s="21" t="n">
        <f aca="false">IF(AJ566/B566&gt;1,1,AJ566/B566)</f>
        <v>0.0388</v>
      </c>
      <c r="AI566" s="21" t="n">
        <f aca="false">1/AH566</f>
        <v>25.7731958762887</v>
      </c>
      <c r="AJ566" s="21" t="n">
        <f aca="false">AM$3*C566</f>
        <v>1.746</v>
      </c>
      <c r="AK566" s="21" t="n">
        <f aca="false">AN$3</f>
        <v>1</v>
      </c>
      <c r="AL566" s="21" t="n">
        <f aca="false">AJ566*AK566</f>
        <v>1.746</v>
      </c>
      <c r="AM566" s="21" t="n">
        <f aca="false">AO$3</f>
        <v>1.8</v>
      </c>
      <c r="AN566" s="21" t="n">
        <f aca="false">IF(AP566/B566&gt;1,1,AP566/B566)</f>
        <v>0.0409555555555556</v>
      </c>
      <c r="AO566" s="21" t="n">
        <f aca="false">1/AN566</f>
        <v>24.4167118827998</v>
      </c>
      <c r="AP566" s="21" t="n">
        <f aca="false">AR$3*C566</f>
        <v>1.843</v>
      </c>
      <c r="AQ566" s="21" t="n">
        <f aca="false">AS$3</f>
        <v>2</v>
      </c>
      <c r="AR566" s="21" t="n">
        <f aca="false">AP566*AQ566</f>
        <v>3.686</v>
      </c>
      <c r="AS566" s="21" t="n">
        <f aca="false">AT$3</f>
        <v>3.8</v>
      </c>
      <c r="AT566" s="21" t="n">
        <f aca="false">IF(AV566/B566&gt;1,1,AV566/B566)</f>
        <v>0.0431111111111111</v>
      </c>
      <c r="AU566" s="21" t="n">
        <f aca="false">1/AT566</f>
        <v>23.1958762886598</v>
      </c>
      <c r="AV566" s="21" t="n">
        <f aca="false">AW$3*C566</f>
        <v>1.94</v>
      </c>
      <c r="AW566" s="21" t="n">
        <f aca="false">AX$3</f>
        <v>5</v>
      </c>
      <c r="AX566" s="21" t="n">
        <f aca="false">AV566*AW566</f>
        <v>9.7</v>
      </c>
      <c r="AY566" s="21" t="n">
        <f aca="false">AY$3</f>
        <v>10</v>
      </c>
      <c r="AZ566" s="21" t="n">
        <f aca="false">IF(BB566/B566&gt;1,1,BB566/B566)</f>
        <v>0.0344888888888889</v>
      </c>
      <c r="BA566" s="21" t="n">
        <f aca="false">1/AZ566</f>
        <v>28.9948453608247</v>
      </c>
      <c r="BB566" s="21" t="n">
        <f aca="false">BB$3*C566</f>
        <v>1.552</v>
      </c>
      <c r="BC566" s="21" t="n">
        <f aca="false">BC$3</f>
        <v>10</v>
      </c>
      <c r="BD566" s="21" t="n">
        <f aca="false">BB566*BC566</f>
        <v>15.52</v>
      </c>
      <c r="BE566" s="21" t="n">
        <f aca="false">BD$3</f>
        <v>16</v>
      </c>
      <c r="BF566" s="21" t="n">
        <f aca="false">IF(BH566/B566&gt;1,1,BH566/B566)</f>
        <v>0.0409555555555556</v>
      </c>
      <c r="BG566" s="21" t="n">
        <f aca="false">1/BF566</f>
        <v>24.4167118827998</v>
      </c>
      <c r="BH566" s="21" t="n">
        <f aca="false">BG$3*C566</f>
        <v>1.843</v>
      </c>
      <c r="BI566" s="21" t="n">
        <f aca="false">BH$3</f>
        <v>1</v>
      </c>
      <c r="BJ566" s="21" t="n">
        <f aca="false">BH566*BI566</f>
        <v>1.843</v>
      </c>
      <c r="BK566" s="21" t="n">
        <f aca="false">BI$3</f>
        <v>1.9</v>
      </c>
      <c r="BL566" s="21" t="n">
        <f aca="false">IF(BN566/B566&gt;1,1,BN566/B566)</f>
        <v>0.0431111111111111</v>
      </c>
      <c r="BM566" s="21" t="n">
        <f aca="false">1/BL566</f>
        <v>23.1958762886598</v>
      </c>
      <c r="BN566" s="21" t="n">
        <f aca="false">BL$3*C566</f>
        <v>1.94</v>
      </c>
      <c r="BO566" s="21" t="n">
        <f aca="false">BM$3</f>
        <v>1</v>
      </c>
      <c r="BP566" s="21" t="n">
        <f aca="false">BN566*BO566</f>
        <v>1.94</v>
      </c>
      <c r="BQ566" s="21" t="n">
        <f aca="false">BN$3</f>
        <v>2</v>
      </c>
      <c r="BR566" s="21" t="n">
        <f aca="false">IF(BT566/B566&gt;1,1,BT566/B566)</f>
        <v>0.0431111111111111</v>
      </c>
      <c r="BS566" s="21" t="n">
        <f aca="false">1/BR566</f>
        <v>23.1958762886598</v>
      </c>
      <c r="BT566" s="21" t="n">
        <f aca="false">BQ$3*C566</f>
        <v>1.94</v>
      </c>
      <c r="BU566" s="21" t="n">
        <f aca="false">BR$3</f>
        <v>12</v>
      </c>
      <c r="BV566" s="21" t="n">
        <f aca="false">BT566*BU566</f>
        <v>23.28</v>
      </c>
      <c r="BW566" s="21" t="n">
        <f aca="false">BS$3</f>
        <v>24</v>
      </c>
      <c r="BX566" s="21" t="n">
        <f aca="false">IF(BZ566/B566&gt;1,1,BZ566/B566)</f>
        <v>0.0409555555555556</v>
      </c>
      <c r="BY566" s="21" t="n">
        <f aca="false">1/BX566</f>
        <v>24.4167118827998</v>
      </c>
      <c r="BZ566" s="21" t="n">
        <f aca="false">BV$3*C566</f>
        <v>1.843</v>
      </c>
      <c r="CA566" s="21" t="n">
        <f aca="false">BW$3</f>
        <v>10</v>
      </c>
      <c r="CB566" s="21" t="n">
        <f aca="false">BZ566*CA566</f>
        <v>18.43</v>
      </c>
      <c r="CC566" s="21" t="n">
        <f aca="false">BX$3</f>
        <v>19</v>
      </c>
      <c r="CD566" s="21"/>
    </row>
    <row r="567" customFormat="false" ht="12.75" hidden="false" customHeight="true" outlineLevel="0" collapsed="false">
      <c r="A567" s="13" t="s">
        <v>93</v>
      </c>
      <c r="B567" s="13" t="n">
        <f aca="false">C19</f>
        <v>50</v>
      </c>
      <c r="C567" s="21" t="n">
        <f aca="false">C$551</f>
        <v>0.97</v>
      </c>
      <c r="D567" s="21" t="n">
        <f aca="false">IF(F567/B567&gt;1,1,F567/B567)</f>
        <v>0.02328</v>
      </c>
      <c r="E567" s="21" t="n">
        <f aca="false">1/D567</f>
        <v>42.9553264604811</v>
      </c>
      <c r="F567" s="21" t="n">
        <f aca="false">N$3*C567</f>
        <v>1.164</v>
      </c>
      <c r="G567" s="21" t="n">
        <f aca="false">O$3</f>
        <v>1</v>
      </c>
      <c r="H567" s="21" t="n">
        <f aca="false">F567*G567</f>
        <v>1.164</v>
      </c>
      <c r="I567" s="21" t="n">
        <f aca="false">P$3</f>
        <v>1.2</v>
      </c>
      <c r="J567" s="21" t="n">
        <f aca="false">IF(L567/B567&gt;1,1,L567/B567)</f>
        <v>0.02716</v>
      </c>
      <c r="K567" s="21" t="n">
        <f aca="false">1/J567</f>
        <v>36.8188512518409</v>
      </c>
      <c r="L567" s="21" t="n">
        <f aca="false">S$3*C567</f>
        <v>1.358</v>
      </c>
      <c r="M567" s="21" t="n">
        <f aca="false">T$3</f>
        <v>1</v>
      </c>
      <c r="N567" s="21" t="n">
        <f aca="false">L567*M567</f>
        <v>1.358</v>
      </c>
      <c r="O567" s="21" t="n">
        <f aca="false">U$3</f>
        <v>1.4</v>
      </c>
      <c r="P567" s="21" t="n">
        <f aca="false">IF(R567/B567&gt;1,1,R567/B567)</f>
        <v>0.0291</v>
      </c>
      <c r="Q567" s="21" t="n">
        <f aca="false">1/P567</f>
        <v>34.3642611683849</v>
      </c>
      <c r="R567" s="21" t="n">
        <f aca="false">X$3*C567</f>
        <v>1.455</v>
      </c>
      <c r="S567" s="21" t="n">
        <f aca="false">Y$3</f>
        <v>5</v>
      </c>
      <c r="T567" s="21" t="n">
        <f aca="false">R567*S567</f>
        <v>7.275</v>
      </c>
      <c r="U567" s="21" t="n">
        <f aca="false">Z$3</f>
        <v>7.5</v>
      </c>
      <c r="V567" s="21" t="n">
        <f aca="false">IF(X567/B567&gt;1,1,X567/B567)</f>
        <v>0.02522</v>
      </c>
      <c r="W567" s="21" t="n">
        <f aca="false">1/V567</f>
        <v>39.6510705789056</v>
      </c>
      <c r="X567" s="21" t="n">
        <f aca="false">AC$3*C567</f>
        <v>1.261</v>
      </c>
      <c r="Y567" s="21" t="n">
        <f aca="false">AD$3</f>
        <v>3</v>
      </c>
      <c r="Z567" s="21" t="n">
        <f aca="false">X567*Y567</f>
        <v>3.783</v>
      </c>
      <c r="AA567" s="21" t="n">
        <f aca="false">AE$3</f>
        <v>3.9</v>
      </c>
      <c r="AB567" s="21" t="n">
        <f aca="false">IF(AD567/B567&gt;1,1,AD567/B567)</f>
        <v>0.03104</v>
      </c>
      <c r="AC567" s="21" t="n">
        <f aca="false">1/AB567</f>
        <v>32.2164948453608</v>
      </c>
      <c r="AD567" s="21" t="n">
        <f aca="false">AH$3*C567</f>
        <v>1.552</v>
      </c>
      <c r="AE567" s="21" t="n">
        <f aca="false">AI$3</f>
        <v>1</v>
      </c>
      <c r="AF567" s="21" t="n">
        <f aca="false">AD567*AE567</f>
        <v>1.552</v>
      </c>
      <c r="AG567" s="21" t="n">
        <f aca="false">AJ$3</f>
        <v>1.6</v>
      </c>
      <c r="AH567" s="21" t="n">
        <f aca="false">IF(AJ567/B567&gt;1,1,AJ567/B567)</f>
        <v>0.03492</v>
      </c>
      <c r="AI567" s="21" t="n">
        <f aca="false">1/AH567</f>
        <v>28.6368843069874</v>
      </c>
      <c r="AJ567" s="21" t="n">
        <f aca="false">AM$3*C567</f>
        <v>1.746</v>
      </c>
      <c r="AK567" s="21" t="n">
        <f aca="false">AN$3</f>
        <v>1</v>
      </c>
      <c r="AL567" s="21" t="n">
        <f aca="false">AJ567*AK567</f>
        <v>1.746</v>
      </c>
      <c r="AM567" s="21" t="n">
        <f aca="false">AO$3</f>
        <v>1.8</v>
      </c>
      <c r="AN567" s="21" t="n">
        <f aca="false">IF(AP567/B567&gt;1,1,AP567/B567)</f>
        <v>0.03686</v>
      </c>
      <c r="AO567" s="21" t="n">
        <f aca="false">1/AN567</f>
        <v>27.1296798697775</v>
      </c>
      <c r="AP567" s="21" t="n">
        <f aca="false">AR$3*C567</f>
        <v>1.843</v>
      </c>
      <c r="AQ567" s="21" t="n">
        <f aca="false">AS$3</f>
        <v>2</v>
      </c>
      <c r="AR567" s="21" t="n">
        <f aca="false">AP567*AQ567</f>
        <v>3.686</v>
      </c>
      <c r="AS567" s="21" t="n">
        <f aca="false">AT$3</f>
        <v>3.8</v>
      </c>
      <c r="AT567" s="21" t="n">
        <f aca="false">IF(AV567/B567&gt;1,1,AV567/B567)</f>
        <v>0.0388</v>
      </c>
      <c r="AU567" s="21" t="n">
        <f aca="false">1/AT567</f>
        <v>25.7731958762887</v>
      </c>
      <c r="AV567" s="21" t="n">
        <f aca="false">AW$3*C567</f>
        <v>1.94</v>
      </c>
      <c r="AW567" s="21" t="n">
        <f aca="false">AX$3</f>
        <v>5</v>
      </c>
      <c r="AX567" s="21" t="n">
        <f aca="false">AV567*AW567</f>
        <v>9.7</v>
      </c>
      <c r="AY567" s="21" t="n">
        <f aca="false">AY$3</f>
        <v>10</v>
      </c>
      <c r="AZ567" s="21" t="n">
        <f aca="false">IF(BB567/B567&gt;1,1,BB567/B567)</f>
        <v>0.03104</v>
      </c>
      <c r="BA567" s="21" t="n">
        <f aca="false">1/AZ567</f>
        <v>32.2164948453608</v>
      </c>
      <c r="BB567" s="21" t="n">
        <f aca="false">BB$3*C567</f>
        <v>1.552</v>
      </c>
      <c r="BC567" s="21" t="n">
        <f aca="false">BC$3</f>
        <v>10</v>
      </c>
      <c r="BD567" s="21" t="n">
        <f aca="false">BB567*BC567</f>
        <v>15.52</v>
      </c>
      <c r="BE567" s="21" t="n">
        <f aca="false">BD$3</f>
        <v>16</v>
      </c>
      <c r="BF567" s="21" t="n">
        <f aca="false">IF(BH567/B567&gt;1,1,BH567/B567)</f>
        <v>0.03686</v>
      </c>
      <c r="BG567" s="21" t="n">
        <f aca="false">1/BF567</f>
        <v>27.1296798697775</v>
      </c>
      <c r="BH567" s="21" t="n">
        <f aca="false">BG$3*C567</f>
        <v>1.843</v>
      </c>
      <c r="BI567" s="21" t="n">
        <f aca="false">BH$3</f>
        <v>1</v>
      </c>
      <c r="BJ567" s="21" t="n">
        <f aca="false">BH567*BI567</f>
        <v>1.843</v>
      </c>
      <c r="BK567" s="21" t="n">
        <f aca="false">BI$3</f>
        <v>1.9</v>
      </c>
      <c r="BL567" s="21" t="n">
        <f aca="false">IF(BN567/B567&gt;1,1,BN567/B567)</f>
        <v>0.0388</v>
      </c>
      <c r="BM567" s="21" t="n">
        <f aca="false">1/BL567</f>
        <v>25.7731958762887</v>
      </c>
      <c r="BN567" s="21" t="n">
        <f aca="false">BL$3*C567</f>
        <v>1.94</v>
      </c>
      <c r="BO567" s="21" t="n">
        <f aca="false">BM$3</f>
        <v>1</v>
      </c>
      <c r="BP567" s="21" t="n">
        <f aca="false">BN567*BO567</f>
        <v>1.94</v>
      </c>
      <c r="BQ567" s="21" t="n">
        <f aca="false">BN$3</f>
        <v>2</v>
      </c>
      <c r="BR567" s="21" t="n">
        <f aca="false">IF(BT567/B567&gt;1,1,BT567/B567)</f>
        <v>0.0388</v>
      </c>
      <c r="BS567" s="21" t="n">
        <f aca="false">1/BR567</f>
        <v>25.7731958762887</v>
      </c>
      <c r="BT567" s="21" t="n">
        <f aca="false">BQ$3*C567</f>
        <v>1.94</v>
      </c>
      <c r="BU567" s="21" t="n">
        <f aca="false">BR$3</f>
        <v>12</v>
      </c>
      <c r="BV567" s="21" t="n">
        <f aca="false">BT567*BU567</f>
        <v>23.28</v>
      </c>
      <c r="BW567" s="21" t="n">
        <f aca="false">BS$3</f>
        <v>24</v>
      </c>
      <c r="BX567" s="21" t="n">
        <f aca="false">IF(BZ567/B567&gt;1,1,BZ567/B567)</f>
        <v>0.03686</v>
      </c>
      <c r="BY567" s="21" t="n">
        <f aca="false">1/BX567</f>
        <v>27.1296798697775</v>
      </c>
      <c r="BZ567" s="21" t="n">
        <f aca="false">BV$3*C567</f>
        <v>1.843</v>
      </c>
      <c r="CA567" s="21" t="n">
        <f aca="false">BW$3</f>
        <v>10</v>
      </c>
      <c r="CB567" s="21" t="n">
        <f aca="false">BZ567*CA567</f>
        <v>18.43</v>
      </c>
      <c r="CC567" s="21" t="n">
        <f aca="false">BX$3</f>
        <v>19</v>
      </c>
      <c r="CD567" s="21"/>
    </row>
    <row r="568" customFormat="false" ht="12.75" hidden="false" customHeight="true" outlineLevel="0" collapsed="false">
      <c r="A568" s="13" t="s">
        <v>95</v>
      </c>
      <c r="B568" s="13" t="n">
        <f aca="false">C20</f>
        <v>55</v>
      </c>
      <c r="C568" s="21" t="n">
        <f aca="false">C$551</f>
        <v>0.97</v>
      </c>
      <c r="D568" s="21" t="n">
        <f aca="false">IF(F568/B568&gt;1,1,F568/B568)</f>
        <v>0.0211636363636364</v>
      </c>
      <c r="E568" s="21" t="n">
        <f aca="false">1/D568</f>
        <v>47.2508591065292</v>
      </c>
      <c r="F568" s="21" t="n">
        <f aca="false">N$3*C568</f>
        <v>1.164</v>
      </c>
      <c r="G568" s="21" t="n">
        <f aca="false">O$3</f>
        <v>1</v>
      </c>
      <c r="H568" s="21" t="n">
        <f aca="false">F568*G568</f>
        <v>1.164</v>
      </c>
      <c r="I568" s="21" t="n">
        <f aca="false">P$3</f>
        <v>1.2</v>
      </c>
      <c r="J568" s="21" t="n">
        <f aca="false">IF(L568/B568&gt;1,1,L568/B568)</f>
        <v>0.0246909090909091</v>
      </c>
      <c r="K568" s="21" t="n">
        <f aca="false">1/J568</f>
        <v>40.500736377025</v>
      </c>
      <c r="L568" s="21" t="n">
        <f aca="false">S$3*C568</f>
        <v>1.358</v>
      </c>
      <c r="M568" s="21" t="n">
        <f aca="false">T$3</f>
        <v>1</v>
      </c>
      <c r="N568" s="21" t="n">
        <f aca="false">L568*M568</f>
        <v>1.358</v>
      </c>
      <c r="O568" s="21" t="n">
        <f aca="false">U$3</f>
        <v>1.4</v>
      </c>
      <c r="P568" s="21" t="n">
        <f aca="false">IF(R568/B568&gt;1,1,R568/B568)</f>
        <v>0.0264545454545455</v>
      </c>
      <c r="Q568" s="21" t="n">
        <f aca="false">1/P568</f>
        <v>37.8006872852234</v>
      </c>
      <c r="R568" s="21" t="n">
        <f aca="false">X$3*C568</f>
        <v>1.455</v>
      </c>
      <c r="S568" s="21" t="n">
        <f aca="false">Y$3</f>
        <v>5</v>
      </c>
      <c r="T568" s="21" t="n">
        <f aca="false">R568*S568</f>
        <v>7.275</v>
      </c>
      <c r="U568" s="21" t="n">
        <f aca="false">Z$3</f>
        <v>7.5</v>
      </c>
      <c r="V568" s="21" t="n">
        <f aca="false">IF(X568/B568&gt;1,1,X568/B568)</f>
        <v>0.0229272727272727</v>
      </c>
      <c r="W568" s="21" t="n">
        <f aca="false">1/V568</f>
        <v>43.6161776367962</v>
      </c>
      <c r="X568" s="21" t="n">
        <f aca="false">AC$3*C568</f>
        <v>1.261</v>
      </c>
      <c r="Y568" s="21" t="n">
        <f aca="false">AD$3</f>
        <v>3</v>
      </c>
      <c r="Z568" s="21" t="n">
        <f aca="false">X568*Y568</f>
        <v>3.783</v>
      </c>
      <c r="AA568" s="21" t="n">
        <f aca="false">AE$3</f>
        <v>3.9</v>
      </c>
      <c r="AB568" s="21" t="n">
        <f aca="false">IF(AD568/B568&gt;1,1,AD568/B568)</f>
        <v>0.0282181818181818</v>
      </c>
      <c r="AC568" s="21" t="n">
        <f aca="false">1/AB568</f>
        <v>35.4381443298969</v>
      </c>
      <c r="AD568" s="21" t="n">
        <f aca="false">AH$3*C568</f>
        <v>1.552</v>
      </c>
      <c r="AE568" s="21" t="n">
        <f aca="false">AI$3</f>
        <v>1</v>
      </c>
      <c r="AF568" s="21" t="n">
        <f aca="false">AD568*AE568</f>
        <v>1.552</v>
      </c>
      <c r="AG568" s="21" t="n">
        <f aca="false">AJ$3</f>
        <v>1.6</v>
      </c>
      <c r="AH568" s="21" t="n">
        <f aca="false">IF(AJ568/B568&gt;1,1,AJ568/B568)</f>
        <v>0.0317454545454545</v>
      </c>
      <c r="AI568" s="21" t="n">
        <f aca="false">1/AH568</f>
        <v>31.5005727376861</v>
      </c>
      <c r="AJ568" s="21" t="n">
        <f aca="false">AM$3*C568</f>
        <v>1.746</v>
      </c>
      <c r="AK568" s="21" t="n">
        <f aca="false">AN$3</f>
        <v>1</v>
      </c>
      <c r="AL568" s="21" t="n">
        <f aca="false">AJ568*AK568</f>
        <v>1.746</v>
      </c>
      <c r="AM568" s="21" t="n">
        <f aca="false">AO$3</f>
        <v>1.8</v>
      </c>
      <c r="AN568" s="21" t="n">
        <f aca="false">IF(AP568/B568&gt;1,1,AP568/B568)</f>
        <v>0.0335090909090909</v>
      </c>
      <c r="AO568" s="21" t="n">
        <f aca="false">1/AN568</f>
        <v>29.8426478567553</v>
      </c>
      <c r="AP568" s="21" t="n">
        <f aca="false">AR$3*C568</f>
        <v>1.843</v>
      </c>
      <c r="AQ568" s="21" t="n">
        <f aca="false">AS$3</f>
        <v>2</v>
      </c>
      <c r="AR568" s="21" t="n">
        <f aca="false">AP568*AQ568</f>
        <v>3.686</v>
      </c>
      <c r="AS568" s="21" t="n">
        <f aca="false">AT$3</f>
        <v>3.8</v>
      </c>
      <c r="AT568" s="21" t="n">
        <f aca="false">IF(AV568/B568&gt;1,1,AV568/B568)</f>
        <v>0.0352727272727273</v>
      </c>
      <c r="AU568" s="21" t="n">
        <f aca="false">1/AT568</f>
        <v>28.3505154639175</v>
      </c>
      <c r="AV568" s="21" t="n">
        <f aca="false">AW$3*C568</f>
        <v>1.94</v>
      </c>
      <c r="AW568" s="21" t="n">
        <f aca="false">AX$3</f>
        <v>5</v>
      </c>
      <c r="AX568" s="21" t="n">
        <f aca="false">AV568*AW568</f>
        <v>9.7</v>
      </c>
      <c r="AY568" s="21" t="n">
        <f aca="false">AY$3</f>
        <v>10</v>
      </c>
      <c r="AZ568" s="21" t="n">
        <f aca="false">IF(BB568/B568&gt;1,1,BB568/B568)</f>
        <v>0.0282181818181818</v>
      </c>
      <c r="BA568" s="21" t="n">
        <f aca="false">1/AZ568</f>
        <v>35.4381443298969</v>
      </c>
      <c r="BB568" s="21" t="n">
        <f aca="false">BB$3*C568</f>
        <v>1.552</v>
      </c>
      <c r="BC568" s="21" t="n">
        <f aca="false">BC$3</f>
        <v>10</v>
      </c>
      <c r="BD568" s="21" t="n">
        <f aca="false">BB568*BC568</f>
        <v>15.52</v>
      </c>
      <c r="BE568" s="21" t="n">
        <f aca="false">BD$3</f>
        <v>16</v>
      </c>
      <c r="BF568" s="21" t="n">
        <f aca="false">IF(BH568/B568&gt;1,1,BH568/B568)</f>
        <v>0.0335090909090909</v>
      </c>
      <c r="BG568" s="21" t="n">
        <f aca="false">1/BF568</f>
        <v>29.8426478567553</v>
      </c>
      <c r="BH568" s="21" t="n">
        <f aca="false">BG$3*C568</f>
        <v>1.843</v>
      </c>
      <c r="BI568" s="21" t="n">
        <f aca="false">BH$3</f>
        <v>1</v>
      </c>
      <c r="BJ568" s="21" t="n">
        <f aca="false">BH568*BI568</f>
        <v>1.843</v>
      </c>
      <c r="BK568" s="21" t="n">
        <f aca="false">BI$3</f>
        <v>1.9</v>
      </c>
      <c r="BL568" s="21" t="n">
        <f aca="false">IF(BN568/B568&gt;1,1,BN568/B568)</f>
        <v>0.0352727272727273</v>
      </c>
      <c r="BM568" s="21" t="n">
        <f aca="false">1/BL568</f>
        <v>28.3505154639175</v>
      </c>
      <c r="BN568" s="21" t="n">
        <f aca="false">BL$3*C568</f>
        <v>1.94</v>
      </c>
      <c r="BO568" s="21" t="n">
        <f aca="false">BM$3</f>
        <v>1</v>
      </c>
      <c r="BP568" s="21" t="n">
        <f aca="false">BN568*BO568</f>
        <v>1.94</v>
      </c>
      <c r="BQ568" s="21" t="n">
        <f aca="false">BN$3</f>
        <v>2</v>
      </c>
      <c r="BR568" s="21" t="n">
        <f aca="false">IF(BT568/B568&gt;1,1,BT568/B568)</f>
        <v>0.0352727272727273</v>
      </c>
      <c r="BS568" s="21" t="n">
        <f aca="false">1/BR568</f>
        <v>28.3505154639175</v>
      </c>
      <c r="BT568" s="21" t="n">
        <f aca="false">BQ$3*C568</f>
        <v>1.94</v>
      </c>
      <c r="BU568" s="21" t="n">
        <f aca="false">BR$3</f>
        <v>12</v>
      </c>
      <c r="BV568" s="21" t="n">
        <f aca="false">BT568*BU568</f>
        <v>23.28</v>
      </c>
      <c r="BW568" s="21" t="n">
        <f aca="false">BS$3</f>
        <v>24</v>
      </c>
      <c r="BX568" s="21" t="n">
        <f aca="false">IF(BZ568/B568&gt;1,1,BZ568/B568)</f>
        <v>0.0335090909090909</v>
      </c>
      <c r="BY568" s="21" t="n">
        <f aca="false">1/BX568</f>
        <v>29.8426478567553</v>
      </c>
      <c r="BZ568" s="21" t="n">
        <f aca="false">BV$3*C568</f>
        <v>1.843</v>
      </c>
      <c r="CA568" s="21" t="n">
        <f aca="false">BW$3</f>
        <v>10</v>
      </c>
      <c r="CB568" s="21" t="n">
        <f aca="false">BZ568*CA568</f>
        <v>18.43</v>
      </c>
      <c r="CC568" s="21" t="n">
        <f aca="false">BX$3</f>
        <v>19</v>
      </c>
      <c r="CD568" s="21"/>
    </row>
    <row r="569" customFormat="false" ht="12.75" hidden="false" customHeight="true" outlineLevel="0" collapsed="false">
      <c r="A569" s="13" t="s">
        <v>97</v>
      </c>
      <c r="B569" s="13" t="n">
        <f aca="false">C21</f>
        <v>60</v>
      </c>
      <c r="C569" s="21" t="n">
        <f aca="false">C$551</f>
        <v>0.97</v>
      </c>
      <c r="D569" s="21" t="n">
        <f aca="false">IF(F569/B569&gt;1,1,F569/B569)</f>
        <v>0.0194</v>
      </c>
      <c r="E569" s="21" t="n">
        <f aca="false">1/D569</f>
        <v>51.5463917525773</v>
      </c>
      <c r="F569" s="21" t="n">
        <f aca="false">N$3*C569</f>
        <v>1.164</v>
      </c>
      <c r="G569" s="21" t="n">
        <f aca="false">O$3</f>
        <v>1</v>
      </c>
      <c r="H569" s="21" t="n">
        <f aca="false">F569*G569</f>
        <v>1.164</v>
      </c>
      <c r="I569" s="21" t="n">
        <f aca="false">P$3</f>
        <v>1.2</v>
      </c>
      <c r="J569" s="21" t="n">
        <f aca="false">IF(L569/B569&gt;1,1,L569/B569)</f>
        <v>0.0226333333333333</v>
      </c>
      <c r="K569" s="21" t="n">
        <f aca="false">1/J569</f>
        <v>44.1826215022091</v>
      </c>
      <c r="L569" s="21" t="n">
        <f aca="false">S$3*C569</f>
        <v>1.358</v>
      </c>
      <c r="M569" s="21" t="n">
        <f aca="false">T$3</f>
        <v>1</v>
      </c>
      <c r="N569" s="21" t="n">
        <f aca="false">L569*M569</f>
        <v>1.358</v>
      </c>
      <c r="O569" s="21" t="n">
        <f aca="false">U$3</f>
        <v>1.4</v>
      </c>
      <c r="P569" s="21" t="n">
        <f aca="false">IF(R569/B569&gt;1,1,R569/B569)</f>
        <v>0.02425</v>
      </c>
      <c r="Q569" s="21" t="n">
        <f aca="false">1/P569</f>
        <v>41.2371134020619</v>
      </c>
      <c r="R569" s="21" t="n">
        <f aca="false">X$3*C569</f>
        <v>1.455</v>
      </c>
      <c r="S569" s="21" t="n">
        <f aca="false">Y$3</f>
        <v>5</v>
      </c>
      <c r="T569" s="21" t="n">
        <f aca="false">R569*S569</f>
        <v>7.275</v>
      </c>
      <c r="U569" s="21" t="n">
        <f aca="false">Z$3</f>
        <v>7.5</v>
      </c>
      <c r="V569" s="21" t="n">
        <f aca="false">IF(X569/B569&gt;1,1,X569/B569)</f>
        <v>0.0210166666666667</v>
      </c>
      <c r="W569" s="21" t="n">
        <f aca="false">1/V569</f>
        <v>47.5812846946868</v>
      </c>
      <c r="X569" s="21" t="n">
        <f aca="false">AC$3*C569</f>
        <v>1.261</v>
      </c>
      <c r="Y569" s="21" t="n">
        <f aca="false">AD$3</f>
        <v>3</v>
      </c>
      <c r="Z569" s="21" t="n">
        <f aca="false">X569*Y569</f>
        <v>3.783</v>
      </c>
      <c r="AA569" s="21" t="n">
        <f aca="false">AE$3</f>
        <v>3.9</v>
      </c>
      <c r="AB569" s="21" t="n">
        <f aca="false">IF(AD569/B569&gt;1,1,AD569/B569)</f>
        <v>0.0258666666666667</v>
      </c>
      <c r="AC569" s="21" t="n">
        <f aca="false">1/AB569</f>
        <v>38.659793814433</v>
      </c>
      <c r="AD569" s="21" t="n">
        <f aca="false">AH$3*C569</f>
        <v>1.552</v>
      </c>
      <c r="AE569" s="21" t="n">
        <f aca="false">AI$3</f>
        <v>1</v>
      </c>
      <c r="AF569" s="21" t="n">
        <f aca="false">AD569*AE569</f>
        <v>1.552</v>
      </c>
      <c r="AG569" s="21" t="n">
        <f aca="false">AJ$3</f>
        <v>1.6</v>
      </c>
      <c r="AH569" s="21" t="n">
        <f aca="false">IF(AJ569/B569&gt;1,1,AJ569/B569)</f>
        <v>0.0291</v>
      </c>
      <c r="AI569" s="21" t="n">
        <f aca="false">1/AH569</f>
        <v>34.3642611683849</v>
      </c>
      <c r="AJ569" s="21" t="n">
        <f aca="false">AM$3*C569</f>
        <v>1.746</v>
      </c>
      <c r="AK569" s="21" t="n">
        <f aca="false">AN$3</f>
        <v>1</v>
      </c>
      <c r="AL569" s="21" t="n">
        <f aca="false">AJ569*AK569</f>
        <v>1.746</v>
      </c>
      <c r="AM569" s="21" t="n">
        <f aca="false">AO$3</f>
        <v>1.8</v>
      </c>
      <c r="AN569" s="21" t="n">
        <f aca="false">IF(AP569/B569&gt;1,1,AP569/B569)</f>
        <v>0.0307166666666667</v>
      </c>
      <c r="AO569" s="21" t="n">
        <f aca="false">1/AN569</f>
        <v>32.555615843733</v>
      </c>
      <c r="AP569" s="21" t="n">
        <f aca="false">AR$3*C569</f>
        <v>1.843</v>
      </c>
      <c r="AQ569" s="21" t="n">
        <f aca="false">AS$3</f>
        <v>2</v>
      </c>
      <c r="AR569" s="21" t="n">
        <f aca="false">AP569*AQ569</f>
        <v>3.686</v>
      </c>
      <c r="AS569" s="21" t="n">
        <f aca="false">AT$3</f>
        <v>3.8</v>
      </c>
      <c r="AT569" s="21" t="n">
        <f aca="false">IF(AV569/B569&gt;1,1,AV569/B569)</f>
        <v>0.0323333333333333</v>
      </c>
      <c r="AU569" s="21" t="n">
        <f aca="false">1/AT569</f>
        <v>30.9278350515464</v>
      </c>
      <c r="AV569" s="21" t="n">
        <f aca="false">AW$3*C569</f>
        <v>1.94</v>
      </c>
      <c r="AW569" s="21" t="n">
        <f aca="false">AX$3</f>
        <v>5</v>
      </c>
      <c r="AX569" s="21" t="n">
        <f aca="false">AV569*AW569</f>
        <v>9.7</v>
      </c>
      <c r="AY569" s="21" t="n">
        <f aca="false">AY$3</f>
        <v>10</v>
      </c>
      <c r="AZ569" s="21" t="n">
        <f aca="false">IF(BB569/B569&gt;1,1,BB569/B569)</f>
        <v>0.0258666666666667</v>
      </c>
      <c r="BA569" s="21" t="n">
        <f aca="false">1/AZ569</f>
        <v>38.659793814433</v>
      </c>
      <c r="BB569" s="21" t="n">
        <f aca="false">BB$3*C569</f>
        <v>1.552</v>
      </c>
      <c r="BC569" s="21" t="n">
        <f aca="false">BC$3</f>
        <v>10</v>
      </c>
      <c r="BD569" s="21" t="n">
        <f aca="false">BB569*BC569</f>
        <v>15.52</v>
      </c>
      <c r="BE569" s="21" t="n">
        <f aca="false">BD$3</f>
        <v>16</v>
      </c>
      <c r="BF569" s="21" t="n">
        <f aca="false">IF(BH569/B569&gt;1,1,BH569/B569)</f>
        <v>0.0307166666666667</v>
      </c>
      <c r="BG569" s="21" t="n">
        <f aca="false">1/BF569</f>
        <v>32.555615843733</v>
      </c>
      <c r="BH569" s="21" t="n">
        <f aca="false">BG$3*C569</f>
        <v>1.843</v>
      </c>
      <c r="BI569" s="21" t="n">
        <f aca="false">BH$3</f>
        <v>1</v>
      </c>
      <c r="BJ569" s="21" t="n">
        <f aca="false">BH569*BI569</f>
        <v>1.843</v>
      </c>
      <c r="BK569" s="21" t="n">
        <f aca="false">BI$3</f>
        <v>1.9</v>
      </c>
      <c r="BL569" s="21" t="n">
        <f aca="false">IF(BN569/B569&gt;1,1,BN569/B569)</f>
        <v>0.0323333333333333</v>
      </c>
      <c r="BM569" s="21" t="n">
        <f aca="false">1/BL569</f>
        <v>30.9278350515464</v>
      </c>
      <c r="BN569" s="21" t="n">
        <f aca="false">BL$3*C569</f>
        <v>1.94</v>
      </c>
      <c r="BO569" s="21" t="n">
        <f aca="false">BM$3</f>
        <v>1</v>
      </c>
      <c r="BP569" s="21" t="n">
        <f aca="false">BN569*BO569</f>
        <v>1.94</v>
      </c>
      <c r="BQ569" s="21" t="n">
        <f aca="false">BN$3</f>
        <v>2</v>
      </c>
      <c r="BR569" s="21" t="n">
        <f aca="false">IF(BT569/B569&gt;1,1,BT569/B569)</f>
        <v>0.0323333333333333</v>
      </c>
      <c r="BS569" s="21" t="n">
        <f aca="false">1/BR569</f>
        <v>30.9278350515464</v>
      </c>
      <c r="BT569" s="21" t="n">
        <f aca="false">BQ$3*C569</f>
        <v>1.94</v>
      </c>
      <c r="BU569" s="21" t="n">
        <f aca="false">BR$3</f>
        <v>12</v>
      </c>
      <c r="BV569" s="21" t="n">
        <f aca="false">BT569*BU569</f>
        <v>23.28</v>
      </c>
      <c r="BW569" s="21" t="n">
        <f aca="false">BS$3</f>
        <v>24</v>
      </c>
      <c r="BX569" s="21" t="n">
        <f aca="false">IF(BZ569/B569&gt;1,1,BZ569/B569)</f>
        <v>0.0307166666666667</v>
      </c>
      <c r="BY569" s="21" t="n">
        <f aca="false">1/BX569</f>
        <v>32.555615843733</v>
      </c>
      <c r="BZ569" s="21" t="n">
        <f aca="false">BV$3*C569</f>
        <v>1.843</v>
      </c>
      <c r="CA569" s="21" t="n">
        <f aca="false">BW$3</f>
        <v>10</v>
      </c>
      <c r="CB569" s="21" t="n">
        <f aca="false">BZ569*CA569</f>
        <v>18.43</v>
      </c>
      <c r="CC569" s="21" t="n">
        <f aca="false">BX$3</f>
        <v>19</v>
      </c>
      <c r="CD569" s="21"/>
    </row>
    <row r="570" customFormat="false" ht="12.75" hidden="false" customHeight="true" outlineLevel="0" collapsed="false">
      <c r="A570" s="13" t="s">
        <v>99</v>
      </c>
      <c r="B570" s="13" t="n">
        <f aca="false">C22</f>
        <v>70</v>
      </c>
      <c r="C570" s="21" t="n">
        <f aca="false">C$551</f>
        <v>0.97</v>
      </c>
      <c r="D570" s="21" t="n">
        <f aca="false">IF(F570/B570&gt;1,1,F570/B570)</f>
        <v>0.0166285714285714</v>
      </c>
      <c r="E570" s="21" t="n">
        <f aca="false">1/D570</f>
        <v>60.1374570446736</v>
      </c>
      <c r="F570" s="21" t="n">
        <f aca="false">N$3*C570</f>
        <v>1.164</v>
      </c>
      <c r="G570" s="21" t="n">
        <f aca="false">O$3</f>
        <v>1</v>
      </c>
      <c r="H570" s="21" t="n">
        <f aca="false">F570*G570</f>
        <v>1.164</v>
      </c>
      <c r="I570" s="21" t="n">
        <f aca="false">P$3</f>
        <v>1.2</v>
      </c>
      <c r="J570" s="21" t="n">
        <f aca="false">IF(L570/B570&gt;1,1,L570/B570)</f>
        <v>0.0194</v>
      </c>
      <c r="K570" s="21" t="n">
        <f aca="false">1/J570</f>
        <v>51.5463917525773</v>
      </c>
      <c r="L570" s="21" t="n">
        <f aca="false">S$3*C570</f>
        <v>1.358</v>
      </c>
      <c r="M570" s="21" t="n">
        <f aca="false">T$3</f>
        <v>1</v>
      </c>
      <c r="N570" s="21" t="n">
        <f aca="false">L570*M570</f>
        <v>1.358</v>
      </c>
      <c r="O570" s="21" t="n">
        <f aca="false">U$3</f>
        <v>1.4</v>
      </c>
      <c r="P570" s="21" t="n">
        <f aca="false">IF(R570/B570&gt;1,1,R570/B570)</f>
        <v>0.0207857142857143</v>
      </c>
      <c r="Q570" s="21" t="n">
        <f aca="false">1/P570</f>
        <v>48.1099656357388</v>
      </c>
      <c r="R570" s="21" t="n">
        <f aca="false">X$3*C570</f>
        <v>1.455</v>
      </c>
      <c r="S570" s="21" t="n">
        <f aca="false">Y$3</f>
        <v>5</v>
      </c>
      <c r="T570" s="21" t="n">
        <f aca="false">R570*S570</f>
        <v>7.275</v>
      </c>
      <c r="U570" s="21" t="n">
        <f aca="false">Z$3</f>
        <v>7.5</v>
      </c>
      <c r="V570" s="21" t="n">
        <f aca="false">IF(X570/B570&gt;1,1,X570/B570)</f>
        <v>0.0180142857142857</v>
      </c>
      <c r="W570" s="21" t="n">
        <f aca="false">1/V570</f>
        <v>55.5114988104679</v>
      </c>
      <c r="X570" s="21" t="n">
        <f aca="false">AC$3*C570</f>
        <v>1.261</v>
      </c>
      <c r="Y570" s="21" t="n">
        <f aca="false">AD$3</f>
        <v>3</v>
      </c>
      <c r="Z570" s="21" t="n">
        <f aca="false">X570*Y570</f>
        <v>3.783</v>
      </c>
      <c r="AA570" s="21" t="n">
        <f aca="false">AE$3</f>
        <v>3.9</v>
      </c>
      <c r="AB570" s="21" t="n">
        <f aca="false">IF(AD570/B570&gt;1,1,AD570/B570)</f>
        <v>0.0221714285714286</v>
      </c>
      <c r="AC570" s="21" t="n">
        <f aca="false">1/AB570</f>
        <v>45.1030927835052</v>
      </c>
      <c r="AD570" s="21" t="n">
        <f aca="false">AH$3*C570</f>
        <v>1.552</v>
      </c>
      <c r="AE570" s="21" t="n">
        <f aca="false">AI$3</f>
        <v>1</v>
      </c>
      <c r="AF570" s="21" t="n">
        <f aca="false">AD570*AE570</f>
        <v>1.552</v>
      </c>
      <c r="AG570" s="21" t="n">
        <f aca="false">AJ$3</f>
        <v>1.6</v>
      </c>
      <c r="AH570" s="21" t="n">
        <f aca="false">IF(AJ570/B570&gt;1,1,AJ570/B570)</f>
        <v>0.0249428571428571</v>
      </c>
      <c r="AI570" s="21" t="n">
        <f aca="false">1/AH570</f>
        <v>40.0916380297824</v>
      </c>
      <c r="AJ570" s="21" t="n">
        <f aca="false">AM$3*C570</f>
        <v>1.746</v>
      </c>
      <c r="AK570" s="21" t="n">
        <f aca="false">AN$3</f>
        <v>1</v>
      </c>
      <c r="AL570" s="21" t="n">
        <f aca="false">AJ570*AK570</f>
        <v>1.746</v>
      </c>
      <c r="AM570" s="21" t="n">
        <f aca="false">AO$3</f>
        <v>1.8</v>
      </c>
      <c r="AN570" s="21" t="n">
        <f aca="false">IF(AP570/B570&gt;1,1,AP570/B570)</f>
        <v>0.0263285714285714</v>
      </c>
      <c r="AO570" s="21" t="n">
        <f aca="false">1/AN570</f>
        <v>37.9815518176886</v>
      </c>
      <c r="AP570" s="21" t="n">
        <f aca="false">AR$3*C570</f>
        <v>1.843</v>
      </c>
      <c r="AQ570" s="21" t="n">
        <f aca="false">AS$3</f>
        <v>2</v>
      </c>
      <c r="AR570" s="21" t="n">
        <f aca="false">AP570*AQ570</f>
        <v>3.686</v>
      </c>
      <c r="AS570" s="21" t="n">
        <f aca="false">AT$3</f>
        <v>3.8</v>
      </c>
      <c r="AT570" s="21" t="n">
        <f aca="false">IF(AV570/B570&gt;1,1,AV570/B570)</f>
        <v>0.0277142857142857</v>
      </c>
      <c r="AU570" s="21" t="n">
        <f aca="false">1/AT570</f>
        <v>36.0824742268041</v>
      </c>
      <c r="AV570" s="21" t="n">
        <f aca="false">AW$3*C570</f>
        <v>1.94</v>
      </c>
      <c r="AW570" s="21" t="n">
        <f aca="false">AX$3</f>
        <v>5</v>
      </c>
      <c r="AX570" s="21" t="n">
        <f aca="false">AV570*AW570</f>
        <v>9.7</v>
      </c>
      <c r="AY570" s="21" t="n">
        <f aca="false">AY$3</f>
        <v>10</v>
      </c>
      <c r="AZ570" s="21" t="n">
        <f aca="false">IF(BB570/B570&gt;1,1,BB570/B570)</f>
        <v>0.0221714285714286</v>
      </c>
      <c r="BA570" s="21" t="n">
        <f aca="false">1/AZ570</f>
        <v>45.1030927835052</v>
      </c>
      <c r="BB570" s="21" t="n">
        <f aca="false">BB$3*C570</f>
        <v>1.552</v>
      </c>
      <c r="BC570" s="21" t="n">
        <f aca="false">BC$3</f>
        <v>10</v>
      </c>
      <c r="BD570" s="21" t="n">
        <f aca="false">BB570*BC570</f>
        <v>15.52</v>
      </c>
      <c r="BE570" s="21" t="n">
        <f aca="false">BD$3</f>
        <v>16</v>
      </c>
      <c r="BF570" s="21" t="n">
        <f aca="false">IF(BH570/B570&gt;1,1,BH570/B570)</f>
        <v>0.0263285714285714</v>
      </c>
      <c r="BG570" s="21" t="n">
        <f aca="false">1/BF570</f>
        <v>37.9815518176886</v>
      </c>
      <c r="BH570" s="21" t="n">
        <f aca="false">BG$3*C570</f>
        <v>1.843</v>
      </c>
      <c r="BI570" s="21" t="n">
        <f aca="false">BH$3</f>
        <v>1</v>
      </c>
      <c r="BJ570" s="21" t="n">
        <f aca="false">BH570*BI570</f>
        <v>1.843</v>
      </c>
      <c r="BK570" s="21" t="n">
        <f aca="false">BI$3</f>
        <v>1.9</v>
      </c>
      <c r="BL570" s="21" t="n">
        <f aca="false">IF(BN570/B570&gt;1,1,BN570/B570)</f>
        <v>0.0277142857142857</v>
      </c>
      <c r="BM570" s="21" t="n">
        <f aca="false">1/BL570</f>
        <v>36.0824742268041</v>
      </c>
      <c r="BN570" s="21" t="n">
        <f aca="false">BL$3*C570</f>
        <v>1.94</v>
      </c>
      <c r="BO570" s="21" t="n">
        <f aca="false">BM$3</f>
        <v>1</v>
      </c>
      <c r="BP570" s="21" t="n">
        <f aca="false">BN570*BO570</f>
        <v>1.94</v>
      </c>
      <c r="BQ570" s="21" t="n">
        <f aca="false">BN$3</f>
        <v>2</v>
      </c>
      <c r="BR570" s="21" t="n">
        <f aca="false">IF(BT570/B570&gt;1,1,BT570/B570)</f>
        <v>0.0277142857142857</v>
      </c>
      <c r="BS570" s="21" t="n">
        <f aca="false">1/BR570</f>
        <v>36.0824742268041</v>
      </c>
      <c r="BT570" s="21" t="n">
        <f aca="false">BQ$3*C570</f>
        <v>1.94</v>
      </c>
      <c r="BU570" s="21" t="n">
        <f aca="false">BR$3</f>
        <v>12</v>
      </c>
      <c r="BV570" s="21" t="n">
        <f aca="false">BT570*BU570</f>
        <v>23.28</v>
      </c>
      <c r="BW570" s="21" t="n">
        <f aca="false">BS$3</f>
        <v>24</v>
      </c>
      <c r="BX570" s="21" t="n">
        <f aca="false">IF(BZ570/B570&gt;1,1,BZ570/B570)</f>
        <v>0.0263285714285714</v>
      </c>
      <c r="BY570" s="21" t="n">
        <f aca="false">1/BX570</f>
        <v>37.9815518176886</v>
      </c>
      <c r="BZ570" s="21" t="n">
        <f aca="false">BV$3*C570</f>
        <v>1.843</v>
      </c>
      <c r="CA570" s="21" t="n">
        <f aca="false">BW$3</f>
        <v>10</v>
      </c>
      <c r="CB570" s="21" t="n">
        <f aca="false">BZ570*CA570</f>
        <v>18.43</v>
      </c>
      <c r="CC570" s="21" t="n">
        <f aca="false">BX$3</f>
        <v>19</v>
      </c>
      <c r="CD570" s="21"/>
    </row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>
      <c r="A573" s="13" t="s">
        <v>159</v>
      </c>
    </row>
    <row r="574" customFormat="false" ht="12.75" hidden="false" customHeight="true" outlineLevel="0" collapsed="false">
      <c r="A574" s="13" t="s">
        <v>160</v>
      </c>
    </row>
    <row r="575" customFormat="false" ht="12.75" hidden="false" customHeight="true" outlineLevel="0" collapsed="false">
      <c r="B575" s="13" t="s">
        <v>161</v>
      </c>
      <c r="C575" s="13" t="s">
        <v>162</v>
      </c>
      <c r="D575" s="13" t="s">
        <v>163</v>
      </c>
      <c r="E575" s="13" t="s">
        <v>164</v>
      </c>
      <c r="F575" s="13" t="s">
        <v>165</v>
      </c>
      <c r="G575" s="13" t="s">
        <v>166</v>
      </c>
    </row>
    <row r="576" customFormat="false" ht="12.75" hidden="false" customHeight="true" outlineLevel="0" collapsed="false">
      <c r="A576" s="10" t="s">
        <v>47</v>
      </c>
      <c r="B576" s="8" t="n">
        <f aca="false">$P$3</f>
        <v>1.2</v>
      </c>
      <c r="C576" s="13" t="n">
        <v>30</v>
      </c>
      <c r="D576" s="13" t="n">
        <v>35</v>
      </c>
      <c r="E576" s="13" t="n">
        <v>40</v>
      </c>
      <c r="F576" s="8" t="n">
        <f aca="false">SUM(C576:E576)/COUNT(C576:E576)</f>
        <v>35</v>
      </c>
      <c r="G576" s="8" t="n">
        <f aca="false">B576*F576</f>
        <v>42</v>
      </c>
    </row>
    <row r="577" customFormat="false" ht="12.75" hidden="false" customHeight="true" outlineLevel="0" collapsed="false">
      <c r="A577" s="9" t="s">
        <v>48</v>
      </c>
      <c r="B577" s="8" t="n">
        <f aca="false">$U$3</f>
        <v>1.4</v>
      </c>
      <c r="C577" s="13" t="n">
        <v>25</v>
      </c>
      <c r="D577" s="13" t="n">
        <v>30</v>
      </c>
      <c r="E577" s="13" t="n">
        <v>35</v>
      </c>
      <c r="F577" s="8" t="n">
        <f aca="false">SUM(C577:E577)/COUNT(C577:E577)</f>
        <v>30</v>
      </c>
      <c r="G577" s="8" t="n">
        <f aca="false">B577*F577</f>
        <v>42</v>
      </c>
    </row>
    <row r="578" customFormat="false" ht="12.75" hidden="false" customHeight="true" outlineLevel="0" collapsed="false">
      <c r="A578" s="10" t="s">
        <v>50</v>
      </c>
      <c r="B578" s="8" t="n">
        <f aca="false">$Z$3</f>
        <v>7.5</v>
      </c>
      <c r="C578" s="13" t="n">
        <v>6</v>
      </c>
      <c r="D578" s="13" t="n">
        <v>7</v>
      </c>
      <c r="E578" s="13" t="n">
        <v>8</v>
      </c>
      <c r="F578" s="8" t="n">
        <f aca="false">SUM(C578:E578)/COUNT(C578:E578)</f>
        <v>7</v>
      </c>
      <c r="G578" s="8" t="n">
        <f aca="false">B578*F578</f>
        <v>52.5</v>
      </c>
    </row>
    <row r="579" customFormat="false" ht="12.75" hidden="false" customHeight="true" outlineLevel="0" collapsed="false">
      <c r="A579" s="9" t="s">
        <v>51</v>
      </c>
      <c r="B579" s="8" t="n">
        <f aca="false">$AE$3</f>
        <v>3.9</v>
      </c>
      <c r="C579" s="13" t="n">
        <v>10</v>
      </c>
      <c r="D579" s="13" t="n">
        <v>12</v>
      </c>
      <c r="E579" s="13" t="n">
        <v>15</v>
      </c>
      <c r="F579" s="8" t="n">
        <f aca="false">SUM(C579:E579)/COUNT(C579:E579)</f>
        <v>12.3333333333333</v>
      </c>
      <c r="G579" s="8" t="n">
        <f aca="false">B579*F579</f>
        <v>48.1</v>
      </c>
    </row>
    <row r="580" customFormat="false" ht="12.75" hidden="false" customHeight="true" outlineLevel="0" collapsed="false">
      <c r="A580" s="10" t="s">
        <v>52</v>
      </c>
      <c r="B580" s="8" t="n">
        <f aca="false">$AJ$3</f>
        <v>1.6</v>
      </c>
      <c r="C580" s="13" t="n">
        <v>22</v>
      </c>
      <c r="D580" s="13" t="n">
        <v>25</v>
      </c>
      <c r="E580" s="13" t="n">
        <v>30</v>
      </c>
      <c r="F580" s="8" t="n">
        <f aca="false">SUM(C580:E580)/COUNT(C580:E580)</f>
        <v>25.6666666666667</v>
      </c>
      <c r="G580" s="8" t="n">
        <f aca="false">B580*F580</f>
        <v>41.0666666666667</v>
      </c>
    </row>
    <row r="581" customFormat="false" ht="12.75" hidden="false" customHeight="true" outlineLevel="0" collapsed="false">
      <c r="A581" s="9" t="s">
        <v>53</v>
      </c>
      <c r="B581" s="8" t="n">
        <f aca="false">$AO$3</f>
        <v>1.8</v>
      </c>
      <c r="C581" s="13" t="n">
        <v>20</v>
      </c>
      <c r="D581" s="13" t="n">
        <v>22</v>
      </c>
      <c r="E581" s="13" t="n">
        <v>25</v>
      </c>
      <c r="F581" s="8" t="n">
        <f aca="false">SUM(C581:E581)/COUNT(C581:E581)</f>
        <v>22.3333333333333</v>
      </c>
      <c r="G581" s="8" t="n">
        <f aca="false">B581*F581</f>
        <v>40.2</v>
      </c>
    </row>
    <row r="582" customFormat="false" ht="12.75" hidden="false" customHeight="true" outlineLevel="0" collapsed="false">
      <c r="A582" s="10" t="s">
        <v>54</v>
      </c>
      <c r="B582" s="8" t="n">
        <f aca="false">$AT$3</f>
        <v>3.8</v>
      </c>
      <c r="C582" s="13" t="n">
        <v>10</v>
      </c>
      <c r="D582" s="13" t="n">
        <v>12</v>
      </c>
      <c r="E582" s="13" t="n">
        <v>15</v>
      </c>
      <c r="F582" s="8" t="n">
        <f aca="false">SUM(C582:E582)/COUNT(C582:E582)</f>
        <v>12.3333333333333</v>
      </c>
      <c r="G582" s="8" t="n">
        <f aca="false">B582*F582</f>
        <v>46.8666666666667</v>
      </c>
    </row>
    <row r="583" customFormat="false" ht="12.75" hidden="false" customHeight="true" outlineLevel="0" collapsed="false">
      <c r="A583" s="9" t="s">
        <v>55</v>
      </c>
      <c r="B583" s="8" t="n">
        <f aca="false">$AY$3</f>
        <v>10</v>
      </c>
      <c r="C583" s="13" t="n">
        <v>4</v>
      </c>
      <c r="D583" s="13" t="n">
        <v>5</v>
      </c>
      <c r="E583" s="13" t="n">
        <v>6</v>
      </c>
      <c r="F583" s="8" t="n">
        <f aca="false">SUM(C583:E583)/COUNT(C583:E583)</f>
        <v>5</v>
      </c>
      <c r="G583" s="8" t="n">
        <f aca="false">B583*F583</f>
        <v>50</v>
      </c>
    </row>
    <row r="584" customFormat="false" ht="12.75" hidden="false" customHeight="true" outlineLevel="0" collapsed="false">
      <c r="A584" s="10" t="s">
        <v>56</v>
      </c>
      <c r="B584" s="8" t="n">
        <f aca="false">$BD$3</f>
        <v>16</v>
      </c>
      <c r="C584" s="13" t="n">
        <v>3</v>
      </c>
      <c r="D584" s="13" t="n">
        <v>4</v>
      </c>
      <c r="E584" s="13" t="n">
        <v>5</v>
      </c>
      <c r="F584" s="8" t="n">
        <f aca="false">SUM(C584:E584)/COUNT(C584:E584)</f>
        <v>4</v>
      </c>
      <c r="G584" s="8" t="n">
        <f aca="false">B584*F584</f>
        <v>64</v>
      </c>
    </row>
    <row r="585" customFormat="false" ht="12.75" hidden="false" customHeight="true" outlineLevel="0" collapsed="false">
      <c r="A585" s="9" t="s">
        <v>57</v>
      </c>
      <c r="B585" s="8" t="n">
        <f aca="false">$BI$3</f>
        <v>1.9</v>
      </c>
      <c r="C585" s="13" t="n">
        <v>20</v>
      </c>
      <c r="D585" s="13" t="n">
        <v>22</v>
      </c>
      <c r="E585" s="13" t="n">
        <v>22</v>
      </c>
      <c r="F585" s="8" t="n">
        <f aca="false">SUM(C585:E585)/COUNT(C585:E585)</f>
        <v>21.3333333333333</v>
      </c>
      <c r="G585" s="8" t="n">
        <f aca="false">B585*F585</f>
        <v>40.5333333333333</v>
      </c>
    </row>
    <row r="586" customFormat="false" ht="12.75" hidden="false" customHeight="true" outlineLevel="0" collapsed="false">
      <c r="A586" s="10" t="s">
        <v>58</v>
      </c>
      <c r="B586" s="8" t="n">
        <f aca="false">$BN$3</f>
        <v>2</v>
      </c>
      <c r="C586" s="13" t="n">
        <v>20</v>
      </c>
      <c r="D586" s="13" t="n">
        <v>22</v>
      </c>
      <c r="E586" s="13" t="n">
        <v>22</v>
      </c>
      <c r="F586" s="8" t="n">
        <f aca="false">SUM(C586:E586)/COUNT(C586:E586)</f>
        <v>21.3333333333333</v>
      </c>
      <c r="G586" s="8" t="n">
        <f aca="false">B586*F586</f>
        <v>42.6666666666667</v>
      </c>
    </row>
    <row r="587" customFormat="false" ht="12.75" hidden="false" customHeight="true" outlineLevel="0" collapsed="false">
      <c r="A587" s="9" t="s">
        <v>59</v>
      </c>
      <c r="B587" s="8" t="n">
        <f aca="false">$BS$3</f>
        <v>24</v>
      </c>
      <c r="C587" s="13" t="n">
        <v>2</v>
      </c>
      <c r="D587" s="13" t="n">
        <v>3</v>
      </c>
      <c r="E587" s="13" t="n">
        <v>4</v>
      </c>
      <c r="F587" s="8" t="n">
        <f aca="false">SUM(C587:E587)/COUNT(C587:E587)</f>
        <v>3</v>
      </c>
      <c r="G587" s="8" t="n">
        <f aca="false">B587*F587</f>
        <v>72</v>
      </c>
    </row>
    <row r="588" customFormat="false" ht="12.75" hidden="false" customHeight="true" outlineLevel="0" collapsed="false"/>
    <row r="589" customFormat="false" ht="12.75" hidden="false" customHeight="true" outlineLevel="0" collapsed="false">
      <c r="F589" s="13" t="s">
        <v>167</v>
      </c>
      <c r="G589" s="8" t="n">
        <f aca="false">SUM(G576:G587)/COUNT(G576:G587)</f>
        <v>48.4944444444445</v>
      </c>
      <c r="H589" s="8" t="n">
        <f aca="false">50*0.97</f>
        <v>48.5</v>
      </c>
    </row>
    <row r="590" customFormat="false" ht="12.75" hidden="false" customHeight="true" outlineLevel="0" collapsed="false"/>
    <row r="591" customFormat="false" ht="12.75" hidden="false" customHeight="true" outlineLevel="0" collapsed="false">
      <c r="A591" s="13"/>
    </row>
    <row r="592" customFormat="false" ht="12.75" hidden="false" customHeight="true" outlineLevel="0" collapsed="false">
      <c r="B592" s="13"/>
      <c r="C592" s="13"/>
      <c r="D592" s="13"/>
      <c r="E592" s="13"/>
      <c r="F592" s="13"/>
      <c r="G592" s="13" t="n">
        <f aca="false">G589/50</f>
        <v>0.969888888888889</v>
      </c>
    </row>
    <row r="593" customFormat="false" ht="12.75" hidden="false" customHeight="true" outlineLevel="0" collapsed="false">
      <c r="A593" s="20"/>
      <c r="C593" s="13"/>
      <c r="D593" s="13"/>
      <c r="E593" s="13"/>
    </row>
    <row r="594" customFormat="false" ht="12.75" hidden="false" customHeight="true" outlineLevel="0" collapsed="false">
      <c r="A594" s="20"/>
      <c r="C594" s="13"/>
      <c r="D594" s="13"/>
      <c r="E594" s="13"/>
    </row>
    <row r="595" customFormat="false" ht="12.75" hidden="false" customHeight="true" outlineLevel="0" collapsed="false">
      <c r="A595" s="20"/>
      <c r="C595" s="13"/>
      <c r="D595" s="13"/>
      <c r="E595" s="13"/>
    </row>
    <row r="596" customFormat="false" ht="12.75" hidden="false" customHeight="true" outlineLevel="0" collapsed="false">
      <c r="A596" s="20"/>
      <c r="C596" s="13"/>
      <c r="D596" s="13"/>
      <c r="E596" s="13"/>
    </row>
    <row r="597" customFormat="false" ht="12.75" hidden="false" customHeight="true" outlineLevel="0" collapsed="false">
      <c r="A597" s="20"/>
      <c r="C597" s="13"/>
      <c r="D597" s="13"/>
      <c r="E597" s="13"/>
    </row>
    <row r="598" customFormat="false" ht="12.75" hidden="false" customHeight="true" outlineLevel="0" collapsed="false">
      <c r="A598" s="20"/>
      <c r="C598" s="13"/>
      <c r="D598" s="13"/>
      <c r="E598" s="13"/>
    </row>
    <row r="599" customFormat="false" ht="12.75" hidden="false" customHeight="true" outlineLevel="0" collapsed="false">
      <c r="A599" s="20"/>
      <c r="C599" s="13"/>
      <c r="D599" s="13"/>
      <c r="E599" s="13"/>
    </row>
    <row r="600" customFormat="false" ht="12.75" hidden="false" customHeight="true" outlineLevel="0" collapsed="false">
      <c r="A600" s="20"/>
      <c r="C600" s="13"/>
      <c r="D600" s="13"/>
      <c r="E600" s="13"/>
    </row>
    <row r="601" customFormat="false" ht="12.75" hidden="false" customHeight="true" outlineLevel="0" collapsed="false">
      <c r="A601" s="20"/>
      <c r="C601" s="13"/>
      <c r="D601" s="13"/>
      <c r="E601" s="13"/>
    </row>
    <row r="602" customFormat="false" ht="12.75" hidden="false" customHeight="true" outlineLevel="0" collapsed="false">
      <c r="A602" s="20"/>
      <c r="C602" s="13"/>
      <c r="D602" s="13"/>
      <c r="E602" s="13"/>
    </row>
    <row r="603" customFormat="false" ht="12.75" hidden="false" customHeight="true" outlineLevel="0" collapsed="false">
      <c r="A603" s="20"/>
      <c r="C603" s="13"/>
      <c r="D603" s="13"/>
      <c r="E603" s="13"/>
    </row>
    <row r="604" customFormat="false" ht="12.75" hidden="false" customHeight="true" outlineLevel="0" collapsed="false">
      <c r="A604" s="20"/>
      <c r="C604" s="13"/>
      <c r="D604" s="13"/>
      <c r="E604" s="13"/>
    </row>
    <row r="605" customFormat="false" ht="12.75" hidden="false" customHeight="true" outlineLevel="0" collapsed="false">
      <c r="A605" s="20"/>
      <c r="C605" s="13"/>
      <c r="D605" s="13"/>
      <c r="E605" s="13"/>
    </row>
    <row r="606" customFormat="false" ht="12.75" hidden="false" customHeight="true" outlineLevel="0" collapsed="false"/>
    <row r="607" customFormat="false" ht="12.75" hidden="false" customHeight="true" outlineLevel="0" collapsed="false">
      <c r="F607" s="13"/>
    </row>
    <row r="608" customFormat="false" ht="12.75" hidden="false" customHeight="true" outlineLevel="0" collapsed="false"/>
    <row r="609" customFormat="false" ht="12.75" hidden="false" customHeight="true" outlineLevel="0" collapsed="false">
      <c r="A609" s="13"/>
    </row>
    <row r="610" customFormat="false" ht="12.75" hidden="false" customHeight="true" outlineLevel="0" collapsed="false">
      <c r="B610" s="13"/>
      <c r="C610" s="13"/>
      <c r="D610" s="13"/>
      <c r="E610" s="13"/>
      <c r="F610" s="13"/>
      <c r="G610" s="13"/>
    </row>
    <row r="611" customFormat="false" ht="12.75" hidden="false" customHeight="true" outlineLevel="0" collapsed="false">
      <c r="A611" s="20"/>
      <c r="C611" s="13"/>
      <c r="D611" s="13"/>
      <c r="E611" s="13"/>
    </row>
    <row r="612" customFormat="false" ht="12.75" hidden="false" customHeight="true" outlineLevel="0" collapsed="false">
      <c r="A612" s="20"/>
      <c r="C612" s="13"/>
      <c r="D612" s="13"/>
      <c r="E612" s="13"/>
    </row>
    <row r="613" customFormat="false" ht="12.75" hidden="false" customHeight="true" outlineLevel="0" collapsed="false">
      <c r="A613" s="20"/>
      <c r="C613" s="13"/>
      <c r="D613" s="13"/>
      <c r="E613" s="13"/>
    </row>
    <row r="614" customFormat="false" ht="12.75" hidden="false" customHeight="true" outlineLevel="0" collapsed="false">
      <c r="A614" s="20"/>
      <c r="C614" s="13"/>
      <c r="D614" s="13"/>
      <c r="E614" s="13"/>
    </row>
    <row r="615" customFormat="false" ht="12.75" hidden="false" customHeight="true" outlineLevel="0" collapsed="false">
      <c r="A615" s="20"/>
      <c r="C615" s="13"/>
      <c r="D615" s="13"/>
      <c r="E615" s="13"/>
    </row>
    <row r="616" customFormat="false" ht="12.75" hidden="false" customHeight="true" outlineLevel="0" collapsed="false">
      <c r="A616" s="20"/>
      <c r="C616" s="13"/>
      <c r="D616" s="13"/>
      <c r="E616" s="13"/>
    </row>
    <row r="617" customFormat="false" ht="12.75" hidden="false" customHeight="true" outlineLevel="0" collapsed="false">
      <c r="A617" s="20"/>
      <c r="C617" s="13"/>
      <c r="D617" s="13"/>
      <c r="E617" s="13"/>
    </row>
    <row r="618" customFormat="false" ht="12.75" hidden="false" customHeight="true" outlineLevel="0" collapsed="false">
      <c r="A618" s="20"/>
      <c r="C618" s="13"/>
      <c r="D618" s="13"/>
      <c r="E618" s="13"/>
    </row>
    <row r="619" customFormat="false" ht="12.75" hidden="false" customHeight="true" outlineLevel="0" collapsed="false">
      <c r="A619" s="20"/>
      <c r="C619" s="13"/>
      <c r="D619" s="13"/>
      <c r="E619" s="13"/>
    </row>
    <row r="620" customFormat="false" ht="12.75" hidden="false" customHeight="true" outlineLevel="0" collapsed="false">
      <c r="A620" s="20"/>
      <c r="C620" s="13"/>
      <c r="D620" s="13"/>
      <c r="E620" s="13"/>
    </row>
    <row r="621" customFormat="false" ht="12.75" hidden="false" customHeight="true" outlineLevel="0" collapsed="false">
      <c r="A621" s="20"/>
      <c r="C621" s="13"/>
      <c r="D621" s="13"/>
      <c r="E621" s="13"/>
    </row>
    <row r="622" customFormat="false" ht="12.75" hidden="false" customHeight="true" outlineLevel="0" collapsed="false">
      <c r="A622" s="20"/>
      <c r="C622" s="13"/>
      <c r="D622" s="13"/>
      <c r="E622" s="13"/>
    </row>
    <row r="623" customFormat="false" ht="12.75" hidden="false" customHeight="true" outlineLevel="0" collapsed="false">
      <c r="A623" s="20"/>
      <c r="C623" s="13"/>
      <c r="D623" s="13"/>
      <c r="E623" s="13"/>
    </row>
    <row r="624" customFormat="false" ht="12.75" hidden="false" customHeight="true" outlineLevel="0" collapsed="false"/>
    <row r="625" customFormat="false" ht="12.75" hidden="false" customHeight="true" outlineLevel="0" collapsed="false">
      <c r="F625" s="13"/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C3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5" activeCellId="0" sqref="L15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4.59"/>
    <col collapsed="false" customWidth="true" hidden="false" outlineLevel="0" max="4" min="4" style="0" width="24.87"/>
    <col collapsed="false" customWidth="true" hidden="false" outlineLevel="0" max="5" min="5" style="0" width="25.01"/>
    <col collapsed="false" customWidth="true" hidden="false" outlineLevel="0" max="6" min="6" style="0" width="10.41"/>
  </cols>
  <sheetData>
    <row r="3" customFormat="false" ht="12.8" hidden="false" customHeight="false" outlineLevel="0" collapsed="false">
      <c r="C3" s="22"/>
      <c r="D3" s="22" t="s">
        <v>168</v>
      </c>
      <c r="E3" s="22" t="s">
        <v>169</v>
      </c>
      <c r="F3" s="22"/>
    </row>
    <row r="4" customFormat="false" ht="15" hidden="false" customHeight="false" outlineLevel="0" collapsed="false">
      <c r="C4" s="23" t="s">
        <v>61</v>
      </c>
      <c r="D4" s="23" t="s">
        <v>170</v>
      </c>
      <c r="E4" s="23" t="s">
        <v>62</v>
      </c>
      <c r="F4" s="23" t="n">
        <v>2</v>
      </c>
    </row>
    <row r="5" customFormat="false" ht="15" hidden="false" customHeight="false" outlineLevel="0" collapsed="false">
      <c r="C5" s="23" t="s">
        <v>63</v>
      </c>
      <c r="D5" s="23" t="s">
        <v>171</v>
      </c>
      <c r="E5" s="23" t="s">
        <v>64</v>
      </c>
      <c r="F5" s="23" t="n">
        <v>3</v>
      </c>
    </row>
    <row r="6" customFormat="false" ht="15" hidden="false" customHeight="false" outlineLevel="0" collapsed="false">
      <c r="C6" s="23" t="s">
        <v>65</v>
      </c>
      <c r="D6" s="23" t="s">
        <v>172</v>
      </c>
      <c r="E6" s="23" t="s">
        <v>66</v>
      </c>
      <c r="F6" s="23" t="n">
        <v>4</v>
      </c>
    </row>
    <row r="7" customFormat="false" ht="15" hidden="false" customHeight="false" outlineLevel="0" collapsed="false">
      <c r="C7" s="23" t="s">
        <v>67</v>
      </c>
      <c r="D7" s="23" t="s">
        <v>173</v>
      </c>
      <c r="E7" s="23" t="s">
        <v>68</v>
      </c>
      <c r="F7" s="23" t="n">
        <v>5</v>
      </c>
    </row>
    <row r="8" customFormat="false" ht="15" hidden="false" customHeight="false" outlineLevel="0" collapsed="false">
      <c r="C8" s="23" t="s">
        <v>69</v>
      </c>
      <c r="D8" s="23" t="s">
        <v>174</v>
      </c>
      <c r="E8" s="23" t="s">
        <v>70</v>
      </c>
      <c r="F8" s="23" t="n">
        <v>7</v>
      </c>
    </row>
    <row r="9" customFormat="false" ht="15" hidden="false" customHeight="false" outlineLevel="0" collapsed="false">
      <c r="C9" s="23" t="s">
        <v>71</v>
      </c>
      <c r="D9" s="23" t="s">
        <v>175</v>
      </c>
      <c r="E9" s="23" t="s">
        <v>72</v>
      </c>
      <c r="F9" s="23" t="n">
        <v>8</v>
      </c>
    </row>
    <row r="10" customFormat="false" ht="15" hidden="false" customHeight="false" outlineLevel="0" collapsed="false">
      <c r="C10" s="23" t="s">
        <v>73</v>
      </c>
      <c r="D10" s="23" t="s">
        <v>176</v>
      </c>
      <c r="E10" s="23" t="s">
        <v>74</v>
      </c>
      <c r="F10" s="23" t="n">
        <v>10</v>
      </c>
    </row>
    <row r="11" customFormat="false" ht="15" hidden="false" customHeight="false" outlineLevel="0" collapsed="false">
      <c r="C11" s="23" t="s">
        <v>75</v>
      </c>
      <c r="D11" s="23" t="s">
        <v>177</v>
      </c>
      <c r="E11" s="23" t="s">
        <v>76</v>
      </c>
      <c r="F11" s="23" t="n">
        <v>12</v>
      </c>
    </row>
    <row r="12" customFormat="false" ht="15" hidden="false" customHeight="false" outlineLevel="0" collapsed="false">
      <c r="C12" s="23" t="s">
        <v>77</v>
      </c>
      <c r="D12" s="23" t="s">
        <v>178</v>
      </c>
      <c r="E12" s="24" t="s">
        <v>78</v>
      </c>
      <c r="F12" s="24" t="n">
        <v>30</v>
      </c>
    </row>
    <row r="13" customFormat="false" ht="15" hidden="false" customHeight="false" outlineLevel="0" collapsed="false">
      <c r="C13" s="23" t="s">
        <v>79</v>
      </c>
      <c r="D13" s="23" t="s">
        <v>179</v>
      </c>
      <c r="E13" s="24" t="s">
        <v>80</v>
      </c>
      <c r="F13" s="24" t="n">
        <v>35</v>
      </c>
    </row>
    <row r="14" customFormat="false" ht="15" hidden="false" customHeight="false" outlineLevel="0" collapsed="false">
      <c r="C14" s="23" t="s">
        <v>81</v>
      </c>
      <c r="D14" s="23" t="s">
        <v>180</v>
      </c>
      <c r="E14" s="24" t="s">
        <v>82</v>
      </c>
      <c r="F14" s="24" t="n">
        <v>15</v>
      </c>
    </row>
    <row r="15" customFormat="false" ht="15" hidden="false" customHeight="false" outlineLevel="0" collapsed="false">
      <c r="C15" s="23" t="s">
        <v>83</v>
      </c>
      <c r="D15" s="23" t="s">
        <v>181</v>
      </c>
      <c r="E15" s="24" t="s">
        <v>84</v>
      </c>
      <c r="F15" s="24" t="n">
        <v>18</v>
      </c>
    </row>
    <row r="16" customFormat="false" ht="15" hidden="false" customHeight="false" outlineLevel="0" collapsed="false">
      <c r="C16" s="23" t="s">
        <v>85</v>
      </c>
      <c r="D16" s="23" t="s">
        <v>182</v>
      </c>
      <c r="E16" s="24" t="s">
        <v>86</v>
      </c>
      <c r="F16" s="24" t="n">
        <v>20</v>
      </c>
    </row>
    <row r="17" customFormat="false" ht="15" hidden="false" customHeight="false" outlineLevel="0" collapsed="false">
      <c r="C17" s="23" t="s">
        <v>87</v>
      </c>
      <c r="D17" s="23" t="s">
        <v>183</v>
      </c>
      <c r="E17" s="24" t="s">
        <v>88</v>
      </c>
      <c r="F17" s="24" t="n">
        <v>25</v>
      </c>
    </row>
    <row r="18" customFormat="false" ht="15" hidden="false" customHeight="false" outlineLevel="0" collapsed="false">
      <c r="C18" s="23" t="s">
        <v>89</v>
      </c>
      <c r="D18" s="23" t="s">
        <v>184</v>
      </c>
      <c r="E18" s="23" t="s">
        <v>90</v>
      </c>
      <c r="F18" s="23" t="n">
        <v>40</v>
      </c>
    </row>
    <row r="19" customFormat="false" ht="15" hidden="false" customHeight="false" outlineLevel="0" collapsed="false">
      <c r="C19" s="23" t="s">
        <v>91</v>
      </c>
      <c r="D19" s="23" t="s">
        <v>185</v>
      </c>
      <c r="E19" s="23" t="s">
        <v>92</v>
      </c>
      <c r="F19" s="23" t="n">
        <v>45</v>
      </c>
    </row>
    <row r="20" customFormat="false" ht="15" hidden="false" customHeight="false" outlineLevel="0" collapsed="false">
      <c r="C20" s="23" t="s">
        <v>93</v>
      </c>
      <c r="D20" s="23" t="s">
        <v>186</v>
      </c>
      <c r="E20" s="23" t="s">
        <v>94</v>
      </c>
      <c r="F20" s="23" t="n">
        <v>50</v>
      </c>
    </row>
    <row r="21" customFormat="false" ht="15" hidden="false" customHeight="false" outlineLevel="0" collapsed="false">
      <c r="C21" s="23" t="s">
        <v>95</v>
      </c>
      <c r="D21" s="23" t="s">
        <v>187</v>
      </c>
      <c r="E21" s="23" t="s">
        <v>96</v>
      </c>
      <c r="F21" s="23" t="n">
        <v>55</v>
      </c>
    </row>
    <row r="22" customFormat="false" ht="15" hidden="false" customHeight="false" outlineLevel="0" collapsed="false">
      <c r="C22" s="23" t="s">
        <v>97</v>
      </c>
      <c r="D22" s="23" t="s">
        <v>188</v>
      </c>
      <c r="E22" s="23" t="s">
        <v>98</v>
      </c>
      <c r="F22" s="23" t="n">
        <v>60</v>
      </c>
    </row>
    <row r="23" customFormat="false" ht="15" hidden="false" customHeight="false" outlineLevel="0" collapsed="false">
      <c r="C23" s="23" t="s">
        <v>99</v>
      </c>
      <c r="D23" s="23" t="s">
        <v>189</v>
      </c>
      <c r="E23" s="23" t="s">
        <v>100</v>
      </c>
      <c r="F23" s="23" t="n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LibreOffice/6.3.4.2$Linux_X86_64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2020-03-10T13:04:18Z</dcterms:modified>
  <cp:revision>1</cp:revision>
  <dc:subject/>
  <dc:title/>
</cp:coreProperties>
</file>