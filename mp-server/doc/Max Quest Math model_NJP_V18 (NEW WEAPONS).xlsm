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1" defaultThemeVersion="124226"/>
  <bookViews>
    <workbookView xWindow="0" yWindow="0" windowWidth="16380" windowHeight="8196" tabRatio="500" activeTab="2"/>
  </bookViews>
  <sheets>
    <sheet name="Summary" sheetId="1" r:id="rId1"/>
    <sheet name="HV Runner" sheetId="29" r:id="rId2"/>
    <sheet name="HV Troll" sheetId="30" r:id="rId3"/>
    <sheet name="Special weapon" sheetId="2" r:id="rId4"/>
    <sheet name="Buying Special weapons" sheetId="3" r:id="rId5"/>
    <sheet name="Boss round (4 or more players)" sheetId="4" r:id="rId6"/>
    <sheet name="Boss round (1,2,or 3 players)" sheetId="5" r:id="rId7"/>
    <sheet name="Scarab Black" sheetId="6" r:id="rId8"/>
    <sheet name="Scarab Gold" sheetId="18" r:id="rId9"/>
    <sheet name="Scarab Gem Covered" sheetId="19" r:id="rId10"/>
    <sheet name="Standard Mummy" sheetId="20" r:id="rId11"/>
    <sheet name="Mummy A" sheetId="21" r:id="rId12"/>
    <sheet name="Mummy B" sheetId="22" r:id="rId13"/>
    <sheet name="Mummy C" sheetId="23" r:id="rId14"/>
    <sheet name="Pharaoh A" sheetId="24" r:id="rId15"/>
    <sheet name="Pharaoh B" sheetId="25" r:id="rId16"/>
    <sheet name="HV Scarab (Old)" sheetId="26" r:id="rId17"/>
    <sheet name="HV enemy (Old)" sheetId="27" r:id="rId18"/>
  </sheets>
  <externalReferences>
    <externalReference r:id="rId19"/>
    <externalReference r:id="rId20"/>
  </externalReferences>
  <calcPr calcId="124519"/>
</workbook>
</file>

<file path=xl/calcChain.xml><?xml version="1.0" encoding="utf-8"?>
<calcChain xmlns="http://schemas.openxmlformats.org/spreadsheetml/2006/main">
  <c r="C4" i="30"/>
  <c r="C5"/>
  <c r="C6"/>
  <c r="C7"/>
  <c r="C8"/>
  <c r="C9"/>
  <c r="C10"/>
  <c r="C11"/>
  <c r="C12"/>
  <c r="C13"/>
  <c r="C14"/>
  <c r="C15"/>
  <c r="C16"/>
  <c r="C3"/>
  <c r="D3" s="1"/>
  <c r="B13"/>
  <c r="D13" l="1"/>
  <c r="B14"/>
  <c r="D14" s="1"/>
  <c r="C8" i="1" l="1"/>
  <c r="D8" s="1"/>
  <c r="D3" i="29"/>
  <c r="E3" s="1"/>
  <c r="F3" s="1"/>
  <c r="D4"/>
  <c r="E4" s="1"/>
  <c r="F4" s="1"/>
  <c r="D5"/>
  <c r="E5" s="1"/>
  <c r="F5" s="1"/>
  <c r="D6"/>
  <c r="E6" s="1"/>
  <c r="F6" s="1"/>
  <c r="D7"/>
  <c r="E7" s="1"/>
  <c r="F7" s="1"/>
  <c r="D8"/>
  <c r="E8" s="1"/>
  <c r="F8" s="1"/>
  <c r="D9"/>
  <c r="E9" s="1"/>
  <c r="F9" s="1"/>
  <c r="D10"/>
  <c r="E10" s="1"/>
  <c r="F10" s="1"/>
  <c r="D11"/>
  <c r="E11" s="1"/>
  <c r="F11" s="1"/>
  <c r="D12"/>
  <c r="E12" s="1"/>
  <c r="F12" s="1"/>
  <c r="D13"/>
  <c r="E13" s="1"/>
  <c r="D14"/>
  <c r="E14" s="1"/>
  <c r="D15"/>
  <c r="E15" s="1"/>
  <c r="F15" s="1"/>
  <c r="D16"/>
  <c r="E16" s="1"/>
  <c r="F16" s="1"/>
  <c r="C13" i="27"/>
  <c r="B13" i="29"/>
  <c r="B14" s="1"/>
  <c r="D115" i="2"/>
  <c r="D121" s="1"/>
  <c r="D99"/>
  <c r="BK18" i="4"/>
  <c r="BF18"/>
  <c r="AV18"/>
  <c r="BM17"/>
  <c r="BL17"/>
  <c r="BH17"/>
  <c r="BG17"/>
  <c r="BC17"/>
  <c r="AW17"/>
  <c r="AX17"/>
  <c r="BM16"/>
  <c r="BL16"/>
  <c r="BH16"/>
  <c r="BG16"/>
  <c r="BC16"/>
  <c r="AW16"/>
  <c r="AX16"/>
  <c r="BM15"/>
  <c r="BL15"/>
  <c r="BH15"/>
  <c r="BG15"/>
  <c r="BA15"/>
  <c r="BA18" s="1"/>
  <c r="AW15"/>
  <c r="AX15"/>
  <c r="BM14"/>
  <c r="BL14"/>
  <c r="BH14"/>
  <c r="BG14"/>
  <c r="BC14"/>
  <c r="BB14"/>
  <c r="AW14"/>
  <c r="AX14"/>
  <c r="BM13"/>
  <c r="BL13"/>
  <c r="BH13"/>
  <c r="BG13"/>
  <c r="BB13"/>
  <c r="BC13"/>
  <c r="AW13"/>
  <c r="AX13"/>
  <c r="BM12"/>
  <c r="BL12"/>
  <c r="BH12"/>
  <c r="BG12"/>
  <c r="BB12"/>
  <c r="BC12"/>
  <c r="AW12"/>
  <c r="AX12"/>
  <c r="BB12" i="5"/>
  <c r="BC13"/>
  <c r="BA15"/>
  <c r="BC16"/>
  <c r="AW17"/>
  <c r="BL13"/>
  <c r="BL14"/>
  <c r="BL15"/>
  <c r="BL16"/>
  <c r="BL17"/>
  <c r="BL12"/>
  <c r="BG13"/>
  <c r="BG14"/>
  <c r="BG15"/>
  <c r="BG16"/>
  <c r="BG17"/>
  <c r="BG12"/>
  <c r="AR13"/>
  <c r="AR14"/>
  <c r="AR15"/>
  <c r="AR16"/>
  <c r="AR17"/>
  <c r="AR12"/>
  <c r="AM13"/>
  <c r="AM14"/>
  <c r="AM15"/>
  <c r="AM16"/>
  <c r="AM17"/>
  <c r="AM12"/>
  <c r="AH13"/>
  <c r="AH14"/>
  <c r="AH15"/>
  <c r="AH16"/>
  <c r="AH17"/>
  <c r="AH12"/>
  <c r="AC13"/>
  <c r="AC14"/>
  <c r="AC15"/>
  <c r="AC16"/>
  <c r="AC17"/>
  <c r="AC12"/>
  <c r="N12"/>
  <c r="AS12"/>
  <c r="AS18" s="1"/>
  <c r="AX13"/>
  <c r="AX14"/>
  <c r="BC17"/>
  <c r="BK18"/>
  <c r="BF18"/>
  <c r="BM17"/>
  <c r="BH17"/>
  <c r="AX17"/>
  <c r="BM16"/>
  <c r="BH16"/>
  <c r="BM15"/>
  <c r="BH15"/>
  <c r="BC15"/>
  <c r="AX15"/>
  <c r="BM14"/>
  <c r="BH14"/>
  <c r="BM13"/>
  <c r="BH13"/>
  <c r="BM12"/>
  <c r="BH12"/>
  <c r="R45" i="3"/>
  <c r="T45" s="1"/>
  <c r="R44"/>
  <c r="T44" s="1"/>
  <c r="R43"/>
  <c r="T43" s="1"/>
  <c r="R42"/>
  <c r="T42" s="1"/>
  <c r="R41"/>
  <c r="T41" s="1"/>
  <c r="R40"/>
  <c r="T40" s="1"/>
  <c r="R39"/>
  <c r="T39" s="1"/>
  <c r="R38"/>
  <c r="T38" s="1"/>
  <c r="R37"/>
  <c r="T37" s="1"/>
  <c r="K45"/>
  <c r="M45" s="1"/>
  <c r="K44"/>
  <c r="M44" s="1"/>
  <c r="K43"/>
  <c r="M43" s="1"/>
  <c r="K42"/>
  <c r="M42" s="1"/>
  <c r="K41"/>
  <c r="M41" s="1"/>
  <c r="K40"/>
  <c r="M40" s="1"/>
  <c r="K39"/>
  <c r="M39" s="1"/>
  <c r="K38"/>
  <c r="M38" s="1"/>
  <c r="K37"/>
  <c r="M37" s="1"/>
  <c r="D37"/>
  <c r="F37" s="1"/>
  <c r="D45"/>
  <c r="F45" s="1"/>
  <c r="D44"/>
  <c r="F44" s="1"/>
  <c r="D43"/>
  <c r="F43" s="1"/>
  <c r="D42"/>
  <c r="F42" s="1"/>
  <c r="D41"/>
  <c r="F41" s="1"/>
  <c r="D40"/>
  <c r="F40" s="1"/>
  <c r="D39"/>
  <c r="F39" s="1"/>
  <c r="D38"/>
  <c r="F38" s="1"/>
  <c r="C10" i="1"/>
  <c r="B10" s="1"/>
  <c r="I10"/>
  <c r="H10" s="1"/>
  <c r="E13" i="27"/>
  <c r="E14" s="1"/>
  <c r="DC6" i="26"/>
  <c r="E13"/>
  <c r="E13" i="25"/>
  <c r="E13" i="24"/>
  <c r="E13" i="23"/>
  <c r="E13" i="22"/>
  <c r="E13" i="21"/>
  <c r="E14" i="20"/>
  <c r="E13"/>
  <c r="DD9" i="27"/>
  <c r="DB9"/>
  <c r="DC9" s="1"/>
  <c r="CW9"/>
  <c r="CP9"/>
  <c r="DD8"/>
  <c r="DE8" s="1"/>
  <c r="DC8"/>
  <c r="CW8"/>
  <c r="CU8"/>
  <c r="CX8" s="1"/>
  <c r="CP8"/>
  <c r="CQ8" s="1"/>
  <c r="CN8"/>
  <c r="DD7"/>
  <c r="DE7" s="1"/>
  <c r="DC7"/>
  <c r="CW7"/>
  <c r="CX7" s="1"/>
  <c r="CU7"/>
  <c r="CQ7"/>
  <c r="CP7"/>
  <c r="CN7"/>
  <c r="DD6"/>
  <c r="DE6" s="1"/>
  <c r="DC6"/>
  <c r="CX6"/>
  <c r="CW6"/>
  <c r="CU6"/>
  <c r="CP6"/>
  <c r="CN6"/>
  <c r="DD5"/>
  <c r="DE5" s="1"/>
  <c r="DC5"/>
  <c r="CW5"/>
  <c r="CU5"/>
  <c r="CP5"/>
  <c r="CQ5" s="1"/>
  <c r="CN5"/>
  <c r="DE4"/>
  <c r="DD4"/>
  <c r="DC4"/>
  <c r="CW4"/>
  <c r="CU4"/>
  <c r="CX4" s="1"/>
  <c r="CP4"/>
  <c r="CN4"/>
  <c r="CQ4" s="1"/>
  <c r="DE3"/>
  <c r="DD3"/>
  <c r="DC3"/>
  <c r="CW3"/>
  <c r="CU3"/>
  <c r="CV8" s="1"/>
  <c r="CP3"/>
  <c r="CN3"/>
  <c r="CO3" s="1"/>
  <c r="DD9" i="26"/>
  <c r="DB9"/>
  <c r="DC9" s="1"/>
  <c r="CW9"/>
  <c r="CP9"/>
  <c r="DD8"/>
  <c r="DE8" s="1"/>
  <c r="DC8"/>
  <c r="CW8"/>
  <c r="CX8" s="1"/>
  <c r="CU8"/>
  <c r="CP8"/>
  <c r="CN8"/>
  <c r="DD7"/>
  <c r="DE7" s="1"/>
  <c r="DC7"/>
  <c r="CW7"/>
  <c r="CX7" s="1"/>
  <c r="CU7"/>
  <c r="CP7"/>
  <c r="CN7"/>
  <c r="DD6"/>
  <c r="DE6" s="1"/>
  <c r="CW6"/>
  <c r="CU6"/>
  <c r="CP6"/>
  <c r="CN6"/>
  <c r="DD5"/>
  <c r="DE5" s="1"/>
  <c r="DC5"/>
  <c r="CW5"/>
  <c r="CU5"/>
  <c r="CQ5"/>
  <c r="CP5"/>
  <c r="CN5"/>
  <c r="DE4"/>
  <c r="DD4"/>
  <c r="DC4"/>
  <c r="CW4"/>
  <c r="CU4"/>
  <c r="CP4"/>
  <c r="CQ4" s="1"/>
  <c r="CN4"/>
  <c r="DD3"/>
  <c r="DE3" s="1"/>
  <c r="DC3"/>
  <c r="CW3"/>
  <c r="CU3"/>
  <c r="CV4" s="1"/>
  <c r="CP3"/>
  <c r="CQ3" s="1"/>
  <c r="CN3"/>
  <c r="CO4" s="1"/>
  <c r="DD9" i="25"/>
  <c r="DB9"/>
  <c r="DE9" s="1"/>
  <c r="CW9"/>
  <c r="CP9"/>
  <c r="DE8"/>
  <c r="DD8"/>
  <c r="DC8"/>
  <c r="CW8"/>
  <c r="CU8"/>
  <c r="CX8" s="1"/>
  <c r="CP8"/>
  <c r="CN8"/>
  <c r="CQ8" s="1"/>
  <c r="DE7"/>
  <c r="DD7"/>
  <c r="DC7"/>
  <c r="CW7"/>
  <c r="CU7"/>
  <c r="CX7" s="1"/>
  <c r="CP7"/>
  <c r="CN7"/>
  <c r="CQ7" s="1"/>
  <c r="DE6"/>
  <c r="DD6"/>
  <c r="DC6"/>
  <c r="CW6"/>
  <c r="CU6"/>
  <c r="CP6"/>
  <c r="CQ6" s="1"/>
  <c r="CN6"/>
  <c r="DD5"/>
  <c r="DE5" s="1"/>
  <c r="DC5"/>
  <c r="CW5"/>
  <c r="CU5"/>
  <c r="CX5" s="1"/>
  <c r="CP5"/>
  <c r="CN5"/>
  <c r="CQ5" s="1"/>
  <c r="DD4"/>
  <c r="DE4" s="1"/>
  <c r="DC4"/>
  <c r="CW4"/>
  <c r="CU4"/>
  <c r="CP4"/>
  <c r="CN4"/>
  <c r="DE3"/>
  <c r="DD3"/>
  <c r="DC3"/>
  <c r="CX3"/>
  <c r="CW3"/>
  <c r="CV3"/>
  <c r="CU3"/>
  <c r="CP3"/>
  <c r="CQ3" s="1"/>
  <c r="CN3"/>
  <c r="CO4" s="1"/>
  <c r="DD9" i="24"/>
  <c r="DB9"/>
  <c r="DC9" s="1"/>
  <c r="CW9"/>
  <c r="CP9"/>
  <c r="DD8"/>
  <c r="DE8" s="1"/>
  <c r="DC8"/>
  <c r="CW8"/>
  <c r="CU8"/>
  <c r="CX8" s="1"/>
  <c r="CP8"/>
  <c r="CN8"/>
  <c r="CQ8" s="1"/>
  <c r="DE7"/>
  <c r="DD7"/>
  <c r="DC7"/>
  <c r="CW7"/>
  <c r="CX7" s="1"/>
  <c r="CU7"/>
  <c r="CP7"/>
  <c r="CQ7" s="1"/>
  <c r="CN7"/>
  <c r="DD6"/>
  <c r="DE6" s="1"/>
  <c r="DC6"/>
  <c r="CW6"/>
  <c r="CX6" s="1"/>
  <c r="CU6"/>
  <c r="CP6"/>
  <c r="CN6"/>
  <c r="DD5"/>
  <c r="DE5" s="1"/>
  <c r="DC5"/>
  <c r="CW5"/>
  <c r="CU5"/>
  <c r="CX5" s="1"/>
  <c r="CP5"/>
  <c r="CN5"/>
  <c r="DD4"/>
  <c r="DE4" s="1"/>
  <c r="DC4"/>
  <c r="CW4"/>
  <c r="CU4"/>
  <c r="CP4"/>
  <c r="CN4"/>
  <c r="DD3"/>
  <c r="DE3" s="1"/>
  <c r="DC3"/>
  <c r="CW3"/>
  <c r="CV3"/>
  <c r="CU3"/>
  <c r="CP3"/>
  <c r="CN3"/>
  <c r="CO4" s="1"/>
  <c r="DD9" i="23"/>
  <c r="DB9"/>
  <c r="DC9" s="1"/>
  <c r="CW9"/>
  <c r="CP9"/>
  <c r="DD8"/>
  <c r="DE8" s="1"/>
  <c r="DC8"/>
  <c r="CW8"/>
  <c r="CU8"/>
  <c r="CX8" s="1"/>
  <c r="CP8"/>
  <c r="CN8"/>
  <c r="DE7"/>
  <c r="DD7"/>
  <c r="DC7"/>
  <c r="CW7"/>
  <c r="CU7"/>
  <c r="CP7"/>
  <c r="CN7"/>
  <c r="CQ7" s="1"/>
  <c r="DD6"/>
  <c r="DE6" s="1"/>
  <c r="DC6"/>
  <c r="CW6"/>
  <c r="CU6"/>
  <c r="CP6"/>
  <c r="CN6"/>
  <c r="DD5"/>
  <c r="DE5" s="1"/>
  <c r="DC5"/>
  <c r="CW5"/>
  <c r="CU5"/>
  <c r="CQ5"/>
  <c r="CP5"/>
  <c r="CN5"/>
  <c r="DD4"/>
  <c r="DE4" s="1"/>
  <c r="DC4"/>
  <c r="CX4"/>
  <c r="CW4"/>
  <c r="CU4"/>
  <c r="CP4"/>
  <c r="CN4"/>
  <c r="CQ4" s="1"/>
  <c r="DD3"/>
  <c r="DE3" s="1"/>
  <c r="DC3"/>
  <c r="CW3"/>
  <c r="CU3"/>
  <c r="CV3" s="1"/>
  <c r="CP3"/>
  <c r="CQ3" s="1"/>
  <c r="CO3"/>
  <c r="CN3"/>
  <c r="CO4" s="1"/>
  <c r="DD9" i="22"/>
  <c r="DB9"/>
  <c r="DC9" s="1"/>
  <c r="CW9"/>
  <c r="CP9"/>
  <c r="DE8"/>
  <c r="DD8"/>
  <c r="DC8"/>
  <c r="CW8"/>
  <c r="CU8"/>
  <c r="CQ8"/>
  <c r="CP8"/>
  <c r="CN8"/>
  <c r="DD7"/>
  <c r="DE7" s="1"/>
  <c r="DC7"/>
  <c r="CW7"/>
  <c r="CU7"/>
  <c r="CQ7"/>
  <c r="CP7"/>
  <c r="CN7"/>
  <c r="DD6"/>
  <c r="DE6" s="1"/>
  <c r="DC6"/>
  <c r="CX6"/>
  <c r="CW6"/>
  <c r="CU6"/>
  <c r="CP6"/>
  <c r="CN6"/>
  <c r="CQ6" s="1"/>
  <c r="DE5"/>
  <c r="DD5"/>
  <c r="DC5"/>
  <c r="CW5"/>
  <c r="CU5"/>
  <c r="CX5" s="1"/>
  <c r="CP5"/>
  <c r="CO5"/>
  <c r="CN5"/>
  <c r="DE4"/>
  <c r="DD4"/>
  <c r="DC4"/>
  <c r="CW4"/>
  <c r="CX4" s="1"/>
  <c r="CU4"/>
  <c r="CP4"/>
  <c r="CN4"/>
  <c r="DD3"/>
  <c r="DE3" s="1"/>
  <c r="DC3"/>
  <c r="CW3"/>
  <c r="CX3" s="1"/>
  <c r="CU3"/>
  <c r="CV3" s="1"/>
  <c r="CP3"/>
  <c r="CN3"/>
  <c r="DD9" i="21"/>
  <c r="DC9"/>
  <c r="DB9"/>
  <c r="DE9" s="1"/>
  <c r="CW9"/>
  <c r="CP9"/>
  <c r="DD8"/>
  <c r="DE8" s="1"/>
  <c r="DC8"/>
  <c r="CW8"/>
  <c r="CU8"/>
  <c r="CP8"/>
  <c r="CN8"/>
  <c r="DD7"/>
  <c r="DE7" s="1"/>
  <c r="DC7"/>
  <c r="CX7"/>
  <c r="CW7"/>
  <c r="CU7"/>
  <c r="CP7"/>
  <c r="CN7"/>
  <c r="CQ7" s="1"/>
  <c r="DE6"/>
  <c r="DD6"/>
  <c r="DC6"/>
  <c r="CW6"/>
  <c r="CU6"/>
  <c r="CX6" s="1"/>
  <c r="CP6"/>
  <c r="CN6"/>
  <c r="DD5"/>
  <c r="DE5" s="1"/>
  <c r="DC5"/>
  <c r="CW5"/>
  <c r="CU5"/>
  <c r="CX5" s="1"/>
  <c r="CQ5"/>
  <c r="CP5"/>
  <c r="CN5"/>
  <c r="DD4"/>
  <c r="DE4" s="1"/>
  <c r="DC4"/>
  <c r="CW4"/>
  <c r="CU4"/>
  <c r="CV5" s="1"/>
  <c r="CP4"/>
  <c r="CN4"/>
  <c r="CQ4" s="1"/>
  <c r="DD3"/>
  <c r="DE3" s="1"/>
  <c r="DC3"/>
  <c r="CX3"/>
  <c r="CW3"/>
  <c r="CU3"/>
  <c r="CQ3"/>
  <c r="CP3"/>
  <c r="CO3"/>
  <c r="CN3"/>
  <c r="CO5" s="1"/>
  <c r="DD9" i="20"/>
  <c r="DB9"/>
  <c r="DC9" s="1"/>
  <c r="CW9"/>
  <c r="CP9"/>
  <c r="DD8"/>
  <c r="DE8" s="1"/>
  <c r="DC8"/>
  <c r="CW8"/>
  <c r="CU8"/>
  <c r="CX8" s="1"/>
  <c r="CQ8"/>
  <c r="CP8"/>
  <c r="CN8"/>
  <c r="DD7"/>
  <c r="DE7" s="1"/>
  <c r="DC7"/>
  <c r="CW7"/>
  <c r="CU7"/>
  <c r="CX7" s="1"/>
  <c r="CQ7"/>
  <c r="CP7"/>
  <c r="CN7"/>
  <c r="DE6"/>
  <c r="DD6"/>
  <c r="DC6"/>
  <c r="CW6"/>
  <c r="CU6"/>
  <c r="CX6" s="1"/>
  <c r="CP6"/>
  <c r="CQ6" s="1"/>
  <c r="CN6"/>
  <c r="DD5"/>
  <c r="DE5" s="1"/>
  <c r="DC5"/>
  <c r="CW5"/>
  <c r="CU5"/>
  <c r="CQ5"/>
  <c r="CP5"/>
  <c r="CN5"/>
  <c r="DD4"/>
  <c r="DE4" s="1"/>
  <c r="DC4"/>
  <c r="CW4"/>
  <c r="CU4"/>
  <c r="CP4"/>
  <c r="CN4"/>
  <c r="CQ4" s="1"/>
  <c r="DE3"/>
  <c r="DD3"/>
  <c r="DC3"/>
  <c r="CW3"/>
  <c r="CX3" s="1"/>
  <c r="CV3"/>
  <c r="CU3"/>
  <c r="CV4" s="1"/>
  <c r="CP3"/>
  <c r="CQ3" s="1"/>
  <c r="CO3"/>
  <c r="CN3"/>
  <c r="DD9" i="19"/>
  <c r="DB9"/>
  <c r="DC9" s="1"/>
  <c r="CW9"/>
  <c r="CP9"/>
  <c r="DD8"/>
  <c r="DE8" s="1"/>
  <c r="DC8"/>
  <c r="CW8"/>
  <c r="CU8"/>
  <c r="CP8"/>
  <c r="CN8"/>
  <c r="CQ8" s="1"/>
  <c r="DD7"/>
  <c r="DE7" s="1"/>
  <c r="DC7"/>
  <c r="CW7"/>
  <c r="CU7"/>
  <c r="CP7"/>
  <c r="CN7"/>
  <c r="CQ7" s="1"/>
  <c r="DD6"/>
  <c r="DE6" s="1"/>
  <c r="DC6"/>
  <c r="CW6"/>
  <c r="CU6"/>
  <c r="CX6" s="1"/>
  <c r="CP6"/>
  <c r="CN6"/>
  <c r="CQ6" s="1"/>
  <c r="DD5"/>
  <c r="DE5" s="1"/>
  <c r="DC5"/>
  <c r="CW5"/>
  <c r="CU5"/>
  <c r="CQ5"/>
  <c r="CP5"/>
  <c r="CN5"/>
  <c r="DE4"/>
  <c r="DD4"/>
  <c r="DC4"/>
  <c r="CW4"/>
  <c r="CU4"/>
  <c r="CX4" s="1"/>
  <c r="CP4"/>
  <c r="CN4"/>
  <c r="CQ4" s="1"/>
  <c r="DD3"/>
  <c r="DE3" s="1"/>
  <c r="DC3"/>
  <c r="CW3"/>
  <c r="CX3" s="1"/>
  <c r="CV3"/>
  <c r="CU3"/>
  <c r="CP3"/>
  <c r="CQ3" s="1"/>
  <c r="CO3"/>
  <c r="CN3"/>
  <c r="CU4" i="6"/>
  <c r="CX4" s="1"/>
  <c r="CU5"/>
  <c r="CU6"/>
  <c r="CX6" s="1"/>
  <c r="CU7"/>
  <c r="CU8"/>
  <c r="CU3"/>
  <c r="CU4" i="18"/>
  <c r="CU5"/>
  <c r="CU6"/>
  <c r="CU7"/>
  <c r="CU8"/>
  <c r="CU3"/>
  <c r="E13" i="19"/>
  <c r="E14" s="1"/>
  <c r="CW3" i="18"/>
  <c r="CN4"/>
  <c r="CN5"/>
  <c r="CN6"/>
  <c r="CQ6" s="1"/>
  <c r="CN7"/>
  <c r="CN8"/>
  <c r="CQ8" s="1"/>
  <c r="CN3"/>
  <c r="DD9"/>
  <c r="DB9"/>
  <c r="CW9"/>
  <c r="CP9"/>
  <c r="DE8"/>
  <c r="DD8"/>
  <c r="DC8"/>
  <c r="CW8"/>
  <c r="CP8"/>
  <c r="DD7"/>
  <c r="DE7" s="1"/>
  <c r="DC7"/>
  <c r="CX7"/>
  <c r="CW7"/>
  <c r="CP7"/>
  <c r="DD6"/>
  <c r="DE6" s="1"/>
  <c r="DC6"/>
  <c r="CW6"/>
  <c r="CX6" s="1"/>
  <c r="CP6"/>
  <c r="DE5"/>
  <c r="DD5"/>
  <c r="DC5"/>
  <c r="CW5"/>
  <c r="CX5" s="1"/>
  <c r="CP5"/>
  <c r="CQ5" s="1"/>
  <c r="DD4"/>
  <c r="DE4" s="1"/>
  <c r="DC4"/>
  <c r="CW4"/>
  <c r="CP4"/>
  <c r="CQ4" s="1"/>
  <c r="DD3"/>
  <c r="DE3" s="1"/>
  <c r="DC3"/>
  <c r="CP3"/>
  <c r="E13"/>
  <c r="E14" i="6"/>
  <c r="E13"/>
  <c r="DC4"/>
  <c r="DC5"/>
  <c r="DC6"/>
  <c r="DC7"/>
  <c r="DC8"/>
  <c r="DC3"/>
  <c r="CO4"/>
  <c r="CO5"/>
  <c r="CO6"/>
  <c r="CO7"/>
  <c r="CO8"/>
  <c r="CO3"/>
  <c r="CP4"/>
  <c r="CQ4" s="1"/>
  <c r="CP5"/>
  <c r="CQ5" s="1"/>
  <c r="CP6"/>
  <c r="CQ6" s="1"/>
  <c r="CP7"/>
  <c r="CQ7" s="1"/>
  <c r="CP8"/>
  <c r="CQ8" s="1"/>
  <c r="CP9"/>
  <c r="CP3"/>
  <c r="CW4"/>
  <c r="CW5"/>
  <c r="CW6"/>
  <c r="CW7"/>
  <c r="CW8"/>
  <c r="CX8" s="1"/>
  <c r="CW9"/>
  <c r="CW3"/>
  <c r="DD4"/>
  <c r="DE4" s="1"/>
  <c r="DD5"/>
  <c r="DE5" s="1"/>
  <c r="DD6"/>
  <c r="DE6" s="1"/>
  <c r="DD7"/>
  <c r="DE7" s="1"/>
  <c r="DD8"/>
  <c r="DE8" s="1"/>
  <c r="DD9"/>
  <c r="DD3"/>
  <c r="DE3" s="1"/>
  <c r="DB9"/>
  <c r="DC9" s="1"/>
  <c r="CX7"/>
  <c r="CN9"/>
  <c r="CO9" s="1"/>
  <c r="C29" i="2"/>
  <c r="C41" s="1"/>
  <c r="D41" s="1"/>
  <c r="C30"/>
  <c r="C42" s="1"/>
  <c r="D42" s="1"/>
  <c r="C31"/>
  <c r="C43" s="1"/>
  <c r="D43" s="1"/>
  <c r="D19"/>
  <c r="D18"/>
  <c r="D17"/>
  <c r="E45"/>
  <c r="K4" i="6"/>
  <c r="D90" i="2"/>
  <c r="AQ6" i="27"/>
  <c r="AR8" s="1"/>
  <c r="AQ6" i="26"/>
  <c r="AQ10" s="1"/>
  <c r="AJ9" i="25"/>
  <c r="AK9" s="1"/>
  <c r="AQ6"/>
  <c r="AR8" s="1"/>
  <c r="AQ6" i="24"/>
  <c r="AR6" s="1"/>
  <c r="AQ6" i="23"/>
  <c r="AR6" s="1"/>
  <c r="AQ6" i="22"/>
  <c r="AR6" s="1"/>
  <c r="AJ9" i="21"/>
  <c r="AK9" s="1"/>
  <c r="AQ6"/>
  <c r="AQ10" s="1"/>
  <c r="AQ6" i="20"/>
  <c r="AR7" s="1"/>
  <c r="AQ6" i="19"/>
  <c r="AQ6" i="18"/>
  <c r="AQ6" i="6"/>
  <c r="AQ18" i="5"/>
  <c r="AL18"/>
  <c r="AG18"/>
  <c r="AB18"/>
  <c r="W18"/>
  <c r="R18"/>
  <c r="M18"/>
  <c r="H18"/>
  <c r="C18"/>
  <c r="AS17"/>
  <c r="AN17"/>
  <c r="AI17"/>
  <c r="AD17"/>
  <c r="Y17"/>
  <c r="X17"/>
  <c r="T17"/>
  <c r="S17"/>
  <c r="O17"/>
  <c r="N17"/>
  <c r="J17"/>
  <c r="I17"/>
  <c r="E17"/>
  <c r="D17"/>
  <c r="AS16"/>
  <c r="AN16"/>
  <c r="AI16"/>
  <c r="AD16"/>
  <c r="Y16"/>
  <c r="X16"/>
  <c r="T16"/>
  <c r="S16"/>
  <c r="O16"/>
  <c r="N16"/>
  <c r="J16"/>
  <c r="I16"/>
  <c r="E16"/>
  <c r="D16"/>
  <c r="AS15"/>
  <c r="AN15"/>
  <c r="AI15"/>
  <c r="AD15"/>
  <c r="Y15"/>
  <c r="X15"/>
  <c r="T15"/>
  <c r="S15"/>
  <c r="O15"/>
  <c r="N15"/>
  <c r="J15"/>
  <c r="I15"/>
  <c r="E15"/>
  <c r="D15"/>
  <c r="AS14"/>
  <c r="AN14"/>
  <c r="AI14"/>
  <c r="AD14"/>
  <c r="Y14"/>
  <c r="X14"/>
  <c r="T14"/>
  <c r="S14"/>
  <c r="O14"/>
  <c r="N14"/>
  <c r="J14"/>
  <c r="I14"/>
  <c r="E14"/>
  <c r="D14"/>
  <c r="AS13"/>
  <c r="AN13"/>
  <c r="AI13"/>
  <c r="AD13"/>
  <c r="Y13"/>
  <c r="X13"/>
  <c r="T13"/>
  <c r="S13"/>
  <c r="O13"/>
  <c r="N13"/>
  <c r="J13"/>
  <c r="I13"/>
  <c r="E13"/>
  <c r="D13"/>
  <c r="AN12"/>
  <c r="AI12"/>
  <c r="AD12"/>
  <c r="AD18" s="1"/>
  <c r="Y12"/>
  <c r="X12"/>
  <c r="T12"/>
  <c r="T18" s="1"/>
  <c r="S12"/>
  <c r="O12"/>
  <c r="J12"/>
  <c r="I12"/>
  <c r="E12"/>
  <c r="D12"/>
  <c r="AS17" i="4"/>
  <c r="AS16"/>
  <c r="AS15"/>
  <c r="AS14"/>
  <c r="AS13"/>
  <c r="AS12"/>
  <c r="AN17"/>
  <c r="AN16"/>
  <c r="AN15"/>
  <c r="AN14"/>
  <c r="AN13"/>
  <c r="AN12"/>
  <c r="AI17"/>
  <c r="AI16"/>
  <c r="AI15"/>
  <c r="AI14"/>
  <c r="AI13"/>
  <c r="AI12"/>
  <c r="AD17"/>
  <c r="AD16"/>
  <c r="AD15"/>
  <c r="AD14"/>
  <c r="AD13"/>
  <c r="AD12"/>
  <c r="AQ18"/>
  <c r="AL18"/>
  <c r="AG18"/>
  <c r="AB18"/>
  <c r="X13"/>
  <c r="K52" i="1"/>
  <c r="H52"/>
  <c r="E52"/>
  <c r="B52"/>
  <c r="K51"/>
  <c r="H51"/>
  <c r="E51"/>
  <c r="B51"/>
  <c r="K50"/>
  <c r="H50"/>
  <c r="E50"/>
  <c r="B50"/>
  <c r="K49"/>
  <c r="H49"/>
  <c r="E49"/>
  <c r="B49"/>
  <c r="K48"/>
  <c r="H48"/>
  <c r="E48"/>
  <c r="B48"/>
  <c r="K47"/>
  <c r="H47"/>
  <c r="E47"/>
  <c r="B47"/>
  <c r="K46"/>
  <c r="H46"/>
  <c r="E46"/>
  <c r="B46"/>
  <c r="K41"/>
  <c r="H41"/>
  <c r="E41"/>
  <c r="B41"/>
  <c r="K40"/>
  <c r="H40"/>
  <c r="E40"/>
  <c r="B40"/>
  <c r="K39"/>
  <c r="H39"/>
  <c r="E39"/>
  <c r="B39"/>
  <c r="K38"/>
  <c r="H38"/>
  <c r="E38"/>
  <c r="B38"/>
  <c r="K37"/>
  <c r="H37"/>
  <c r="E37"/>
  <c r="B37"/>
  <c r="K36"/>
  <c r="H36"/>
  <c r="E36"/>
  <c r="B36"/>
  <c r="K35"/>
  <c r="H35"/>
  <c r="E35"/>
  <c r="B35"/>
  <c r="CH4" i="27"/>
  <c r="CH5"/>
  <c r="CH6"/>
  <c r="CH7"/>
  <c r="CH8"/>
  <c r="CH3"/>
  <c r="CG9"/>
  <c r="CH9" s="1"/>
  <c r="O10"/>
  <c r="AE9"/>
  <c r="AC9"/>
  <c r="AD9" s="1"/>
  <c r="X9"/>
  <c r="AS9" s="1"/>
  <c r="BN9" s="1"/>
  <c r="V9"/>
  <c r="V10" s="1"/>
  <c r="Q9"/>
  <c r="AL9" s="1"/>
  <c r="O9"/>
  <c r="P9" s="1"/>
  <c r="H9"/>
  <c r="H10" s="1"/>
  <c r="AE8"/>
  <c r="AF8" s="1"/>
  <c r="AD8"/>
  <c r="X8"/>
  <c r="Y8" s="1"/>
  <c r="W8"/>
  <c r="Q8"/>
  <c r="R8" s="1"/>
  <c r="P8"/>
  <c r="K8"/>
  <c r="I8"/>
  <c r="AE7"/>
  <c r="AF7" s="1"/>
  <c r="AD7"/>
  <c r="X7"/>
  <c r="Y7" s="1"/>
  <c r="W7"/>
  <c r="Q7"/>
  <c r="AL7" s="1"/>
  <c r="P7"/>
  <c r="K7"/>
  <c r="I7"/>
  <c r="AE6"/>
  <c r="AF6" s="1"/>
  <c r="AD6"/>
  <c r="X6"/>
  <c r="AS6" s="1"/>
  <c r="W6"/>
  <c r="R6"/>
  <c r="Q6"/>
  <c r="AL6" s="1"/>
  <c r="P6"/>
  <c r="K6"/>
  <c r="I6"/>
  <c r="AE5"/>
  <c r="AF5" s="1"/>
  <c r="AD5"/>
  <c r="X5"/>
  <c r="Y5" s="1"/>
  <c r="W5"/>
  <c r="Q5"/>
  <c r="R5" s="1"/>
  <c r="P5"/>
  <c r="K5"/>
  <c r="I5"/>
  <c r="AE4"/>
  <c r="AZ4" s="1"/>
  <c r="BU4" s="1"/>
  <c r="BV4" s="1"/>
  <c r="AD4"/>
  <c r="X4"/>
  <c r="Y4" s="1"/>
  <c r="W4"/>
  <c r="R4"/>
  <c r="Q4"/>
  <c r="P4"/>
  <c r="K4"/>
  <c r="I4"/>
  <c r="AE3"/>
  <c r="AF3" s="1"/>
  <c r="AD3"/>
  <c r="Y3"/>
  <c r="X3"/>
  <c r="W3"/>
  <c r="R3"/>
  <c r="Q3"/>
  <c r="AL3" s="1"/>
  <c r="BG3" s="1"/>
  <c r="CI3" s="1"/>
  <c r="CJ3" s="1"/>
  <c r="P3"/>
  <c r="K3"/>
  <c r="I3"/>
  <c r="B17"/>
  <c r="BZ9"/>
  <c r="CA9" s="1"/>
  <c r="BS9"/>
  <c r="BT9" s="1"/>
  <c r="BL9"/>
  <c r="BL10" s="1"/>
  <c r="BE9"/>
  <c r="BE10" s="1"/>
  <c r="AX9"/>
  <c r="AY9" s="1"/>
  <c r="AJ9"/>
  <c r="AK9" s="1"/>
  <c r="AZ9"/>
  <c r="CA8"/>
  <c r="BT8"/>
  <c r="BM8"/>
  <c r="BF8"/>
  <c r="AY8"/>
  <c r="AK8"/>
  <c r="AL8"/>
  <c r="CA7"/>
  <c r="BT7"/>
  <c r="BM7"/>
  <c r="BF7"/>
  <c r="AY7"/>
  <c r="AS7"/>
  <c r="BN7" s="1"/>
  <c r="BO7" s="1"/>
  <c r="AK7"/>
  <c r="CA6"/>
  <c r="BT6"/>
  <c r="BM6"/>
  <c r="BF6"/>
  <c r="AY6"/>
  <c r="AK6"/>
  <c r="CA5"/>
  <c r="BT5"/>
  <c r="BM5"/>
  <c r="BF5"/>
  <c r="AY5"/>
  <c r="AR5"/>
  <c r="AK5"/>
  <c r="CA4"/>
  <c r="BT4"/>
  <c r="BM4"/>
  <c r="BF4"/>
  <c r="AY4"/>
  <c r="AR4"/>
  <c r="AK4"/>
  <c r="AS4"/>
  <c r="AL4"/>
  <c r="CA3"/>
  <c r="BT3"/>
  <c r="BM3"/>
  <c r="BF3"/>
  <c r="AY3"/>
  <c r="AR3"/>
  <c r="AK3"/>
  <c r="AZ3"/>
  <c r="AS3"/>
  <c r="CH4" i="26"/>
  <c r="CH5"/>
  <c r="CH6"/>
  <c r="CH7"/>
  <c r="CH8"/>
  <c r="CH9"/>
  <c r="CH3"/>
  <c r="CG9"/>
  <c r="AE9"/>
  <c r="AD9"/>
  <c r="AC9"/>
  <c r="AF9" s="1"/>
  <c r="X9"/>
  <c r="AS9" s="1"/>
  <c r="BN9" s="1"/>
  <c r="V9"/>
  <c r="V10" s="1"/>
  <c r="Q9"/>
  <c r="O9"/>
  <c r="O10" s="1"/>
  <c r="H9"/>
  <c r="I9" s="1"/>
  <c r="AE8"/>
  <c r="AF8" s="1"/>
  <c r="AD8"/>
  <c r="Y8"/>
  <c r="X8"/>
  <c r="AS8" s="1"/>
  <c r="BN8" s="1"/>
  <c r="BO8" s="1"/>
  <c r="W8"/>
  <c r="Q8"/>
  <c r="R8" s="1"/>
  <c r="P8"/>
  <c r="K8"/>
  <c r="I8"/>
  <c r="AE7"/>
  <c r="AF7" s="1"/>
  <c r="AD7"/>
  <c r="X7"/>
  <c r="AS7" s="1"/>
  <c r="W7"/>
  <c r="R7"/>
  <c r="Q7"/>
  <c r="P7"/>
  <c r="K7"/>
  <c r="I7"/>
  <c r="AE6"/>
  <c r="AF6" s="1"/>
  <c r="AD6"/>
  <c r="X6"/>
  <c r="AS6" s="1"/>
  <c r="W6"/>
  <c r="Q6"/>
  <c r="R6" s="1"/>
  <c r="P6"/>
  <c r="K6"/>
  <c r="I6"/>
  <c r="AE5"/>
  <c r="AF5" s="1"/>
  <c r="AD5"/>
  <c r="X5"/>
  <c r="Y5" s="1"/>
  <c r="W5"/>
  <c r="Q5"/>
  <c r="R5" s="1"/>
  <c r="P5"/>
  <c r="K5"/>
  <c r="I5"/>
  <c r="AF4"/>
  <c r="AE4"/>
  <c r="AD4"/>
  <c r="X4"/>
  <c r="AS4" s="1"/>
  <c r="W4"/>
  <c r="Q4"/>
  <c r="AL4" s="1"/>
  <c r="P4"/>
  <c r="K4"/>
  <c r="I4"/>
  <c r="AE3"/>
  <c r="AF3" s="1"/>
  <c r="AD3"/>
  <c r="X3"/>
  <c r="Y3" s="1"/>
  <c r="W3"/>
  <c r="Q3"/>
  <c r="R3" s="1"/>
  <c r="P3"/>
  <c r="K3"/>
  <c r="I3"/>
  <c r="B17"/>
  <c r="BZ9"/>
  <c r="CA9" s="1"/>
  <c r="BS9"/>
  <c r="BT9" s="1"/>
  <c r="BL9"/>
  <c r="BL10" s="1"/>
  <c r="BE9"/>
  <c r="BE10" s="1"/>
  <c r="AX9"/>
  <c r="AY9" s="1"/>
  <c r="AJ9"/>
  <c r="AK9" s="1"/>
  <c r="AZ9"/>
  <c r="AL9"/>
  <c r="CA8"/>
  <c r="BT8"/>
  <c r="BM8"/>
  <c r="BF8"/>
  <c r="AY8"/>
  <c r="AK8"/>
  <c r="AL8"/>
  <c r="CA7"/>
  <c r="BT7"/>
  <c r="BM7"/>
  <c r="BF7"/>
  <c r="AZ7"/>
  <c r="BU7" s="1"/>
  <c r="BV7" s="1"/>
  <c r="AY7"/>
  <c r="AK7"/>
  <c r="AL7"/>
  <c r="CA6"/>
  <c r="BT6"/>
  <c r="BM6"/>
  <c r="BF6"/>
  <c r="AY6"/>
  <c r="AK6"/>
  <c r="CA5"/>
  <c r="BT5"/>
  <c r="BM5"/>
  <c r="BF5"/>
  <c r="AZ5"/>
  <c r="BU5" s="1"/>
  <c r="BV5" s="1"/>
  <c r="AY5"/>
  <c r="AR5"/>
  <c r="AK5"/>
  <c r="CA4"/>
  <c r="BT4"/>
  <c r="BM4"/>
  <c r="BF4"/>
  <c r="AY4"/>
  <c r="AR4"/>
  <c r="AK4"/>
  <c r="AZ4"/>
  <c r="CA3"/>
  <c r="BT3"/>
  <c r="BM3"/>
  <c r="BF3"/>
  <c r="AY3"/>
  <c r="AR3"/>
  <c r="AK3"/>
  <c r="CH4" i="25"/>
  <c r="CH5"/>
  <c r="CH6"/>
  <c r="CH7"/>
  <c r="CH8"/>
  <c r="CH9"/>
  <c r="CH3"/>
  <c r="CI9"/>
  <c r="CG9"/>
  <c r="AF9"/>
  <c r="AE9"/>
  <c r="AD9"/>
  <c r="AC9"/>
  <c r="AC10" s="1"/>
  <c r="X9"/>
  <c r="AS9" s="1"/>
  <c r="BN9" s="1"/>
  <c r="V9"/>
  <c r="V10" s="1"/>
  <c r="Q9"/>
  <c r="AL9" s="1"/>
  <c r="BG9" s="1"/>
  <c r="O9"/>
  <c r="P9" s="1"/>
  <c r="K9"/>
  <c r="I9"/>
  <c r="H9"/>
  <c r="H10" s="1"/>
  <c r="AE8"/>
  <c r="AF8" s="1"/>
  <c r="AD8"/>
  <c r="X8"/>
  <c r="AS8" s="1"/>
  <c r="BN8" s="1"/>
  <c r="BO8" s="1"/>
  <c r="W8"/>
  <c r="Q8"/>
  <c r="R8" s="1"/>
  <c r="P8"/>
  <c r="K8"/>
  <c r="I8"/>
  <c r="AE7"/>
  <c r="AF7" s="1"/>
  <c r="AD7"/>
  <c r="X7"/>
  <c r="Y7" s="1"/>
  <c r="W7"/>
  <c r="Q7"/>
  <c r="AL7" s="1"/>
  <c r="P7"/>
  <c r="K7"/>
  <c r="I7"/>
  <c r="AE6"/>
  <c r="AF6" s="1"/>
  <c r="AD6"/>
  <c r="X6"/>
  <c r="Y6" s="1"/>
  <c r="W6"/>
  <c r="Q6"/>
  <c r="R6" s="1"/>
  <c r="P6"/>
  <c r="K6"/>
  <c r="I6"/>
  <c r="AE5"/>
  <c r="AF5" s="1"/>
  <c r="AD5"/>
  <c r="X5"/>
  <c r="Y5" s="1"/>
  <c r="W5"/>
  <c r="Q5"/>
  <c r="AL5" s="1"/>
  <c r="P5"/>
  <c r="K5"/>
  <c r="I5"/>
  <c r="AE4"/>
  <c r="AF4" s="1"/>
  <c r="AD4"/>
  <c r="Y4"/>
  <c r="X4"/>
  <c r="AS4" s="1"/>
  <c r="W4"/>
  <c r="Q4"/>
  <c r="R4" s="1"/>
  <c r="P4"/>
  <c r="K4"/>
  <c r="I4"/>
  <c r="AE3"/>
  <c r="AF3" s="1"/>
  <c r="AD3"/>
  <c r="X3"/>
  <c r="Y3" s="1"/>
  <c r="W3"/>
  <c r="Q3"/>
  <c r="R3" s="1"/>
  <c r="P3"/>
  <c r="K3"/>
  <c r="I3"/>
  <c r="AZ9"/>
  <c r="AZ6"/>
  <c r="BU6" s="1"/>
  <c r="BV6" s="1"/>
  <c r="B17"/>
  <c r="BZ9"/>
  <c r="CA9" s="1"/>
  <c r="BS9"/>
  <c r="BS10" s="1"/>
  <c r="BL9"/>
  <c r="BL10" s="1"/>
  <c r="BE9"/>
  <c r="BE10" s="1"/>
  <c r="AX9"/>
  <c r="AX10" s="1"/>
  <c r="CA8"/>
  <c r="BT8"/>
  <c r="BM8"/>
  <c r="BF8"/>
  <c r="AY8"/>
  <c r="AK8"/>
  <c r="CA7"/>
  <c r="BT7"/>
  <c r="BM7"/>
  <c r="BF7"/>
  <c r="AY7"/>
  <c r="AS7"/>
  <c r="BN7" s="1"/>
  <c r="BO7" s="1"/>
  <c r="AK7"/>
  <c r="CA6"/>
  <c r="BT6"/>
  <c r="BM6"/>
  <c r="BF6"/>
  <c r="AY6"/>
  <c r="AR6"/>
  <c r="AK6"/>
  <c r="AL6"/>
  <c r="CA5"/>
  <c r="BT5"/>
  <c r="BM5"/>
  <c r="BF5"/>
  <c r="AY5"/>
  <c r="AR5"/>
  <c r="AK5"/>
  <c r="CA4"/>
  <c r="BT4"/>
  <c r="BM4"/>
  <c r="BF4"/>
  <c r="AY4"/>
  <c r="AR4"/>
  <c r="AK4"/>
  <c r="AL4"/>
  <c r="CA3"/>
  <c r="BT3"/>
  <c r="BM3"/>
  <c r="BF3"/>
  <c r="AY3"/>
  <c r="AR3"/>
  <c r="AK3"/>
  <c r="CH4" i="24"/>
  <c r="CH5"/>
  <c r="CH6"/>
  <c r="CH7"/>
  <c r="CH8"/>
  <c r="CH3"/>
  <c r="CG9"/>
  <c r="CG10" s="1"/>
  <c r="AE9"/>
  <c r="AC9"/>
  <c r="AF9" s="1"/>
  <c r="X9"/>
  <c r="AS9" s="1"/>
  <c r="BN9" s="1"/>
  <c r="W9"/>
  <c r="V9"/>
  <c r="V10" s="1"/>
  <c r="Q9"/>
  <c r="O9"/>
  <c r="P9" s="1"/>
  <c r="H9"/>
  <c r="I9" s="1"/>
  <c r="AE8"/>
  <c r="AF8" s="1"/>
  <c r="AD8"/>
  <c r="X8"/>
  <c r="Y8" s="1"/>
  <c r="W8"/>
  <c r="Q8"/>
  <c r="R8" s="1"/>
  <c r="P8"/>
  <c r="K8"/>
  <c r="I8"/>
  <c r="AE7"/>
  <c r="AF7" s="1"/>
  <c r="AD7"/>
  <c r="Y7"/>
  <c r="X7"/>
  <c r="AS7" s="1"/>
  <c r="BN7" s="1"/>
  <c r="BO7" s="1"/>
  <c r="W7"/>
  <c r="R7"/>
  <c r="Q7"/>
  <c r="P7"/>
  <c r="K7"/>
  <c r="I7"/>
  <c r="AE6"/>
  <c r="AF6" s="1"/>
  <c r="AD6"/>
  <c r="Y6"/>
  <c r="X6"/>
  <c r="AS6" s="1"/>
  <c r="W6"/>
  <c r="Q6"/>
  <c r="AL6" s="1"/>
  <c r="P6"/>
  <c r="K6"/>
  <c r="I6"/>
  <c r="AE5"/>
  <c r="AF5" s="1"/>
  <c r="AD5"/>
  <c r="X5"/>
  <c r="Y5" s="1"/>
  <c r="W5"/>
  <c r="R5"/>
  <c r="Q5"/>
  <c r="P5"/>
  <c r="K5"/>
  <c r="I5"/>
  <c r="AE4"/>
  <c r="AF4" s="1"/>
  <c r="AD4"/>
  <c r="Y4"/>
  <c r="X4"/>
  <c r="AS4" s="1"/>
  <c r="W4"/>
  <c r="Q4"/>
  <c r="AL4" s="1"/>
  <c r="P4"/>
  <c r="K4"/>
  <c r="I4"/>
  <c r="AE3"/>
  <c r="AF3" s="1"/>
  <c r="AD3"/>
  <c r="X3"/>
  <c r="Y3" s="1"/>
  <c r="W3"/>
  <c r="R3"/>
  <c r="Q3"/>
  <c r="AL3" s="1"/>
  <c r="P3"/>
  <c r="K3"/>
  <c r="I3"/>
  <c r="B17"/>
  <c r="AQ10"/>
  <c r="BZ9"/>
  <c r="CA9" s="1"/>
  <c r="BS9"/>
  <c r="BT9" s="1"/>
  <c r="BL9"/>
  <c r="BL10" s="1"/>
  <c r="BE9"/>
  <c r="BE10" s="1"/>
  <c r="AX9"/>
  <c r="AY9" s="1"/>
  <c r="AJ9"/>
  <c r="AK9" s="1"/>
  <c r="AZ9"/>
  <c r="AL9"/>
  <c r="BG9" s="1"/>
  <c r="CI9" s="1"/>
  <c r="CJ9" s="1"/>
  <c r="CA8"/>
  <c r="BT8"/>
  <c r="BM8"/>
  <c r="BF8"/>
  <c r="AY8"/>
  <c r="AK8"/>
  <c r="AS8"/>
  <c r="CA7"/>
  <c r="BT7"/>
  <c r="BM7"/>
  <c r="BF7"/>
  <c r="AZ7"/>
  <c r="BU7" s="1"/>
  <c r="BV7" s="1"/>
  <c r="AY7"/>
  <c r="AK7"/>
  <c r="AL7"/>
  <c r="CA6"/>
  <c r="BT6"/>
  <c r="BM6"/>
  <c r="BF6"/>
  <c r="AY6"/>
  <c r="AK6"/>
  <c r="CA5"/>
  <c r="BT5"/>
  <c r="BM5"/>
  <c r="BF5"/>
  <c r="AY5"/>
  <c r="AR5"/>
  <c r="AK5"/>
  <c r="AL5"/>
  <c r="CA4"/>
  <c r="BT4"/>
  <c r="BM4"/>
  <c r="BF4"/>
  <c r="AZ4"/>
  <c r="BU4" s="1"/>
  <c r="BV4" s="1"/>
  <c r="AY4"/>
  <c r="AR4"/>
  <c r="AK4"/>
  <c r="CA3"/>
  <c r="BT3"/>
  <c r="BM3"/>
  <c r="BF3"/>
  <c r="AY3"/>
  <c r="AR3"/>
  <c r="AK3"/>
  <c r="CH4" i="23"/>
  <c r="CH5"/>
  <c r="CH6"/>
  <c r="CH7"/>
  <c r="CH8"/>
  <c r="CH9"/>
  <c r="CH3"/>
  <c r="CG9"/>
  <c r="AF9"/>
  <c r="AE9"/>
  <c r="AC9"/>
  <c r="AC10" s="1"/>
  <c r="X9"/>
  <c r="AS9" s="1"/>
  <c r="BN9" s="1"/>
  <c r="V9"/>
  <c r="V10" s="1"/>
  <c r="R9"/>
  <c r="Q9"/>
  <c r="AL9" s="1"/>
  <c r="O9"/>
  <c r="P9" s="1"/>
  <c r="H9"/>
  <c r="I9" s="1"/>
  <c r="AE8"/>
  <c r="AF8" s="1"/>
  <c r="AD8"/>
  <c r="X8"/>
  <c r="AS8" s="1"/>
  <c r="W8"/>
  <c r="Q8"/>
  <c r="R8" s="1"/>
  <c r="P8"/>
  <c r="K8"/>
  <c r="I8"/>
  <c r="AF7"/>
  <c r="AE7"/>
  <c r="AZ7" s="1"/>
  <c r="BU7" s="1"/>
  <c r="BV7" s="1"/>
  <c r="AD7"/>
  <c r="X7"/>
  <c r="AS7" s="1"/>
  <c r="W7"/>
  <c r="R7"/>
  <c r="Q7"/>
  <c r="P7"/>
  <c r="K7"/>
  <c r="I7"/>
  <c r="AE6"/>
  <c r="AF6" s="1"/>
  <c r="AD6"/>
  <c r="Y6"/>
  <c r="X6"/>
  <c r="W6"/>
  <c r="Q6"/>
  <c r="R6" s="1"/>
  <c r="P6"/>
  <c r="K6"/>
  <c r="I6"/>
  <c r="AE5"/>
  <c r="AF5" s="1"/>
  <c r="AD5"/>
  <c r="X5"/>
  <c r="Y5" s="1"/>
  <c r="W5"/>
  <c r="R5"/>
  <c r="Q5"/>
  <c r="P5"/>
  <c r="K5"/>
  <c r="I5"/>
  <c r="AE4"/>
  <c r="AF4" s="1"/>
  <c r="AD4"/>
  <c r="X4"/>
  <c r="Y4" s="1"/>
  <c r="W4"/>
  <c r="Q4"/>
  <c r="AL4" s="1"/>
  <c r="P4"/>
  <c r="K4"/>
  <c r="I4"/>
  <c r="AE3"/>
  <c r="AF3" s="1"/>
  <c r="AD3"/>
  <c r="X3"/>
  <c r="Y3" s="1"/>
  <c r="W3"/>
  <c r="Q3"/>
  <c r="AL3" s="1"/>
  <c r="P3"/>
  <c r="K3"/>
  <c r="I3"/>
  <c r="B17"/>
  <c r="BZ9"/>
  <c r="CA9" s="1"/>
  <c r="BS9"/>
  <c r="BS10" s="1"/>
  <c r="BL9"/>
  <c r="BL10" s="1"/>
  <c r="BE9"/>
  <c r="BE10" s="1"/>
  <c r="AX9"/>
  <c r="AX10" s="1"/>
  <c r="AJ9"/>
  <c r="AK9" s="1"/>
  <c r="AZ9"/>
  <c r="CA8"/>
  <c r="BT8"/>
  <c r="BM8"/>
  <c r="BF8"/>
  <c r="AY8"/>
  <c r="AK8"/>
  <c r="AL8"/>
  <c r="CA7"/>
  <c r="BT7"/>
  <c r="BM7"/>
  <c r="BF7"/>
  <c r="AY7"/>
  <c r="AK7"/>
  <c r="AL7"/>
  <c r="CA6"/>
  <c r="BT6"/>
  <c r="BM6"/>
  <c r="BF6"/>
  <c r="AY6"/>
  <c r="AK6"/>
  <c r="AS6"/>
  <c r="CA5"/>
  <c r="BT5"/>
  <c r="BM5"/>
  <c r="BF5"/>
  <c r="AZ5"/>
  <c r="BU5" s="1"/>
  <c r="BV5" s="1"/>
  <c r="AY5"/>
  <c r="AR5"/>
  <c r="AK5"/>
  <c r="AL5"/>
  <c r="CA4"/>
  <c r="BT4"/>
  <c r="BM4"/>
  <c r="BF4"/>
  <c r="AY4"/>
  <c r="AR4"/>
  <c r="AK4"/>
  <c r="AS4"/>
  <c r="CA3"/>
  <c r="BT3"/>
  <c r="BM3"/>
  <c r="BF3"/>
  <c r="AY3"/>
  <c r="AR3"/>
  <c r="AK3"/>
  <c r="AE9" i="22"/>
  <c r="AZ9" s="1"/>
  <c r="AD9"/>
  <c r="AC9"/>
  <c r="AC10" s="1"/>
  <c r="X9"/>
  <c r="AS9" s="1"/>
  <c r="BN9" s="1"/>
  <c r="V9"/>
  <c r="V10" s="1"/>
  <c r="Q9"/>
  <c r="AL9" s="1"/>
  <c r="O9"/>
  <c r="P9" s="1"/>
  <c r="K9"/>
  <c r="H9"/>
  <c r="H10" s="1"/>
  <c r="AF8"/>
  <c r="AE8"/>
  <c r="AD8"/>
  <c r="X8"/>
  <c r="AS8" s="1"/>
  <c r="AT8" s="1"/>
  <c r="W8"/>
  <c r="R8"/>
  <c r="Q8"/>
  <c r="P8"/>
  <c r="K8"/>
  <c r="I8"/>
  <c r="AE7"/>
  <c r="AF7" s="1"/>
  <c r="AD7"/>
  <c r="X7"/>
  <c r="Y7" s="1"/>
  <c r="W7"/>
  <c r="Q7"/>
  <c r="R7" s="1"/>
  <c r="P7"/>
  <c r="K7"/>
  <c r="I7"/>
  <c r="AE6"/>
  <c r="AZ6" s="1"/>
  <c r="AD6"/>
  <c r="Y6"/>
  <c r="X6"/>
  <c r="W6"/>
  <c r="Q6"/>
  <c r="R6" s="1"/>
  <c r="P6"/>
  <c r="K6"/>
  <c r="I6"/>
  <c r="AE5"/>
  <c r="AF5" s="1"/>
  <c r="AD5"/>
  <c r="Y5"/>
  <c r="X5"/>
  <c r="W5"/>
  <c r="Q5"/>
  <c r="AL5" s="1"/>
  <c r="AM5" s="1"/>
  <c r="P5"/>
  <c r="K5"/>
  <c r="I5"/>
  <c r="AE4"/>
  <c r="AF4" s="1"/>
  <c r="AD4"/>
  <c r="X4"/>
  <c r="Y4" s="1"/>
  <c r="W4"/>
  <c r="Q4"/>
  <c r="R4" s="1"/>
  <c r="P4"/>
  <c r="K4"/>
  <c r="I4"/>
  <c r="AE3"/>
  <c r="AF3" s="1"/>
  <c r="AD3"/>
  <c r="X3"/>
  <c r="AS3" s="1"/>
  <c r="W3"/>
  <c r="Q3"/>
  <c r="R3" s="1"/>
  <c r="P3"/>
  <c r="K3"/>
  <c r="I3"/>
  <c r="AS6"/>
  <c r="B17"/>
  <c r="BL10"/>
  <c r="AX10"/>
  <c r="CG9"/>
  <c r="CH9" s="1"/>
  <c r="BZ9"/>
  <c r="CA9" s="1"/>
  <c r="BT9"/>
  <c r="BS9"/>
  <c r="BS10" s="1"/>
  <c r="BM9"/>
  <c r="BL9"/>
  <c r="BE9"/>
  <c r="BE10" s="1"/>
  <c r="AY9"/>
  <c r="AX9"/>
  <c r="AJ9"/>
  <c r="AK9" s="1"/>
  <c r="CH8"/>
  <c r="CA8"/>
  <c r="BT8"/>
  <c r="BM8"/>
  <c r="BF8"/>
  <c r="AY8"/>
  <c r="AK8"/>
  <c r="AL8"/>
  <c r="CH7"/>
  <c r="CA7"/>
  <c r="BT7"/>
  <c r="BM7"/>
  <c r="BF7"/>
  <c r="AY7"/>
  <c r="AS7"/>
  <c r="BN7" s="1"/>
  <c r="BO7" s="1"/>
  <c r="AK7"/>
  <c r="AZ7"/>
  <c r="CH6"/>
  <c r="CA6"/>
  <c r="BT6"/>
  <c r="BM6"/>
  <c r="BF6"/>
  <c r="AY6"/>
  <c r="AK6"/>
  <c r="CH5"/>
  <c r="CA5"/>
  <c r="BT5"/>
  <c r="BM5"/>
  <c r="BF5"/>
  <c r="AY5"/>
  <c r="AR5"/>
  <c r="AK5"/>
  <c r="CH4"/>
  <c r="CA4"/>
  <c r="BT4"/>
  <c r="BM4"/>
  <c r="BF4"/>
  <c r="AY4"/>
  <c r="AR4"/>
  <c r="AK4"/>
  <c r="CH3"/>
  <c r="CA3"/>
  <c r="BT3"/>
  <c r="BM3"/>
  <c r="BF3"/>
  <c r="AY3"/>
  <c r="AR3"/>
  <c r="AK3"/>
  <c r="CG9" i="21"/>
  <c r="H30" i="1"/>
  <c r="E30"/>
  <c r="B30"/>
  <c r="H29"/>
  <c r="E29"/>
  <c r="B29"/>
  <c r="H28"/>
  <c r="E28"/>
  <c r="B28"/>
  <c r="H27"/>
  <c r="E27"/>
  <c r="B27"/>
  <c r="H26"/>
  <c r="E26"/>
  <c r="B26"/>
  <c r="H25"/>
  <c r="E25"/>
  <c r="B25"/>
  <c r="H24"/>
  <c r="E24"/>
  <c r="B24"/>
  <c r="AE9" i="21"/>
  <c r="AC9"/>
  <c r="AC10" s="1"/>
  <c r="X9"/>
  <c r="V9"/>
  <c r="V10" s="1"/>
  <c r="R9"/>
  <c r="Q9"/>
  <c r="O9"/>
  <c r="P9" s="1"/>
  <c r="H9"/>
  <c r="I9" s="1"/>
  <c r="AE8"/>
  <c r="AF8" s="1"/>
  <c r="AD8"/>
  <c r="X8"/>
  <c r="Y8" s="1"/>
  <c r="W8"/>
  <c r="Q8"/>
  <c r="R8" s="1"/>
  <c r="P8"/>
  <c r="K8"/>
  <c r="I8"/>
  <c r="AE7"/>
  <c r="AZ7" s="1"/>
  <c r="AD7"/>
  <c r="X7"/>
  <c r="Y7" s="1"/>
  <c r="W7"/>
  <c r="Q7"/>
  <c r="R7" s="1"/>
  <c r="P7"/>
  <c r="K7"/>
  <c r="I7"/>
  <c r="AE6"/>
  <c r="AF6" s="1"/>
  <c r="AD6"/>
  <c r="Y6"/>
  <c r="X6"/>
  <c r="W6"/>
  <c r="Q6"/>
  <c r="R6" s="1"/>
  <c r="P6"/>
  <c r="K6"/>
  <c r="I6"/>
  <c r="AE5"/>
  <c r="AF5" s="1"/>
  <c r="AD5"/>
  <c r="X5"/>
  <c r="Y5" s="1"/>
  <c r="W5"/>
  <c r="Q5"/>
  <c r="R5" s="1"/>
  <c r="P5"/>
  <c r="K5"/>
  <c r="I5"/>
  <c r="AE4"/>
  <c r="AF4" s="1"/>
  <c r="AD4"/>
  <c r="Y4"/>
  <c r="X4"/>
  <c r="W4"/>
  <c r="Q4"/>
  <c r="R4" s="1"/>
  <c r="P4"/>
  <c r="K4"/>
  <c r="I4"/>
  <c r="AE3"/>
  <c r="AF3" s="1"/>
  <c r="AD3"/>
  <c r="X3"/>
  <c r="Y3" s="1"/>
  <c r="W3"/>
  <c r="R3"/>
  <c r="Q3"/>
  <c r="P3"/>
  <c r="K3"/>
  <c r="I3"/>
  <c r="B17"/>
  <c r="CG10"/>
  <c r="BZ9"/>
  <c r="CA9" s="1"/>
  <c r="BS9"/>
  <c r="BS10" s="1"/>
  <c r="BL9"/>
  <c r="BL10" s="1"/>
  <c r="BE9"/>
  <c r="BE10" s="1"/>
  <c r="AX9"/>
  <c r="AY9" s="1"/>
  <c r="AZ9"/>
  <c r="AS9"/>
  <c r="BN9" s="1"/>
  <c r="AL9"/>
  <c r="CH8"/>
  <c r="CA8"/>
  <c r="BT8"/>
  <c r="BM8"/>
  <c r="BF8"/>
  <c r="AY8"/>
  <c r="AR8"/>
  <c r="AK8"/>
  <c r="AS8"/>
  <c r="CH7"/>
  <c r="CA7"/>
  <c r="BT7"/>
  <c r="BM7"/>
  <c r="BF7"/>
  <c r="AY7"/>
  <c r="AS7"/>
  <c r="BN7" s="1"/>
  <c r="BO7" s="1"/>
  <c r="AK7"/>
  <c r="CH6"/>
  <c r="CA6"/>
  <c r="BT6"/>
  <c r="BM6"/>
  <c r="BF6"/>
  <c r="AY6"/>
  <c r="AK6"/>
  <c r="AS6"/>
  <c r="CH5"/>
  <c r="CA5"/>
  <c r="BT5"/>
  <c r="BM5"/>
  <c r="BF5"/>
  <c r="AY5"/>
  <c r="AR5"/>
  <c r="AK5"/>
  <c r="AZ5"/>
  <c r="CH4"/>
  <c r="CA4"/>
  <c r="BT4"/>
  <c r="BM4"/>
  <c r="BF4"/>
  <c r="AY4"/>
  <c r="AR4"/>
  <c r="AK4"/>
  <c r="AS4"/>
  <c r="CH3"/>
  <c r="CA3"/>
  <c r="BT3"/>
  <c r="BM3"/>
  <c r="BF3"/>
  <c r="AY3"/>
  <c r="AR3"/>
  <c r="AL3"/>
  <c r="BG3" s="1"/>
  <c r="AK3"/>
  <c r="CG9" i="20"/>
  <c r="CG10" s="1"/>
  <c r="CH4"/>
  <c r="CH5"/>
  <c r="CH6"/>
  <c r="CH7"/>
  <c r="CH8"/>
  <c r="CH3"/>
  <c r="AE9"/>
  <c r="AC9"/>
  <c r="AD9" s="1"/>
  <c r="X9"/>
  <c r="V9"/>
  <c r="V10" s="1"/>
  <c r="R9"/>
  <c r="Q9"/>
  <c r="O9"/>
  <c r="P9" s="1"/>
  <c r="H9"/>
  <c r="K9" s="1"/>
  <c r="AE8"/>
  <c r="AF8" s="1"/>
  <c r="AD8"/>
  <c r="X8"/>
  <c r="AS8" s="1"/>
  <c r="W8"/>
  <c r="Q8"/>
  <c r="R8" s="1"/>
  <c r="P8"/>
  <c r="K8"/>
  <c r="I8"/>
  <c r="AF7"/>
  <c r="AE7"/>
  <c r="AD7"/>
  <c r="X7"/>
  <c r="Y7" s="1"/>
  <c r="W7"/>
  <c r="R7"/>
  <c r="Q7"/>
  <c r="P7"/>
  <c r="K7"/>
  <c r="I7"/>
  <c r="AE6"/>
  <c r="AZ6" s="1"/>
  <c r="AD6"/>
  <c r="Y6"/>
  <c r="X6"/>
  <c r="AS6" s="1"/>
  <c r="W6"/>
  <c r="Q6"/>
  <c r="AL6" s="1"/>
  <c r="AM6" s="1"/>
  <c r="P6"/>
  <c r="K6"/>
  <c r="I6"/>
  <c r="AE5"/>
  <c r="AF5" s="1"/>
  <c r="AD5"/>
  <c r="X5"/>
  <c r="Y5" s="1"/>
  <c r="W5"/>
  <c r="Q5"/>
  <c r="AL5" s="1"/>
  <c r="P5"/>
  <c r="K5"/>
  <c r="I5"/>
  <c r="AE4"/>
  <c r="AF4" s="1"/>
  <c r="AD4"/>
  <c r="X4"/>
  <c r="Y4" s="1"/>
  <c r="W4"/>
  <c r="R4"/>
  <c r="Q4"/>
  <c r="P4"/>
  <c r="K4"/>
  <c r="I4"/>
  <c r="AE3"/>
  <c r="AF3" s="1"/>
  <c r="AD3"/>
  <c r="X3"/>
  <c r="Y3" s="1"/>
  <c r="W3"/>
  <c r="Q3"/>
  <c r="R3" s="1"/>
  <c r="P3"/>
  <c r="K3"/>
  <c r="I3"/>
  <c r="CG9" i="19"/>
  <c r="CH9" s="1"/>
  <c r="CH4" i="18"/>
  <c r="CH5"/>
  <c r="CH6"/>
  <c r="CH7"/>
  <c r="CH8"/>
  <c r="CH3"/>
  <c r="CH4" i="19"/>
  <c r="CH5"/>
  <c r="CH6"/>
  <c r="CH7"/>
  <c r="CH8"/>
  <c r="CH3"/>
  <c r="B17" i="20"/>
  <c r="BZ9"/>
  <c r="CA9" s="1"/>
  <c r="BS9"/>
  <c r="BT9" s="1"/>
  <c r="BL9"/>
  <c r="BM9" s="1"/>
  <c r="BF9"/>
  <c r="BE9"/>
  <c r="BE10" s="1"/>
  <c r="AX9"/>
  <c r="AX10" s="1"/>
  <c r="AJ9"/>
  <c r="AJ10" s="1"/>
  <c r="AL9"/>
  <c r="BG9" s="1"/>
  <c r="CA8"/>
  <c r="BT8"/>
  <c r="BM8"/>
  <c r="BF8"/>
  <c r="AY8"/>
  <c r="AL8"/>
  <c r="BG8" s="1"/>
  <c r="AK8"/>
  <c r="CA7"/>
  <c r="BT7"/>
  <c r="BM7"/>
  <c r="BF7"/>
  <c r="AZ7"/>
  <c r="BU7" s="1"/>
  <c r="BV7" s="1"/>
  <c r="AY7"/>
  <c r="AL7"/>
  <c r="BG7" s="1"/>
  <c r="AK7"/>
  <c r="AS7"/>
  <c r="CA6"/>
  <c r="BT6"/>
  <c r="BM6"/>
  <c r="BF6"/>
  <c r="AY6"/>
  <c r="AK6"/>
  <c r="CA5"/>
  <c r="BT5"/>
  <c r="BM5"/>
  <c r="BF5"/>
  <c r="AY5"/>
  <c r="AR5"/>
  <c r="AK5"/>
  <c r="CA4"/>
  <c r="BT4"/>
  <c r="BM4"/>
  <c r="BF4"/>
  <c r="AY4"/>
  <c r="AS4"/>
  <c r="BN4" s="1"/>
  <c r="BO4" s="1"/>
  <c r="AR4"/>
  <c r="AK4"/>
  <c r="AL4"/>
  <c r="CA3"/>
  <c r="BU3"/>
  <c r="BV3" s="1"/>
  <c r="BT3"/>
  <c r="BM3"/>
  <c r="BF3"/>
  <c r="AZ3"/>
  <c r="BA3" s="1"/>
  <c r="AY3"/>
  <c r="AS3"/>
  <c r="AT3" s="1"/>
  <c r="AR3"/>
  <c r="AK3"/>
  <c r="P3" i="19"/>
  <c r="AE9"/>
  <c r="AC9"/>
  <c r="AD9" s="1"/>
  <c r="Y9"/>
  <c r="X9"/>
  <c r="V9"/>
  <c r="V10" s="1"/>
  <c r="Q9"/>
  <c r="R9" s="1"/>
  <c r="O9"/>
  <c r="O10" s="1"/>
  <c r="H9"/>
  <c r="I9" s="1"/>
  <c r="AE8"/>
  <c r="AF8" s="1"/>
  <c r="AD8"/>
  <c r="X8"/>
  <c r="Y8" s="1"/>
  <c r="W8"/>
  <c r="Q8"/>
  <c r="R8" s="1"/>
  <c r="P8"/>
  <c r="K8"/>
  <c r="I8"/>
  <c r="AF7"/>
  <c r="AE7"/>
  <c r="AD7"/>
  <c r="Y7"/>
  <c r="X7"/>
  <c r="W7"/>
  <c r="Q7"/>
  <c r="R7" s="1"/>
  <c r="P7"/>
  <c r="K7"/>
  <c r="I7"/>
  <c r="AE6"/>
  <c r="AF6" s="1"/>
  <c r="AD6"/>
  <c r="Y6"/>
  <c r="X6"/>
  <c r="W6"/>
  <c r="R6"/>
  <c r="Q6"/>
  <c r="P6"/>
  <c r="K6"/>
  <c r="I6"/>
  <c r="AE5"/>
  <c r="AF5" s="1"/>
  <c r="AD5"/>
  <c r="X5"/>
  <c r="Y5" s="1"/>
  <c r="W5"/>
  <c r="Q5"/>
  <c r="R5" s="1"/>
  <c r="P5"/>
  <c r="K5"/>
  <c r="I5"/>
  <c r="AE4"/>
  <c r="AF4" s="1"/>
  <c r="AD4"/>
  <c r="X4"/>
  <c r="Y4" s="1"/>
  <c r="W4"/>
  <c r="R4"/>
  <c r="Q4"/>
  <c r="P4"/>
  <c r="K4"/>
  <c r="I4"/>
  <c r="AF3"/>
  <c r="AE3"/>
  <c r="AD3"/>
  <c r="X3"/>
  <c r="Y3" s="1"/>
  <c r="W3"/>
  <c r="R3"/>
  <c r="Q3"/>
  <c r="K3"/>
  <c r="I3"/>
  <c r="F14" i="29" l="1"/>
  <c r="G14" s="1"/>
  <c r="G3"/>
  <c r="D19"/>
  <c r="F13"/>
  <c r="G13" s="1"/>
  <c r="Y6" i="27"/>
  <c r="AZ5"/>
  <c r="K9"/>
  <c r="AS8"/>
  <c r="AT8" s="1"/>
  <c r="I9"/>
  <c r="CO4"/>
  <c r="CQ6"/>
  <c r="AZ6"/>
  <c r="BA6" s="1"/>
  <c r="AF9"/>
  <c r="CX5"/>
  <c r="Y9"/>
  <c r="K10"/>
  <c r="D3" s="1"/>
  <c r="B3" s="1"/>
  <c r="C3" s="1"/>
  <c r="AL3" i="26"/>
  <c r="BG3" s="1"/>
  <c r="CI3" s="1"/>
  <c r="CJ3" s="1"/>
  <c r="Y9"/>
  <c r="CO3"/>
  <c r="CV7"/>
  <c r="AZ3"/>
  <c r="BA3" s="1"/>
  <c r="Y4"/>
  <c r="W9"/>
  <c r="CV8"/>
  <c r="CQ6"/>
  <c r="CQ8"/>
  <c r="R9"/>
  <c r="Y6"/>
  <c r="P9"/>
  <c r="CV6"/>
  <c r="CX3"/>
  <c r="CQ7"/>
  <c r="CV3"/>
  <c r="AZ7" i="25"/>
  <c r="BU7" s="1"/>
  <c r="BV7" s="1"/>
  <c r="K10"/>
  <c r="AQ10"/>
  <c r="AT7"/>
  <c r="AR7"/>
  <c r="CV7"/>
  <c r="DE10"/>
  <c r="D15" s="1"/>
  <c r="B15" s="1"/>
  <c r="B13"/>
  <c r="C13" s="1"/>
  <c r="AS6"/>
  <c r="BN6" s="1"/>
  <c r="BO6" s="1"/>
  <c r="R7"/>
  <c r="CV8"/>
  <c r="CX6"/>
  <c r="DC9"/>
  <c r="CJ9"/>
  <c r="CQ4"/>
  <c r="CV8" i="24"/>
  <c r="CQ6"/>
  <c r="R4"/>
  <c r="CO5"/>
  <c r="AC10"/>
  <c r="CH9"/>
  <c r="AZ5"/>
  <c r="BA5" s="1"/>
  <c r="AD9"/>
  <c r="CV7"/>
  <c r="CQ5"/>
  <c r="AL8"/>
  <c r="CQ3"/>
  <c r="Y9"/>
  <c r="Y10" s="1"/>
  <c r="D5" s="1"/>
  <c r="B5" s="1"/>
  <c r="CQ8" i="23"/>
  <c r="O10"/>
  <c r="CQ6"/>
  <c r="CX7"/>
  <c r="CX6"/>
  <c r="CV8"/>
  <c r="Y8"/>
  <c r="AD9"/>
  <c r="CV7"/>
  <c r="AZ3"/>
  <c r="BA3" s="1"/>
  <c r="R3"/>
  <c r="Y9"/>
  <c r="CX3"/>
  <c r="W9"/>
  <c r="BA5"/>
  <c r="CV4"/>
  <c r="K10" i="22"/>
  <c r="AF6"/>
  <c r="CX8"/>
  <c r="AS4"/>
  <c r="AL4"/>
  <c r="I9"/>
  <c r="CQ5"/>
  <c r="AL6"/>
  <c r="BG6" s="1"/>
  <c r="CV7"/>
  <c r="AF9"/>
  <c r="AF10" s="1"/>
  <c r="CO4"/>
  <c r="CG10"/>
  <c r="Y3"/>
  <c r="CV8"/>
  <c r="CQ4"/>
  <c r="R9"/>
  <c r="AL4" i="21"/>
  <c r="AM4" s="1"/>
  <c r="AF7"/>
  <c r="AF10" s="1"/>
  <c r="D6" s="1"/>
  <c r="B6" s="1"/>
  <c r="K10"/>
  <c r="D3" s="1"/>
  <c r="B3" s="1"/>
  <c r="C3" s="1"/>
  <c r="AL5"/>
  <c r="AZ6"/>
  <c r="K9"/>
  <c r="DE10"/>
  <c r="D15" s="1"/>
  <c r="B15" s="1"/>
  <c r="AX10"/>
  <c r="AL6"/>
  <c r="AF9"/>
  <c r="AL7"/>
  <c r="BG7" s="1"/>
  <c r="AD9"/>
  <c r="CV8"/>
  <c r="CX8"/>
  <c r="Y9"/>
  <c r="CQ8"/>
  <c r="CO4"/>
  <c r="CQ6"/>
  <c r="AF6" i="20"/>
  <c r="AF10" s="1"/>
  <c r="D6" s="1"/>
  <c r="B6" s="1"/>
  <c r="CH9"/>
  <c r="I9"/>
  <c r="AC10"/>
  <c r="CO4"/>
  <c r="CV8"/>
  <c r="AZ5"/>
  <c r="AF9"/>
  <c r="Y9"/>
  <c r="CX5"/>
  <c r="CV4" i="19"/>
  <c r="CX8"/>
  <c r="P9"/>
  <c r="CO4"/>
  <c r="CV8"/>
  <c r="CX7"/>
  <c r="CV7"/>
  <c r="CQ7" i="18"/>
  <c r="CX4"/>
  <c r="CX8"/>
  <c r="DE9"/>
  <c r="O18" i="5"/>
  <c r="J18"/>
  <c r="E18"/>
  <c r="BM18"/>
  <c r="AN18"/>
  <c r="AI18"/>
  <c r="Y18"/>
  <c r="BB15" i="4"/>
  <c r="AS18"/>
  <c r="AX18"/>
  <c r="BM18"/>
  <c r="BC15"/>
  <c r="BC18" s="1"/>
  <c r="BB16"/>
  <c r="AN18"/>
  <c r="BH18"/>
  <c r="BB17"/>
  <c r="D105" i="2"/>
  <c r="D29"/>
  <c r="D30"/>
  <c r="D31"/>
  <c r="AW12" i="5"/>
  <c r="AW13"/>
  <c r="AW14"/>
  <c r="AW15"/>
  <c r="AW16"/>
  <c r="BC14"/>
  <c r="BC12"/>
  <c r="BB14"/>
  <c r="BB13"/>
  <c r="BB15"/>
  <c r="BB16"/>
  <c r="BA18"/>
  <c r="BB17"/>
  <c r="BH18"/>
  <c r="AV18"/>
  <c r="AX16"/>
  <c r="AX12"/>
  <c r="E14" i="26"/>
  <c r="E14" i="25"/>
  <c r="E14" i="24"/>
  <c r="E14" i="23"/>
  <c r="DB10" i="22"/>
  <c r="DE9"/>
  <c r="DE10" s="1"/>
  <c r="D15" s="1"/>
  <c r="B15" s="1"/>
  <c r="E14"/>
  <c r="E14" i="21"/>
  <c r="CO6" i="27"/>
  <c r="CU9"/>
  <c r="DB10"/>
  <c r="CO7"/>
  <c r="CO8"/>
  <c r="CX3"/>
  <c r="CN9"/>
  <c r="CQ9" s="1"/>
  <c r="CV3"/>
  <c r="DE9"/>
  <c r="DE10" s="1"/>
  <c r="D15" s="1"/>
  <c r="B15" s="1"/>
  <c r="CO5"/>
  <c r="CV4"/>
  <c r="CQ3"/>
  <c r="CV5"/>
  <c r="CV6"/>
  <c r="CV7"/>
  <c r="CO5" i="26"/>
  <c r="CV9"/>
  <c r="CO6"/>
  <c r="CU9"/>
  <c r="CX9" s="1"/>
  <c r="DB10"/>
  <c r="CO7"/>
  <c r="CO8"/>
  <c r="CX4"/>
  <c r="CN9"/>
  <c r="CQ9" s="1"/>
  <c r="CQ10" s="1"/>
  <c r="D13" s="1"/>
  <c r="B13" s="1"/>
  <c r="C13" s="1"/>
  <c r="CX5"/>
  <c r="DE9"/>
  <c r="DE10" s="1"/>
  <c r="D15" s="1"/>
  <c r="B15" s="1"/>
  <c r="CX6"/>
  <c r="CV5"/>
  <c r="CO6" i="25"/>
  <c r="CU9"/>
  <c r="CX9" s="1"/>
  <c r="DB10"/>
  <c r="CO5"/>
  <c r="CO7"/>
  <c r="CO8"/>
  <c r="CX4"/>
  <c r="CN9"/>
  <c r="CQ9" s="1"/>
  <c r="CQ10" s="1"/>
  <c r="D13" s="1"/>
  <c r="CV4"/>
  <c r="CV5"/>
  <c r="CV6"/>
  <c r="CO3"/>
  <c r="CO6" i="24"/>
  <c r="CU9"/>
  <c r="CU10" s="1"/>
  <c r="DB10"/>
  <c r="CO7"/>
  <c r="CO8"/>
  <c r="CX3"/>
  <c r="CX4"/>
  <c r="CN9"/>
  <c r="CQ9" s="1"/>
  <c r="DE9"/>
  <c r="DE10" s="1"/>
  <c r="D15" s="1"/>
  <c r="B15" s="1"/>
  <c r="CV4"/>
  <c r="CV5"/>
  <c r="CQ4"/>
  <c r="CQ10" s="1"/>
  <c r="D13" s="1"/>
  <c r="B13" s="1"/>
  <c r="C13" s="1"/>
  <c r="CV6"/>
  <c r="CO3"/>
  <c r="CO6" i="23"/>
  <c r="CU9"/>
  <c r="DB10"/>
  <c r="CO5"/>
  <c r="CO7"/>
  <c r="CO8"/>
  <c r="CN9"/>
  <c r="CQ9" s="1"/>
  <c r="CX5"/>
  <c r="DE9"/>
  <c r="DE10" s="1"/>
  <c r="D15" s="1"/>
  <c r="B15" s="1"/>
  <c r="CV5"/>
  <c r="CV6"/>
  <c r="CO6" i="22"/>
  <c r="CU9"/>
  <c r="CX9" s="1"/>
  <c r="CO7"/>
  <c r="CO8"/>
  <c r="CV9"/>
  <c r="CN9"/>
  <c r="CQ9" s="1"/>
  <c r="CN10"/>
  <c r="CV4"/>
  <c r="CQ3"/>
  <c r="CV5"/>
  <c r="CX7"/>
  <c r="CX10" s="1"/>
  <c r="D14" s="1"/>
  <c r="CV6"/>
  <c r="CO3"/>
  <c r="CO6" i="21"/>
  <c r="CU9"/>
  <c r="DB10"/>
  <c r="CO7"/>
  <c r="CO8"/>
  <c r="CX4"/>
  <c r="CN9"/>
  <c r="CQ9" s="1"/>
  <c r="CQ10" s="1"/>
  <c r="D13" s="1"/>
  <c r="B13" s="1"/>
  <c r="C13" s="1"/>
  <c r="CV3"/>
  <c r="CV4"/>
  <c r="CV6"/>
  <c r="CV7"/>
  <c r="CO6" i="20"/>
  <c r="CU9"/>
  <c r="DB10"/>
  <c r="CO7"/>
  <c r="CO8"/>
  <c r="CU10"/>
  <c r="CO9"/>
  <c r="CO5"/>
  <c r="CX4"/>
  <c r="CN9"/>
  <c r="CQ9" s="1"/>
  <c r="CQ10" s="1"/>
  <c r="D13" s="1"/>
  <c r="B13" s="1"/>
  <c r="C13" s="1"/>
  <c r="DE9"/>
  <c r="DE10" s="1"/>
  <c r="D15" s="1"/>
  <c r="B15" s="1"/>
  <c r="CV5"/>
  <c r="CV6"/>
  <c r="CV7"/>
  <c r="CQ10" i="19"/>
  <c r="D13" s="1"/>
  <c r="B13" s="1"/>
  <c r="C13" s="1"/>
  <c r="CO6"/>
  <c r="CU9"/>
  <c r="CX9" s="1"/>
  <c r="DB10"/>
  <c r="CO7"/>
  <c r="CO8"/>
  <c r="CN9"/>
  <c r="CQ9" s="1"/>
  <c r="CO5"/>
  <c r="CX5"/>
  <c r="CX10" s="1"/>
  <c r="D14" s="1"/>
  <c r="B14" s="1"/>
  <c r="C14" s="1"/>
  <c r="DE9"/>
  <c r="DE10" s="1"/>
  <c r="D15" s="1"/>
  <c r="B15" s="1"/>
  <c r="CV5"/>
  <c r="CV6"/>
  <c r="CV7" i="6"/>
  <c r="CX5"/>
  <c r="CV6"/>
  <c r="CV8"/>
  <c r="CU9"/>
  <c r="CX9" s="1"/>
  <c r="CV3"/>
  <c r="CV4"/>
  <c r="CV5"/>
  <c r="CV8" i="18"/>
  <c r="CV4"/>
  <c r="CV9"/>
  <c r="CU9"/>
  <c r="CV7"/>
  <c r="CX3"/>
  <c r="CV5"/>
  <c r="CV3"/>
  <c r="CV6"/>
  <c r="DC9"/>
  <c r="CN9"/>
  <c r="CN10" s="1"/>
  <c r="CO3"/>
  <c r="CO6"/>
  <c r="CO7"/>
  <c r="CO4"/>
  <c r="CO5"/>
  <c r="CO8"/>
  <c r="CQ3"/>
  <c r="DE10"/>
  <c r="D15" s="1"/>
  <c r="B15" s="1"/>
  <c r="DB10"/>
  <c r="E14"/>
  <c r="CQ9" i="6"/>
  <c r="CQ3"/>
  <c r="CX3"/>
  <c r="DB10"/>
  <c r="DE9"/>
  <c r="DE10" s="1"/>
  <c r="D15" s="1"/>
  <c r="B15" s="1"/>
  <c r="CN10"/>
  <c r="AR6" i="27"/>
  <c r="AR7"/>
  <c r="AQ10"/>
  <c r="AR8" i="26"/>
  <c r="AR6"/>
  <c r="AR7"/>
  <c r="AR7" i="24"/>
  <c r="AR8"/>
  <c r="AR7" i="23"/>
  <c r="AR8"/>
  <c r="AQ10"/>
  <c r="AR7" i="22"/>
  <c r="AR8"/>
  <c r="AR9"/>
  <c r="AQ10"/>
  <c r="AR7" i="21"/>
  <c r="AR6"/>
  <c r="AR8" i="20"/>
  <c r="AQ10"/>
  <c r="AR6"/>
  <c r="AI18" i="4"/>
  <c r="AD18"/>
  <c r="CG10" i="27"/>
  <c r="Y10"/>
  <c r="AZ8"/>
  <c r="BU8" s="1"/>
  <c r="BV8" s="1"/>
  <c r="AC10"/>
  <c r="AS5"/>
  <c r="AT5" s="1"/>
  <c r="AZ7"/>
  <c r="W9"/>
  <c r="BO9"/>
  <c r="R7"/>
  <c r="R10" s="1"/>
  <c r="D4" s="1"/>
  <c r="B4" s="1"/>
  <c r="R9"/>
  <c r="AF4"/>
  <c r="AM7"/>
  <c r="BG7"/>
  <c r="CI7" s="1"/>
  <c r="CJ7" s="1"/>
  <c r="BN8"/>
  <c r="BO8" s="1"/>
  <c r="AT6"/>
  <c r="BN6"/>
  <c r="BO6" s="1"/>
  <c r="AT9"/>
  <c r="BU9"/>
  <c r="BV9" s="1"/>
  <c r="BA9"/>
  <c r="AT4"/>
  <c r="BN4"/>
  <c r="BO4" s="1"/>
  <c r="AM8"/>
  <c r="BG8"/>
  <c r="CI8" s="1"/>
  <c r="CJ8" s="1"/>
  <c r="CB3"/>
  <c r="CC3" s="1"/>
  <c r="BH3"/>
  <c r="AM6"/>
  <c r="BG6"/>
  <c r="CI6" s="1"/>
  <c r="CJ6" s="1"/>
  <c r="BG4"/>
  <c r="CI4" s="1"/>
  <c r="CJ4" s="1"/>
  <c r="AM4"/>
  <c r="BU5"/>
  <c r="BV5" s="1"/>
  <c r="BA5"/>
  <c r="BA3"/>
  <c r="BU3"/>
  <c r="BV3" s="1"/>
  <c r="BG9"/>
  <c r="CI9" s="1"/>
  <c r="CJ9" s="1"/>
  <c r="AM9"/>
  <c r="AT3"/>
  <c r="BN3"/>
  <c r="BO3" s="1"/>
  <c r="AJ10"/>
  <c r="BZ10"/>
  <c r="AL5"/>
  <c r="AR9"/>
  <c r="BM9"/>
  <c r="AM3"/>
  <c r="BS10"/>
  <c r="BA8"/>
  <c r="BF9"/>
  <c r="D5"/>
  <c r="B5" s="1"/>
  <c r="BA4"/>
  <c r="AT7"/>
  <c r="AX10"/>
  <c r="CG10" i="26"/>
  <c r="Y10"/>
  <c r="D5" s="1"/>
  <c r="B5" s="1"/>
  <c r="AF10"/>
  <c r="R4"/>
  <c r="R10" s="1"/>
  <c r="D4" s="1"/>
  <c r="B4" s="1"/>
  <c r="Y7"/>
  <c r="AC10"/>
  <c r="AZ8"/>
  <c r="AS5"/>
  <c r="BN5" s="1"/>
  <c r="BO5" s="1"/>
  <c r="AZ6"/>
  <c r="BA6" s="1"/>
  <c r="BO9"/>
  <c r="H10"/>
  <c r="K9"/>
  <c r="K10" s="1"/>
  <c r="D3" s="1"/>
  <c r="B3" s="1"/>
  <c r="C3" s="1"/>
  <c r="BU4"/>
  <c r="BV4" s="1"/>
  <c r="BA4"/>
  <c r="BN4"/>
  <c r="BO4" s="1"/>
  <c r="AT4"/>
  <c r="AT9"/>
  <c r="AT6"/>
  <c r="BN6"/>
  <c r="BO6" s="1"/>
  <c r="CB3"/>
  <c r="CC3" s="1"/>
  <c r="BU9"/>
  <c r="BV9" s="1"/>
  <c r="BA9"/>
  <c r="BG4"/>
  <c r="CI4" s="1"/>
  <c r="CJ4" s="1"/>
  <c r="AM4"/>
  <c r="BU3"/>
  <c r="BV3" s="1"/>
  <c r="AM8"/>
  <c r="BG8"/>
  <c r="CI8" s="1"/>
  <c r="CJ8" s="1"/>
  <c r="BG9"/>
  <c r="CI9" s="1"/>
  <c r="CJ9" s="1"/>
  <c r="AM9"/>
  <c r="BN7"/>
  <c r="BO7" s="1"/>
  <c r="AT7"/>
  <c r="AM7"/>
  <c r="BG7"/>
  <c r="CI7" s="1"/>
  <c r="CJ7" s="1"/>
  <c r="AS3"/>
  <c r="AL6"/>
  <c r="AJ10"/>
  <c r="BZ10"/>
  <c r="AL5"/>
  <c r="AR9"/>
  <c r="BM9"/>
  <c r="BS10"/>
  <c r="BA7"/>
  <c r="BF9"/>
  <c r="BA5"/>
  <c r="AT8"/>
  <c r="AX10"/>
  <c r="BT9" i="25"/>
  <c r="AY9"/>
  <c r="CG10"/>
  <c r="AF10"/>
  <c r="D6" s="1"/>
  <c r="B6" s="1"/>
  <c r="Y9"/>
  <c r="AZ5"/>
  <c r="BA5" s="1"/>
  <c r="R5"/>
  <c r="Y8"/>
  <c r="Y10" s="1"/>
  <c r="D5" s="1"/>
  <c r="B5" s="1"/>
  <c r="W9"/>
  <c r="R9"/>
  <c r="O10"/>
  <c r="AL8"/>
  <c r="BG8" s="1"/>
  <c r="CI8" s="1"/>
  <c r="CJ8" s="1"/>
  <c r="AZ4"/>
  <c r="AL3"/>
  <c r="AM3" s="1"/>
  <c r="BA7"/>
  <c r="BU5"/>
  <c r="BV5" s="1"/>
  <c r="D3"/>
  <c r="B3" s="1"/>
  <c r="C3" s="1"/>
  <c r="AZ3"/>
  <c r="BU3" s="1"/>
  <c r="BV3" s="1"/>
  <c r="AS5"/>
  <c r="AT5" s="1"/>
  <c r="AS3"/>
  <c r="AT3" s="1"/>
  <c r="AZ8"/>
  <c r="AT8"/>
  <c r="CB9"/>
  <c r="BG4"/>
  <c r="CI4" s="1"/>
  <c r="CJ4" s="1"/>
  <c r="AM4"/>
  <c r="BN5"/>
  <c r="BO5" s="1"/>
  <c r="BG7"/>
  <c r="CI7" s="1"/>
  <c r="CJ7" s="1"/>
  <c r="AM7"/>
  <c r="AT4"/>
  <c r="BN4"/>
  <c r="BO4" s="1"/>
  <c r="BO9"/>
  <c r="AT9"/>
  <c r="BG5"/>
  <c r="CI5" s="1"/>
  <c r="CJ5" s="1"/>
  <c r="AM5"/>
  <c r="BU9"/>
  <c r="BV9" s="1"/>
  <c r="BA9"/>
  <c r="AM6"/>
  <c r="BG6"/>
  <c r="CI6" s="1"/>
  <c r="CJ6" s="1"/>
  <c r="AJ10"/>
  <c r="BZ10"/>
  <c r="AR9"/>
  <c r="BM9"/>
  <c r="AM9"/>
  <c r="BH9"/>
  <c r="CC9"/>
  <c r="BA6"/>
  <c r="BF9"/>
  <c r="AX10" i="24"/>
  <c r="AF10"/>
  <c r="R10"/>
  <c r="D4" s="1"/>
  <c r="B4" s="1"/>
  <c r="AM3"/>
  <c r="BG3"/>
  <c r="AZ6"/>
  <c r="BU6" s="1"/>
  <c r="BV6" s="1"/>
  <c r="BA7"/>
  <c r="AZ8"/>
  <c r="BU8" s="1"/>
  <c r="BV8" s="1"/>
  <c r="R6"/>
  <c r="R9"/>
  <c r="AZ3"/>
  <c r="BU3" s="1"/>
  <c r="BV3" s="1"/>
  <c r="O10"/>
  <c r="AS3"/>
  <c r="BN3" s="1"/>
  <c r="BO3" s="1"/>
  <c r="AS5"/>
  <c r="BN5" s="1"/>
  <c r="BO5" s="1"/>
  <c r="H10"/>
  <c r="K9"/>
  <c r="K10" s="1"/>
  <c r="D3" s="1"/>
  <c r="BO9"/>
  <c r="BG4"/>
  <c r="CI4" s="1"/>
  <c r="CJ4" s="1"/>
  <c r="AM4"/>
  <c r="BG5"/>
  <c r="CI5" s="1"/>
  <c r="CJ5" s="1"/>
  <c r="AM5"/>
  <c r="BG7"/>
  <c r="CI7" s="1"/>
  <c r="CJ7" s="1"/>
  <c r="AM7"/>
  <c r="AT8"/>
  <c r="BN8"/>
  <c r="BO8" s="1"/>
  <c r="AT9"/>
  <c r="CB9"/>
  <c r="BU9"/>
  <c r="BV9" s="1"/>
  <c r="BA9"/>
  <c r="AT6"/>
  <c r="BN6"/>
  <c r="BO6" s="1"/>
  <c r="AM8"/>
  <c r="BG8"/>
  <c r="CI8" s="1"/>
  <c r="CJ8" s="1"/>
  <c r="BN4"/>
  <c r="BO4" s="1"/>
  <c r="AT4"/>
  <c r="AM6"/>
  <c r="BG6"/>
  <c r="CI6" s="1"/>
  <c r="CJ6" s="1"/>
  <c r="AJ10"/>
  <c r="BZ10"/>
  <c r="AR9"/>
  <c r="BM9"/>
  <c r="BS10"/>
  <c r="BA8"/>
  <c r="AM9"/>
  <c r="BH9"/>
  <c r="CC9"/>
  <c r="BF9"/>
  <c r="BA4"/>
  <c r="AT7"/>
  <c r="BT9" i="23"/>
  <c r="AY9"/>
  <c r="CG10"/>
  <c r="AF10"/>
  <c r="BN8"/>
  <c r="BO8" s="1"/>
  <c r="AT8"/>
  <c r="AM3"/>
  <c r="BG3"/>
  <c r="BH3" s="1"/>
  <c r="R4"/>
  <c r="R10" s="1"/>
  <c r="D4" s="1"/>
  <c r="B4" s="1"/>
  <c r="Y7"/>
  <c r="Y10" s="1"/>
  <c r="D5" s="1"/>
  <c r="B5" s="1"/>
  <c r="AZ6"/>
  <c r="BU6" s="1"/>
  <c r="BV6" s="1"/>
  <c r="AZ8"/>
  <c r="AZ4"/>
  <c r="BA4" s="1"/>
  <c r="H10"/>
  <c r="K9"/>
  <c r="K10" s="1"/>
  <c r="D3" s="1"/>
  <c r="B3" s="1"/>
  <c r="C3" s="1"/>
  <c r="AS5"/>
  <c r="BN5" s="1"/>
  <c r="BO5" s="1"/>
  <c r="BG4"/>
  <c r="CI4" s="1"/>
  <c r="CJ4" s="1"/>
  <c r="AM4"/>
  <c r="BO9"/>
  <c r="BN4"/>
  <c r="BO4" s="1"/>
  <c r="AT4"/>
  <c r="AM8"/>
  <c r="BG8"/>
  <c r="CI8" s="1"/>
  <c r="CJ8" s="1"/>
  <c r="BG9"/>
  <c r="CI9" s="1"/>
  <c r="CJ9" s="1"/>
  <c r="AM9"/>
  <c r="BN7"/>
  <c r="BO7" s="1"/>
  <c r="AT7"/>
  <c r="BU3"/>
  <c r="BV3" s="1"/>
  <c r="AT9"/>
  <c r="BG7"/>
  <c r="CI7" s="1"/>
  <c r="CJ7" s="1"/>
  <c r="AM7"/>
  <c r="BU9"/>
  <c r="BV9" s="1"/>
  <c r="BA9"/>
  <c r="BG5"/>
  <c r="CI5" s="1"/>
  <c r="CJ5" s="1"/>
  <c r="AM5"/>
  <c r="AT6"/>
  <c r="BN6"/>
  <c r="BO6" s="1"/>
  <c r="AS3"/>
  <c r="AL6"/>
  <c r="AJ10"/>
  <c r="BZ10"/>
  <c r="AR9"/>
  <c r="BM9"/>
  <c r="BA7"/>
  <c r="BA6"/>
  <c r="BF9"/>
  <c r="Y9" i="22"/>
  <c r="AZ4"/>
  <c r="BU4" s="1"/>
  <c r="BV4" s="1"/>
  <c r="AZ3"/>
  <c r="BU3" s="1"/>
  <c r="BV3" s="1"/>
  <c r="R5"/>
  <c r="R10" s="1"/>
  <c r="D4" s="1"/>
  <c r="B4" s="1"/>
  <c r="Y8"/>
  <c r="W9"/>
  <c r="O10"/>
  <c r="AL3"/>
  <c r="BG3" s="1"/>
  <c r="CI3" s="1"/>
  <c r="CJ3" s="1"/>
  <c r="AZ5"/>
  <c r="BA5" s="1"/>
  <c r="D3"/>
  <c r="B3" s="1"/>
  <c r="C3" s="1"/>
  <c r="AL7"/>
  <c r="AM7" s="1"/>
  <c r="AS5"/>
  <c r="BN5" s="1"/>
  <c r="BO5" s="1"/>
  <c r="BO9"/>
  <c r="BG5"/>
  <c r="AZ8"/>
  <c r="BG4"/>
  <c r="AM4"/>
  <c r="BU6"/>
  <c r="BV6" s="1"/>
  <c r="BA6"/>
  <c r="AT5"/>
  <c r="AT6"/>
  <c r="BN6"/>
  <c r="BO6" s="1"/>
  <c r="AT3"/>
  <c r="BN3"/>
  <c r="BO3" s="1"/>
  <c r="AM6"/>
  <c r="AM8"/>
  <c r="BG8"/>
  <c r="BU7"/>
  <c r="BV7" s="1"/>
  <c r="BA7"/>
  <c r="BG9"/>
  <c r="AM9"/>
  <c r="AT4"/>
  <c r="BN4"/>
  <c r="BO4" s="1"/>
  <c r="AT9"/>
  <c r="BU9"/>
  <c r="BV9" s="1"/>
  <c r="BA9"/>
  <c r="BN8"/>
  <c r="BO8" s="1"/>
  <c r="AJ10"/>
  <c r="BZ10"/>
  <c r="AM3"/>
  <c r="BF9"/>
  <c r="AT7"/>
  <c r="BT9" i="21"/>
  <c r="Y10"/>
  <c r="D5" s="1"/>
  <c r="B5" s="1"/>
  <c r="R10"/>
  <c r="D4" s="1"/>
  <c r="B4" s="1"/>
  <c r="BU7"/>
  <c r="BV7" s="1"/>
  <c r="BA7"/>
  <c r="AZ4"/>
  <c r="W9"/>
  <c r="AZ8"/>
  <c r="BU8" s="1"/>
  <c r="BV8" s="1"/>
  <c r="AS3"/>
  <c r="BN3" s="1"/>
  <c r="BO3" s="1"/>
  <c r="O10"/>
  <c r="AT9"/>
  <c r="H10"/>
  <c r="BG9"/>
  <c r="AM9"/>
  <c r="BG5"/>
  <c r="AM5"/>
  <c r="BO9"/>
  <c r="AT3"/>
  <c r="CB3"/>
  <c r="CC3" s="1"/>
  <c r="CI3"/>
  <c r="CJ3" s="1"/>
  <c r="BH3"/>
  <c r="BA6"/>
  <c r="BU6"/>
  <c r="BV6" s="1"/>
  <c r="AM7"/>
  <c r="BN8"/>
  <c r="BO8" s="1"/>
  <c r="AT8"/>
  <c r="AT6"/>
  <c r="BN6"/>
  <c r="BO6" s="1"/>
  <c r="BU9"/>
  <c r="BV9" s="1"/>
  <c r="BA9"/>
  <c r="BN4"/>
  <c r="BO4" s="1"/>
  <c r="AT4"/>
  <c r="BA5"/>
  <c r="BU5"/>
  <c r="BV5" s="1"/>
  <c r="AM6"/>
  <c r="BG6"/>
  <c r="AZ3"/>
  <c r="AJ10"/>
  <c r="BZ10"/>
  <c r="AR9"/>
  <c r="BM9"/>
  <c r="CH9"/>
  <c r="AS5"/>
  <c r="AL8"/>
  <c r="AM3"/>
  <c r="BF9"/>
  <c r="AT7"/>
  <c r="BZ10" i="20"/>
  <c r="BL10"/>
  <c r="AY9"/>
  <c r="AR9"/>
  <c r="AK9"/>
  <c r="AT6"/>
  <c r="BN6"/>
  <c r="BO6" s="1"/>
  <c r="CB8"/>
  <c r="CC8" s="1"/>
  <c r="BH8"/>
  <c r="CI8"/>
  <c r="CJ8" s="1"/>
  <c r="K10"/>
  <c r="D3" s="1"/>
  <c r="B3" s="1"/>
  <c r="C3" s="1"/>
  <c r="BA6"/>
  <c r="BU6"/>
  <c r="BV6" s="1"/>
  <c r="BG5"/>
  <c r="CI5" s="1"/>
  <c r="CJ5" s="1"/>
  <c r="AM5"/>
  <c r="AM9"/>
  <c r="R5"/>
  <c r="R10" s="1"/>
  <c r="D4" s="1"/>
  <c r="B4" s="1"/>
  <c r="Y8"/>
  <c r="Y10" s="1"/>
  <c r="D5" s="1"/>
  <c r="B5" s="1"/>
  <c r="W9"/>
  <c r="AT4"/>
  <c r="AM7"/>
  <c r="AM8"/>
  <c r="AZ9"/>
  <c r="BU9" s="1"/>
  <c r="R6"/>
  <c r="AS5"/>
  <c r="O10"/>
  <c r="AZ8"/>
  <c r="BU8" s="1"/>
  <c r="BV8" s="1"/>
  <c r="AZ4"/>
  <c r="BA4" s="1"/>
  <c r="H10"/>
  <c r="BU5"/>
  <c r="BV5" s="1"/>
  <c r="BA5"/>
  <c r="BH7"/>
  <c r="CB7"/>
  <c r="CC7" s="1"/>
  <c r="CI7"/>
  <c r="CJ7" s="1"/>
  <c r="AM4"/>
  <c r="BG4"/>
  <c r="CB9"/>
  <c r="CC9" s="1"/>
  <c r="CI9"/>
  <c r="CJ9" s="1"/>
  <c r="BN7"/>
  <c r="BO7" s="1"/>
  <c r="AT7"/>
  <c r="BH5"/>
  <c r="BN8"/>
  <c r="BO8" s="1"/>
  <c r="AT8"/>
  <c r="AS9"/>
  <c r="BS10"/>
  <c r="AL3"/>
  <c r="BN3"/>
  <c r="BO3" s="1"/>
  <c r="BG6"/>
  <c r="BH9"/>
  <c r="BA7"/>
  <c r="BA9"/>
  <c r="BV9"/>
  <c r="R10" i="19"/>
  <c r="Y10"/>
  <c r="AC10"/>
  <c r="W9"/>
  <c r="H10"/>
  <c r="K9"/>
  <c r="K10" s="1"/>
  <c r="AF9"/>
  <c r="AF10" s="1"/>
  <c r="D20" i="29" l="1"/>
  <c r="D21" s="1"/>
  <c r="CJ10" i="27"/>
  <c r="AF10"/>
  <c r="D6" s="1"/>
  <c r="B6" s="1"/>
  <c r="BU6"/>
  <c r="BV6" s="1"/>
  <c r="CO9"/>
  <c r="CJ10" i="26"/>
  <c r="AM3"/>
  <c r="BH3"/>
  <c r="CU10"/>
  <c r="CO9"/>
  <c r="CX10" i="25"/>
  <c r="D14" s="1"/>
  <c r="B14" s="1"/>
  <c r="C14" s="1"/>
  <c r="AT6"/>
  <c r="R10"/>
  <c r="D4" s="1"/>
  <c r="B4" s="1"/>
  <c r="C3" i="24"/>
  <c r="B3"/>
  <c r="CB3"/>
  <c r="CC3" s="1"/>
  <c r="CI3"/>
  <c r="CJ3" s="1"/>
  <c r="CJ10" s="1"/>
  <c r="BU5"/>
  <c r="BV5" s="1"/>
  <c r="BA6"/>
  <c r="AT5"/>
  <c r="CO9"/>
  <c r="AT3"/>
  <c r="AT10" s="1"/>
  <c r="D8" s="1"/>
  <c r="B8" s="1"/>
  <c r="CB3" i="23"/>
  <c r="CC3" s="1"/>
  <c r="CI3"/>
  <c r="CJ3" s="1"/>
  <c r="CQ10"/>
  <c r="D13" s="1"/>
  <c r="B13" s="1"/>
  <c r="C13" s="1"/>
  <c r="B14"/>
  <c r="C14" s="1"/>
  <c r="CQ10" i="22"/>
  <c r="D13" s="1"/>
  <c r="B13" s="1"/>
  <c r="C13" s="1"/>
  <c r="B14"/>
  <c r="C14" s="1"/>
  <c r="Y10"/>
  <c r="D5" s="1"/>
  <c r="B5" s="1"/>
  <c r="BU5"/>
  <c r="BV5" s="1"/>
  <c r="BA3"/>
  <c r="CU10"/>
  <c r="CO9"/>
  <c r="BG4" i="21"/>
  <c r="CI4" s="1"/>
  <c r="CJ4" s="1"/>
  <c r="CU10" i="19"/>
  <c r="CV9"/>
  <c r="CO9"/>
  <c r="CQ9" i="18"/>
  <c r="CQ10" s="1"/>
  <c r="D13" s="1"/>
  <c r="B13" s="1"/>
  <c r="C13" s="1"/>
  <c r="BC18" i="5"/>
  <c r="AX18"/>
  <c r="CX9" i="27"/>
  <c r="CX10" s="1"/>
  <c r="D14" s="1"/>
  <c r="B14" s="1"/>
  <c r="C14" s="1"/>
  <c r="CV9"/>
  <c r="CQ10"/>
  <c r="D13" s="1"/>
  <c r="B13" s="1"/>
  <c r="CU10"/>
  <c r="CN10"/>
  <c r="CX10" i="26"/>
  <c r="D14" s="1"/>
  <c r="B14" s="1"/>
  <c r="C14" s="1"/>
  <c r="CN10"/>
  <c r="CN10" i="25"/>
  <c r="CV9"/>
  <c r="CU10"/>
  <c r="CO9"/>
  <c r="CN10" i="24"/>
  <c r="CX9"/>
  <c r="CX10" s="1"/>
  <c r="D14" s="1"/>
  <c r="B14" s="1"/>
  <c r="C14" s="1"/>
  <c r="CV9"/>
  <c r="CX10" i="23"/>
  <c r="D14" s="1"/>
  <c r="CN10"/>
  <c r="CX9"/>
  <c r="CV9"/>
  <c r="CU10"/>
  <c r="CO9"/>
  <c r="CN10" i="21"/>
  <c r="CX9"/>
  <c r="CX10" s="1"/>
  <c r="D14" s="1"/>
  <c r="B14" s="1"/>
  <c r="C14" s="1"/>
  <c r="CV9"/>
  <c r="CU10"/>
  <c r="CO9"/>
  <c r="CX10" i="20"/>
  <c r="D14" s="1"/>
  <c r="B14" s="1"/>
  <c r="C14" s="1"/>
  <c r="CN10"/>
  <c r="CX9"/>
  <c r="CV9"/>
  <c r="CN10" i="19"/>
  <c r="CV9" i="6"/>
  <c r="CX10"/>
  <c r="D14" s="1"/>
  <c r="B14" s="1"/>
  <c r="C14" s="1"/>
  <c r="CU10"/>
  <c r="CU10" i="18"/>
  <c r="CX9"/>
  <c r="CX10" s="1"/>
  <c r="D14" s="1"/>
  <c r="B14" s="1"/>
  <c r="C14" s="1"/>
  <c r="CO9"/>
  <c r="CQ10" i="6"/>
  <c r="D13" s="1"/>
  <c r="B13" s="1"/>
  <c r="C13" s="1"/>
  <c r="BU7" i="27"/>
  <c r="BV7" s="1"/>
  <c r="BV10" s="1"/>
  <c r="D12" s="1"/>
  <c r="B12" s="1"/>
  <c r="BA7"/>
  <c r="BA10" s="1"/>
  <c r="D9" s="1"/>
  <c r="B9" s="1"/>
  <c r="BN5"/>
  <c r="BO5" s="1"/>
  <c r="BO10" s="1"/>
  <c r="D11" s="1"/>
  <c r="B11" s="1"/>
  <c r="CB7"/>
  <c r="CC7" s="1"/>
  <c r="BH7"/>
  <c r="AT10"/>
  <c r="D8" s="1"/>
  <c r="B8" s="1"/>
  <c r="CB4"/>
  <c r="CC4" s="1"/>
  <c r="BH4"/>
  <c r="CB8"/>
  <c r="CC8" s="1"/>
  <c r="BH8"/>
  <c r="CB9"/>
  <c r="CC9" s="1"/>
  <c r="BH9"/>
  <c r="CB6"/>
  <c r="CC6" s="1"/>
  <c r="BH6"/>
  <c r="BG5"/>
  <c r="CI5" s="1"/>
  <c r="CJ5" s="1"/>
  <c r="AM5"/>
  <c r="AT5" i="26"/>
  <c r="BU6"/>
  <c r="BV6" s="1"/>
  <c r="BV10" s="1"/>
  <c r="D12" s="1"/>
  <c r="B12" s="1"/>
  <c r="BU8"/>
  <c r="BV8" s="1"/>
  <c r="BA8"/>
  <c r="BA10" s="1"/>
  <c r="D9" s="1"/>
  <c r="B9" s="1"/>
  <c r="CB9"/>
  <c r="CC9" s="1"/>
  <c r="BH9"/>
  <c r="CB4"/>
  <c r="CC4" s="1"/>
  <c r="BH4"/>
  <c r="CB7"/>
  <c r="CC7" s="1"/>
  <c r="BH7"/>
  <c r="AT3"/>
  <c r="AT10" s="1"/>
  <c r="D8" s="1"/>
  <c r="B8" s="1"/>
  <c r="BN3"/>
  <c r="BO3" s="1"/>
  <c r="BO10" s="1"/>
  <c r="D11" s="1"/>
  <c r="B11" s="1"/>
  <c r="AM6"/>
  <c r="BG6"/>
  <c r="CI6" s="1"/>
  <c r="CJ6" s="1"/>
  <c r="CB8"/>
  <c r="CC8" s="1"/>
  <c r="BH8"/>
  <c r="BG5"/>
  <c r="CI5" s="1"/>
  <c r="CJ5" s="1"/>
  <c r="AM5"/>
  <c r="D6"/>
  <c r="B6" s="1"/>
  <c r="AM8" i="25"/>
  <c r="AM10" s="1"/>
  <c r="D7" s="1"/>
  <c r="B7" s="1"/>
  <c r="BG3"/>
  <c r="CI3" s="1"/>
  <c r="CJ3" s="1"/>
  <c r="CJ10" s="1"/>
  <c r="BU4"/>
  <c r="BV4" s="1"/>
  <c r="BA4"/>
  <c r="BA3"/>
  <c r="BN3"/>
  <c r="BO3" s="1"/>
  <c r="BO10" s="1"/>
  <c r="D11" s="1"/>
  <c r="B11" s="1"/>
  <c r="BA8"/>
  <c r="BU8"/>
  <c r="BV8" s="1"/>
  <c r="BH3"/>
  <c r="CB4"/>
  <c r="CC4" s="1"/>
  <c r="BH4"/>
  <c r="CB6"/>
  <c r="CC6" s="1"/>
  <c r="BH6"/>
  <c r="CB5"/>
  <c r="CC5" s="1"/>
  <c r="BH5"/>
  <c r="CB7"/>
  <c r="CC7" s="1"/>
  <c r="BH7"/>
  <c r="CB8"/>
  <c r="CC8" s="1"/>
  <c r="BH8"/>
  <c r="AT10"/>
  <c r="D8" s="1"/>
  <c r="B8" s="1"/>
  <c r="AM10" i="24"/>
  <c r="D7" s="1"/>
  <c r="B7" s="1"/>
  <c r="BA3"/>
  <c r="BA10" s="1"/>
  <c r="D9" s="1"/>
  <c r="B9" s="1"/>
  <c r="BH3"/>
  <c r="CB8"/>
  <c r="CC8" s="1"/>
  <c r="BH8"/>
  <c r="CB7"/>
  <c r="CC7" s="1"/>
  <c r="BH7"/>
  <c r="D6"/>
  <c r="B6" s="1"/>
  <c r="BV10"/>
  <c r="D12" s="1"/>
  <c r="B12" s="1"/>
  <c r="BO10"/>
  <c r="D11" s="1"/>
  <c r="B11" s="1"/>
  <c r="CB4"/>
  <c r="CC4" s="1"/>
  <c r="BH4"/>
  <c r="CB6"/>
  <c r="CC6" s="1"/>
  <c r="BH6"/>
  <c r="CB5"/>
  <c r="CC5" s="1"/>
  <c r="BH5"/>
  <c r="BU4" i="23"/>
  <c r="BV4" s="1"/>
  <c r="BA8"/>
  <c r="BA10" s="1"/>
  <c r="D9" s="1"/>
  <c r="B9" s="1"/>
  <c r="BU8"/>
  <c r="BV8" s="1"/>
  <c r="AT5"/>
  <c r="CB4"/>
  <c r="CC4" s="1"/>
  <c r="BH4"/>
  <c r="CB5"/>
  <c r="CC5" s="1"/>
  <c r="BH5"/>
  <c r="CB7"/>
  <c r="CC7" s="1"/>
  <c r="BH7"/>
  <c r="AT3"/>
  <c r="BN3"/>
  <c r="BO3" s="1"/>
  <c r="BO10" s="1"/>
  <c r="D11" s="1"/>
  <c r="B11" s="1"/>
  <c r="D6"/>
  <c r="B6" s="1"/>
  <c r="AM6"/>
  <c r="AM10" s="1"/>
  <c r="D7" s="1"/>
  <c r="B7" s="1"/>
  <c r="BG6"/>
  <c r="CI6" s="1"/>
  <c r="CJ6" s="1"/>
  <c r="CB8"/>
  <c r="CC8" s="1"/>
  <c r="BH8"/>
  <c r="CB9"/>
  <c r="CC9" s="1"/>
  <c r="BH9"/>
  <c r="BG7" i="22"/>
  <c r="CI7" s="1"/>
  <c r="CJ7" s="1"/>
  <c r="BA4"/>
  <c r="CB3"/>
  <c r="CC3" s="1"/>
  <c r="BH3"/>
  <c r="BA8"/>
  <c r="BU8"/>
  <c r="BV8" s="1"/>
  <c r="CI5"/>
  <c r="CJ5" s="1"/>
  <c r="BH5"/>
  <c r="CB5"/>
  <c r="CC5" s="1"/>
  <c r="BH7"/>
  <c r="CB4"/>
  <c r="CC4" s="1"/>
  <c r="CI4"/>
  <c r="CJ4" s="1"/>
  <c r="BH4"/>
  <c r="D6"/>
  <c r="B6" s="1"/>
  <c r="AT10"/>
  <c r="D8" s="1"/>
  <c r="B8" s="1"/>
  <c r="CB6"/>
  <c r="CC6" s="1"/>
  <c r="CI6"/>
  <c r="CJ6" s="1"/>
  <c r="BH6"/>
  <c r="CB8"/>
  <c r="CC8" s="1"/>
  <c r="CI8"/>
  <c r="CJ8" s="1"/>
  <c r="BH8"/>
  <c r="CB9"/>
  <c r="CC9" s="1"/>
  <c r="BH9"/>
  <c r="CI9"/>
  <c r="CJ9" s="1"/>
  <c r="AM10"/>
  <c r="D7" s="1"/>
  <c r="B7" s="1"/>
  <c r="BO10"/>
  <c r="D11" s="1"/>
  <c r="B11" s="1"/>
  <c r="BU4" i="21"/>
  <c r="BV4" s="1"/>
  <c r="BA4"/>
  <c r="BA8"/>
  <c r="CB9"/>
  <c r="CC9" s="1"/>
  <c r="BH9"/>
  <c r="CI9"/>
  <c r="CJ9" s="1"/>
  <c r="CB7"/>
  <c r="CC7" s="1"/>
  <c r="CI7"/>
  <c r="CJ7" s="1"/>
  <c r="BH7"/>
  <c r="CB5"/>
  <c r="CC5" s="1"/>
  <c r="CI5"/>
  <c r="CJ5" s="1"/>
  <c r="BH5"/>
  <c r="BG8"/>
  <c r="AM8"/>
  <c r="AM10" s="1"/>
  <c r="D7" s="1"/>
  <c r="B7" s="1"/>
  <c r="CB6"/>
  <c r="CC6" s="1"/>
  <c r="CI6"/>
  <c r="CJ6" s="1"/>
  <c r="BH6"/>
  <c r="BA3"/>
  <c r="BA10" s="1"/>
  <c r="D9" s="1"/>
  <c r="B9" s="1"/>
  <c r="BU3"/>
  <c r="BV3" s="1"/>
  <c r="BO10"/>
  <c r="D11" s="1"/>
  <c r="B11" s="1"/>
  <c r="BN5"/>
  <c r="BO5" s="1"/>
  <c r="AT5"/>
  <c r="AT10" s="1"/>
  <c r="D8" s="1"/>
  <c r="B8" s="1"/>
  <c r="BH4"/>
  <c r="BN5" i="20"/>
  <c r="BO5" s="1"/>
  <c r="AT5"/>
  <c r="BU4"/>
  <c r="BV4" s="1"/>
  <c r="BV10" s="1"/>
  <c r="D12" s="1"/>
  <c r="B12" s="1"/>
  <c r="BA10"/>
  <c r="D9" s="1"/>
  <c r="B9" s="1"/>
  <c r="BA8"/>
  <c r="CB5"/>
  <c r="CC5" s="1"/>
  <c r="AT9"/>
  <c r="BN9"/>
  <c r="BO9" s="1"/>
  <c r="BG3"/>
  <c r="AM3"/>
  <c r="CB4"/>
  <c r="CC4" s="1"/>
  <c r="CI4"/>
  <c r="CJ4" s="1"/>
  <c r="BH4"/>
  <c r="CB6"/>
  <c r="CC6" s="1"/>
  <c r="CI6"/>
  <c r="CJ6" s="1"/>
  <c r="BH6"/>
  <c r="CJ10" i="23" l="1"/>
  <c r="D16" s="1"/>
  <c r="B16" s="1"/>
  <c r="BA10" i="22"/>
  <c r="D9" s="1"/>
  <c r="B9" s="1"/>
  <c r="BV10"/>
  <c r="D12" s="1"/>
  <c r="B12" s="1"/>
  <c r="CB7"/>
  <c r="CC7" s="1"/>
  <c r="CC10" s="1"/>
  <c r="BV10" i="21"/>
  <c r="D12" s="1"/>
  <c r="B12" s="1"/>
  <c r="CB4"/>
  <c r="CC4" s="1"/>
  <c r="CC10" s="1"/>
  <c r="AM10" i="27"/>
  <c r="D7" s="1"/>
  <c r="B7" s="1"/>
  <c r="CB5"/>
  <c r="CC5" s="1"/>
  <c r="CC10" s="1"/>
  <c r="D16"/>
  <c r="B16" s="1"/>
  <c r="BH5"/>
  <c r="BH10" s="1"/>
  <c r="D10" s="1"/>
  <c r="B10" s="1"/>
  <c r="AM10" i="26"/>
  <c r="D7" s="1"/>
  <c r="B7" s="1"/>
  <c r="CB6"/>
  <c r="CC6" s="1"/>
  <c r="BH6"/>
  <c r="CB5"/>
  <c r="CC5" s="1"/>
  <c r="CC10" s="1"/>
  <c r="D16"/>
  <c r="B16" s="1"/>
  <c r="BH5"/>
  <c r="BV10" i="25"/>
  <c r="D12" s="1"/>
  <c r="B12" s="1"/>
  <c r="CB3"/>
  <c r="CC3" s="1"/>
  <c r="CC10" s="1"/>
  <c r="D16"/>
  <c r="B16" s="1"/>
  <c r="BA10"/>
  <c r="D9" s="1"/>
  <c r="B9" s="1"/>
  <c r="BH10"/>
  <c r="D10" s="1"/>
  <c r="B10" s="1"/>
  <c r="D16" i="24"/>
  <c r="B16" s="1"/>
  <c r="BH10"/>
  <c r="D10" s="1"/>
  <c r="B10" s="1"/>
  <c r="CC10"/>
  <c r="BV10" i="23"/>
  <c r="D12" s="1"/>
  <c r="B12" s="1"/>
  <c r="AT10"/>
  <c r="D8" s="1"/>
  <c r="B8" s="1"/>
  <c r="CB6"/>
  <c r="CC6" s="1"/>
  <c r="CC10" s="1"/>
  <c r="BH6"/>
  <c r="BH10" s="1"/>
  <c r="D10" s="1"/>
  <c r="B10" s="1"/>
  <c r="CJ10" i="22"/>
  <c r="D16" s="1"/>
  <c r="B16" s="1"/>
  <c r="BH10"/>
  <c r="D10" s="1"/>
  <c r="B10" s="1"/>
  <c r="CB8" i="21"/>
  <c r="CC8" s="1"/>
  <c r="CI8"/>
  <c r="CJ8" s="1"/>
  <c r="CJ10" s="1"/>
  <c r="D16" s="1"/>
  <c r="B16" s="1"/>
  <c r="BH8"/>
  <c r="BH10" s="1"/>
  <c r="D10" s="1"/>
  <c r="B10" s="1"/>
  <c r="BO10" i="20"/>
  <c r="D11" s="1"/>
  <c r="B11" s="1"/>
  <c r="AT10"/>
  <c r="D8" s="1"/>
  <c r="B8" s="1"/>
  <c r="AM10"/>
  <c r="D7" s="1"/>
  <c r="B7" s="1"/>
  <c r="CB3"/>
  <c r="CC3" s="1"/>
  <c r="CC10" s="1"/>
  <c r="CI3"/>
  <c r="CJ3" s="1"/>
  <c r="CJ10" s="1"/>
  <c r="D16" s="1"/>
  <c r="B16" s="1"/>
  <c r="BH3"/>
  <c r="B17" i="19"/>
  <c r="CG10"/>
  <c r="AQ10"/>
  <c r="BZ9"/>
  <c r="BZ10" s="1"/>
  <c r="BT9"/>
  <c r="BS9"/>
  <c r="BL9"/>
  <c r="BL10" s="1"/>
  <c r="BF9"/>
  <c r="BE9"/>
  <c r="AX9"/>
  <c r="AX10" s="1"/>
  <c r="AR9"/>
  <c r="AJ9"/>
  <c r="AJ10" s="1"/>
  <c r="CA8"/>
  <c r="BT8"/>
  <c r="BM8"/>
  <c r="BF8"/>
  <c r="BA8"/>
  <c r="AZ8"/>
  <c r="AY8"/>
  <c r="AR8"/>
  <c r="AK8"/>
  <c r="BH10" i="26" l="1"/>
  <c r="D10" s="1"/>
  <c r="B10" s="1"/>
  <c r="BH10" i="20"/>
  <c r="D10" s="1"/>
  <c r="B10" s="1"/>
  <c r="BM9" i="19"/>
  <c r="AY9"/>
  <c r="CA7"/>
  <c r="BT7"/>
  <c r="BM7"/>
  <c r="BF7"/>
  <c r="BA7"/>
  <c r="AZ7"/>
  <c r="BU7" s="1"/>
  <c r="AY7"/>
  <c r="AT7"/>
  <c r="AS7"/>
  <c r="AR7"/>
  <c r="AK7"/>
  <c r="CA6"/>
  <c r="BT6"/>
  <c r="BM6"/>
  <c r="BF6"/>
  <c r="BA6"/>
  <c r="AZ6"/>
  <c r="AY6"/>
  <c r="AR6"/>
  <c r="AK6"/>
  <c r="D6"/>
  <c r="B6" s="1"/>
  <c r="BV7" l="1"/>
  <c r="CA5"/>
  <c r="BT5"/>
  <c r="BM5"/>
  <c r="BF5" l="1"/>
  <c r="AY5"/>
  <c r="AR5"/>
  <c r="AK5"/>
  <c r="D5"/>
  <c r="B5" s="1"/>
  <c r="CA4"/>
  <c r="BT4"/>
  <c r="BM4"/>
  <c r="BF4"/>
  <c r="AZ4"/>
  <c r="BU4" s="1"/>
  <c r="AY4"/>
  <c r="AR4"/>
  <c r="AK4"/>
  <c r="D4"/>
  <c r="B4" s="1"/>
  <c r="CA3"/>
  <c r="BT3"/>
  <c r="BM3"/>
  <c r="BH3"/>
  <c r="BG3"/>
  <c r="CB3" s="1"/>
  <c r="BF3"/>
  <c r="AY3"/>
  <c r="AR3"/>
  <c r="AL3"/>
  <c r="AK3"/>
  <c r="D3"/>
  <c r="B17" i="18"/>
  <c r="CG10"/>
  <c r="AQ10"/>
  <c r="AJ10"/>
  <c r="CG9"/>
  <c r="CH9" s="1"/>
  <c r="CA9"/>
  <c r="BZ9"/>
  <c r="BS9"/>
  <c r="BS10" s="1"/>
  <c r="BM9"/>
  <c r="BL9"/>
  <c r="BL10" s="1"/>
  <c r="BF9"/>
  <c r="BE9"/>
  <c r="AX9"/>
  <c r="AX10" s="1"/>
  <c r="AS9"/>
  <c r="AT9" s="1"/>
  <c r="AR9"/>
  <c r="AJ9"/>
  <c r="AF9" s="1"/>
  <c r="AE9"/>
  <c r="AZ9" s="1"/>
  <c r="AC9"/>
  <c r="AD9" s="1"/>
  <c r="Y9"/>
  <c r="X9"/>
  <c r="W9"/>
  <c r="V9"/>
  <c r="Q9"/>
  <c r="P9"/>
  <c r="O9"/>
  <c r="K9" s="1"/>
  <c r="I9"/>
  <c r="H9"/>
  <c r="CA8"/>
  <c r="BT8"/>
  <c r="BM8"/>
  <c r="BF8"/>
  <c r="AY8"/>
  <c r="AR8"/>
  <c r="AK8"/>
  <c r="AE8"/>
  <c r="AZ8" s="1"/>
  <c r="AD8"/>
  <c r="Y8" s="1"/>
  <c r="X8"/>
  <c r="AS8" s="1"/>
  <c r="W8"/>
  <c r="R8"/>
  <c r="Q8"/>
  <c r="AL8" s="1"/>
  <c r="BG8" s="1"/>
  <c r="P8"/>
  <c r="K8"/>
  <c r="I8"/>
  <c r="CA7"/>
  <c r="BT7"/>
  <c r="BM7"/>
  <c r="BF7"/>
  <c r="AY7"/>
  <c r="AS7"/>
  <c r="AT7" s="1"/>
  <c r="AR7"/>
  <c r="AM7"/>
  <c r="AL7"/>
  <c r="AK7"/>
  <c r="AF7"/>
  <c r="AE7"/>
  <c r="AZ7" s="1"/>
  <c r="AD7"/>
  <c r="Y7"/>
  <c r="X7"/>
  <c r="W7"/>
  <c r="R7" s="1"/>
  <c r="Q7"/>
  <c r="P7"/>
  <c r="K7"/>
  <c r="I7"/>
  <c r="CA6"/>
  <c r="BT6"/>
  <c r="BM6"/>
  <c r="BF6"/>
  <c r="AY6"/>
  <c r="AR6"/>
  <c r="AK6"/>
  <c r="AF6"/>
  <c r="AE6"/>
  <c r="AD6"/>
  <c r="Y6"/>
  <c r="X6"/>
  <c r="AS6" s="1"/>
  <c r="W6"/>
  <c r="R6" s="1"/>
  <c r="Q6"/>
  <c r="AL6" s="1"/>
  <c r="BG6" s="1"/>
  <c r="P6"/>
  <c r="K6"/>
  <c r="I6"/>
  <c r="CA5"/>
  <c r="BT5"/>
  <c r="BM5"/>
  <c r="BF5"/>
  <c r="AY5"/>
  <c r="AR5"/>
  <c r="AM5"/>
  <c r="AL5"/>
  <c r="BG5" s="1"/>
  <c r="AK5"/>
  <c r="AF5" s="1"/>
  <c r="AE5"/>
  <c r="AZ5" s="1"/>
  <c r="AD5"/>
  <c r="Y5" s="1"/>
  <c r="X5"/>
  <c r="AS5" s="1"/>
  <c r="BN5" s="1"/>
  <c r="W5"/>
  <c r="R5" s="1"/>
  <c r="Q5"/>
  <c r="P5"/>
  <c r="K5"/>
  <c r="I5"/>
  <c r="CA4"/>
  <c r="BT4"/>
  <c r="BM4"/>
  <c r="BF4"/>
  <c r="AY4"/>
  <c r="AT4"/>
  <c r="AS4"/>
  <c r="BN4" s="1"/>
  <c r="AR4"/>
  <c r="AM4"/>
  <c r="AL4"/>
  <c r="AK4"/>
  <c r="AF4" s="1"/>
  <c r="AE4"/>
  <c r="AZ4" s="1"/>
  <c r="AD4"/>
  <c r="Y4"/>
  <c r="X4"/>
  <c r="W4"/>
  <c r="R4" s="1"/>
  <c r="Q4"/>
  <c r="P4"/>
  <c r="K4"/>
  <c r="I4"/>
  <c r="BA4" i="19" l="1"/>
  <c r="BA4" i="18"/>
  <c r="BU4"/>
  <c r="BV4" s="1"/>
  <c r="BN6"/>
  <c r="BO6" s="1"/>
  <c r="AT6"/>
  <c r="BH6"/>
  <c r="CI6"/>
  <c r="CB6"/>
  <c r="CC6" s="1"/>
  <c r="BA5"/>
  <c r="BU5"/>
  <c r="CB5"/>
  <c r="CC5" s="1"/>
  <c r="BH5"/>
  <c r="CI5"/>
  <c r="CJ5" s="1"/>
  <c r="AY9"/>
  <c r="BA9"/>
  <c r="BN8"/>
  <c r="BO8" s="1"/>
  <c r="AT8"/>
  <c r="CB8"/>
  <c r="CC8" s="1"/>
  <c r="CI8"/>
  <c r="BH8"/>
  <c r="BA7"/>
  <c r="BU7"/>
  <c r="BV7" s="1"/>
  <c r="BU8"/>
  <c r="BA8"/>
  <c r="BO4"/>
  <c r="O10"/>
  <c r="H10"/>
  <c r="BO5"/>
  <c r="BN7"/>
  <c r="BO7" s="1"/>
  <c r="AM6"/>
  <c r="BV8"/>
  <c r="AT5"/>
  <c r="AM8"/>
  <c r="D5"/>
  <c r="B5" s="1"/>
  <c r="BV5"/>
  <c r="AF8"/>
  <c r="R9"/>
  <c r="BV4" i="19"/>
  <c r="AM3"/>
  <c r="CA3" i="18"/>
  <c r="BT3"/>
  <c r="BM3"/>
  <c r="BF3"/>
  <c r="AY3"/>
  <c r="AR3"/>
  <c r="AK3"/>
  <c r="AF3"/>
  <c r="AF10" s="1"/>
  <c r="AC10" s="1"/>
  <c r="AE3"/>
  <c r="AZ3" s="1"/>
  <c r="AD3"/>
  <c r="Y3"/>
  <c r="Y10" s="1"/>
  <c r="V10" s="1"/>
  <c r="X3"/>
  <c r="W3"/>
  <c r="Q3"/>
  <c r="R3" s="1"/>
  <c r="P3"/>
  <c r="K3"/>
  <c r="I3"/>
  <c r="B17" i="6"/>
  <c r="BA3" i="18" l="1"/>
  <c r="BU3"/>
  <c r="BV3" s="1"/>
  <c r="AL3"/>
  <c r="D6"/>
  <c r="B6" s="1"/>
  <c r="K10"/>
  <c r="D3" s="1"/>
  <c r="R10"/>
  <c r="D4" s="1"/>
  <c r="B4" s="1"/>
  <c r="AS3"/>
  <c r="BN3" s="1"/>
  <c r="BO3" s="1"/>
  <c r="AX10" i="6"/>
  <c r="AQ10"/>
  <c r="AC10"/>
  <c r="V10"/>
  <c r="CI9"/>
  <c r="CH9"/>
  <c r="CG9"/>
  <c r="CA9"/>
  <c r="BZ9"/>
  <c r="BT9"/>
  <c r="BS9"/>
  <c r="BM9"/>
  <c r="BL9"/>
  <c r="BL10" s="1"/>
  <c r="BF9"/>
  <c r="BE9"/>
  <c r="BE10" s="1"/>
  <c r="AY9"/>
  <c r="AX9"/>
  <c r="AR9"/>
  <c r="AJ9"/>
  <c r="AK9" s="1"/>
  <c r="AE9"/>
  <c r="AD9" s="1"/>
  <c r="AC9"/>
  <c r="Y9" s="1"/>
  <c r="X9"/>
  <c r="W9"/>
  <c r="V9"/>
  <c r="Q9"/>
  <c r="P9" s="1"/>
  <c r="O9"/>
  <c r="K9" s="1"/>
  <c r="I9"/>
  <c r="H9"/>
  <c r="CJ8"/>
  <c r="CI8"/>
  <c r="CH8"/>
  <c r="CA8"/>
  <c r="BT8"/>
  <c r="BM8"/>
  <c r="BF8"/>
  <c r="AY8"/>
  <c r="AR8"/>
  <c r="AK8"/>
  <c r="AF8"/>
  <c r="AE8"/>
  <c r="AZ8" s="1"/>
  <c r="AD8"/>
  <c r="X8"/>
  <c r="Y8" s="1"/>
  <c r="W8"/>
  <c r="R8"/>
  <c r="Q8"/>
  <c r="AL8" s="1"/>
  <c r="P8"/>
  <c r="K8"/>
  <c r="I8"/>
  <c r="CI7"/>
  <c r="CH7"/>
  <c r="CA7"/>
  <c r="BT7"/>
  <c r="BM7"/>
  <c r="BF7"/>
  <c r="AY7"/>
  <c r="AT7"/>
  <c r="AS7"/>
  <c r="BN7" s="1"/>
  <c r="AR7"/>
  <c r="AK7"/>
  <c r="AF7"/>
  <c r="AE7"/>
  <c r="AZ7" s="1"/>
  <c r="AD7"/>
  <c r="Y7"/>
  <c r="X7"/>
  <c r="W7"/>
  <c r="R7"/>
  <c r="Q7"/>
  <c r="P7"/>
  <c r="K7"/>
  <c r="I7"/>
  <c r="CI6"/>
  <c r="CH6"/>
  <c r="CA6"/>
  <c r="BT6"/>
  <c r="BM6"/>
  <c r="BF6"/>
  <c r="AY6"/>
  <c r="AR6"/>
  <c r="AK6"/>
  <c r="AF6"/>
  <c r="AE6"/>
  <c r="AZ6" s="1"/>
  <c r="AD6"/>
  <c r="Y6"/>
  <c r="X6"/>
  <c r="AS6" s="1"/>
  <c r="W6"/>
  <c r="R6"/>
  <c r="Q6"/>
  <c r="AL6" s="1"/>
  <c r="P6"/>
  <c r="K6"/>
  <c r="I6"/>
  <c r="CI5"/>
  <c r="CH5"/>
  <c r="CA5"/>
  <c r="BT5"/>
  <c r="BM5"/>
  <c r="BF5"/>
  <c r="AZ5"/>
  <c r="BA5" s="1"/>
  <c r="AY5"/>
  <c r="AT5"/>
  <c r="AS5"/>
  <c r="BN5" s="1"/>
  <c r="AR5"/>
  <c r="AK5"/>
  <c r="AF5"/>
  <c r="AE5"/>
  <c r="AD5"/>
  <c r="Y5"/>
  <c r="X5"/>
  <c r="W5"/>
  <c r="R5"/>
  <c r="Q5"/>
  <c r="P5"/>
  <c r="K5"/>
  <c r="I5"/>
  <c r="CI4"/>
  <c r="CH4"/>
  <c r="CA4"/>
  <c r="BT4"/>
  <c r="BM4"/>
  <c r="BF4"/>
  <c r="AY4"/>
  <c r="AR4"/>
  <c r="AK4"/>
  <c r="AF4"/>
  <c r="AE4"/>
  <c r="AD4"/>
  <c r="Y4"/>
  <c r="X4"/>
  <c r="AS4" s="1"/>
  <c r="W4"/>
  <c r="R4"/>
  <c r="Q4"/>
  <c r="AL4" s="1"/>
  <c r="P4"/>
  <c r="I4"/>
  <c r="CI3"/>
  <c r="CH3"/>
  <c r="CA3"/>
  <c r="BT3"/>
  <c r="BM3"/>
  <c r="BF3"/>
  <c r="AZ3"/>
  <c r="BA3" s="1"/>
  <c r="AY3"/>
  <c r="AR3"/>
  <c r="AK3"/>
  <c r="AF3"/>
  <c r="AE3"/>
  <c r="AD3"/>
  <c r="X3"/>
  <c r="Y3" s="1"/>
  <c r="Y10" s="1"/>
  <c r="W3"/>
  <c r="Q3"/>
  <c r="AL3" s="1"/>
  <c r="P3"/>
  <c r="K3"/>
  <c r="I3"/>
  <c r="C69" i="5"/>
  <c r="E68"/>
  <c r="F68" s="1"/>
  <c r="D68"/>
  <c r="D67"/>
  <c r="F66" s="1"/>
  <c r="E66"/>
  <c r="D66"/>
  <c r="D65"/>
  <c r="F64"/>
  <c r="E64"/>
  <c r="D64"/>
  <c r="C60"/>
  <c r="D59"/>
  <c r="E59" s="1"/>
  <c r="D58"/>
  <c r="F57"/>
  <c r="E57"/>
  <c r="D57"/>
  <c r="D56"/>
  <c r="F55" s="1"/>
  <c r="E55"/>
  <c r="D55"/>
  <c r="C43"/>
  <c r="D43" s="1"/>
  <c r="C38"/>
  <c r="D37"/>
  <c r="D36"/>
  <c r="D35"/>
  <c r="D34"/>
  <c r="D33"/>
  <c r="G32"/>
  <c r="B23"/>
  <c r="A3"/>
  <c r="C69" i="4"/>
  <c r="D68"/>
  <c r="D67"/>
  <c r="E67" s="1"/>
  <c r="D66"/>
  <c r="E65"/>
  <c r="D65"/>
  <c r="D64"/>
  <c r="C60"/>
  <c r="D59"/>
  <c r="E58"/>
  <c r="D58"/>
  <c r="D57"/>
  <c r="E56"/>
  <c r="D56"/>
  <c r="D55"/>
  <c r="C38"/>
  <c r="D37"/>
  <c r="D36"/>
  <c r="D35"/>
  <c r="D34"/>
  <c r="D33"/>
  <c r="G32"/>
  <c r="B23"/>
  <c r="W18"/>
  <c r="R18"/>
  <c r="M18"/>
  <c r="H18"/>
  <c r="E18" s="1"/>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T13"/>
  <c r="S13"/>
  <c r="O13"/>
  <c r="N13"/>
  <c r="J13"/>
  <c r="I13"/>
  <c r="E13"/>
  <c r="D13"/>
  <c r="Y12"/>
  <c r="X12"/>
  <c r="T12"/>
  <c r="S12"/>
  <c r="O12"/>
  <c r="N12"/>
  <c r="J12"/>
  <c r="I12"/>
  <c r="E12"/>
  <c r="D12"/>
  <c r="A3"/>
  <c r="S49" i="3"/>
  <c r="L49"/>
  <c r="E49"/>
  <c r="R48"/>
  <c r="T48" s="1"/>
  <c r="K48"/>
  <c r="M48" s="1"/>
  <c r="F48"/>
  <c r="D48"/>
  <c r="R47"/>
  <c r="K47"/>
  <c r="D47"/>
  <c r="T46" s="1"/>
  <c r="R46"/>
  <c r="K46"/>
  <c r="F46" s="1"/>
  <c r="D46"/>
  <c r="R36"/>
  <c r="T36" s="1"/>
  <c r="M36"/>
  <c r="K36"/>
  <c r="D36"/>
  <c r="T35" s="1"/>
  <c r="R35"/>
  <c r="K35"/>
  <c r="M35" s="1"/>
  <c r="D35"/>
  <c r="R34"/>
  <c r="M34"/>
  <c r="K34"/>
  <c r="D34"/>
  <c r="R33"/>
  <c r="M33" s="1"/>
  <c r="K33"/>
  <c r="D33"/>
  <c r="R32"/>
  <c r="T32" s="1"/>
  <c r="K32"/>
  <c r="F32" s="1"/>
  <c r="D32"/>
  <c r="R31"/>
  <c r="T31" s="1"/>
  <c r="K31"/>
  <c r="F31" s="1"/>
  <c r="D31"/>
  <c r="R30"/>
  <c r="T30" s="1"/>
  <c r="K30"/>
  <c r="M30" s="1"/>
  <c r="D30"/>
  <c r="T29" s="1"/>
  <c r="R29"/>
  <c r="M29"/>
  <c r="K29"/>
  <c r="D29"/>
  <c r="T28" s="1"/>
  <c r="R28"/>
  <c r="K28"/>
  <c r="D28"/>
  <c r="T27" s="1"/>
  <c r="R27"/>
  <c r="K27"/>
  <c r="D27"/>
  <c r="F27" s="1"/>
  <c r="T26"/>
  <c r="R26"/>
  <c r="K26"/>
  <c r="D26"/>
  <c r="F26" s="1"/>
  <c r="R25"/>
  <c r="T25" s="1"/>
  <c r="K25"/>
  <c r="M25" s="1"/>
  <c r="D25"/>
  <c r="F25" s="1"/>
  <c r="R24"/>
  <c r="K24"/>
  <c r="F24" s="1"/>
  <c r="D24"/>
  <c r="R23"/>
  <c r="K23"/>
  <c r="D23"/>
  <c r="R22"/>
  <c r="T22" s="1"/>
  <c r="K22"/>
  <c r="M22" s="1"/>
  <c r="D22"/>
  <c r="T21" s="1"/>
  <c r="R21"/>
  <c r="K21"/>
  <c r="D21"/>
  <c r="R20"/>
  <c r="K20"/>
  <c r="M20" s="1"/>
  <c r="F20"/>
  <c r="D20"/>
  <c r="R19"/>
  <c r="M19" s="1"/>
  <c r="K19"/>
  <c r="F19" s="1"/>
  <c r="D19"/>
  <c r="R18"/>
  <c r="M18"/>
  <c r="K18"/>
  <c r="F18"/>
  <c r="D18"/>
  <c r="R17"/>
  <c r="K17"/>
  <c r="D17"/>
  <c r="T16" s="1"/>
  <c r="R16"/>
  <c r="K16"/>
  <c r="F16"/>
  <c r="D16"/>
  <c r="R15"/>
  <c r="M15" s="1"/>
  <c r="K15"/>
  <c r="F15" s="1"/>
  <c r="D15"/>
  <c r="R14"/>
  <c r="K14"/>
  <c r="M14" s="1"/>
  <c r="D14"/>
  <c r="R13"/>
  <c r="K13"/>
  <c r="F13" s="1"/>
  <c r="D13"/>
  <c r="T12" s="1"/>
  <c r="R12"/>
  <c r="M12"/>
  <c r="K12"/>
  <c r="F12"/>
  <c r="D12"/>
  <c r="T11" s="1"/>
  <c r="R11"/>
  <c r="K11"/>
  <c r="F11" s="1"/>
  <c r="D11"/>
  <c r="R10"/>
  <c r="K10"/>
  <c r="F10"/>
  <c r="D10"/>
  <c r="C32" i="2"/>
  <c r="C28"/>
  <c r="C27"/>
  <c r="C26"/>
  <c r="C38" s="1"/>
  <c r="C25"/>
  <c r="D25" s="1"/>
  <c r="C24"/>
  <c r="D24" s="1"/>
  <c r="C23"/>
  <c r="C35" s="1"/>
  <c r="C22"/>
  <c r="D22" s="1"/>
  <c r="C21"/>
  <c r="C33" s="1"/>
  <c r="D33" s="1"/>
  <c r="D20"/>
  <c r="D16"/>
  <c r="D15"/>
  <c r="D14"/>
  <c r="D13"/>
  <c r="D12"/>
  <c r="D11"/>
  <c r="D10"/>
  <c r="D9"/>
  <c r="A2"/>
  <c r="A15" i="1"/>
  <c r="J8"/>
  <c r="D7"/>
  <c r="B7"/>
  <c r="M23" i="3" l="1"/>
  <c r="AT3" i="18"/>
  <c r="AT10" s="1"/>
  <c r="D8" s="1"/>
  <c r="B8" s="1"/>
  <c r="AM3"/>
  <c r="BG3"/>
  <c r="BN6" i="6"/>
  <c r="BO6" s="1"/>
  <c r="AT6"/>
  <c r="BA7"/>
  <c r="BU7"/>
  <c r="BU8"/>
  <c r="BV8" s="1"/>
  <c r="BA8"/>
  <c r="BG3"/>
  <c r="AM3"/>
  <c r="AM6"/>
  <c r="BG6"/>
  <c r="BN4"/>
  <c r="BO4" s="1"/>
  <c r="AT4"/>
  <c r="BU6"/>
  <c r="BV6" s="1"/>
  <c r="BA6"/>
  <c r="AM8"/>
  <c r="BG8"/>
  <c r="AM4"/>
  <c r="BG4"/>
  <c r="R3"/>
  <c r="R10" s="1"/>
  <c r="D4" s="1"/>
  <c r="B4" s="1"/>
  <c r="CJ3" s="1"/>
  <c r="BV7"/>
  <c r="AJ10"/>
  <c r="AS3"/>
  <c r="BV5"/>
  <c r="BO7"/>
  <c r="K10"/>
  <c r="D3" s="1"/>
  <c r="B3" s="1"/>
  <c r="C3" s="1"/>
  <c r="D5"/>
  <c r="B5" s="1"/>
  <c r="CJ4" s="1"/>
  <c r="BO5"/>
  <c r="AF9"/>
  <c r="AF10" s="1"/>
  <c r="D6" s="1"/>
  <c r="B6" s="1"/>
  <c r="CJ5" s="1"/>
  <c r="BZ10"/>
  <c r="BU3"/>
  <c r="BV3" s="1"/>
  <c r="BU5"/>
  <c r="BS10"/>
  <c r="O10"/>
  <c r="H10"/>
  <c r="CJ9"/>
  <c r="R9"/>
  <c r="D44" i="5"/>
  <c r="C44" s="1"/>
  <c r="D38"/>
  <c r="F59"/>
  <c r="G33"/>
  <c r="AC15" i="4"/>
  <c r="AC16"/>
  <c r="AC17"/>
  <c r="AC12"/>
  <c r="AC13"/>
  <c r="AC14"/>
  <c r="T18"/>
  <c r="F58"/>
  <c r="J18"/>
  <c r="F65"/>
  <c r="F36" i="3"/>
  <c r="M21"/>
  <c r="F28"/>
  <c r="T47"/>
  <c r="T20"/>
  <c r="M24"/>
  <c r="K49"/>
  <c r="D49"/>
  <c r="B51" s="1"/>
  <c r="T34"/>
  <c r="M47"/>
  <c r="T14"/>
  <c r="F21"/>
  <c r="T24"/>
  <c r="F34"/>
  <c r="M10"/>
  <c r="T13"/>
  <c r="M17"/>
  <c r="F30"/>
  <c r="F33"/>
  <c r="T15"/>
  <c r="T18"/>
  <c r="F22"/>
  <c r="M27"/>
  <c r="T33"/>
  <c r="M11"/>
  <c r="T17"/>
  <c r="T23"/>
  <c r="M26"/>
  <c r="M32"/>
  <c r="T10"/>
  <c r="F14"/>
  <c r="F17"/>
  <c r="F23"/>
  <c r="F29"/>
  <c r="F35"/>
  <c r="F47"/>
  <c r="R49"/>
  <c r="P51" s="1"/>
  <c r="M13"/>
  <c r="M16"/>
  <c r="T19"/>
  <c r="M28"/>
  <c r="M31"/>
  <c r="M46"/>
  <c r="D23" i="2"/>
  <c r="D27"/>
  <c r="D26"/>
  <c r="D21"/>
  <c r="D28"/>
  <c r="C34"/>
  <c r="D34" s="1"/>
  <c r="D32"/>
  <c r="C40"/>
  <c r="C39"/>
  <c r="D38" s="1"/>
  <c r="O18" i="4"/>
  <c r="Y18"/>
  <c r="F67"/>
  <c r="F56"/>
  <c r="G33"/>
  <c r="I51" i="3" l="1"/>
  <c r="CI3" i="18"/>
  <c r="CJ3" s="1"/>
  <c r="BH3"/>
  <c r="CB3"/>
  <c r="CC3" s="1"/>
  <c r="BH3" i="6"/>
  <c r="CB3"/>
  <c r="CC3" s="1"/>
  <c r="CB4"/>
  <c r="CC4" s="1"/>
  <c r="BH4"/>
  <c r="BN3"/>
  <c r="BO3" s="1"/>
  <c r="AT3"/>
  <c r="CB8"/>
  <c r="CC8" s="1"/>
  <c r="BH8"/>
  <c r="CB6"/>
  <c r="CC6" s="1"/>
  <c r="BH6"/>
  <c r="AH17" i="4"/>
  <c r="AM12"/>
  <c r="AR12" s="1"/>
  <c r="AH13"/>
  <c r="AM13" s="1"/>
  <c r="AH12"/>
  <c r="AH15"/>
  <c r="AH16"/>
  <c r="AH14"/>
  <c r="D40" i="2"/>
  <c r="D39"/>
  <c r="AL4" i="19"/>
  <c r="AM4" s="1"/>
  <c r="AL5"/>
  <c r="BG5" s="1"/>
  <c r="AL6"/>
  <c r="BG6" s="1"/>
  <c r="AL7"/>
  <c r="BG7" s="1"/>
  <c r="AL8"/>
  <c r="BG8" s="1"/>
  <c r="AL9"/>
  <c r="BG9" s="1"/>
  <c r="AM9"/>
  <c r="AS3"/>
  <c r="BN3" s="1"/>
  <c r="BO3" s="1"/>
  <c r="BG4"/>
  <c r="BH4" s="1"/>
  <c r="AS4"/>
  <c r="BN4" s="1"/>
  <c r="BO4" s="1"/>
  <c r="AZ3"/>
  <c r="BA3" s="1"/>
  <c r="CI3"/>
  <c r="CJ3"/>
  <c r="B3"/>
  <c r="C3" s="1"/>
  <c r="CI4"/>
  <c r="CJ4" s="1"/>
  <c r="AZ5"/>
  <c r="BA5" s="1"/>
  <c r="AS5"/>
  <c r="BN5" s="1"/>
  <c r="BO5" s="1"/>
  <c r="AT3"/>
  <c r="CC3"/>
  <c r="CB4"/>
  <c r="CC4" s="1"/>
  <c r="AT5"/>
  <c r="AS6"/>
  <c r="BN6" s="1"/>
  <c r="BO6" s="1"/>
  <c r="BU6"/>
  <c r="BV6" s="1"/>
  <c r="BN7"/>
  <c r="BO7" s="1"/>
  <c r="AS8"/>
  <c r="BN8" s="1"/>
  <c r="BO8" s="1"/>
  <c r="BU8"/>
  <c r="BV8" s="1"/>
  <c r="AS9"/>
  <c r="BN9" s="1"/>
  <c r="BO9" s="1"/>
  <c r="BO10" s="1"/>
  <c r="D11" s="1"/>
  <c r="B11" s="1"/>
  <c r="AZ9"/>
  <c r="BA9" s="1"/>
  <c r="CA9"/>
  <c r="BS10"/>
  <c r="AK9"/>
  <c r="BE10"/>
  <c r="CI6" l="1"/>
  <c r="CJ6" s="1"/>
  <c r="BH6"/>
  <c r="CB6"/>
  <c r="CC6" s="1"/>
  <c r="CB7"/>
  <c r="CC7" s="1"/>
  <c r="CI7"/>
  <c r="CJ7" s="1"/>
  <c r="BH7"/>
  <c r="CI8"/>
  <c r="CJ8" s="1"/>
  <c r="BH8"/>
  <c r="CB8"/>
  <c r="CC8" s="1"/>
  <c r="CB9"/>
  <c r="CC9" s="1"/>
  <c r="BH9"/>
  <c r="CI9"/>
  <c r="CJ9" s="1"/>
  <c r="BH5"/>
  <c r="BH10" s="1"/>
  <c r="D10" s="1"/>
  <c r="B10" s="1"/>
  <c r="CB5"/>
  <c r="CC5" s="1"/>
  <c r="CC10" s="1"/>
  <c r="CI5"/>
  <c r="CJ5" s="1"/>
  <c r="CJ10" s="1"/>
  <c r="D16" s="1"/>
  <c r="B16" s="1"/>
  <c r="AM5"/>
  <c r="AM10" s="1"/>
  <c r="D7" s="1"/>
  <c r="B7" s="1"/>
  <c r="AT9"/>
  <c r="BU3"/>
  <c r="BV3" s="1"/>
  <c r="BU5"/>
  <c r="BV5" s="1"/>
  <c r="AM6"/>
  <c r="AM7"/>
  <c r="AT8"/>
  <c r="AT6"/>
  <c r="AM8"/>
  <c r="BU9"/>
  <c r="BV9" s="1"/>
  <c r="AT4"/>
  <c r="AT10" s="1"/>
  <c r="D8" s="1"/>
  <c r="B8" s="1"/>
  <c r="AM14" i="4"/>
  <c r="AR14" s="1"/>
  <c r="AR13"/>
  <c r="AM17"/>
  <c r="AM15"/>
  <c r="AM16"/>
  <c r="BA10" i="19"/>
  <c r="D9" s="1"/>
  <c r="B9" s="1"/>
  <c r="BV10" l="1"/>
  <c r="D12" s="1"/>
  <c r="B12" s="1"/>
  <c r="AR17" i="4"/>
  <c r="AR15"/>
  <c r="AR16"/>
  <c r="E57"/>
  <c r="E64"/>
  <c r="E69" s="1"/>
  <c r="E66"/>
  <c r="F66" s="1"/>
  <c r="E68"/>
  <c r="F68" s="1"/>
  <c r="E55"/>
  <c r="F55" s="1"/>
  <c r="E59"/>
  <c r="F59" s="1"/>
  <c r="D38"/>
  <c r="C43" s="1"/>
  <c r="E60" l="1"/>
  <c r="F64"/>
  <c r="F69" s="1"/>
  <c r="C44"/>
  <c r="D43"/>
  <c r="D44" s="1"/>
  <c r="F60"/>
  <c r="F57"/>
  <c r="D35" i="2"/>
  <c r="D47" s="1"/>
  <c r="E8" i="1" s="1"/>
  <c r="C36" i="2"/>
  <c r="D36" s="1"/>
  <c r="C37"/>
  <c r="D37" s="1"/>
  <c r="C44"/>
  <c r="D44" s="1"/>
  <c r="B8" i="1" l="1"/>
  <c r="B13" s="1"/>
  <c r="K8"/>
  <c r="H8" s="1"/>
  <c r="H13" s="1"/>
  <c r="E65" i="5"/>
  <c r="F65"/>
  <c r="E67"/>
  <c r="F67"/>
  <c r="F69"/>
  <c r="E69"/>
  <c r="E56"/>
  <c r="F56"/>
  <c r="E58"/>
  <c r="E60"/>
  <c r="F58"/>
  <c r="F60"/>
  <c r="AL5" i="6"/>
  <c r="BG5"/>
  <c r="BH5"/>
  <c r="AL7"/>
  <c r="BG7"/>
  <c r="BH7"/>
  <c r="AL9"/>
  <c r="BG9"/>
  <c r="BH9"/>
  <c r="BH10"/>
  <c r="CB5"/>
  <c r="CC5"/>
  <c r="CB7"/>
  <c r="CC7"/>
  <c r="CB9"/>
  <c r="CC9"/>
  <c r="CC10"/>
  <c r="AS8"/>
  <c r="BN8"/>
  <c r="BO8"/>
  <c r="AS9"/>
  <c r="BN9"/>
  <c r="BO9"/>
  <c r="BO10"/>
  <c r="AT8"/>
  <c r="AT9"/>
  <c r="AT10"/>
  <c r="D8"/>
  <c r="B8"/>
  <c r="CJ7"/>
  <c r="AM5"/>
  <c r="AM7"/>
  <c r="AM9"/>
  <c r="AM10"/>
  <c r="D7"/>
  <c r="B7"/>
  <c r="CJ6"/>
  <c r="AZ4"/>
  <c r="BU4"/>
  <c r="BV4"/>
  <c r="AZ9"/>
  <c r="BU9"/>
  <c r="BV9"/>
  <c r="BV10"/>
  <c r="D10"/>
  <c r="B10"/>
  <c r="BA9"/>
  <c r="BA4"/>
  <c r="BA10"/>
  <c r="D9"/>
  <c r="B9"/>
  <c r="D12"/>
  <c r="B12"/>
  <c r="D11"/>
  <c r="B11"/>
  <c r="CJ10"/>
  <c r="D16"/>
  <c r="CG10"/>
  <c r="B16"/>
  <c r="BG4" i="18"/>
  <c r="CI4"/>
  <c r="CJ4"/>
  <c r="CJ6"/>
  <c r="BG7"/>
  <c r="CI7"/>
  <c r="CJ7"/>
  <c r="CJ8"/>
  <c r="AL9"/>
  <c r="BG9"/>
  <c r="CI9"/>
  <c r="CJ9"/>
  <c r="CJ10"/>
  <c r="CB4"/>
  <c r="CC4"/>
  <c r="CB7"/>
  <c r="CC7"/>
  <c r="CB9"/>
  <c r="CC9"/>
  <c r="CC10"/>
  <c r="BZ10"/>
  <c r="AZ6"/>
  <c r="BU6"/>
  <c r="BV6"/>
  <c r="BU9"/>
  <c r="BV9"/>
  <c r="BV10"/>
  <c r="BH4"/>
  <c r="BH7"/>
  <c r="BH9"/>
  <c r="BH10"/>
  <c r="AM9"/>
  <c r="AM10"/>
  <c r="D7"/>
  <c r="B7"/>
  <c r="BN9"/>
  <c r="BO9"/>
  <c r="BO10"/>
  <c r="BA6"/>
  <c r="BA10"/>
  <c r="B3"/>
  <c r="C3"/>
  <c r="D10"/>
  <c r="B10"/>
  <c r="BE10"/>
  <c r="D9"/>
  <c r="B9"/>
  <c r="D16"/>
  <c r="B16"/>
  <c r="D12"/>
  <c r="B12"/>
  <c r="D11"/>
  <c r="B11"/>
  <c r="BT9"/>
  <c r="AK9"/>
</calcChain>
</file>

<file path=xl/comments1.xml><?xml version="1.0" encoding="utf-8"?>
<comments xmlns="http://schemas.openxmlformats.org/spreadsheetml/2006/main">
  <authors>
    <author/>
  </authors>
  <commentList>
    <comment ref="G2" author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D2" author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0.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<sst xmlns="http://schemas.openxmlformats.org/spreadsheetml/2006/main" count="2171" uniqueCount="195">
  <si>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</si>
  <si>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</si>
  <si>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</si>
  <si>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</si>
  <si>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</si>
  <si>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</si>
  <si>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</si>
  <si>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</si>
  <si>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</si>
  <si>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</si>
  <si>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</si>
  <si>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</si>
  <si>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</si>
  <si>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</si>
  <si>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</si>
  <si>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</si>
  <si>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</si>
  <si>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</si>
  <si>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</si>
  <si>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</si>
  <si>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</si>
  <si>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</si>
  <si>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</si>
  <si>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</si>
  <si>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</si>
  <si>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</si>
  <si>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</si>
  <si>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</si>
  <si>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</si>
  <si>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</si>
  <si>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</si>
  <si>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</si>
  <si>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</si>
  <si>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</si>
  <si>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</si>
  <si>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</si>
  <si>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</si>
  <si>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</si>
  <si>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</si>
  <si>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</si>
  <si>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</si>
  <si>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</si>
  <si>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</si>
  <si>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</si>
  <si>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</si>
  <si>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</si>
  <si>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</si>
  <si>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</si>
  <si>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</si>
  <si>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</si>
  <si>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</si>
  <si>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</si>
  <si>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</si>
  <si>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</si>
  <si>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</si>
  <si>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</si>
  <si>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</si>
  <si>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</si>
  <si>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</si>
  <si>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</si>
  <si>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</si>
  <si>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</si>
  <si>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</si>
  <si>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</si>
  <si>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</si>
  <si>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</si>
  <si>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</si>
  <si>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</si>
  <si>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</si>
  <si>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</si>
  <si>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</si>
  <si>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</si>
  <si>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</si>
  <si>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</si>
  <si>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</si>
  <si>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</si>
  <si>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</si>
  <si>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</si>
  <si>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</si>
  <si>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</si>
  <si>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</si>
  <si>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</si>
  <si>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</si>
  <si>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</si>
  <si>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</si>
  <si>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</si>
  <si>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</si>
  <si>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</si>
  <si>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</si>
  <si>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</si>
  <si>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</si>
  <si>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</si>
  <si>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</si>
  <si>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</si>
  <si>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</si>
  <si>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</si>
  <si>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</si>
  <si>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</si>
  <si>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</si>
  <si>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</si>
  <si>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</si>
  <si>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</si>
  <si>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</si>
  <si>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</si>
  <si>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</si>
  <si>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</si>
  <si>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</si>
  <si>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</si>
  <si>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</si>
  <si>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</si>
  <si>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</si>
  <si>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</si>
  <si>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</si>
  <si>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 (special weapon1)</t>
  </si>
  <si>
    <t>Killing the enemy (special weapon2)</t>
  </si>
  <si>
    <t>Killing the enemy (special weapon3)</t>
  </si>
  <si>
    <t>Killing the enemy (plasma)</t>
  </si>
  <si>
    <t>Range of prizes</t>
  </si>
  <si>
    <t>Scarab Gold summary</t>
  </si>
  <si>
    <t>Scarab Gem Covered summary</t>
  </si>
  <si>
    <t>Standard Mummy summary</t>
  </si>
  <si>
    <t>Pharaoh A Summary</t>
  </si>
  <si>
    <t>Pharaoh B Summary</t>
  </si>
  <si>
    <t>HV Scarab Summary</t>
  </si>
  <si>
    <t>HV Enemy Summary</t>
  </si>
  <si>
    <t>Railgun</t>
  </si>
  <si>
    <t>Artillery Strike</t>
  </si>
  <si>
    <t>Rocket Propelled Grenade</t>
  </si>
  <si>
    <t>Flamethrower/Molotov Grenades</t>
  </si>
  <si>
    <t>Landmines</t>
  </si>
  <si>
    <t>Landmine</t>
  </si>
  <si>
    <t>Killing the enemy (Landmine stepping on it)</t>
  </si>
  <si>
    <t>Killing the enemy (Near a landmine)</t>
  </si>
  <si>
    <t>Killing the enemy (Railgun)</t>
  </si>
  <si>
    <t>Killing the enemy (Artillery Strike)</t>
  </si>
  <si>
    <t>Killing the enemy (Rocket Propelled Grenade)</t>
  </si>
  <si>
    <t>Killing the enemy (Flamethrower)</t>
  </si>
  <si>
    <t>LANDMINE STEPPING ON IT</t>
  </si>
  <si>
    <t>NEAR A LANDMINE</t>
  </si>
  <si>
    <t>RAILGUN</t>
  </si>
  <si>
    <t>ARTILLERY STRIKE</t>
  </si>
  <si>
    <t>ROCKET PROPELLED GRENADE</t>
  </si>
  <si>
    <t>FLAMETHROWER</t>
  </si>
  <si>
    <t>SPECIAL PISTOL AMMO</t>
  </si>
  <si>
    <t>Mummy A summary</t>
  </si>
  <si>
    <t>Mummy B summary</t>
  </si>
  <si>
    <t>Mummy C summary</t>
  </si>
  <si>
    <t>Landmine: 1 landmine hits 6 enemies (similar to Special weapon 2 (Grenade)) , the greatest damage is cause to enemy that stepped on it.</t>
  </si>
  <si>
    <t>Railgun: (grenade skin) each shot is actually a hit. Each bullet hits 5 enemies in a line.</t>
  </si>
  <si>
    <t>Artillery Strike: (grenade skin)</t>
  </si>
  <si>
    <t>Rocket Propelled Grenade: (grenade skin)</t>
  </si>
  <si>
    <t>Flamethrower/Molotov Grenades: (grenade skin)</t>
  </si>
  <si>
    <t>Artillery strike</t>
  </si>
  <si>
    <t>Flamethrower</t>
  </si>
  <si>
    <t>Special Pistol Ammo: these bullets enhace the regular bullets. This means player has to pay every shot with this ammo. New special weapons and boss round can be triggered.</t>
  </si>
  <si>
    <t>The average pay for each shot is 1.655 (as these shots are paid they return to player 0.655 for base game, the rest is the part for winning this bullets)</t>
  </si>
  <si>
    <t>These shots contribute to Leaderboard/Jackpot as regular shots.</t>
  </si>
  <si>
    <t>If some of these bullets are not used (end of round, player logs out, etc) then player must receive an average pay of 1x for each bullet not being shot.</t>
  </si>
  <si>
    <t>Avg Pay</t>
  </si>
  <si>
    <t>In that case, for each bullet draw a prize from these table:</t>
  </si>
  <si>
    <t>Powerup: doubles chance of kill</t>
  </si>
  <si>
    <t>Powerup: doubles the payout</t>
  </si>
  <si>
    <t>Cryogun</t>
  </si>
  <si>
    <t>Killing the enemy (Cryogun)</t>
  </si>
  <si>
    <t>Killing the enemy (Doubles chance) (*)</t>
  </si>
  <si>
    <t>Killing the enemy (Doubles payout) (*)</t>
  </si>
  <si>
    <t>POWERUP DOUBLES CHANCES</t>
  </si>
  <si>
    <t>CRYO-GUN</t>
  </si>
  <si>
    <t>POWERUP DOUBLES PAYOUTS</t>
  </si>
  <si>
    <t>(*) paid shots</t>
  </si>
  <si>
    <t>Killing the enemy (*)</t>
  </si>
  <si>
    <t>Map Quest</t>
  </si>
  <si>
    <t>(0.955 + 0.655)</t>
  </si>
  <si>
    <t>Powerup (doubles chances): these bullets enhace the regular bullets. This means player has to pay every shot with this ammo. New special weapons and boss round can be triggered.</t>
  </si>
  <si>
    <t>If some of these bullets are not used (end of round, player logs out, etc) then player must receive an average pay of 0.655x for each bullet not being shot.</t>
  </si>
  <si>
    <t>Powerup (doubles payouts): these bullets enhace the regular bullets. This means player has to pay every shot with this ammo. New special weapons and boss round can be triggered.</t>
  </si>
  <si>
    <t>Cryogun: fires a pulse at the center of the screen and visually freeze all enemies for a few seconds. It also hits to 5 enemies (near the center of the screen). Same mechanics as grenade.</t>
  </si>
  <si>
    <t>Freezing enemies is just a visual effect, all weapons continue working as usual while enemies are frozen.</t>
  </si>
  <si>
    <t>With each paid shot in base game there is a chance of getting a piece of a map. When the 6th piece is collected player receives a prize of 120x.</t>
  </si>
  <si>
    <t xml:space="preserve">For each shot in base game with a regular weapon draw if player gets a special weapon or not. </t>
  </si>
  <si>
    <t>HV enemies</t>
  </si>
  <si>
    <t>Player's pot:</t>
  </si>
  <si>
    <t>Prize (pot + real prize):</t>
  </si>
  <si>
    <t>Max prize from pot:</t>
  </si>
  <si>
    <t>Min probability:</t>
  </si>
  <si>
    <t>Max prize from pot</t>
  </si>
  <si>
    <t>Killing enemy freq (min):</t>
  </si>
  <si>
    <t>Prize from pot (**)</t>
  </si>
  <si>
    <t>(**) depend on pot</t>
  </si>
  <si>
    <t>Real prize (**)</t>
  </si>
  <si>
    <t>Prize:</t>
  </si>
  <si>
    <t>HV Troll Summary</t>
  </si>
  <si>
    <t>HV Runner Summary</t>
  </si>
  <si>
    <t>Note:  HV Runner should appear only when the chances of defeating him are high.</t>
  </si>
  <si>
    <t>(*) Changing player's pot all other values will be updated.</t>
  </si>
</sst>
</file>

<file path=xl/styles.xml><?xml version="1.0" encoding="utf-8"?>
<styleSheet xmlns="http://schemas.openxmlformats.org/spreadsheetml/2006/main">
  <numFmts count="7">
    <numFmt numFmtId="164" formatCode="0.0%"/>
    <numFmt numFmtId="165" formatCode="\x0.00"/>
    <numFmt numFmtId="166" formatCode="0.0"/>
    <numFmt numFmtId="167" formatCode="0.0000"/>
    <numFmt numFmtId="168" formatCode="\x0"/>
    <numFmt numFmtId="169" formatCode="0.0000000"/>
    <numFmt numFmtId="170" formatCode="0.000"/>
  </numFmts>
  <fonts count="15">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
      <sz val="11"/>
      <color rgb="FF000000"/>
      <name val="Calibri"/>
      <family val="2"/>
    </font>
    <font>
      <b/>
      <sz val="11"/>
      <color rgb="FF000000"/>
      <name val="Calibri"/>
      <family val="2"/>
    </font>
    <font>
      <b/>
      <sz val="11"/>
      <color rgb="FFFF0000"/>
      <name val="Calibri"/>
      <family val="2"/>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medium">
        <color indexed="64"/>
      </left>
      <right style="thin">
        <color auto="1"/>
      </right>
      <top style="medium">
        <color indexed="64"/>
      </top>
      <bottom style="medium">
        <color indexed="64"/>
      </bottom>
      <diagonal/>
    </border>
  </borders>
  <cellStyleXfs count="2">
    <xf numFmtId="0" fontId="0" fillId="0" borderId="0"/>
    <xf numFmtId="9" fontId="11" fillId="0" borderId="0" applyBorder="0" applyProtection="0"/>
  </cellStyleXfs>
  <cellXfs count="105">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0" fillId="0" borderId="6" xfId="0" applyBorder="1"/>
    <xf numFmtId="0" fontId="0" fillId="0" borderId="0" xfId="0" applyFont="1" applyFill="1" applyBorder="1"/>
    <xf numFmtId="0" fontId="0" fillId="0" borderId="6" xfId="0" applyFill="1" applyBorder="1"/>
    <xf numFmtId="0" fontId="0" fillId="0" borderId="13" xfId="0" applyBorder="1"/>
    <xf numFmtId="0" fontId="0" fillId="0" borderId="9" xfId="0" applyBorder="1"/>
    <xf numFmtId="0" fontId="0" fillId="0" borderId="0" xfId="0" applyFill="1" applyBorder="1"/>
    <xf numFmtId="0" fontId="3" fillId="0" borderId="1" xfId="0" applyFont="1" applyBorder="1"/>
    <xf numFmtId="170" fontId="3" fillId="0" borderId="1" xfId="0" applyNumberFormat="1" applyFont="1" applyBorder="1"/>
    <xf numFmtId="0" fontId="0" fillId="0" borderId="1" xfId="0" applyFill="1" applyBorder="1"/>
    <xf numFmtId="0" fontId="0" fillId="0" borderId="6" xfId="0" applyFont="1" applyFill="1" applyBorder="1"/>
    <xf numFmtId="0" fontId="0" fillId="0" borderId="9" xfId="0" applyFont="1" applyFill="1" applyBorder="1"/>
    <xf numFmtId="0" fontId="0" fillId="0" borderId="10" xfId="0" applyFont="1" applyFill="1" applyBorder="1"/>
    <xf numFmtId="0" fontId="0" fillId="0" borderId="17" xfId="0" applyFont="1" applyFill="1" applyBorder="1"/>
    <xf numFmtId="0" fontId="0" fillId="0" borderId="1" xfId="0" applyFont="1" applyFill="1" applyBorder="1"/>
    <xf numFmtId="1" fontId="1" fillId="0" borderId="1" xfId="0" applyNumberFormat="1" applyFont="1" applyBorder="1"/>
    <xf numFmtId="1" fontId="12" fillId="0" borderId="1" xfId="0" applyNumberFormat="1" applyFont="1" applyBorder="1"/>
    <xf numFmtId="0" fontId="12" fillId="0" borderId="1" xfId="0" applyFont="1" applyBorder="1"/>
    <xf numFmtId="0" fontId="4" fillId="0" borderId="1" xfId="0" applyFont="1" applyBorder="1"/>
    <xf numFmtId="0" fontId="13" fillId="0" borderId="1" xfId="0" applyFont="1" applyFill="1" applyBorder="1"/>
    <xf numFmtId="170" fontId="12" fillId="0" borderId="1" xfId="0" applyNumberFormat="1" applyFont="1" applyBorder="1"/>
    <xf numFmtId="10" fontId="3" fillId="0" borderId="1" xfId="1" applyNumberFormat="1" applyFont="1" applyBorder="1" applyAlignment="1" applyProtection="1"/>
    <xf numFmtId="1" fontId="0" fillId="0" borderId="1" xfId="0" applyNumberFormat="1" applyFont="1" applyBorder="1"/>
    <xf numFmtId="167" fontId="11" fillId="0" borderId="0" xfId="1" applyNumberFormat="1"/>
    <xf numFmtId="0" fontId="14" fillId="0" borderId="1" xfId="0" applyFont="1" applyBorder="1"/>
    <xf numFmtId="10" fontId="14" fillId="0" borderId="1" xfId="1" applyNumberFormat="1" applyFont="1" applyBorder="1" applyAlignment="1" applyProtection="1"/>
    <xf numFmtId="10" fontId="11" fillId="0" borderId="0" xfId="1" applyNumberFormat="1"/>
    <xf numFmtId="0" fontId="2" fillId="2" borderId="21" xfId="0" applyFont="1" applyFill="1" applyBorder="1"/>
    <xf numFmtId="165" fontId="0" fillId="0" borderId="1" xfId="0" applyNumberFormat="1" applyFont="1" applyBorder="1"/>
    <xf numFmtId="165" fontId="0" fillId="0" borderId="0" xfId="0" applyNumberFormat="1"/>
    <xf numFmtId="1" fontId="0" fillId="0" borderId="0" xfId="0" applyNumberFormat="1" applyAlignment="1">
      <alignment horizontal="right"/>
    </xf>
    <xf numFmtId="0" fontId="2" fillId="2" borderId="12" xfId="0" applyFont="1" applyFill="1" applyBorder="1" applyAlignment="1">
      <alignment horizontal="center"/>
    </xf>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cellXfs>
  <cellStyles count="2">
    <cellStyle name="Normal" xfId="0" builtinId="0"/>
    <cellStyle name="Porcentual" xfId="1" builtinId="5"/>
  </cellStyles>
  <dxfs count="6">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x%20Quest%20Math%20model_NJP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x%20Quest%20Math%20model_NJP_V16%20(NEW%20WEAPON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sheetName val="HV enemy"/>
      <sheetName val="Profiles"/>
    </sheetNames>
    <sheetDataSet>
      <sheetData sheetId="0"/>
      <sheetData sheetId="1"/>
      <sheetData sheetId="2"/>
      <sheetData sheetId="3"/>
      <sheetData sheetId="4"/>
      <sheetData sheetId="5"/>
      <sheetData sheetId="6"/>
      <sheetData sheetId="7"/>
      <sheetData sheetId="8">
        <row r="3">
          <cell r="J3">
            <v>5</v>
          </cell>
        </row>
        <row r="4">
          <cell r="J4">
            <v>7</v>
          </cell>
        </row>
        <row r="5">
          <cell r="J5">
            <v>10</v>
          </cell>
        </row>
        <row r="6">
          <cell r="J6">
            <v>15</v>
          </cell>
        </row>
        <row r="7">
          <cell r="J7">
            <v>25</v>
          </cell>
        </row>
        <row r="8">
          <cell r="J8">
            <v>50</v>
          </cell>
        </row>
        <row r="9">
          <cell r="J9">
            <v>100</v>
          </cell>
        </row>
      </sheetData>
      <sheetData sheetId="9">
        <row r="3">
          <cell r="J3">
            <v>5</v>
          </cell>
        </row>
        <row r="4">
          <cell r="J4">
            <v>7</v>
          </cell>
        </row>
        <row r="5">
          <cell r="J5">
            <v>10</v>
          </cell>
        </row>
        <row r="6">
          <cell r="J6">
            <v>15</v>
          </cell>
        </row>
        <row r="7">
          <cell r="J7">
            <v>25</v>
          </cell>
        </row>
        <row r="8">
          <cell r="J8">
            <v>50</v>
          </cell>
        </row>
        <row r="9">
          <cell r="J9">
            <v>100</v>
          </cell>
        </row>
      </sheetData>
      <sheetData sheetId="10">
        <row r="3">
          <cell r="J3">
            <v>5</v>
          </cell>
        </row>
        <row r="4">
          <cell r="J4">
            <v>7</v>
          </cell>
        </row>
        <row r="5">
          <cell r="J5">
            <v>10</v>
          </cell>
        </row>
        <row r="6">
          <cell r="J6">
            <v>15</v>
          </cell>
        </row>
        <row r="7">
          <cell r="J7">
            <v>25</v>
          </cell>
        </row>
        <row r="8">
          <cell r="J8">
            <v>50</v>
          </cell>
        </row>
        <row r="9">
          <cell r="J9">
            <v>100</v>
          </cell>
        </row>
      </sheetData>
      <sheetData sheetId="11">
        <row r="3">
          <cell r="J3">
            <v>7</v>
          </cell>
        </row>
        <row r="4">
          <cell r="J4">
            <v>10</v>
          </cell>
        </row>
        <row r="5">
          <cell r="J5">
            <v>15</v>
          </cell>
        </row>
        <row r="6">
          <cell r="J6">
            <v>20</v>
          </cell>
        </row>
        <row r="7">
          <cell r="J7">
            <v>40</v>
          </cell>
        </row>
        <row r="8">
          <cell r="J8">
            <v>75</v>
          </cell>
        </row>
        <row r="9">
          <cell r="J9">
            <v>150</v>
          </cell>
        </row>
      </sheetData>
      <sheetData sheetId="12">
        <row r="3">
          <cell r="J3">
            <v>10</v>
          </cell>
        </row>
        <row r="4">
          <cell r="J4">
            <v>15</v>
          </cell>
        </row>
        <row r="5">
          <cell r="J5">
            <v>20</v>
          </cell>
        </row>
        <row r="6">
          <cell r="J6">
            <v>40</v>
          </cell>
        </row>
        <row r="7">
          <cell r="J7">
            <v>75</v>
          </cell>
        </row>
        <row r="8">
          <cell r="J8">
            <v>100</v>
          </cell>
        </row>
        <row r="9">
          <cell r="J9">
            <v>200</v>
          </cell>
        </row>
      </sheetData>
      <sheetData sheetId="13">
        <row r="3">
          <cell r="J3">
            <v>10</v>
          </cell>
        </row>
        <row r="4">
          <cell r="J4">
            <v>15</v>
          </cell>
        </row>
        <row r="5">
          <cell r="J5">
            <v>20</v>
          </cell>
        </row>
        <row r="6">
          <cell r="J6">
            <v>40</v>
          </cell>
        </row>
        <row r="7">
          <cell r="J7">
            <v>75</v>
          </cell>
        </row>
        <row r="8">
          <cell r="J8">
            <v>100</v>
          </cell>
        </row>
        <row r="9">
          <cell r="J9">
            <v>200</v>
          </cell>
        </row>
      </sheetData>
      <sheetData sheetId="14">
        <row r="3">
          <cell r="J3">
            <v>50</v>
          </cell>
        </row>
        <row r="4">
          <cell r="J4">
            <v>100</v>
          </cell>
        </row>
        <row r="5">
          <cell r="J5">
            <v>200</v>
          </cell>
        </row>
        <row r="6">
          <cell r="J6">
            <v>500</v>
          </cell>
        </row>
        <row r="7">
          <cell r="J7">
            <v>750</v>
          </cell>
        </row>
        <row r="8">
          <cell r="J8">
            <v>1000</v>
          </cell>
        </row>
        <row r="9">
          <cell r="J9">
            <v>2000</v>
          </cell>
        </row>
      </sheetData>
      <sheetData sheetId="15">
        <row r="3">
          <cell r="J3">
            <v>75</v>
          </cell>
        </row>
        <row r="4">
          <cell r="J4">
            <v>150</v>
          </cell>
        </row>
        <row r="5">
          <cell r="J5">
            <v>300</v>
          </cell>
        </row>
        <row r="6">
          <cell r="J6">
            <v>500</v>
          </cell>
        </row>
        <row r="7">
          <cell r="J7">
            <v>1000</v>
          </cell>
        </row>
        <row r="8">
          <cell r="J8">
            <v>2000</v>
          </cell>
        </row>
        <row r="9">
          <cell r="J9">
            <v>5000</v>
          </cell>
        </row>
      </sheetData>
      <sheetData sheetId="16"/>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Old)"/>
      <sheetName val="HV enemy (Old)"/>
      <sheetName val="HV Runner and HV Troll"/>
    </sheetNames>
    <sheetDataSet>
      <sheetData sheetId="0">
        <row r="7">
          <cell r="C7">
            <v>1000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sheetPr codeName="Hoja18"/>
  <dimension ref="A1:K54"/>
  <sheetViews>
    <sheetView workbookViewId="0">
      <selection activeCell="A5" sqref="A5"/>
    </sheetView>
  </sheetViews>
  <sheetFormatPr baseColWidth="10" defaultColWidth="8.88671875" defaultRowHeight="14.4"/>
  <cols>
    <col min="1" max="1" width="18" customWidth="1"/>
    <col min="2" max="3" width="11.5546875" customWidth="1"/>
    <col min="4" max="4" width="15.88671875" customWidth="1"/>
    <col min="5" max="5" width="14.88671875" customWidth="1"/>
    <col min="6" max="6" width="11.5546875" customWidth="1"/>
    <col min="7" max="7" width="13.5546875" customWidth="1"/>
    <col min="8" max="8" width="15" customWidth="1"/>
    <col min="9" max="9" width="16.33203125" customWidth="1"/>
    <col min="10" max="10" width="14.109375" customWidth="1"/>
    <col min="11" max="11" width="11.6640625" bestFit="1" customWidth="1"/>
    <col min="12" max="13" width="12" customWidth="1"/>
    <col min="14" max="1025" width="11.5546875" customWidth="1"/>
  </cols>
  <sheetData>
    <row r="1" spans="1:11">
      <c r="A1" t="s">
        <v>0</v>
      </c>
    </row>
    <row r="2" spans="1:11">
      <c r="A2" t="s">
        <v>1</v>
      </c>
    </row>
    <row r="4" spans="1:11">
      <c r="I4" s="1" t="s">
        <v>2</v>
      </c>
    </row>
    <row r="5" spans="1:11">
      <c r="A5" s="2" t="s">
        <v>3</v>
      </c>
      <c r="B5" s="2" t="s">
        <v>4</v>
      </c>
      <c r="C5" s="2" t="s">
        <v>5</v>
      </c>
      <c r="D5" s="2" t="s">
        <v>6</v>
      </c>
      <c r="E5" s="2" t="s">
        <v>7</v>
      </c>
      <c r="G5" s="2" t="s">
        <v>3</v>
      </c>
      <c r="H5" s="2" t="s">
        <v>4</v>
      </c>
      <c r="I5" s="2" t="s">
        <v>5</v>
      </c>
      <c r="J5" s="2" t="s">
        <v>6</v>
      </c>
      <c r="K5" s="2" t="s">
        <v>7</v>
      </c>
    </row>
    <row r="6" spans="1:11">
      <c r="A6" s="3" t="s">
        <v>8</v>
      </c>
      <c r="B6" s="4">
        <v>0.65500000000000003</v>
      </c>
      <c r="C6" s="3"/>
      <c r="D6" s="3"/>
      <c r="E6" s="3"/>
      <c r="G6" s="3" t="s">
        <v>8</v>
      </c>
      <c r="H6" s="4">
        <v>0.65500000000000003</v>
      </c>
      <c r="I6" s="3"/>
      <c r="J6" s="3"/>
      <c r="K6" s="3"/>
    </row>
    <row r="7" spans="1:11">
      <c r="A7" s="3" t="s">
        <v>9</v>
      </c>
      <c r="B7" s="5">
        <f>1/C7*E7</f>
        <v>0.1</v>
      </c>
      <c r="C7" s="3">
        <v>1000</v>
      </c>
      <c r="D7" s="3">
        <f>1/C7</f>
        <v>1E-3</v>
      </c>
      <c r="E7" s="3">
        <v>100</v>
      </c>
      <c r="G7" s="3" t="s">
        <v>9</v>
      </c>
      <c r="H7" s="5">
        <v>0</v>
      </c>
      <c r="I7" s="3">
        <v>0</v>
      </c>
      <c r="J7" s="3">
        <v>0</v>
      </c>
      <c r="K7" s="3">
        <v>0</v>
      </c>
    </row>
    <row r="8" spans="1:11">
      <c r="A8" s="3" t="s">
        <v>10</v>
      </c>
      <c r="B8" s="5">
        <f>1/C8*E8</f>
        <v>0.12011191111289382</v>
      </c>
      <c r="C8" s="90">
        <f>700*0.17/0.12</f>
        <v>991.66666666666686</v>
      </c>
      <c r="D8" s="90">
        <f>1/C8</f>
        <v>1.0084033613445376E-3</v>
      </c>
      <c r="E8" s="6">
        <f>+'Special weapon'!D47</f>
        <v>119.11097852028639</v>
      </c>
      <c r="G8" s="3" t="s">
        <v>10</v>
      </c>
      <c r="H8" s="5">
        <f>1/I8*K8</f>
        <v>0.2700929218147084</v>
      </c>
      <c r="I8" s="3">
        <v>441</v>
      </c>
      <c r="J8" s="3">
        <f>1/I8</f>
        <v>2.2675736961451248E-3</v>
      </c>
      <c r="K8" s="6">
        <f>+E8</f>
        <v>119.11097852028639</v>
      </c>
    </row>
    <row r="9" spans="1:11">
      <c r="A9" s="3" t="s">
        <v>11</v>
      </c>
      <c r="B9" s="5">
        <v>0.02</v>
      </c>
      <c r="C9" s="3"/>
      <c r="D9" s="3"/>
      <c r="E9" s="3"/>
      <c r="G9" s="3" t="s">
        <v>11</v>
      </c>
      <c r="H9" s="5">
        <v>0.02</v>
      </c>
      <c r="I9" s="3"/>
      <c r="J9" s="3"/>
      <c r="K9" s="3"/>
    </row>
    <row r="10" spans="1:11">
      <c r="A10" s="90" t="s">
        <v>171</v>
      </c>
      <c r="B10" s="91">
        <f>1/C10*E10</f>
        <v>0.03</v>
      </c>
      <c r="C10" s="88">
        <f>1/D10</f>
        <v>666.66666666666663</v>
      </c>
      <c r="D10" s="3">
        <v>1.5E-3</v>
      </c>
      <c r="E10" s="3">
        <v>20</v>
      </c>
      <c r="G10" s="58" t="s">
        <v>171</v>
      </c>
      <c r="H10" s="87">
        <f>1/I10*K10</f>
        <v>0.03</v>
      </c>
      <c r="I10" s="88">
        <f>1/J10</f>
        <v>666.66666666666663</v>
      </c>
      <c r="J10" s="3">
        <v>1.5E-3</v>
      </c>
      <c r="K10" s="3">
        <v>20</v>
      </c>
    </row>
    <row r="11" spans="1:11">
      <c r="A11" s="90" t="s">
        <v>180</v>
      </c>
      <c r="B11" s="91">
        <v>0.05</v>
      </c>
      <c r="C11" s="88"/>
      <c r="D11" s="3"/>
      <c r="E11" s="3"/>
      <c r="G11" s="58"/>
      <c r="H11" s="87"/>
      <c r="I11" s="88"/>
      <c r="J11" s="3"/>
      <c r="K11" s="3"/>
    </row>
    <row r="12" spans="1:11">
      <c r="A12" s="3" t="s">
        <v>12</v>
      </c>
      <c r="B12" s="5">
        <v>0</v>
      </c>
      <c r="C12" s="3"/>
      <c r="D12" s="3"/>
      <c r="E12" s="3"/>
      <c r="G12" s="3" t="s">
        <v>12</v>
      </c>
      <c r="H12" s="5">
        <v>0</v>
      </c>
      <c r="I12" s="3"/>
      <c r="J12" s="3"/>
      <c r="K12" s="3"/>
    </row>
    <row r="13" spans="1:11">
      <c r="A13" s="2" t="s">
        <v>13</v>
      </c>
      <c r="B13" s="7">
        <f>+SUM(B6:B12)</f>
        <v>0.97511191111289386</v>
      </c>
      <c r="C13" s="2"/>
      <c r="D13" s="2"/>
      <c r="E13" s="2"/>
      <c r="G13" s="2" t="s">
        <v>13</v>
      </c>
      <c r="H13" s="7">
        <f>+SUM(H6:H12)</f>
        <v>0.97509292181470841</v>
      </c>
      <c r="I13" s="2"/>
      <c r="J13" s="2"/>
      <c r="K13" s="2"/>
    </row>
    <row r="14" spans="1:11">
      <c r="A14" s="8" t="s">
        <v>14</v>
      </c>
    </row>
    <row r="15" spans="1:11">
      <c r="A15" s="9" t="str">
        <f>+CONCATENATE("Boss Prize: ", E7, "x to be distributed between players according to total bet during triggering round")</f>
        <v>Boss Prize: 100x to be distributed between players according to total bet during triggering round</v>
      </c>
    </row>
    <row r="16" spans="1:11">
      <c r="A16" s="9"/>
    </row>
    <row r="17" spans="1:8">
      <c r="A17" s="9" t="s">
        <v>178</v>
      </c>
    </row>
    <row r="18" spans="1:8">
      <c r="A18" s="9"/>
    </row>
    <row r="19" spans="1:8">
      <c r="A19" s="10" t="s">
        <v>15</v>
      </c>
    </row>
    <row r="20" spans="1:8">
      <c r="A20" s="10"/>
    </row>
    <row r="21" spans="1:8">
      <c r="A21" s="10"/>
    </row>
    <row r="22" spans="1:8">
      <c r="A22" s="1" t="s">
        <v>16</v>
      </c>
      <c r="D22" s="1" t="s">
        <v>17</v>
      </c>
      <c r="G22" s="1" t="s">
        <v>18</v>
      </c>
    </row>
    <row r="23" spans="1:8">
      <c r="A23" s="2" t="s">
        <v>19</v>
      </c>
      <c r="B23" s="2" t="s">
        <v>20</v>
      </c>
      <c r="D23" s="2" t="s">
        <v>19</v>
      </c>
      <c r="E23" s="2" t="s">
        <v>20</v>
      </c>
      <c r="G23" s="2" t="s">
        <v>19</v>
      </c>
      <c r="H23" s="2" t="s">
        <v>20</v>
      </c>
    </row>
    <row r="24" spans="1:8">
      <c r="A24" s="3">
        <v>1</v>
      </c>
      <c r="B24" s="11">
        <f>+'Scarab Black'!$J3</f>
        <v>2</v>
      </c>
      <c r="D24" s="3">
        <v>1</v>
      </c>
      <c r="E24" s="11">
        <f>+'Scarab Gold'!$J3</f>
        <v>2</v>
      </c>
      <c r="G24" s="3">
        <v>1</v>
      </c>
      <c r="H24" s="11">
        <f>+'Scarab Gem Covered'!$J3</f>
        <v>3</v>
      </c>
    </row>
    <row r="25" spans="1:8">
      <c r="A25" s="3">
        <v>2</v>
      </c>
      <c r="B25" s="11">
        <f>+'Scarab Black'!$J4</f>
        <v>3</v>
      </c>
      <c r="D25" s="3">
        <v>2</v>
      </c>
      <c r="E25" s="11">
        <f>+'Scarab Gold'!$J4</f>
        <v>3</v>
      </c>
      <c r="G25" s="3">
        <v>2</v>
      </c>
      <c r="H25" s="11">
        <f>+'Scarab Gem Covered'!$J4</f>
        <v>4</v>
      </c>
    </row>
    <row r="26" spans="1:8">
      <c r="A26" s="3">
        <v>3</v>
      </c>
      <c r="B26" s="11">
        <f>+'Scarab Black'!$J5</f>
        <v>5</v>
      </c>
      <c r="D26" s="3">
        <v>3</v>
      </c>
      <c r="E26" s="11">
        <f>+'Scarab Gold'!$J5</f>
        <v>5</v>
      </c>
      <c r="G26" s="3">
        <v>3</v>
      </c>
      <c r="H26" s="11">
        <f>+'Scarab Gem Covered'!$J5</f>
        <v>6</v>
      </c>
    </row>
    <row r="27" spans="1:8">
      <c r="A27" s="3">
        <v>4</v>
      </c>
      <c r="B27" s="11">
        <f>+'Scarab Black'!$J6</f>
        <v>7</v>
      </c>
      <c r="D27" s="3">
        <v>4</v>
      </c>
      <c r="E27" s="11">
        <f>+'Scarab Gold'!$J6</f>
        <v>7</v>
      </c>
      <c r="G27" s="3">
        <v>4</v>
      </c>
      <c r="H27" s="11">
        <f>+'Scarab Gem Covered'!$J6</f>
        <v>8</v>
      </c>
    </row>
    <row r="28" spans="1:8">
      <c r="A28" s="3">
        <v>5</v>
      </c>
      <c r="B28" s="11">
        <f>+'Scarab Black'!$J7</f>
        <v>10</v>
      </c>
      <c r="D28" s="3">
        <v>5</v>
      </c>
      <c r="E28" s="11">
        <f>+'Scarab Gold'!$J7</f>
        <v>10</v>
      </c>
      <c r="G28" s="3">
        <v>5</v>
      </c>
      <c r="H28" s="11">
        <f>+'Scarab Gem Covered'!$J7</f>
        <v>12</v>
      </c>
    </row>
    <row r="29" spans="1:8">
      <c r="A29" s="3">
        <v>6</v>
      </c>
      <c r="B29" s="11">
        <f>+'Scarab Black'!$J8</f>
        <v>20</v>
      </c>
      <c r="D29" s="3">
        <v>6</v>
      </c>
      <c r="E29" s="11">
        <f>+'Scarab Gold'!$J8</f>
        <v>20</v>
      </c>
      <c r="G29" s="3">
        <v>6</v>
      </c>
      <c r="H29" s="11">
        <f>+'Scarab Gem Covered'!$J8</f>
        <v>25</v>
      </c>
    </row>
    <row r="30" spans="1:8">
      <c r="A30" s="3">
        <v>7</v>
      </c>
      <c r="B30" s="11">
        <f>+'Scarab Black'!$J9</f>
        <v>50</v>
      </c>
      <c r="D30" s="3">
        <v>7</v>
      </c>
      <c r="E30" s="11">
        <f>+'Scarab Gold'!$J9</f>
        <v>50</v>
      </c>
      <c r="G30" s="3">
        <v>7</v>
      </c>
      <c r="H30" s="11">
        <f>+'Scarab Gem Covered'!$J9</f>
        <v>60</v>
      </c>
    </row>
    <row r="31" spans="1:8">
      <c r="A31" s="12"/>
      <c r="B31" s="13"/>
      <c r="D31" s="12"/>
      <c r="E31" s="13"/>
      <c r="G31" s="12"/>
      <c r="H31" s="13"/>
    </row>
    <row r="32" spans="1:8">
      <c r="A32" s="12"/>
      <c r="B32" s="13"/>
      <c r="D32" s="12"/>
      <c r="E32" s="13"/>
      <c r="G32" s="12"/>
      <c r="H32" s="13"/>
    </row>
    <row r="33" spans="1:11">
      <c r="A33" s="1" t="s">
        <v>21</v>
      </c>
      <c r="D33" s="1" t="s">
        <v>22</v>
      </c>
      <c r="G33" s="1" t="s">
        <v>23</v>
      </c>
      <c r="J33" s="1" t="s">
        <v>24</v>
      </c>
    </row>
    <row r="34" spans="1:11">
      <c r="A34" s="2" t="s">
        <v>25</v>
      </c>
      <c r="B34" s="2" t="s">
        <v>20</v>
      </c>
      <c r="D34" s="2" t="s">
        <v>19</v>
      </c>
      <c r="E34" s="2" t="s">
        <v>20</v>
      </c>
      <c r="G34" s="2" t="s">
        <v>19</v>
      </c>
      <c r="H34" s="2" t="s">
        <v>20</v>
      </c>
      <c r="J34" s="2" t="s">
        <v>19</v>
      </c>
      <c r="K34" s="2" t="s">
        <v>20</v>
      </c>
    </row>
    <row r="35" spans="1:11">
      <c r="A35" s="3">
        <v>1</v>
      </c>
      <c r="B35" s="11">
        <f>+'[1]Standard Mummy'!$J3</f>
        <v>5</v>
      </c>
      <c r="D35" s="3">
        <v>1</v>
      </c>
      <c r="E35" s="11">
        <f>+'[1]Mummy A'!$J3</f>
        <v>5</v>
      </c>
      <c r="G35" s="3">
        <v>1</v>
      </c>
      <c r="H35" s="11">
        <f>+'[1]Mummy B'!$J3</f>
        <v>5</v>
      </c>
      <c r="J35" s="3">
        <v>1</v>
      </c>
      <c r="K35" s="11">
        <f>+'[1]Mummy C'!$J3</f>
        <v>7</v>
      </c>
    </row>
    <row r="36" spans="1:11">
      <c r="A36" s="3">
        <v>2</v>
      </c>
      <c r="B36" s="11">
        <f>+'[1]Standard Mummy'!$J4</f>
        <v>7</v>
      </c>
      <c r="D36" s="3">
        <v>2</v>
      </c>
      <c r="E36" s="11">
        <f>+'[1]Mummy A'!$J4</f>
        <v>7</v>
      </c>
      <c r="G36" s="3">
        <v>2</v>
      </c>
      <c r="H36" s="11">
        <f>+'[1]Mummy B'!$J4</f>
        <v>7</v>
      </c>
      <c r="J36" s="3">
        <v>2</v>
      </c>
      <c r="K36" s="11">
        <f>+'[1]Mummy C'!$J4</f>
        <v>10</v>
      </c>
    </row>
    <row r="37" spans="1:11">
      <c r="A37" s="3">
        <v>3</v>
      </c>
      <c r="B37" s="11">
        <f>+'[1]Standard Mummy'!$J5</f>
        <v>10</v>
      </c>
      <c r="D37" s="3">
        <v>3</v>
      </c>
      <c r="E37" s="11">
        <f>+'[1]Mummy A'!$J5</f>
        <v>10</v>
      </c>
      <c r="G37" s="3">
        <v>3</v>
      </c>
      <c r="H37" s="11">
        <f>+'[1]Mummy B'!$J5</f>
        <v>10</v>
      </c>
      <c r="J37" s="3">
        <v>3</v>
      </c>
      <c r="K37" s="11">
        <f>+'[1]Mummy C'!$J5</f>
        <v>15</v>
      </c>
    </row>
    <row r="38" spans="1:11">
      <c r="A38" s="3">
        <v>4</v>
      </c>
      <c r="B38" s="11">
        <f>+'[1]Standard Mummy'!$J6</f>
        <v>15</v>
      </c>
      <c r="D38" s="3">
        <v>4</v>
      </c>
      <c r="E38" s="11">
        <f>+'[1]Mummy A'!$J6</f>
        <v>15</v>
      </c>
      <c r="F38" s="1"/>
      <c r="G38" s="3">
        <v>4</v>
      </c>
      <c r="H38" s="11">
        <f>+'[1]Mummy B'!$J6</f>
        <v>15</v>
      </c>
      <c r="I38" s="1"/>
      <c r="J38" s="3">
        <v>4</v>
      </c>
      <c r="K38" s="11">
        <f>+'[1]Mummy C'!$J6</f>
        <v>20</v>
      </c>
    </row>
    <row r="39" spans="1:11">
      <c r="A39" s="3">
        <v>5</v>
      </c>
      <c r="B39" s="11">
        <f>+'[1]Standard Mummy'!$J7</f>
        <v>25</v>
      </c>
      <c r="D39" s="3">
        <v>5</v>
      </c>
      <c r="E39" s="11">
        <f>+'[1]Mummy A'!$J7</f>
        <v>25</v>
      </c>
      <c r="F39" s="1"/>
      <c r="G39" s="3">
        <v>5</v>
      </c>
      <c r="H39" s="11">
        <f>+'[1]Mummy B'!$J7</f>
        <v>25</v>
      </c>
      <c r="I39" s="1"/>
      <c r="J39" s="3">
        <v>5</v>
      </c>
      <c r="K39" s="11">
        <f>+'[1]Mummy C'!$J7</f>
        <v>40</v>
      </c>
    </row>
    <row r="40" spans="1:11">
      <c r="A40" s="3">
        <v>6</v>
      </c>
      <c r="B40" s="11">
        <f>+'[1]Standard Mummy'!$J8</f>
        <v>50</v>
      </c>
      <c r="D40" s="3">
        <v>6</v>
      </c>
      <c r="E40" s="11">
        <f>+'[1]Mummy A'!$J8</f>
        <v>50</v>
      </c>
      <c r="F40" s="1"/>
      <c r="G40" s="3">
        <v>6</v>
      </c>
      <c r="H40" s="11">
        <f>+'[1]Mummy B'!$J8</f>
        <v>50</v>
      </c>
      <c r="I40" s="1"/>
      <c r="J40" s="3">
        <v>6</v>
      </c>
      <c r="K40" s="11">
        <f>+'[1]Mummy C'!$J8</f>
        <v>75</v>
      </c>
    </row>
    <row r="41" spans="1:11">
      <c r="A41" s="3">
        <v>7</v>
      </c>
      <c r="B41" s="11">
        <f>+'[1]Standard Mummy'!$J9</f>
        <v>100</v>
      </c>
      <c r="D41" s="3">
        <v>7</v>
      </c>
      <c r="E41" s="11">
        <f>+'[1]Mummy A'!$J9</f>
        <v>100</v>
      </c>
      <c r="F41" s="1"/>
      <c r="G41" s="3">
        <v>7</v>
      </c>
      <c r="H41" s="11">
        <f>+'[1]Mummy B'!$J9</f>
        <v>100</v>
      </c>
      <c r="I41" s="1"/>
      <c r="J41" s="3">
        <v>7</v>
      </c>
      <c r="K41" s="11">
        <f>+'[1]Mummy C'!$J9</f>
        <v>150</v>
      </c>
    </row>
    <row r="42" spans="1:11">
      <c r="A42" s="12"/>
      <c r="B42" s="13"/>
      <c r="D42" s="12"/>
      <c r="E42" s="13"/>
      <c r="F42" s="1"/>
    </row>
    <row r="44" spans="1:11">
      <c r="A44" s="1" t="s">
        <v>26</v>
      </c>
      <c r="D44" s="1" t="s">
        <v>27</v>
      </c>
      <c r="G44" s="1" t="s">
        <v>28</v>
      </c>
      <c r="J44" s="1" t="s">
        <v>29</v>
      </c>
    </row>
    <row r="45" spans="1:11">
      <c r="A45" s="2" t="s">
        <v>19</v>
      </c>
      <c r="B45" s="2" t="s">
        <v>20</v>
      </c>
      <c r="D45" s="2" t="s">
        <v>19</v>
      </c>
      <c r="E45" s="2" t="s">
        <v>20</v>
      </c>
      <c r="G45" s="2" t="s">
        <v>19</v>
      </c>
      <c r="H45" s="2" t="s">
        <v>20</v>
      </c>
      <c r="J45" s="2" t="s">
        <v>19</v>
      </c>
      <c r="K45" s="2" t="s">
        <v>20</v>
      </c>
    </row>
    <row r="46" spans="1:11">
      <c r="A46" s="3">
        <v>1</v>
      </c>
      <c r="B46" s="11">
        <f>+'[1]Pharaoh A'!$J3</f>
        <v>10</v>
      </c>
      <c r="D46" s="3">
        <v>1</v>
      </c>
      <c r="E46" s="11">
        <f>+'[1]Pharaoh B'!$J3</f>
        <v>10</v>
      </c>
      <c r="G46" s="3">
        <v>1</v>
      </c>
      <c r="H46" s="11">
        <f>+'[1]HV Scarab'!$J3</f>
        <v>50</v>
      </c>
      <c r="J46" s="3">
        <v>1</v>
      </c>
      <c r="K46" s="11">
        <f>+'[1]HV enemy'!$J3</f>
        <v>75</v>
      </c>
    </row>
    <row r="47" spans="1:11">
      <c r="A47" s="3">
        <v>2</v>
      </c>
      <c r="B47" s="11">
        <f>+'[1]Pharaoh A'!$J4</f>
        <v>15</v>
      </c>
      <c r="D47" s="3">
        <v>2</v>
      </c>
      <c r="E47" s="11">
        <f>+'[1]Pharaoh B'!$J4</f>
        <v>15</v>
      </c>
      <c r="G47" s="3">
        <v>2</v>
      </c>
      <c r="H47" s="11">
        <f>+'[1]HV Scarab'!$J4</f>
        <v>100</v>
      </c>
      <c r="J47" s="3">
        <v>2</v>
      </c>
      <c r="K47" s="11">
        <f>+'[1]HV enemy'!$J4</f>
        <v>150</v>
      </c>
    </row>
    <row r="48" spans="1:11">
      <c r="A48" s="3">
        <v>3</v>
      </c>
      <c r="B48" s="11">
        <f>+'[1]Pharaoh A'!$J5</f>
        <v>20</v>
      </c>
      <c r="D48" s="3">
        <v>3</v>
      </c>
      <c r="E48" s="11">
        <f>+'[1]Pharaoh B'!$J5</f>
        <v>20</v>
      </c>
      <c r="G48" s="3">
        <v>3</v>
      </c>
      <c r="H48" s="11">
        <f>+'[1]HV Scarab'!$J5</f>
        <v>200</v>
      </c>
      <c r="J48" s="3">
        <v>3</v>
      </c>
      <c r="K48" s="11">
        <f>+'[1]HV enemy'!$J5</f>
        <v>300</v>
      </c>
    </row>
    <row r="49" spans="1:11">
      <c r="A49" s="3">
        <v>4</v>
      </c>
      <c r="B49" s="11">
        <f>+'[1]Pharaoh A'!$J6</f>
        <v>40</v>
      </c>
      <c r="D49" s="3">
        <v>4</v>
      </c>
      <c r="E49" s="11">
        <f>+'[1]Pharaoh B'!$J6</f>
        <v>40</v>
      </c>
      <c r="G49" s="3">
        <v>4</v>
      </c>
      <c r="H49" s="11">
        <f>+'[1]HV Scarab'!$J6</f>
        <v>500</v>
      </c>
      <c r="J49" s="3">
        <v>4</v>
      </c>
      <c r="K49" s="11">
        <f>+'[1]HV enemy'!$J6</f>
        <v>500</v>
      </c>
    </row>
    <row r="50" spans="1:11">
      <c r="A50" s="3">
        <v>5</v>
      </c>
      <c r="B50" s="11">
        <f>+'[1]Pharaoh A'!$J7</f>
        <v>75</v>
      </c>
      <c r="D50" s="3">
        <v>5</v>
      </c>
      <c r="E50" s="11">
        <f>+'[1]Pharaoh B'!$J7</f>
        <v>75</v>
      </c>
      <c r="G50" s="3">
        <v>5</v>
      </c>
      <c r="H50" s="11">
        <f>+'[1]HV Scarab'!$J7</f>
        <v>750</v>
      </c>
      <c r="J50" s="3">
        <v>5</v>
      </c>
      <c r="K50" s="11">
        <f>+'[1]HV enemy'!$J7</f>
        <v>1000</v>
      </c>
    </row>
    <row r="51" spans="1:11">
      <c r="A51" s="3">
        <v>6</v>
      </c>
      <c r="B51" s="11">
        <f>+'[1]Pharaoh A'!$J8</f>
        <v>100</v>
      </c>
      <c r="D51" s="3">
        <v>6</v>
      </c>
      <c r="E51" s="11">
        <f>+'[1]Pharaoh B'!$J8</f>
        <v>100</v>
      </c>
      <c r="G51" s="3">
        <v>6</v>
      </c>
      <c r="H51" s="11">
        <f>+'[1]HV Scarab'!$J8</f>
        <v>1000</v>
      </c>
      <c r="J51" s="3">
        <v>6</v>
      </c>
      <c r="K51" s="11">
        <f>+'[1]HV enemy'!$J8</f>
        <v>2000</v>
      </c>
    </row>
    <row r="52" spans="1:11">
      <c r="A52" s="3">
        <v>7</v>
      </c>
      <c r="B52" s="11">
        <f>+'[1]Pharaoh A'!$J9</f>
        <v>200</v>
      </c>
      <c r="D52" s="3">
        <v>7</v>
      </c>
      <c r="E52" s="11">
        <f>+'[1]Pharaoh B'!$J9</f>
        <v>200</v>
      </c>
      <c r="G52" s="3">
        <v>7</v>
      </c>
      <c r="H52" s="11">
        <f>+'[1]HV Scarab'!$J9</f>
        <v>2000</v>
      </c>
      <c r="J52" s="3">
        <v>7</v>
      </c>
      <c r="K52" s="11">
        <f>+'[1]HV enemy'!$J9</f>
        <v>5000</v>
      </c>
    </row>
    <row r="54" spans="1:11">
      <c r="C54" s="14"/>
    </row>
  </sheetData>
  <pageMargins left="0.7" right="0.7" top="0.75" bottom="0.75" header="0.51180555555555496" footer="0.51180555555555496"/>
  <pageSetup paperSize="9" firstPageNumber="0" orientation="portrait" horizontalDpi="300" verticalDpi="300" r:id="rId1"/>
</worksheet>
</file>

<file path=xl/worksheets/sheet2.xml><?xml version="1.0" encoding="utf-8"?>
<worksheet xmlns="http://schemas.openxmlformats.org/spreadsheetml/2006/main" xmlns:r="http://schemas.openxmlformats.org/officeDocument/2006/relationships">
  <sheetPr codeName="Hoja45"/>
  <dimension ref="A1:J23"/>
  <sheetViews>
    <sheetView workbookViewId="0"/>
  </sheetViews>
  <sheetFormatPr baseColWidth="10" defaultColWidth="8.88671875" defaultRowHeight="14.4"/>
  <cols>
    <col min="1" max="1" width="37.88671875" bestFit="1" customWidth="1"/>
    <col min="2" max="2" width="13.21875" customWidth="1"/>
    <col min="3" max="3" width="21" customWidth="1"/>
    <col min="4" max="5" width="20" customWidth="1"/>
    <col min="6" max="6" width="13.21875" customWidth="1"/>
    <col min="7" max="7" width="17.21875" bestFit="1" customWidth="1"/>
    <col min="8" max="8" width="11.5546875" customWidth="1"/>
    <col min="9" max="9" width="19.5546875" customWidth="1"/>
    <col min="10" max="10" width="12" customWidth="1"/>
    <col min="11" max="965" width="11.5546875" customWidth="1"/>
  </cols>
  <sheetData>
    <row r="1" spans="1:10" ht="15" thickBot="1">
      <c r="A1" s="2" t="s">
        <v>192</v>
      </c>
    </row>
    <row r="2" spans="1:10" ht="15" thickBot="1">
      <c r="A2" s="2"/>
      <c r="B2" s="2" t="s">
        <v>4</v>
      </c>
      <c r="C2" s="2" t="s">
        <v>185</v>
      </c>
      <c r="D2" s="2" t="s">
        <v>187</v>
      </c>
      <c r="E2" s="2" t="s">
        <v>189</v>
      </c>
      <c r="F2" s="2" t="s">
        <v>108</v>
      </c>
      <c r="G2" s="2" t="s">
        <v>109</v>
      </c>
      <c r="I2" s="93" t="s">
        <v>182</v>
      </c>
      <c r="J2" s="49">
        <v>100</v>
      </c>
    </row>
    <row r="3" spans="1:10" ht="15" thickBot="1">
      <c r="A3" s="58" t="s">
        <v>170</v>
      </c>
      <c r="B3" s="3">
        <v>0.65500000000000003</v>
      </c>
      <c r="C3" s="94">
        <v>95</v>
      </c>
      <c r="D3" s="94">
        <f>+MIN(C3,$J$4)</f>
        <v>0</v>
      </c>
      <c r="E3" s="94">
        <f t="shared" ref="E3:E16" si="0">+$J$2-D3</f>
        <v>100</v>
      </c>
      <c r="F3" s="58">
        <f t="shared" ref="F3:F16" si="1">+B3/E3</f>
        <v>6.5500000000000003E-3</v>
      </c>
      <c r="G3" s="3">
        <f>1/F3/Summary!$C$7</f>
        <v>0.15267175572519082</v>
      </c>
    </row>
    <row r="4" spans="1:10" ht="15" thickBot="1">
      <c r="A4" s="3" t="s">
        <v>113</v>
      </c>
      <c r="B4" s="3">
        <v>5</v>
      </c>
      <c r="C4" s="94">
        <v>75</v>
      </c>
      <c r="D4" s="94">
        <f t="shared" ref="D4:D16" si="2">+MIN(C4,$J$4)</f>
        <v>0</v>
      </c>
      <c r="E4" s="94">
        <f t="shared" si="0"/>
        <v>100</v>
      </c>
      <c r="F4" s="58">
        <f t="shared" si="1"/>
        <v>0.05</v>
      </c>
      <c r="G4" s="3">
        <v>0</v>
      </c>
      <c r="I4" s="93" t="s">
        <v>181</v>
      </c>
      <c r="J4" s="49">
        <v>0</v>
      </c>
    </row>
    <row r="5" spans="1:10">
      <c r="A5" s="3" t="s">
        <v>114</v>
      </c>
      <c r="B5" s="3">
        <v>8</v>
      </c>
      <c r="C5" s="94">
        <v>68</v>
      </c>
      <c r="D5" s="94">
        <f t="shared" si="2"/>
        <v>0</v>
      </c>
      <c r="E5" s="94">
        <f t="shared" si="0"/>
        <v>100</v>
      </c>
      <c r="F5" s="58">
        <f t="shared" si="1"/>
        <v>0.08</v>
      </c>
      <c r="G5" s="3">
        <v>0</v>
      </c>
      <c r="I5" t="s">
        <v>194</v>
      </c>
    </row>
    <row r="6" spans="1:10">
      <c r="A6" s="80" t="s">
        <v>115</v>
      </c>
      <c r="B6" s="3">
        <v>10</v>
      </c>
      <c r="C6" s="94">
        <v>60</v>
      </c>
      <c r="D6" s="94">
        <f t="shared" si="2"/>
        <v>0</v>
      </c>
      <c r="E6" s="94">
        <f t="shared" si="0"/>
        <v>100</v>
      </c>
      <c r="F6" s="58">
        <f t="shared" si="1"/>
        <v>0.1</v>
      </c>
      <c r="G6" s="3">
        <v>0</v>
      </c>
    </row>
    <row r="7" spans="1:10">
      <c r="A7" s="75" t="s">
        <v>131</v>
      </c>
      <c r="B7" s="3">
        <v>20</v>
      </c>
      <c r="C7" s="94">
        <v>20</v>
      </c>
      <c r="D7" s="94">
        <f t="shared" si="2"/>
        <v>0</v>
      </c>
      <c r="E7" s="94">
        <f t="shared" si="0"/>
        <v>100</v>
      </c>
      <c r="F7" s="58">
        <f t="shared" si="1"/>
        <v>0.2</v>
      </c>
      <c r="G7" s="3">
        <v>0</v>
      </c>
    </row>
    <row r="8" spans="1:10">
      <c r="A8" s="75" t="s">
        <v>132</v>
      </c>
      <c r="B8" s="3">
        <v>2</v>
      </c>
      <c r="C8" s="94">
        <v>80</v>
      </c>
      <c r="D8" s="94">
        <f t="shared" si="2"/>
        <v>0</v>
      </c>
      <c r="E8" s="94">
        <f t="shared" si="0"/>
        <v>100</v>
      </c>
      <c r="F8" s="58">
        <f t="shared" si="1"/>
        <v>0.02</v>
      </c>
      <c r="G8" s="3">
        <v>0</v>
      </c>
    </row>
    <row r="9" spans="1:10">
      <c r="A9" s="75" t="s">
        <v>133</v>
      </c>
      <c r="B9" s="3">
        <v>10</v>
      </c>
      <c r="C9" s="94">
        <v>60</v>
      </c>
      <c r="D9" s="94">
        <f t="shared" si="2"/>
        <v>0</v>
      </c>
      <c r="E9" s="94">
        <f t="shared" si="0"/>
        <v>100</v>
      </c>
      <c r="F9" s="58">
        <f t="shared" si="1"/>
        <v>0.1</v>
      </c>
      <c r="G9" s="3">
        <v>0</v>
      </c>
    </row>
    <row r="10" spans="1:10">
      <c r="A10" s="75" t="s">
        <v>134</v>
      </c>
      <c r="B10" s="3">
        <v>11</v>
      </c>
      <c r="C10" s="94">
        <v>56</v>
      </c>
      <c r="D10" s="94">
        <f t="shared" si="2"/>
        <v>0</v>
      </c>
      <c r="E10" s="94">
        <f t="shared" si="0"/>
        <v>100</v>
      </c>
      <c r="F10" s="58">
        <f t="shared" si="1"/>
        <v>0.11</v>
      </c>
      <c r="G10" s="3">
        <v>0</v>
      </c>
    </row>
    <row r="11" spans="1:10">
      <c r="A11" s="75" t="s">
        <v>135</v>
      </c>
      <c r="B11" s="3">
        <v>11</v>
      </c>
      <c r="C11" s="94">
        <v>56</v>
      </c>
      <c r="D11" s="94">
        <f t="shared" si="2"/>
        <v>0</v>
      </c>
      <c r="E11" s="94">
        <f t="shared" si="0"/>
        <v>100</v>
      </c>
      <c r="F11" s="58">
        <f t="shared" si="1"/>
        <v>0.11</v>
      </c>
      <c r="G11" s="3">
        <v>0</v>
      </c>
    </row>
    <row r="12" spans="1:10">
      <c r="A12" s="75" t="s">
        <v>136</v>
      </c>
      <c r="B12" s="3">
        <v>10</v>
      </c>
      <c r="C12" s="94">
        <v>60</v>
      </c>
      <c r="D12" s="94">
        <f t="shared" si="2"/>
        <v>0</v>
      </c>
      <c r="E12" s="94">
        <f t="shared" si="0"/>
        <v>100</v>
      </c>
      <c r="F12" s="58">
        <f t="shared" si="1"/>
        <v>0.1</v>
      </c>
      <c r="G12" s="3">
        <v>0</v>
      </c>
    </row>
    <row r="13" spans="1:10">
      <c r="A13" s="85" t="s">
        <v>164</v>
      </c>
      <c r="B13" s="3">
        <f>+B3*2</f>
        <v>1.31</v>
      </c>
      <c r="C13" s="94">
        <v>90</v>
      </c>
      <c r="D13" s="94">
        <f t="shared" si="2"/>
        <v>0</v>
      </c>
      <c r="E13" s="94">
        <f t="shared" si="0"/>
        <v>100</v>
      </c>
      <c r="F13" s="58">
        <f t="shared" si="1"/>
        <v>1.3100000000000001E-2</v>
      </c>
      <c r="G13" s="3">
        <f>1/F13/Summary!$C$7</f>
        <v>7.6335877862595408E-2</v>
      </c>
    </row>
    <row r="14" spans="1:10">
      <c r="A14" s="85" t="s">
        <v>165</v>
      </c>
      <c r="B14" s="3">
        <f>+B13</f>
        <v>1.31</v>
      </c>
      <c r="C14" s="94">
        <v>90</v>
      </c>
      <c r="D14" s="94">
        <f t="shared" si="2"/>
        <v>0</v>
      </c>
      <c r="E14" s="94">
        <f t="shared" si="0"/>
        <v>100</v>
      </c>
      <c r="F14" s="58">
        <f t="shared" si="1"/>
        <v>1.3100000000000001E-2</v>
      </c>
      <c r="G14" s="3">
        <f>1/F14/Summary!$C$7</f>
        <v>7.6335877862595408E-2</v>
      </c>
    </row>
    <row r="15" spans="1:10">
      <c r="A15" s="75" t="s">
        <v>163</v>
      </c>
      <c r="B15" s="3">
        <v>20</v>
      </c>
      <c r="C15" s="94">
        <v>20</v>
      </c>
      <c r="D15" s="94">
        <f t="shared" si="2"/>
        <v>0</v>
      </c>
      <c r="E15" s="94">
        <f t="shared" si="0"/>
        <v>100</v>
      </c>
      <c r="F15" s="58">
        <f t="shared" si="1"/>
        <v>0.2</v>
      </c>
      <c r="G15" s="3">
        <v>0</v>
      </c>
    </row>
    <row r="16" spans="1:10">
      <c r="A16" s="80" t="s">
        <v>116</v>
      </c>
      <c r="B16" s="3">
        <v>50</v>
      </c>
      <c r="C16" s="94">
        <v>10</v>
      </c>
      <c r="D16" s="94">
        <f t="shared" si="2"/>
        <v>0</v>
      </c>
      <c r="E16" s="94">
        <f t="shared" si="0"/>
        <v>100</v>
      </c>
      <c r="F16" s="58">
        <f t="shared" si="1"/>
        <v>0.5</v>
      </c>
      <c r="G16" s="3">
        <v>0</v>
      </c>
    </row>
    <row r="17" spans="1:4">
      <c r="D17" t="s">
        <v>188</v>
      </c>
    </row>
    <row r="18" spans="1:4">
      <c r="A18" t="s">
        <v>169</v>
      </c>
    </row>
    <row r="19" spans="1:4">
      <c r="C19" t="s">
        <v>183</v>
      </c>
      <c r="D19" s="95">
        <f>+MAX(D3:D16)</f>
        <v>0</v>
      </c>
    </row>
    <row r="20" spans="1:4">
      <c r="C20" t="s">
        <v>184</v>
      </c>
      <c r="D20">
        <f>+MIN(F3:F16)</f>
        <v>6.5500000000000003E-3</v>
      </c>
    </row>
    <row r="21" spans="1:4">
      <c r="C21" t="s">
        <v>186</v>
      </c>
      <c r="D21" s="96" t="str">
        <f>CONCATENATE(ROUND(1/D20,0), " shots")</f>
        <v>153 shots</v>
      </c>
    </row>
    <row r="23" spans="1:4">
      <c r="A23" t="s">
        <v>193</v>
      </c>
    </row>
  </sheetData>
  <conditionalFormatting sqref="F3:F16">
    <cfRule type="cellIs" priority="31" operator="greaterThan">
      <formula>1</formula>
    </cfRule>
    <cfRule type="cellIs" priority="32" operator="lessThan">
      <formula>0</formula>
    </cfRule>
  </conditionalFormatting>
  <conditionalFormatting sqref="F3:G16">
    <cfRule type="cellIs" dxfId="5" priority="9" operator="greaterThan">
      <formula>1</formula>
    </cfRule>
    <cfRule type="cellIs" dxfId="4" priority="10"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dimension ref="A1:G18"/>
  <sheetViews>
    <sheetView tabSelected="1" workbookViewId="0"/>
  </sheetViews>
  <sheetFormatPr baseColWidth="10" defaultRowHeight="14.4"/>
  <cols>
    <col min="1" max="1" width="37.88671875" bestFit="1" customWidth="1"/>
    <col min="3" max="3" width="20.88671875" customWidth="1"/>
    <col min="4" max="4" width="17.21875" bestFit="1" customWidth="1"/>
  </cols>
  <sheetData>
    <row r="1" spans="1:7" ht="15" thickBot="1">
      <c r="A1" s="2" t="s">
        <v>191</v>
      </c>
    </row>
    <row r="2" spans="1:7" ht="15" thickBot="1">
      <c r="A2" s="2"/>
      <c r="B2" s="2" t="s">
        <v>4</v>
      </c>
      <c r="C2" s="2" t="s">
        <v>108</v>
      </c>
      <c r="D2" s="2" t="s">
        <v>109</v>
      </c>
      <c r="F2" s="93" t="s">
        <v>190</v>
      </c>
      <c r="G2" s="49">
        <v>250</v>
      </c>
    </row>
    <row r="3" spans="1:7">
      <c r="A3" s="58" t="s">
        <v>170</v>
      </c>
      <c r="B3" s="3">
        <v>0.65500000000000003</v>
      </c>
      <c r="C3" s="58">
        <f>+B3/$G$2</f>
        <v>2.6199999999999999E-3</v>
      </c>
      <c r="D3" s="3">
        <f>1/C3/[2]Summary!$C$7</f>
        <v>0.38167938931297707</v>
      </c>
    </row>
    <row r="4" spans="1:7">
      <c r="A4" s="3" t="s">
        <v>113</v>
      </c>
      <c r="B4" s="3">
        <v>5</v>
      </c>
      <c r="C4" s="58">
        <f t="shared" ref="C4:C16" si="0">+B4/$G$2</f>
        <v>0.02</v>
      </c>
      <c r="D4" s="3">
        <v>0</v>
      </c>
    </row>
    <row r="5" spans="1:7">
      <c r="A5" s="3" t="s">
        <v>114</v>
      </c>
      <c r="B5" s="3">
        <v>8</v>
      </c>
      <c r="C5" s="58">
        <f t="shared" si="0"/>
        <v>3.2000000000000001E-2</v>
      </c>
      <c r="D5" s="3">
        <v>0</v>
      </c>
    </row>
    <row r="6" spans="1:7">
      <c r="A6" s="80" t="s">
        <v>115</v>
      </c>
      <c r="B6" s="3">
        <v>10</v>
      </c>
      <c r="C6" s="58">
        <f t="shared" si="0"/>
        <v>0.04</v>
      </c>
      <c r="D6" s="3">
        <v>0</v>
      </c>
    </row>
    <row r="7" spans="1:7">
      <c r="A7" s="75" t="s">
        <v>131</v>
      </c>
      <c r="B7" s="3">
        <v>20</v>
      </c>
      <c r="C7" s="58">
        <f t="shared" si="0"/>
        <v>0.08</v>
      </c>
      <c r="D7" s="3">
        <v>0</v>
      </c>
    </row>
    <row r="8" spans="1:7">
      <c r="A8" s="75" t="s">
        <v>132</v>
      </c>
      <c r="B8" s="3">
        <v>2</v>
      </c>
      <c r="C8" s="58">
        <f t="shared" si="0"/>
        <v>8.0000000000000002E-3</v>
      </c>
      <c r="D8" s="3">
        <v>0</v>
      </c>
    </row>
    <row r="9" spans="1:7">
      <c r="A9" s="75" t="s">
        <v>133</v>
      </c>
      <c r="B9" s="3">
        <v>10</v>
      </c>
      <c r="C9" s="58">
        <f t="shared" si="0"/>
        <v>0.04</v>
      </c>
      <c r="D9" s="3">
        <v>0</v>
      </c>
    </row>
    <row r="10" spans="1:7">
      <c r="A10" s="75" t="s">
        <v>134</v>
      </c>
      <c r="B10" s="3">
        <v>11</v>
      </c>
      <c r="C10" s="58">
        <f t="shared" si="0"/>
        <v>4.3999999999999997E-2</v>
      </c>
      <c r="D10" s="3">
        <v>0</v>
      </c>
    </row>
    <row r="11" spans="1:7">
      <c r="A11" s="75" t="s">
        <v>135</v>
      </c>
      <c r="B11" s="3">
        <v>11</v>
      </c>
      <c r="C11" s="58">
        <f t="shared" si="0"/>
        <v>4.3999999999999997E-2</v>
      </c>
      <c r="D11" s="3">
        <v>0</v>
      </c>
    </row>
    <row r="12" spans="1:7">
      <c r="A12" s="75" t="s">
        <v>136</v>
      </c>
      <c r="B12" s="3">
        <v>10</v>
      </c>
      <c r="C12" s="58">
        <f t="shared" si="0"/>
        <v>0.04</v>
      </c>
      <c r="D12" s="3">
        <v>0</v>
      </c>
    </row>
    <row r="13" spans="1:7">
      <c r="A13" s="85" t="s">
        <v>164</v>
      </c>
      <c r="B13" s="3">
        <f>+B3*2</f>
        <v>1.31</v>
      </c>
      <c r="C13" s="58">
        <f t="shared" si="0"/>
        <v>5.2399999999999999E-3</v>
      </c>
      <c r="D13" s="3">
        <f>1/C13/[2]Summary!$C$7</f>
        <v>0.19083969465648853</v>
      </c>
    </row>
    <row r="14" spans="1:7">
      <c r="A14" s="85" t="s">
        <v>165</v>
      </c>
      <c r="B14" s="3">
        <f>+B13</f>
        <v>1.31</v>
      </c>
      <c r="C14" s="58">
        <f t="shared" si="0"/>
        <v>5.2399999999999999E-3</v>
      </c>
      <c r="D14" s="3">
        <f>1/C14/[2]Summary!$C$7</f>
        <v>0.19083969465648853</v>
      </c>
    </row>
    <row r="15" spans="1:7">
      <c r="A15" s="75" t="s">
        <v>163</v>
      </c>
      <c r="B15" s="3">
        <v>20</v>
      </c>
      <c r="C15" s="58">
        <f t="shared" si="0"/>
        <v>0.08</v>
      </c>
      <c r="D15" s="3">
        <v>0</v>
      </c>
    </row>
    <row r="16" spans="1:7">
      <c r="A16" s="80" t="s">
        <v>116</v>
      </c>
      <c r="B16" s="3">
        <v>50</v>
      </c>
      <c r="C16" s="58">
        <f t="shared" si="0"/>
        <v>0.2</v>
      </c>
      <c r="D16" s="3">
        <v>0</v>
      </c>
    </row>
    <row r="18" spans="1:1">
      <c r="A18" t="s">
        <v>169</v>
      </c>
    </row>
  </sheetData>
  <conditionalFormatting sqref="C3:C16">
    <cfRule type="cellIs" priority="3" operator="greaterThan">
      <formula>1</formula>
    </cfRule>
    <cfRule type="cellIs" priority="4" operator="lessThan">
      <formula>0</formula>
    </cfRule>
  </conditionalFormatting>
  <conditionalFormatting sqref="C3:D16">
    <cfRule type="cellIs" dxfId="3" priority="1" operator="greaterThan">
      <formula>1</formula>
    </cfRule>
    <cfRule type="cellIs" dxfId="2" priority="2" operator="lessThan">
      <formula>0</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Hoja19"/>
  <dimension ref="A1:E125"/>
  <sheetViews>
    <sheetView workbookViewId="0">
      <selection activeCell="B10" sqref="B10"/>
    </sheetView>
  </sheetViews>
  <sheetFormatPr baseColWidth="10" defaultColWidth="8.88671875" defaultRowHeight="14.4"/>
  <cols>
    <col min="1" max="1" width="28.33203125" customWidth="1"/>
    <col min="2" max="2" width="11.5546875" customWidth="1"/>
    <col min="3" max="3" width="17" customWidth="1"/>
    <col min="4" max="4" width="13.5546875" customWidth="1"/>
    <col min="5" max="1025" width="11.5546875" customWidth="1"/>
  </cols>
  <sheetData>
    <row r="1" spans="1:5">
      <c r="A1" t="s">
        <v>179</v>
      </c>
    </row>
    <row r="2" spans="1:5">
      <c r="A2" t="str">
        <f>+CONCATENATE("Probability of getting a special weapon = 1/",Summary!C8)</f>
        <v>Probability of getting a special weapon = 1/991.666666666667</v>
      </c>
    </row>
    <row r="3" spans="1:5">
      <c r="A3" t="s">
        <v>30</v>
      </c>
    </row>
    <row r="6" spans="1:5">
      <c r="A6" t="s">
        <v>31</v>
      </c>
    </row>
    <row r="7" spans="1:5" ht="15" thickBot="1"/>
    <row r="8" spans="1:5" ht="15" thickBot="1">
      <c r="A8" s="15" t="s">
        <v>32</v>
      </c>
      <c r="B8" s="16" t="s">
        <v>33</v>
      </c>
      <c r="C8" s="16" t="s">
        <v>34</v>
      </c>
      <c r="D8" s="16" t="s">
        <v>35</v>
      </c>
      <c r="E8" s="17" t="s">
        <v>36</v>
      </c>
    </row>
    <row r="9" spans="1:5">
      <c r="A9" s="69" t="s">
        <v>37</v>
      </c>
      <c r="B9" s="68">
        <v>10</v>
      </c>
      <c r="C9" s="68">
        <v>5</v>
      </c>
      <c r="D9" s="68">
        <f t="shared" ref="D9:D44" si="0">+B9*C9</f>
        <v>50</v>
      </c>
      <c r="E9" s="19">
        <v>150</v>
      </c>
    </row>
    <row r="10" spans="1:5">
      <c r="A10" s="69" t="s">
        <v>38</v>
      </c>
      <c r="B10" s="68">
        <v>15</v>
      </c>
      <c r="C10" s="68">
        <v>8</v>
      </c>
      <c r="D10" s="68">
        <f>+B10*C10</f>
        <v>120</v>
      </c>
      <c r="E10" s="20">
        <v>116</v>
      </c>
    </row>
    <row r="11" spans="1:5">
      <c r="A11" s="76" t="s">
        <v>39</v>
      </c>
      <c r="B11" s="68">
        <v>20</v>
      </c>
      <c r="C11" s="68">
        <v>10</v>
      </c>
      <c r="D11" s="68">
        <f t="shared" si="0"/>
        <v>200</v>
      </c>
      <c r="E11" s="20">
        <v>149</v>
      </c>
    </row>
    <row r="12" spans="1:5">
      <c r="A12" s="69" t="s">
        <v>129</v>
      </c>
      <c r="B12" s="68">
        <v>3</v>
      </c>
      <c r="C12" s="68">
        <v>30</v>
      </c>
      <c r="D12" s="68">
        <f t="shared" si="0"/>
        <v>90</v>
      </c>
      <c r="E12" s="20">
        <v>100</v>
      </c>
    </row>
    <row r="13" spans="1:5">
      <c r="A13" s="69" t="s">
        <v>125</v>
      </c>
      <c r="B13" s="68">
        <v>15</v>
      </c>
      <c r="C13" s="68">
        <v>10</v>
      </c>
      <c r="D13" s="68">
        <f t="shared" si="0"/>
        <v>150</v>
      </c>
      <c r="E13" s="20">
        <v>65</v>
      </c>
    </row>
    <row r="14" spans="1:5">
      <c r="A14" s="69" t="s">
        <v>126</v>
      </c>
      <c r="B14" s="68">
        <v>15</v>
      </c>
      <c r="C14" s="68">
        <v>11</v>
      </c>
      <c r="D14" s="68">
        <f t="shared" si="0"/>
        <v>165</v>
      </c>
      <c r="E14" s="20">
        <v>75</v>
      </c>
    </row>
    <row r="15" spans="1:5">
      <c r="A15" s="69" t="s">
        <v>127</v>
      </c>
      <c r="B15" s="68">
        <v>15</v>
      </c>
      <c r="C15" s="68">
        <v>11</v>
      </c>
      <c r="D15" s="68">
        <f t="shared" si="0"/>
        <v>165</v>
      </c>
      <c r="E15" s="20">
        <v>81</v>
      </c>
    </row>
    <row r="16" spans="1:5">
      <c r="A16" s="69" t="s">
        <v>128</v>
      </c>
      <c r="B16" s="68">
        <v>15</v>
      </c>
      <c r="C16" s="68">
        <v>10</v>
      </c>
      <c r="D16" s="68">
        <f t="shared" si="0"/>
        <v>150</v>
      </c>
      <c r="E16" s="20">
        <v>65</v>
      </c>
    </row>
    <row r="17" spans="1:5">
      <c r="A17" s="69" t="s">
        <v>160</v>
      </c>
      <c r="B17" s="68">
        <v>50</v>
      </c>
      <c r="C17" s="68">
        <v>0.65500000000000003</v>
      </c>
      <c r="D17" s="68">
        <f t="shared" si="0"/>
        <v>32.75</v>
      </c>
      <c r="E17" s="20">
        <v>210</v>
      </c>
    </row>
    <row r="18" spans="1:5">
      <c r="A18" s="69" t="s">
        <v>161</v>
      </c>
      <c r="B18" s="68">
        <v>50</v>
      </c>
      <c r="C18" s="68">
        <v>0.65500000000000003</v>
      </c>
      <c r="D18" s="68">
        <f t="shared" si="0"/>
        <v>32.75</v>
      </c>
      <c r="E18" s="20">
        <v>210</v>
      </c>
    </row>
    <row r="19" spans="1:5">
      <c r="A19" s="69" t="s">
        <v>162</v>
      </c>
      <c r="B19" s="68">
        <v>15</v>
      </c>
      <c r="C19" s="68">
        <v>20</v>
      </c>
      <c r="D19" s="68">
        <f t="shared" si="0"/>
        <v>300</v>
      </c>
      <c r="E19" s="20">
        <v>20</v>
      </c>
    </row>
    <row r="20" spans="1:5" ht="15" thickBot="1">
      <c r="A20" s="77" t="s">
        <v>40</v>
      </c>
      <c r="B20" s="78">
        <v>3</v>
      </c>
      <c r="C20" s="78">
        <v>50</v>
      </c>
      <c r="D20" s="78">
        <f t="shared" si="0"/>
        <v>150</v>
      </c>
      <c r="E20" s="23">
        <v>50</v>
      </c>
    </row>
    <row r="21" spans="1:5">
      <c r="A21" s="76" t="s">
        <v>37</v>
      </c>
      <c r="B21" s="68">
        <v>14</v>
      </c>
      <c r="C21" s="68">
        <f t="shared" ref="C21:C40" si="1">+C9</f>
        <v>5</v>
      </c>
      <c r="D21" s="68">
        <f t="shared" si="0"/>
        <v>70</v>
      </c>
      <c r="E21" s="20">
        <v>59</v>
      </c>
    </row>
    <row r="22" spans="1:5">
      <c r="A22" s="76" t="s">
        <v>38</v>
      </c>
      <c r="B22" s="68">
        <v>25</v>
      </c>
      <c r="C22" s="68">
        <f t="shared" si="1"/>
        <v>8</v>
      </c>
      <c r="D22" s="68">
        <f t="shared" si="0"/>
        <v>200</v>
      </c>
      <c r="E22" s="20">
        <v>3</v>
      </c>
    </row>
    <row r="23" spans="1:5">
      <c r="A23" s="76" t="s">
        <v>39</v>
      </c>
      <c r="B23" s="68">
        <v>40</v>
      </c>
      <c r="C23" s="68">
        <f t="shared" si="1"/>
        <v>10</v>
      </c>
      <c r="D23" s="68">
        <f t="shared" si="0"/>
        <v>400</v>
      </c>
      <c r="E23" s="20">
        <v>3</v>
      </c>
    </row>
    <row r="24" spans="1:5">
      <c r="A24" s="69" t="s">
        <v>129</v>
      </c>
      <c r="B24" s="68">
        <v>5</v>
      </c>
      <c r="C24" s="68">
        <f t="shared" si="1"/>
        <v>30</v>
      </c>
      <c r="D24" s="68">
        <f t="shared" ref="D24:D31" si="2">+B24*C24</f>
        <v>150</v>
      </c>
      <c r="E24" s="20">
        <v>15</v>
      </c>
    </row>
    <row r="25" spans="1:5">
      <c r="A25" s="69" t="s">
        <v>125</v>
      </c>
      <c r="B25" s="68">
        <v>25</v>
      </c>
      <c r="C25" s="68">
        <f t="shared" si="1"/>
        <v>10</v>
      </c>
      <c r="D25" s="68">
        <f>+B25*C25</f>
        <v>250</v>
      </c>
      <c r="E25" s="20">
        <v>4</v>
      </c>
    </row>
    <row r="26" spans="1:5">
      <c r="A26" s="69" t="s">
        <v>126</v>
      </c>
      <c r="B26" s="68">
        <v>25</v>
      </c>
      <c r="C26" s="68">
        <f t="shared" si="1"/>
        <v>11</v>
      </c>
      <c r="D26" s="68">
        <f t="shared" si="2"/>
        <v>275</v>
      </c>
      <c r="E26" s="20">
        <v>3</v>
      </c>
    </row>
    <row r="27" spans="1:5">
      <c r="A27" s="69" t="s">
        <v>127</v>
      </c>
      <c r="B27" s="68">
        <v>25</v>
      </c>
      <c r="C27" s="68">
        <f t="shared" si="1"/>
        <v>11</v>
      </c>
      <c r="D27" s="68">
        <f t="shared" si="2"/>
        <v>275</v>
      </c>
      <c r="E27" s="20">
        <v>2</v>
      </c>
    </row>
    <row r="28" spans="1:5">
      <c r="A28" s="69" t="s">
        <v>128</v>
      </c>
      <c r="B28" s="68">
        <v>25</v>
      </c>
      <c r="C28" s="68">
        <f t="shared" si="1"/>
        <v>10</v>
      </c>
      <c r="D28" s="68">
        <f t="shared" si="2"/>
        <v>250</v>
      </c>
      <c r="E28" s="20">
        <v>3</v>
      </c>
    </row>
    <row r="29" spans="1:5">
      <c r="A29" s="69" t="s">
        <v>160</v>
      </c>
      <c r="B29" s="68">
        <v>100</v>
      </c>
      <c r="C29" s="68">
        <f t="shared" si="1"/>
        <v>0.65500000000000003</v>
      </c>
      <c r="D29" s="68">
        <f t="shared" si="2"/>
        <v>65.5</v>
      </c>
      <c r="E29" s="20">
        <v>100</v>
      </c>
    </row>
    <row r="30" spans="1:5">
      <c r="A30" s="69" t="s">
        <v>161</v>
      </c>
      <c r="B30" s="68">
        <v>100</v>
      </c>
      <c r="C30" s="68">
        <f t="shared" si="1"/>
        <v>0.65500000000000003</v>
      </c>
      <c r="D30" s="68">
        <f t="shared" si="2"/>
        <v>65.5</v>
      </c>
      <c r="E30" s="20">
        <v>100</v>
      </c>
    </row>
    <row r="31" spans="1:5">
      <c r="A31" s="69" t="s">
        <v>162</v>
      </c>
      <c r="B31" s="68">
        <v>25</v>
      </c>
      <c r="C31" s="68">
        <f t="shared" si="1"/>
        <v>20</v>
      </c>
      <c r="D31" s="68">
        <f t="shared" si="2"/>
        <v>500</v>
      </c>
      <c r="E31" s="20">
        <v>40</v>
      </c>
    </row>
    <row r="32" spans="1:5" ht="15" thickBot="1">
      <c r="A32" s="77" t="s">
        <v>40</v>
      </c>
      <c r="B32" s="78">
        <v>5</v>
      </c>
      <c r="C32" s="78">
        <f t="shared" si="1"/>
        <v>50</v>
      </c>
      <c r="D32" s="78">
        <f t="shared" si="0"/>
        <v>250</v>
      </c>
      <c r="E32" s="23">
        <v>3</v>
      </c>
    </row>
    <row r="33" spans="1:5">
      <c r="A33" s="76" t="s">
        <v>37</v>
      </c>
      <c r="B33" s="68">
        <v>30</v>
      </c>
      <c r="C33" s="68">
        <f t="shared" si="1"/>
        <v>5</v>
      </c>
      <c r="D33" s="68">
        <f t="shared" si="0"/>
        <v>150</v>
      </c>
      <c r="E33" s="20">
        <v>14</v>
      </c>
    </row>
    <row r="34" spans="1:5">
      <c r="A34" s="76" t="s">
        <v>38</v>
      </c>
      <c r="B34" s="68">
        <v>50</v>
      </c>
      <c r="C34" s="68">
        <f t="shared" si="1"/>
        <v>8</v>
      </c>
      <c r="D34" s="68">
        <f t="shared" si="0"/>
        <v>400</v>
      </c>
      <c r="E34" s="20">
        <v>2</v>
      </c>
    </row>
    <row r="35" spans="1:5">
      <c r="A35" s="76" t="s">
        <v>39</v>
      </c>
      <c r="B35" s="68">
        <v>100</v>
      </c>
      <c r="C35" s="68">
        <f t="shared" si="1"/>
        <v>10</v>
      </c>
      <c r="D35" s="68">
        <f t="shared" si="0"/>
        <v>1000</v>
      </c>
      <c r="E35" s="20">
        <v>6</v>
      </c>
    </row>
    <row r="36" spans="1:5">
      <c r="A36" s="69" t="s">
        <v>130</v>
      </c>
      <c r="B36" s="68">
        <v>10</v>
      </c>
      <c r="C36" s="68">
        <f t="shared" si="1"/>
        <v>30</v>
      </c>
      <c r="D36" s="68">
        <f t="shared" ref="D36:D43" si="3">+B36*C36</f>
        <v>300</v>
      </c>
      <c r="E36" s="20">
        <v>3</v>
      </c>
    </row>
    <row r="37" spans="1:5">
      <c r="A37" s="69" t="s">
        <v>125</v>
      </c>
      <c r="B37" s="68">
        <v>50</v>
      </c>
      <c r="C37" s="68">
        <f t="shared" si="1"/>
        <v>10</v>
      </c>
      <c r="D37" s="68">
        <f t="shared" si="3"/>
        <v>500</v>
      </c>
      <c r="E37" s="20">
        <v>2</v>
      </c>
    </row>
    <row r="38" spans="1:5">
      <c r="A38" s="69" t="s">
        <v>126</v>
      </c>
      <c r="B38" s="68">
        <v>50</v>
      </c>
      <c r="C38" s="68">
        <f t="shared" si="1"/>
        <v>11</v>
      </c>
      <c r="D38" s="68">
        <f t="shared" si="3"/>
        <v>550</v>
      </c>
      <c r="E38" s="20">
        <v>1</v>
      </c>
    </row>
    <row r="39" spans="1:5">
      <c r="A39" s="69" t="s">
        <v>127</v>
      </c>
      <c r="B39" s="68">
        <v>50</v>
      </c>
      <c r="C39" s="68">
        <f t="shared" si="1"/>
        <v>11</v>
      </c>
      <c r="D39" s="68">
        <f t="shared" si="3"/>
        <v>550</v>
      </c>
      <c r="E39" s="20">
        <v>2</v>
      </c>
    </row>
    <row r="40" spans="1:5">
      <c r="A40" s="69" t="s">
        <v>128</v>
      </c>
      <c r="B40" s="68">
        <v>50</v>
      </c>
      <c r="C40" s="68">
        <f t="shared" si="1"/>
        <v>10</v>
      </c>
      <c r="D40" s="68">
        <f t="shared" si="3"/>
        <v>500</v>
      </c>
      <c r="E40" s="20">
        <v>2</v>
      </c>
    </row>
    <row r="41" spans="1:5">
      <c r="A41" s="69" t="s">
        <v>160</v>
      </c>
      <c r="B41" s="68">
        <v>200</v>
      </c>
      <c r="C41" s="68">
        <f t="shared" ref="C41:C43" si="4">+C29</f>
        <v>0.65500000000000003</v>
      </c>
      <c r="D41" s="68">
        <f t="shared" si="3"/>
        <v>131</v>
      </c>
      <c r="E41" s="20">
        <v>5</v>
      </c>
    </row>
    <row r="42" spans="1:5">
      <c r="A42" s="69" t="s">
        <v>161</v>
      </c>
      <c r="B42" s="68">
        <v>200</v>
      </c>
      <c r="C42" s="68">
        <f t="shared" si="4"/>
        <v>0.65500000000000003</v>
      </c>
      <c r="D42" s="68">
        <f t="shared" si="3"/>
        <v>131</v>
      </c>
      <c r="E42" s="20">
        <v>5</v>
      </c>
    </row>
    <row r="43" spans="1:5">
      <c r="A43" s="69" t="s">
        <v>162</v>
      </c>
      <c r="B43" s="68">
        <v>50</v>
      </c>
      <c r="C43" s="68">
        <f t="shared" si="4"/>
        <v>20</v>
      </c>
      <c r="D43" s="68">
        <f t="shared" si="3"/>
        <v>1000</v>
      </c>
      <c r="E43" s="20">
        <v>6</v>
      </c>
    </row>
    <row r="44" spans="1:5" ht="13.8" customHeight="1" thickBot="1">
      <c r="A44" s="77" t="s">
        <v>40</v>
      </c>
      <c r="B44" s="78">
        <v>10</v>
      </c>
      <c r="C44" s="78">
        <f t="shared" ref="C44" si="5">+C32</f>
        <v>50</v>
      </c>
      <c r="D44" s="79">
        <f t="shared" si="0"/>
        <v>500</v>
      </c>
      <c r="E44" s="23">
        <v>2</v>
      </c>
    </row>
    <row r="45" spans="1:5">
      <c r="A45" s="10" t="s">
        <v>41</v>
      </c>
      <c r="E45" s="24">
        <f>+SUM(E9:E44)</f>
        <v>1676</v>
      </c>
    </row>
    <row r="46" spans="1:5">
      <c r="A46" s="10"/>
    </row>
    <row r="47" spans="1:5">
      <c r="C47" s="25" t="s">
        <v>42</v>
      </c>
      <c r="D47" s="26">
        <f>+SUMPRODUCT(D9:D44,E9:E44)/SUM(E9:E44)</f>
        <v>119.11097852028639</v>
      </c>
    </row>
    <row r="49" spans="1:1">
      <c r="A49" t="s">
        <v>43</v>
      </c>
    </row>
    <row r="50" spans="1:1">
      <c r="A50" t="s">
        <v>44</v>
      </c>
    </row>
    <row r="53" spans="1:1" ht="15.6">
      <c r="A53" s="27" t="s">
        <v>45</v>
      </c>
    </row>
    <row r="54" spans="1:1">
      <c r="A54" s="28" t="s">
        <v>46</v>
      </c>
    </row>
    <row r="56" spans="1:1">
      <c r="A56" t="s">
        <v>47</v>
      </c>
    </row>
    <row r="57" spans="1:1">
      <c r="A57" s="29" t="s">
        <v>48</v>
      </c>
    </row>
    <row r="58" spans="1:1">
      <c r="A58" t="s">
        <v>49</v>
      </c>
    </row>
    <row r="59" spans="1:1">
      <c r="A59" t="s">
        <v>50</v>
      </c>
    </row>
    <row r="61" spans="1:1">
      <c r="A61" t="s">
        <v>51</v>
      </c>
    </row>
    <row r="62" spans="1:1">
      <c r="A62" t="s">
        <v>52</v>
      </c>
    </row>
    <row r="63" spans="1:1">
      <c r="A63" t="s">
        <v>53</v>
      </c>
    </row>
    <row r="65" spans="1:2">
      <c r="A65" t="s">
        <v>147</v>
      </c>
    </row>
    <row r="67" spans="1:2">
      <c r="A67" t="s">
        <v>148</v>
      </c>
    </row>
    <row r="69" spans="1:2">
      <c r="A69" s="69" t="s">
        <v>149</v>
      </c>
    </row>
    <row r="71" spans="1:2">
      <c r="A71" s="69" t="s">
        <v>150</v>
      </c>
    </row>
    <row r="73" spans="1:2">
      <c r="A73" s="69" t="s">
        <v>151</v>
      </c>
    </row>
    <row r="75" spans="1:2">
      <c r="A75" s="69" t="s">
        <v>173</v>
      </c>
    </row>
    <row r="76" spans="1:2">
      <c r="A76" s="72" t="s">
        <v>156</v>
      </c>
    </row>
    <row r="77" spans="1:2">
      <c r="A77" s="72" t="s">
        <v>174</v>
      </c>
    </row>
    <row r="78" spans="1:2">
      <c r="A78" s="72" t="s">
        <v>159</v>
      </c>
    </row>
    <row r="80" spans="1:2">
      <c r="B80" s="1"/>
    </row>
    <row r="81" spans="1:4">
      <c r="B81" s="2" t="s">
        <v>19</v>
      </c>
      <c r="C81" s="2" t="s">
        <v>20</v>
      </c>
      <c r="D81" s="2" t="s">
        <v>57</v>
      </c>
    </row>
    <row r="82" spans="1:4">
      <c r="B82" s="3">
        <v>0</v>
      </c>
      <c r="C82" s="11">
        <v>0</v>
      </c>
      <c r="D82" s="82">
        <v>90</v>
      </c>
    </row>
    <row r="83" spans="1:4">
      <c r="B83" s="3">
        <v>1</v>
      </c>
      <c r="C83" s="11">
        <v>2</v>
      </c>
      <c r="D83" s="82">
        <v>1</v>
      </c>
    </row>
    <row r="84" spans="1:4">
      <c r="B84" s="3">
        <v>2</v>
      </c>
      <c r="C84" s="11">
        <v>3</v>
      </c>
      <c r="D84" s="82">
        <v>1</v>
      </c>
    </row>
    <row r="85" spans="1:4">
      <c r="B85" s="3">
        <v>3</v>
      </c>
      <c r="C85" s="11">
        <v>5</v>
      </c>
      <c r="D85" s="82">
        <v>1</v>
      </c>
    </row>
    <row r="86" spans="1:4">
      <c r="B86" s="3">
        <v>4</v>
      </c>
      <c r="C86" s="11">
        <v>7</v>
      </c>
      <c r="D86" s="82">
        <v>1</v>
      </c>
    </row>
    <row r="87" spans="1:4">
      <c r="B87" s="3">
        <v>5</v>
      </c>
      <c r="C87" s="11">
        <v>10</v>
      </c>
      <c r="D87" s="82">
        <v>1</v>
      </c>
    </row>
    <row r="88" spans="1:4">
      <c r="B88" s="3">
        <v>6</v>
      </c>
      <c r="C88" s="11">
        <v>20</v>
      </c>
      <c r="D88" s="82">
        <v>1</v>
      </c>
    </row>
    <row r="89" spans="1:4">
      <c r="B89" s="3">
        <v>7</v>
      </c>
      <c r="C89" s="11">
        <v>50</v>
      </c>
      <c r="D89" s="82">
        <v>1</v>
      </c>
    </row>
    <row r="90" spans="1:4">
      <c r="B90" s="12"/>
      <c r="C90" s="57" t="s">
        <v>158</v>
      </c>
      <c r="D90" s="57">
        <f>+SUMPRODUCT(C82:C89,D82:D89)/SUM(D82:D89)</f>
        <v>1</v>
      </c>
    </row>
    <row r="91" spans="1:4">
      <c r="B91" s="12"/>
      <c r="C91" s="13"/>
    </row>
    <row r="92" spans="1:4">
      <c r="A92" s="69" t="s">
        <v>175</v>
      </c>
    </row>
    <row r="93" spans="1:4">
      <c r="A93" s="72" t="s">
        <v>156</v>
      </c>
    </row>
    <row r="94" spans="1:4">
      <c r="A94" s="72" t="s">
        <v>174</v>
      </c>
    </row>
    <row r="95" spans="1:4">
      <c r="A95" s="72" t="s">
        <v>159</v>
      </c>
    </row>
    <row r="97" spans="1:4">
      <c r="B97" s="1"/>
    </row>
    <row r="98" spans="1:4">
      <c r="B98" s="2" t="s">
        <v>19</v>
      </c>
      <c r="C98" s="2" t="s">
        <v>20</v>
      </c>
      <c r="D98" s="2" t="s">
        <v>57</v>
      </c>
    </row>
    <row r="99" spans="1:4">
      <c r="B99" s="3">
        <v>0</v>
      </c>
      <c r="C99" s="11">
        <v>0</v>
      </c>
      <c r="D99" s="82">
        <f>1000-SUM(D100:D104)</f>
        <v>794</v>
      </c>
    </row>
    <row r="100" spans="1:4">
      <c r="B100" s="3">
        <v>1</v>
      </c>
      <c r="C100" s="11">
        <v>2</v>
      </c>
      <c r="D100" s="82">
        <v>100</v>
      </c>
    </row>
    <row r="101" spans="1:4">
      <c r="B101" s="3">
        <v>2</v>
      </c>
      <c r="C101" s="11">
        <v>3</v>
      </c>
      <c r="D101" s="82">
        <v>75</v>
      </c>
    </row>
    <row r="102" spans="1:4">
      <c r="B102" s="3">
        <v>3</v>
      </c>
      <c r="C102" s="11">
        <v>5</v>
      </c>
      <c r="D102" s="82">
        <v>10</v>
      </c>
    </row>
    <row r="103" spans="1:4">
      <c r="B103" s="3">
        <v>4</v>
      </c>
      <c r="C103" s="11">
        <v>7</v>
      </c>
      <c r="D103" s="82">
        <v>10</v>
      </c>
    </row>
    <row r="104" spans="1:4">
      <c r="B104" s="3">
        <v>5</v>
      </c>
      <c r="C104" s="11">
        <v>10</v>
      </c>
      <c r="D104" s="82">
        <v>11</v>
      </c>
    </row>
    <row r="105" spans="1:4">
      <c r="B105" s="12"/>
      <c r="C105" s="57" t="s">
        <v>158</v>
      </c>
      <c r="D105" s="57">
        <f>+SUMPRODUCT(C99:C104,D99:D104)/SUM(D99:D104)</f>
        <v>0.65500000000000003</v>
      </c>
    </row>
    <row r="107" spans="1:4">
      <c r="A107" s="69" t="s">
        <v>154</v>
      </c>
    </row>
    <row r="108" spans="1:4">
      <c r="A108" s="72" t="s">
        <v>155</v>
      </c>
    </row>
    <row r="109" spans="1:4">
      <c r="A109" s="72" t="s">
        <v>156</v>
      </c>
    </row>
    <row r="110" spans="1:4">
      <c r="A110" s="72" t="s">
        <v>157</v>
      </c>
    </row>
    <row r="111" spans="1:4">
      <c r="A111" s="72" t="s">
        <v>159</v>
      </c>
    </row>
    <row r="113" spans="1:4">
      <c r="B113" s="1"/>
    </row>
    <row r="114" spans="1:4">
      <c r="B114" s="2" t="s">
        <v>19</v>
      </c>
      <c r="C114" s="2" t="s">
        <v>20</v>
      </c>
      <c r="D114" s="2" t="s">
        <v>57</v>
      </c>
    </row>
    <row r="115" spans="1:4">
      <c r="B115" s="3">
        <v>0</v>
      </c>
      <c r="C115" s="11">
        <v>0</v>
      </c>
      <c r="D115" s="82">
        <f>1000-SUM(D116:D120)</f>
        <v>794</v>
      </c>
    </row>
    <row r="116" spans="1:4">
      <c r="B116" s="3">
        <v>1</v>
      </c>
      <c r="C116" s="11">
        <v>2</v>
      </c>
      <c r="D116" s="82">
        <v>100</v>
      </c>
    </row>
    <row r="117" spans="1:4">
      <c r="B117" s="3">
        <v>2</v>
      </c>
      <c r="C117" s="11">
        <v>3</v>
      </c>
      <c r="D117" s="82">
        <v>75</v>
      </c>
    </row>
    <row r="118" spans="1:4">
      <c r="B118" s="3">
        <v>3</v>
      </c>
      <c r="C118" s="11">
        <v>5</v>
      </c>
      <c r="D118" s="82">
        <v>10</v>
      </c>
    </row>
    <row r="119" spans="1:4">
      <c r="B119" s="3">
        <v>4</v>
      </c>
      <c r="C119" s="11">
        <v>7</v>
      </c>
      <c r="D119" s="82">
        <v>10</v>
      </c>
    </row>
    <row r="120" spans="1:4">
      <c r="B120" s="3">
        <v>5</v>
      </c>
      <c r="C120" s="11">
        <v>10</v>
      </c>
      <c r="D120" s="82">
        <v>11</v>
      </c>
    </row>
    <row r="121" spans="1:4">
      <c r="B121" s="12"/>
      <c r="C121" s="57" t="s">
        <v>158</v>
      </c>
      <c r="D121" s="57">
        <f>+SUMPRODUCT(C115:C120,D115:D120)/SUM(D115:D120)</f>
        <v>0.65500000000000003</v>
      </c>
    </row>
    <row r="124" spans="1:4">
      <c r="A124" t="s">
        <v>176</v>
      </c>
    </row>
    <row r="125" spans="1:4">
      <c r="A125" t="s">
        <v>177</v>
      </c>
    </row>
  </sheetData>
  <pageMargins left="0.7" right="0.7" top="0.75" bottom="0.75" header="0.51180555555555496" footer="0.51180555555555496"/>
  <pageSetup paperSize="9" firstPageNumber="0" orientation="portrait" horizontalDpi="300" verticalDpi="300" r:id="rId1"/>
</worksheet>
</file>

<file path=xl/worksheets/sheet5.xml><?xml version="1.0" encoding="utf-8"?>
<worksheet xmlns="http://schemas.openxmlformats.org/spreadsheetml/2006/main" xmlns:r="http://schemas.openxmlformats.org/officeDocument/2006/relationships">
  <sheetPr codeName="Hoja20"/>
  <dimension ref="A1:T55"/>
  <sheetViews>
    <sheetView workbookViewId="0">
      <selection activeCell="A5" sqref="A5"/>
    </sheetView>
  </sheetViews>
  <sheetFormatPr baseColWidth="10" defaultColWidth="8.88671875" defaultRowHeight="14.4"/>
  <cols>
    <col min="1" max="1" width="29.33203125" customWidth="1"/>
    <col min="2" max="2" width="11.5546875" customWidth="1"/>
    <col min="3" max="3" width="17" customWidth="1"/>
    <col min="4" max="4" width="13.5546875" customWidth="1"/>
    <col min="5" max="5" width="11.5546875" customWidth="1"/>
    <col min="6" max="6" width="14" customWidth="1"/>
    <col min="7" max="7" width="11.5546875" customWidth="1"/>
    <col min="8" max="8" width="28.5546875" customWidth="1"/>
    <col min="9" max="10" width="11.5546875" customWidth="1"/>
    <col min="11" max="11" width="12.44140625" customWidth="1"/>
    <col min="12" max="12" width="11.5546875" customWidth="1"/>
    <col min="13" max="13" width="12.77734375" customWidth="1"/>
    <col min="14" max="14" width="11.5546875" customWidth="1"/>
    <col min="15" max="15" width="28.5546875" customWidth="1"/>
    <col min="16" max="16" width="11.5546875" customWidth="1"/>
    <col min="17" max="17" width="14.44140625" customWidth="1"/>
    <col min="18" max="18" width="12.21875" customWidth="1"/>
    <col min="19" max="19" width="11.5546875" customWidth="1"/>
    <col min="20" max="20" width="12.77734375" customWidth="1"/>
    <col min="21" max="1025" width="11.5546875" customWidth="1"/>
  </cols>
  <sheetData>
    <row r="1" spans="1:20">
      <c r="A1" t="s">
        <v>54</v>
      </c>
    </row>
    <row r="2" spans="1:20">
      <c r="A2" t="s">
        <v>31</v>
      </c>
    </row>
    <row r="4" spans="1:20">
      <c r="A4" s="16" t="s">
        <v>55</v>
      </c>
      <c r="B4" s="17">
        <v>400</v>
      </c>
      <c r="H4" s="15" t="s">
        <v>55</v>
      </c>
      <c r="I4" s="17">
        <v>200</v>
      </c>
      <c r="O4" s="15" t="s">
        <v>55</v>
      </c>
      <c r="P4" s="17">
        <v>100</v>
      </c>
    </row>
    <row r="6" spans="1:20">
      <c r="A6" t="s">
        <v>56</v>
      </c>
      <c r="H6" t="s">
        <v>56</v>
      </c>
      <c r="O6" t="s">
        <v>56</v>
      </c>
    </row>
    <row r="9" spans="1:20">
      <c r="A9" s="30" t="s">
        <v>32</v>
      </c>
      <c r="B9" s="31" t="s">
        <v>33</v>
      </c>
      <c r="C9" s="31" t="s">
        <v>34</v>
      </c>
      <c r="D9" s="32" t="s">
        <v>35</v>
      </c>
      <c r="E9" s="35" t="s">
        <v>57</v>
      </c>
      <c r="F9" s="35" t="s">
        <v>58</v>
      </c>
      <c r="H9" s="30" t="s">
        <v>32</v>
      </c>
      <c r="I9" s="31" t="s">
        <v>33</v>
      </c>
      <c r="J9" s="31" t="s">
        <v>34</v>
      </c>
      <c r="K9" s="32" t="s">
        <v>35</v>
      </c>
      <c r="L9" s="35" t="s">
        <v>57</v>
      </c>
      <c r="M9" s="35" t="s">
        <v>58</v>
      </c>
      <c r="O9" s="30" t="s">
        <v>32</v>
      </c>
      <c r="P9" s="31" t="s">
        <v>33</v>
      </c>
      <c r="Q9" s="31" t="s">
        <v>34</v>
      </c>
      <c r="R9" s="32" t="s">
        <v>35</v>
      </c>
      <c r="S9" s="35" t="s">
        <v>57</v>
      </c>
      <c r="T9" s="35" t="s">
        <v>58</v>
      </c>
    </row>
    <row r="10" spans="1:20">
      <c r="A10" s="36" t="s">
        <v>37</v>
      </c>
      <c r="B10" s="37">
        <v>40</v>
      </c>
      <c r="C10" s="38">
        <v>5</v>
      </c>
      <c r="D10" s="39">
        <f t="shared" ref="D10:D48" si="0">+B10*C10</f>
        <v>200</v>
      </c>
      <c r="E10" s="19">
        <v>9</v>
      </c>
      <c r="F10" s="40">
        <f t="shared" ref="F10:F48" si="1">+D10/$B$4</f>
        <v>0.5</v>
      </c>
      <c r="G10" s="29"/>
      <c r="H10" s="36" t="s">
        <v>37</v>
      </c>
      <c r="I10" s="38">
        <v>24</v>
      </c>
      <c r="J10" s="38">
        <v>5</v>
      </c>
      <c r="K10" s="39">
        <f t="shared" ref="K10:K48" si="2">+I10*J10</f>
        <v>120</v>
      </c>
      <c r="L10" s="19">
        <v>25</v>
      </c>
      <c r="M10" s="40">
        <f t="shared" ref="M10:M48" si="3">+K10/$I$4</f>
        <v>0.6</v>
      </c>
      <c r="N10" s="29"/>
      <c r="O10" s="36" t="s">
        <v>37</v>
      </c>
      <c r="P10" s="38">
        <v>8</v>
      </c>
      <c r="Q10" s="38">
        <v>5</v>
      </c>
      <c r="R10" s="39">
        <f t="shared" ref="R10:R48" si="4">+P10*Q10</f>
        <v>40</v>
      </c>
      <c r="S10" s="19">
        <v>11</v>
      </c>
      <c r="T10" s="40">
        <f t="shared" ref="T10:T48" si="5">+R10/$P$4</f>
        <v>0.4</v>
      </c>
    </row>
    <row r="11" spans="1:20">
      <c r="A11" s="18" t="s">
        <v>37</v>
      </c>
      <c r="B11" s="41">
        <v>44</v>
      </c>
      <c r="C11" s="10">
        <v>5</v>
      </c>
      <c r="D11" s="33">
        <f t="shared" si="0"/>
        <v>220</v>
      </c>
      <c r="E11" s="20">
        <v>8</v>
      </c>
      <c r="F11" s="42">
        <f t="shared" si="1"/>
        <v>0.55000000000000004</v>
      </c>
      <c r="G11" s="29"/>
      <c r="H11" s="18" t="s">
        <v>37</v>
      </c>
      <c r="I11" s="10">
        <v>26</v>
      </c>
      <c r="J11" s="10">
        <v>5</v>
      </c>
      <c r="K11" s="33">
        <f t="shared" si="2"/>
        <v>130</v>
      </c>
      <c r="L11" s="20">
        <v>15</v>
      </c>
      <c r="M11" s="42">
        <f t="shared" si="3"/>
        <v>0.65</v>
      </c>
      <c r="N11" s="29"/>
      <c r="O11" s="18" t="s">
        <v>37</v>
      </c>
      <c r="P11" s="10">
        <v>10</v>
      </c>
      <c r="Q11" s="10">
        <v>5</v>
      </c>
      <c r="R11" s="33">
        <f t="shared" si="4"/>
        <v>50</v>
      </c>
      <c r="S11" s="20">
        <v>10</v>
      </c>
      <c r="T11" s="42">
        <f t="shared" si="5"/>
        <v>0.5</v>
      </c>
    </row>
    <row r="12" spans="1:20">
      <c r="A12" s="18" t="s">
        <v>37</v>
      </c>
      <c r="B12" s="41">
        <v>48</v>
      </c>
      <c r="C12" s="10">
        <v>5</v>
      </c>
      <c r="D12" s="33">
        <f t="shared" si="0"/>
        <v>240</v>
      </c>
      <c r="E12" s="20">
        <v>9</v>
      </c>
      <c r="F12" s="42">
        <f t="shared" si="1"/>
        <v>0.6</v>
      </c>
      <c r="G12" s="29"/>
      <c r="H12" s="18" t="s">
        <v>37</v>
      </c>
      <c r="I12" s="10">
        <v>28</v>
      </c>
      <c r="J12" s="10">
        <v>5</v>
      </c>
      <c r="K12" s="33">
        <f t="shared" si="2"/>
        <v>140</v>
      </c>
      <c r="L12" s="20">
        <v>11</v>
      </c>
      <c r="M12" s="42">
        <f t="shared" si="3"/>
        <v>0.7</v>
      </c>
      <c r="N12" s="29"/>
      <c r="O12" s="18" t="s">
        <v>37</v>
      </c>
      <c r="P12" s="10">
        <v>14</v>
      </c>
      <c r="Q12" s="10">
        <v>5</v>
      </c>
      <c r="R12" s="33">
        <f t="shared" si="4"/>
        <v>70</v>
      </c>
      <c r="S12" s="20">
        <v>6</v>
      </c>
      <c r="T12" s="42">
        <f t="shared" si="5"/>
        <v>0.7</v>
      </c>
    </row>
    <row r="13" spans="1:20">
      <c r="A13" s="18" t="s">
        <v>37</v>
      </c>
      <c r="B13" s="41">
        <v>50</v>
      </c>
      <c r="C13" s="10">
        <v>5</v>
      </c>
      <c r="D13" s="33">
        <f t="shared" si="0"/>
        <v>250</v>
      </c>
      <c r="E13" s="20">
        <v>9</v>
      </c>
      <c r="F13" s="42">
        <f t="shared" si="1"/>
        <v>0.625</v>
      </c>
      <c r="G13" s="29"/>
      <c r="H13" s="18" t="s">
        <v>37</v>
      </c>
      <c r="I13" s="10">
        <v>32</v>
      </c>
      <c r="J13" s="10">
        <v>5</v>
      </c>
      <c r="K13" s="33">
        <f t="shared" si="2"/>
        <v>160</v>
      </c>
      <c r="L13" s="20">
        <v>9</v>
      </c>
      <c r="M13" s="42">
        <f t="shared" si="3"/>
        <v>0.8</v>
      </c>
      <c r="N13" s="29"/>
      <c r="O13" s="18" t="s">
        <v>37</v>
      </c>
      <c r="P13" s="10">
        <v>20</v>
      </c>
      <c r="Q13" s="10">
        <v>5</v>
      </c>
      <c r="R13" s="33">
        <f t="shared" si="4"/>
        <v>100</v>
      </c>
      <c r="S13" s="20">
        <v>4</v>
      </c>
      <c r="T13" s="42">
        <f t="shared" si="5"/>
        <v>1</v>
      </c>
    </row>
    <row r="14" spans="1:20">
      <c r="A14" s="21" t="s">
        <v>37</v>
      </c>
      <c r="B14" s="43">
        <v>60</v>
      </c>
      <c r="C14" s="22">
        <v>5</v>
      </c>
      <c r="D14" s="34">
        <f t="shared" si="0"/>
        <v>300</v>
      </c>
      <c r="E14" s="23">
        <v>3</v>
      </c>
      <c r="F14" s="44">
        <f t="shared" si="1"/>
        <v>0.75</v>
      </c>
      <c r="G14" s="29"/>
      <c r="H14" s="21" t="s">
        <v>37</v>
      </c>
      <c r="I14" s="22">
        <v>36</v>
      </c>
      <c r="J14" s="22">
        <v>5</v>
      </c>
      <c r="K14" s="34">
        <f t="shared" si="2"/>
        <v>180</v>
      </c>
      <c r="L14" s="23">
        <v>3</v>
      </c>
      <c r="M14" s="44">
        <f t="shared" si="3"/>
        <v>0.9</v>
      </c>
      <c r="N14" s="29"/>
      <c r="O14" s="21" t="s">
        <v>37</v>
      </c>
      <c r="P14" s="22">
        <v>22</v>
      </c>
      <c r="Q14" s="22">
        <v>5</v>
      </c>
      <c r="R14" s="34">
        <f t="shared" si="4"/>
        <v>110</v>
      </c>
      <c r="S14" s="23">
        <v>3</v>
      </c>
      <c r="T14" s="44">
        <f t="shared" si="5"/>
        <v>1.1000000000000001</v>
      </c>
    </row>
    <row r="15" spans="1:20">
      <c r="A15" s="36" t="s">
        <v>38</v>
      </c>
      <c r="B15" s="37">
        <v>35</v>
      </c>
      <c r="C15" s="38">
        <v>8</v>
      </c>
      <c r="D15" s="39">
        <f t="shared" si="0"/>
        <v>280</v>
      </c>
      <c r="E15" s="19">
        <v>22</v>
      </c>
      <c r="F15" s="40">
        <f t="shared" si="1"/>
        <v>0.7</v>
      </c>
      <c r="G15" s="29"/>
      <c r="H15" s="36" t="s">
        <v>38</v>
      </c>
      <c r="I15" s="38">
        <v>20</v>
      </c>
      <c r="J15" s="38">
        <v>8</v>
      </c>
      <c r="K15" s="39">
        <f t="shared" si="2"/>
        <v>160</v>
      </c>
      <c r="L15" s="19">
        <v>19</v>
      </c>
      <c r="M15" s="40">
        <f t="shared" si="3"/>
        <v>0.8</v>
      </c>
      <c r="N15" s="29"/>
      <c r="O15" s="36" t="s">
        <v>38</v>
      </c>
      <c r="P15" s="38">
        <v>5</v>
      </c>
      <c r="Q15" s="38">
        <v>8</v>
      </c>
      <c r="R15" s="39">
        <f t="shared" si="4"/>
        <v>40</v>
      </c>
      <c r="S15" s="19">
        <v>10</v>
      </c>
      <c r="T15" s="40">
        <f t="shared" si="5"/>
        <v>0.4</v>
      </c>
    </row>
    <row r="16" spans="1:20">
      <c r="A16" s="18" t="s">
        <v>38</v>
      </c>
      <c r="B16" s="41">
        <v>40</v>
      </c>
      <c r="C16" s="10">
        <v>8</v>
      </c>
      <c r="D16" s="33">
        <f t="shared" si="0"/>
        <v>320</v>
      </c>
      <c r="E16" s="20">
        <v>12</v>
      </c>
      <c r="F16" s="42">
        <f t="shared" si="1"/>
        <v>0.8</v>
      </c>
      <c r="G16" s="29"/>
      <c r="H16" s="18" t="s">
        <v>38</v>
      </c>
      <c r="I16" s="10">
        <v>25</v>
      </c>
      <c r="J16" s="10">
        <v>8</v>
      </c>
      <c r="K16" s="33">
        <f t="shared" si="2"/>
        <v>200</v>
      </c>
      <c r="L16" s="20">
        <v>10</v>
      </c>
      <c r="M16" s="42">
        <f t="shared" si="3"/>
        <v>1</v>
      </c>
      <c r="N16" s="29"/>
      <c r="O16" s="18" t="s">
        <v>38</v>
      </c>
      <c r="P16" s="10">
        <v>10</v>
      </c>
      <c r="Q16" s="10">
        <v>8</v>
      </c>
      <c r="R16" s="33">
        <f t="shared" si="4"/>
        <v>80</v>
      </c>
      <c r="S16" s="20">
        <v>15</v>
      </c>
      <c r="T16" s="42">
        <f t="shared" si="5"/>
        <v>0.8</v>
      </c>
    </row>
    <row r="17" spans="1:20">
      <c r="A17" s="21" t="s">
        <v>38</v>
      </c>
      <c r="B17" s="43">
        <v>50</v>
      </c>
      <c r="C17" s="22">
        <v>8</v>
      </c>
      <c r="D17" s="34">
        <f t="shared" si="0"/>
        <v>400</v>
      </c>
      <c r="E17" s="23">
        <v>4</v>
      </c>
      <c r="F17" s="44">
        <f t="shared" si="1"/>
        <v>1</v>
      </c>
      <c r="G17" s="29"/>
      <c r="H17" s="21" t="s">
        <v>38</v>
      </c>
      <c r="I17" s="22">
        <v>30</v>
      </c>
      <c r="J17" s="22">
        <v>8</v>
      </c>
      <c r="K17" s="34">
        <f t="shared" si="2"/>
        <v>240</v>
      </c>
      <c r="L17" s="23">
        <v>1</v>
      </c>
      <c r="M17" s="44">
        <f t="shared" si="3"/>
        <v>1.2</v>
      </c>
      <c r="N17" s="29"/>
      <c r="O17" s="21" t="s">
        <v>38</v>
      </c>
      <c r="P17" s="22">
        <v>15</v>
      </c>
      <c r="Q17" s="22">
        <v>8</v>
      </c>
      <c r="R17" s="34">
        <f t="shared" si="4"/>
        <v>120</v>
      </c>
      <c r="S17" s="23">
        <v>5</v>
      </c>
      <c r="T17" s="44">
        <f t="shared" si="5"/>
        <v>1.2</v>
      </c>
    </row>
    <row r="18" spans="1:20">
      <c r="A18" s="18" t="s">
        <v>39</v>
      </c>
      <c r="B18" s="41">
        <v>45</v>
      </c>
      <c r="C18" s="10">
        <v>10</v>
      </c>
      <c r="D18" s="33">
        <f t="shared" si="0"/>
        <v>450</v>
      </c>
      <c r="E18" s="20">
        <v>16</v>
      </c>
      <c r="F18" s="42">
        <f t="shared" si="1"/>
        <v>1.125</v>
      </c>
      <c r="G18" s="29"/>
      <c r="H18" s="18" t="s">
        <v>39</v>
      </c>
      <c r="I18" s="10">
        <v>25</v>
      </c>
      <c r="J18" s="10">
        <v>10</v>
      </c>
      <c r="K18" s="33">
        <f t="shared" si="2"/>
        <v>250</v>
      </c>
      <c r="L18" s="20">
        <v>15</v>
      </c>
      <c r="M18" s="42">
        <f t="shared" si="3"/>
        <v>1.25</v>
      </c>
      <c r="N18" s="29"/>
      <c r="O18" s="18" t="s">
        <v>39</v>
      </c>
      <c r="P18" s="10">
        <v>10</v>
      </c>
      <c r="Q18" s="10">
        <v>10</v>
      </c>
      <c r="R18" s="33">
        <f t="shared" si="4"/>
        <v>100</v>
      </c>
      <c r="S18" s="20">
        <v>5</v>
      </c>
      <c r="T18" s="42">
        <f t="shared" si="5"/>
        <v>1</v>
      </c>
    </row>
    <row r="19" spans="1:20">
      <c r="A19" s="18" t="s">
        <v>39</v>
      </c>
      <c r="B19" s="41">
        <v>50</v>
      </c>
      <c r="C19" s="10">
        <v>10</v>
      </c>
      <c r="D19" s="33">
        <f t="shared" si="0"/>
        <v>500</v>
      </c>
      <c r="E19" s="20">
        <v>12</v>
      </c>
      <c r="F19" s="42">
        <f t="shared" si="1"/>
        <v>1.25</v>
      </c>
      <c r="G19" s="29"/>
      <c r="H19" s="18" t="s">
        <v>39</v>
      </c>
      <c r="I19" s="10">
        <v>30</v>
      </c>
      <c r="J19" s="10">
        <v>10</v>
      </c>
      <c r="K19" s="33">
        <f t="shared" si="2"/>
        <v>300</v>
      </c>
      <c r="L19" s="20">
        <v>7</v>
      </c>
      <c r="M19" s="42">
        <f t="shared" si="3"/>
        <v>1.5</v>
      </c>
      <c r="N19" s="29"/>
      <c r="O19" s="18" t="s">
        <v>39</v>
      </c>
      <c r="P19" s="10">
        <v>10</v>
      </c>
      <c r="Q19" s="10">
        <v>10</v>
      </c>
      <c r="R19" s="33">
        <f t="shared" si="4"/>
        <v>100</v>
      </c>
      <c r="S19" s="20">
        <v>5</v>
      </c>
      <c r="T19" s="42">
        <f t="shared" si="5"/>
        <v>1</v>
      </c>
    </row>
    <row r="20" spans="1:20">
      <c r="A20" s="18" t="s">
        <v>39</v>
      </c>
      <c r="B20" s="41">
        <v>55</v>
      </c>
      <c r="C20" s="10">
        <v>10</v>
      </c>
      <c r="D20" s="33">
        <f t="shared" si="0"/>
        <v>550</v>
      </c>
      <c r="E20" s="20">
        <v>6</v>
      </c>
      <c r="F20" s="42">
        <f t="shared" si="1"/>
        <v>1.375</v>
      </c>
      <c r="G20" s="29"/>
      <c r="H20" s="18" t="s">
        <v>39</v>
      </c>
      <c r="I20" s="10">
        <v>35</v>
      </c>
      <c r="J20" s="10">
        <v>10</v>
      </c>
      <c r="K20" s="33">
        <f t="shared" si="2"/>
        <v>350</v>
      </c>
      <c r="L20" s="20">
        <v>1</v>
      </c>
      <c r="M20" s="42">
        <f t="shared" si="3"/>
        <v>1.75</v>
      </c>
      <c r="N20" s="29"/>
      <c r="O20" s="18" t="s">
        <v>39</v>
      </c>
      <c r="P20" s="10">
        <v>15</v>
      </c>
      <c r="Q20" s="10">
        <v>10</v>
      </c>
      <c r="R20" s="33">
        <f t="shared" si="4"/>
        <v>150</v>
      </c>
      <c r="S20" s="20">
        <v>10</v>
      </c>
      <c r="T20" s="42">
        <f t="shared" si="5"/>
        <v>1.5</v>
      </c>
    </row>
    <row r="21" spans="1:20" ht="15" thickBot="1">
      <c r="A21" s="21" t="s">
        <v>39</v>
      </c>
      <c r="B21" s="43">
        <v>60</v>
      </c>
      <c r="C21" s="22">
        <v>10</v>
      </c>
      <c r="D21" s="34">
        <f t="shared" si="0"/>
        <v>600</v>
      </c>
      <c r="E21" s="23">
        <v>2</v>
      </c>
      <c r="F21" s="44">
        <f t="shared" si="1"/>
        <v>1.5</v>
      </c>
      <c r="G21" s="29"/>
      <c r="H21" s="21" t="s">
        <v>39</v>
      </c>
      <c r="I21" s="22">
        <v>40</v>
      </c>
      <c r="J21" s="22">
        <v>10</v>
      </c>
      <c r="K21" s="34">
        <f t="shared" si="2"/>
        <v>400</v>
      </c>
      <c r="L21" s="23">
        <v>1</v>
      </c>
      <c r="M21" s="44">
        <f t="shared" si="3"/>
        <v>2</v>
      </c>
      <c r="N21" s="29"/>
      <c r="O21" s="21" t="s">
        <v>39</v>
      </c>
      <c r="P21" s="22">
        <v>20</v>
      </c>
      <c r="Q21" s="22">
        <v>10</v>
      </c>
      <c r="R21" s="34">
        <f t="shared" si="4"/>
        <v>200</v>
      </c>
      <c r="S21" s="23">
        <v>9</v>
      </c>
      <c r="T21" s="44">
        <f t="shared" si="5"/>
        <v>2</v>
      </c>
    </row>
    <row r="22" spans="1:20">
      <c r="A22" s="70" t="s">
        <v>129</v>
      </c>
      <c r="B22" s="37">
        <v>25</v>
      </c>
      <c r="C22" s="38">
        <v>30</v>
      </c>
      <c r="D22" s="39">
        <f t="shared" si="0"/>
        <v>750</v>
      </c>
      <c r="E22" s="19">
        <v>5</v>
      </c>
      <c r="F22" s="40">
        <f t="shared" si="1"/>
        <v>1.875</v>
      </c>
      <c r="G22" s="29"/>
      <c r="H22" s="70" t="s">
        <v>129</v>
      </c>
      <c r="I22" s="37">
        <v>15</v>
      </c>
      <c r="J22" s="38">
        <v>30</v>
      </c>
      <c r="K22" s="39">
        <f t="shared" si="2"/>
        <v>450</v>
      </c>
      <c r="L22" s="19">
        <v>5</v>
      </c>
      <c r="M22" s="40">
        <f>+K22/$I$4</f>
        <v>2.25</v>
      </c>
      <c r="N22" s="29"/>
      <c r="O22" s="70" t="s">
        <v>129</v>
      </c>
      <c r="P22" s="37">
        <v>7</v>
      </c>
      <c r="Q22" s="38">
        <v>30</v>
      </c>
      <c r="R22" s="39">
        <f t="shared" si="4"/>
        <v>210</v>
      </c>
      <c r="S22" s="19">
        <v>10</v>
      </c>
      <c r="T22" s="40">
        <f>+R22/$P$4</f>
        <v>2.1</v>
      </c>
    </row>
    <row r="23" spans="1:20">
      <c r="A23" s="18" t="s">
        <v>129</v>
      </c>
      <c r="B23" s="72">
        <v>30</v>
      </c>
      <c r="C23" s="68">
        <v>30</v>
      </c>
      <c r="D23" s="33">
        <f t="shared" si="0"/>
        <v>900</v>
      </c>
      <c r="E23" s="20">
        <v>3</v>
      </c>
      <c r="F23" s="42">
        <f t="shared" si="1"/>
        <v>2.25</v>
      </c>
      <c r="G23" s="29"/>
      <c r="H23" s="18" t="s">
        <v>129</v>
      </c>
      <c r="I23" s="72">
        <v>17</v>
      </c>
      <c r="J23" s="68">
        <v>30</v>
      </c>
      <c r="K23" s="33">
        <f t="shared" si="2"/>
        <v>510</v>
      </c>
      <c r="L23" s="20">
        <v>3</v>
      </c>
      <c r="M23" s="42">
        <f t="shared" si="3"/>
        <v>2.5499999999999998</v>
      </c>
      <c r="N23" s="29"/>
      <c r="O23" s="18" t="s">
        <v>129</v>
      </c>
      <c r="P23" s="72">
        <v>10</v>
      </c>
      <c r="Q23" s="68">
        <v>30</v>
      </c>
      <c r="R23" s="33">
        <f t="shared" si="4"/>
        <v>300</v>
      </c>
      <c r="S23" s="20">
        <v>3</v>
      </c>
      <c r="T23" s="42">
        <f t="shared" si="5"/>
        <v>3</v>
      </c>
    </row>
    <row r="24" spans="1:20" ht="15" thickBot="1">
      <c r="A24" s="21" t="s">
        <v>129</v>
      </c>
      <c r="B24" s="43">
        <v>35</v>
      </c>
      <c r="C24" s="22">
        <v>30</v>
      </c>
      <c r="D24" s="34">
        <f t="shared" si="0"/>
        <v>1050</v>
      </c>
      <c r="E24" s="23">
        <v>2</v>
      </c>
      <c r="F24" s="44">
        <f t="shared" si="1"/>
        <v>2.625</v>
      </c>
      <c r="G24" s="29"/>
      <c r="H24" s="21" t="s">
        <v>129</v>
      </c>
      <c r="I24" s="43">
        <v>20</v>
      </c>
      <c r="J24" s="22">
        <v>30</v>
      </c>
      <c r="K24" s="34">
        <f t="shared" si="2"/>
        <v>600</v>
      </c>
      <c r="L24" s="23">
        <v>2</v>
      </c>
      <c r="M24" s="44">
        <f t="shared" si="3"/>
        <v>3</v>
      </c>
      <c r="N24" s="29"/>
      <c r="O24" s="21" t="s">
        <v>129</v>
      </c>
      <c r="P24" s="43">
        <v>12</v>
      </c>
      <c r="Q24" s="22">
        <v>30</v>
      </c>
      <c r="R24" s="34">
        <f t="shared" si="4"/>
        <v>360</v>
      </c>
      <c r="S24" s="23">
        <v>2</v>
      </c>
      <c r="T24" s="44">
        <f t="shared" si="5"/>
        <v>3.6</v>
      </c>
    </row>
    <row r="25" spans="1:20">
      <c r="A25" s="70" t="s">
        <v>125</v>
      </c>
      <c r="B25" s="37">
        <v>35</v>
      </c>
      <c r="C25" s="38">
        <v>10</v>
      </c>
      <c r="D25" s="39">
        <f t="shared" si="0"/>
        <v>350</v>
      </c>
      <c r="E25" s="19">
        <v>20</v>
      </c>
      <c r="F25" s="40">
        <f t="shared" si="1"/>
        <v>0.875</v>
      </c>
      <c r="G25" s="29"/>
      <c r="H25" s="70" t="s">
        <v>125</v>
      </c>
      <c r="I25" s="38">
        <v>20</v>
      </c>
      <c r="J25" s="38">
        <v>10</v>
      </c>
      <c r="K25" s="39">
        <f t="shared" si="2"/>
        <v>200</v>
      </c>
      <c r="L25" s="19">
        <v>17</v>
      </c>
      <c r="M25" s="40">
        <f t="shared" si="3"/>
        <v>1</v>
      </c>
      <c r="N25" s="29"/>
      <c r="O25" s="70" t="s">
        <v>125</v>
      </c>
      <c r="P25" s="38">
        <v>5</v>
      </c>
      <c r="Q25" s="38">
        <v>10</v>
      </c>
      <c r="R25" s="39">
        <f t="shared" si="4"/>
        <v>50</v>
      </c>
      <c r="S25" s="19">
        <v>10</v>
      </c>
      <c r="T25" s="40">
        <f t="shared" si="5"/>
        <v>0.5</v>
      </c>
    </row>
    <row r="26" spans="1:20">
      <c r="A26" s="67" t="s">
        <v>125</v>
      </c>
      <c r="B26" s="41">
        <v>40</v>
      </c>
      <c r="C26" s="68">
        <v>10</v>
      </c>
      <c r="D26" s="33">
        <f t="shared" si="0"/>
        <v>400</v>
      </c>
      <c r="E26" s="20">
        <v>9</v>
      </c>
      <c r="F26" s="42">
        <f t="shared" si="1"/>
        <v>1</v>
      </c>
      <c r="G26" s="29"/>
      <c r="H26" s="67" t="s">
        <v>125</v>
      </c>
      <c r="I26" s="10">
        <v>25</v>
      </c>
      <c r="J26" s="68">
        <v>10</v>
      </c>
      <c r="K26" s="33">
        <f t="shared" si="2"/>
        <v>250</v>
      </c>
      <c r="L26" s="20">
        <v>9</v>
      </c>
      <c r="M26" s="42">
        <f t="shared" si="3"/>
        <v>1.25</v>
      </c>
      <c r="N26" s="29"/>
      <c r="O26" s="67" t="s">
        <v>125</v>
      </c>
      <c r="P26" s="10">
        <v>10</v>
      </c>
      <c r="Q26" s="68">
        <v>10</v>
      </c>
      <c r="R26" s="33">
        <f t="shared" si="4"/>
        <v>100</v>
      </c>
      <c r="S26" s="20">
        <v>10</v>
      </c>
      <c r="T26" s="42">
        <f t="shared" si="5"/>
        <v>1</v>
      </c>
    </row>
    <row r="27" spans="1:20" ht="15" thickBot="1">
      <c r="A27" s="71" t="s">
        <v>125</v>
      </c>
      <c r="B27" s="43">
        <v>50</v>
      </c>
      <c r="C27" s="22">
        <v>10</v>
      </c>
      <c r="D27" s="34">
        <f t="shared" si="0"/>
        <v>500</v>
      </c>
      <c r="E27" s="23">
        <v>6</v>
      </c>
      <c r="F27" s="44">
        <f t="shared" si="1"/>
        <v>1.25</v>
      </c>
      <c r="G27" s="29"/>
      <c r="H27" s="71" t="s">
        <v>125</v>
      </c>
      <c r="I27" s="22">
        <v>30</v>
      </c>
      <c r="J27" s="22">
        <v>10</v>
      </c>
      <c r="K27" s="34">
        <f t="shared" si="2"/>
        <v>300</v>
      </c>
      <c r="L27" s="23">
        <v>1</v>
      </c>
      <c r="M27" s="44">
        <f t="shared" si="3"/>
        <v>1.5</v>
      </c>
      <c r="N27" s="29"/>
      <c r="O27" s="71" t="s">
        <v>125</v>
      </c>
      <c r="P27" s="22">
        <v>15</v>
      </c>
      <c r="Q27" s="22">
        <v>10</v>
      </c>
      <c r="R27" s="34">
        <f t="shared" si="4"/>
        <v>150</v>
      </c>
      <c r="S27" s="23">
        <v>10</v>
      </c>
      <c r="T27" s="44">
        <f t="shared" si="5"/>
        <v>1.5</v>
      </c>
    </row>
    <row r="28" spans="1:20">
      <c r="A28" s="70" t="s">
        <v>126</v>
      </c>
      <c r="B28" s="37">
        <v>35</v>
      </c>
      <c r="C28" s="38">
        <v>11</v>
      </c>
      <c r="D28" s="39">
        <f t="shared" si="0"/>
        <v>385</v>
      </c>
      <c r="E28" s="19">
        <v>20</v>
      </c>
      <c r="F28" s="40">
        <f t="shared" si="1"/>
        <v>0.96250000000000002</v>
      </c>
      <c r="G28" s="29"/>
      <c r="H28" s="70" t="s">
        <v>126</v>
      </c>
      <c r="I28" s="38">
        <v>20</v>
      </c>
      <c r="J28" s="38">
        <v>11</v>
      </c>
      <c r="K28" s="39">
        <f t="shared" si="2"/>
        <v>220</v>
      </c>
      <c r="L28" s="19">
        <v>15</v>
      </c>
      <c r="M28" s="40">
        <f t="shared" si="3"/>
        <v>1.1000000000000001</v>
      </c>
      <c r="N28" s="29"/>
      <c r="O28" s="70" t="s">
        <v>126</v>
      </c>
      <c r="P28" s="38">
        <v>5</v>
      </c>
      <c r="Q28" s="38">
        <v>11</v>
      </c>
      <c r="R28" s="39">
        <f t="shared" si="4"/>
        <v>55</v>
      </c>
      <c r="S28" s="19">
        <v>15</v>
      </c>
      <c r="T28" s="40">
        <f t="shared" si="5"/>
        <v>0.55000000000000004</v>
      </c>
    </row>
    <row r="29" spans="1:20">
      <c r="A29" s="67" t="s">
        <v>126</v>
      </c>
      <c r="B29" s="41">
        <v>40</v>
      </c>
      <c r="C29" s="68">
        <v>11</v>
      </c>
      <c r="D29" s="33">
        <f t="shared" si="0"/>
        <v>440</v>
      </c>
      <c r="E29" s="20">
        <v>10</v>
      </c>
      <c r="F29" s="42">
        <f t="shared" si="1"/>
        <v>1.1000000000000001</v>
      </c>
      <c r="G29" s="29"/>
      <c r="H29" s="67" t="s">
        <v>126</v>
      </c>
      <c r="I29" s="10">
        <v>25</v>
      </c>
      <c r="J29" s="68">
        <v>11</v>
      </c>
      <c r="K29" s="33">
        <f t="shared" si="2"/>
        <v>275</v>
      </c>
      <c r="L29" s="20">
        <v>5</v>
      </c>
      <c r="M29" s="42">
        <f t="shared" si="3"/>
        <v>1.375</v>
      </c>
      <c r="N29" s="29"/>
      <c r="O29" s="67" t="s">
        <v>126</v>
      </c>
      <c r="P29" s="10">
        <v>10</v>
      </c>
      <c r="Q29" s="68">
        <v>11</v>
      </c>
      <c r="R29" s="33">
        <f t="shared" si="4"/>
        <v>110</v>
      </c>
      <c r="S29" s="20">
        <v>10</v>
      </c>
      <c r="T29" s="42">
        <f t="shared" si="5"/>
        <v>1.1000000000000001</v>
      </c>
    </row>
    <row r="30" spans="1:20" ht="15" thickBot="1">
      <c r="A30" s="71" t="s">
        <v>126</v>
      </c>
      <c r="B30" s="43">
        <v>50</v>
      </c>
      <c r="C30" s="22">
        <v>11</v>
      </c>
      <c r="D30" s="34">
        <f t="shared" si="0"/>
        <v>550</v>
      </c>
      <c r="E30" s="23">
        <v>5</v>
      </c>
      <c r="F30" s="44">
        <f t="shared" si="1"/>
        <v>1.375</v>
      </c>
      <c r="G30" s="29"/>
      <c r="H30" s="71" t="s">
        <v>126</v>
      </c>
      <c r="I30" s="22">
        <v>30</v>
      </c>
      <c r="J30" s="22">
        <v>11</v>
      </c>
      <c r="K30" s="34">
        <f t="shared" si="2"/>
        <v>330</v>
      </c>
      <c r="L30" s="23">
        <v>1</v>
      </c>
      <c r="M30" s="44">
        <f t="shared" si="3"/>
        <v>1.65</v>
      </c>
      <c r="N30" s="29"/>
      <c r="O30" s="71" t="s">
        <v>126</v>
      </c>
      <c r="P30" s="22">
        <v>15</v>
      </c>
      <c r="Q30" s="22">
        <v>11</v>
      </c>
      <c r="R30" s="34">
        <f t="shared" si="4"/>
        <v>165</v>
      </c>
      <c r="S30" s="23">
        <v>5</v>
      </c>
      <c r="T30" s="44">
        <f t="shared" si="5"/>
        <v>1.65</v>
      </c>
    </row>
    <row r="31" spans="1:20">
      <c r="A31" s="70" t="s">
        <v>127</v>
      </c>
      <c r="B31" s="37">
        <v>35</v>
      </c>
      <c r="C31" s="38">
        <v>11</v>
      </c>
      <c r="D31" s="39">
        <f t="shared" si="0"/>
        <v>385</v>
      </c>
      <c r="E31" s="19">
        <v>18</v>
      </c>
      <c r="F31" s="40">
        <f t="shared" si="1"/>
        <v>0.96250000000000002</v>
      </c>
      <c r="G31" s="29"/>
      <c r="H31" s="70" t="s">
        <v>127</v>
      </c>
      <c r="I31" s="38">
        <v>20</v>
      </c>
      <c r="J31" s="38">
        <v>11</v>
      </c>
      <c r="K31" s="39">
        <f t="shared" si="2"/>
        <v>220</v>
      </c>
      <c r="L31" s="19">
        <v>15</v>
      </c>
      <c r="M31" s="40">
        <f t="shared" si="3"/>
        <v>1.1000000000000001</v>
      </c>
      <c r="N31" s="29"/>
      <c r="O31" s="70" t="s">
        <v>127</v>
      </c>
      <c r="P31" s="38">
        <v>5</v>
      </c>
      <c r="Q31" s="38">
        <v>11</v>
      </c>
      <c r="R31" s="39">
        <f t="shared" si="4"/>
        <v>55</v>
      </c>
      <c r="S31" s="19">
        <v>14</v>
      </c>
      <c r="T31" s="40">
        <f t="shared" si="5"/>
        <v>0.55000000000000004</v>
      </c>
    </row>
    <row r="32" spans="1:20">
      <c r="A32" s="67" t="s">
        <v>127</v>
      </c>
      <c r="B32" s="41">
        <v>40</v>
      </c>
      <c r="C32" s="68">
        <v>11</v>
      </c>
      <c r="D32" s="33">
        <f t="shared" si="0"/>
        <v>440</v>
      </c>
      <c r="E32" s="20">
        <v>10</v>
      </c>
      <c r="F32" s="42">
        <f t="shared" si="1"/>
        <v>1.1000000000000001</v>
      </c>
      <c r="G32" s="29"/>
      <c r="H32" s="67" t="s">
        <v>127</v>
      </c>
      <c r="I32" s="10">
        <v>25</v>
      </c>
      <c r="J32" s="68">
        <v>11</v>
      </c>
      <c r="K32" s="33">
        <f t="shared" si="2"/>
        <v>275</v>
      </c>
      <c r="L32" s="20">
        <v>5</v>
      </c>
      <c r="M32" s="42">
        <f t="shared" si="3"/>
        <v>1.375</v>
      </c>
      <c r="N32" s="29"/>
      <c r="O32" s="67" t="s">
        <v>127</v>
      </c>
      <c r="P32" s="10">
        <v>10</v>
      </c>
      <c r="Q32" s="68">
        <v>11</v>
      </c>
      <c r="R32" s="33">
        <f t="shared" si="4"/>
        <v>110</v>
      </c>
      <c r="S32" s="20">
        <v>12</v>
      </c>
      <c r="T32" s="42">
        <f t="shared" si="5"/>
        <v>1.1000000000000001</v>
      </c>
    </row>
    <row r="33" spans="1:20" ht="15" thickBot="1">
      <c r="A33" s="71" t="s">
        <v>127</v>
      </c>
      <c r="B33" s="43">
        <v>50</v>
      </c>
      <c r="C33" s="22">
        <v>11</v>
      </c>
      <c r="D33" s="34">
        <f t="shared" si="0"/>
        <v>550</v>
      </c>
      <c r="E33" s="23">
        <v>7</v>
      </c>
      <c r="F33" s="44">
        <f t="shared" si="1"/>
        <v>1.375</v>
      </c>
      <c r="G33" s="29"/>
      <c r="H33" s="71" t="s">
        <v>127</v>
      </c>
      <c r="I33" s="22">
        <v>30</v>
      </c>
      <c r="J33" s="22">
        <v>11</v>
      </c>
      <c r="K33" s="34">
        <f t="shared" si="2"/>
        <v>330</v>
      </c>
      <c r="L33" s="23">
        <v>1</v>
      </c>
      <c r="M33" s="44">
        <f t="shared" si="3"/>
        <v>1.65</v>
      </c>
      <c r="N33" s="29"/>
      <c r="O33" s="71" t="s">
        <v>127</v>
      </c>
      <c r="P33" s="22">
        <v>15</v>
      </c>
      <c r="Q33" s="22">
        <v>11</v>
      </c>
      <c r="R33" s="34">
        <f t="shared" si="4"/>
        <v>165</v>
      </c>
      <c r="S33" s="23">
        <v>7</v>
      </c>
      <c r="T33" s="44">
        <f t="shared" si="5"/>
        <v>1.65</v>
      </c>
    </row>
    <row r="34" spans="1:20">
      <c r="A34" s="70" t="s">
        <v>128</v>
      </c>
      <c r="B34" s="37">
        <v>35</v>
      </c>
      <c r="C34" s="38">
        <v>10</v>
      </c>
      <c r="D34" s="39">
        <f t="shared" si="0"/>
        <v>350</v>
      </c>
      <c r="E34" s="19">
        <v>17</v>
      </c>
      <c r="F34" s="40">
        <f t="shared" si="1"/>
        <v>0.875</v>
      </c>
      <c r="G34" s="29"/>
      <c r="H34" s="70" t="s">
        <v>128</v>
      </c>
      <c r="I34" s="38">
        <v>20</v>
      </c>
      <c r="J34" s="38">
        <v>10</v>
      </c>
      <c r="K34" s="39">
        <f t="shared" si="2"/>
        <v>200</v>
      </c>
      <c r="L34" s="19">
        <v>16</v>
      </c>
      <c r="M34" s="40">
        <f t="shared" si="3"/>
        <v>1</v>
      </c>
      <c r="N34" s="29"/>
      <c r="O34" s="70" t="s">
        <v>128</v>
      </c>
      <c r="P34" s="38">
        <v>5</v>
      </c>
      <c r="Q34" s="38">
        <v>10</v>
      </c>
      <c r="R34" s="39">
        <f t="shared" si="4"/>
        <v>50</v>
      </c>
      <c r="S34" s="19">
        <v>10</v>
      </c>
      <c r="T34" s="40">
        <f t="shared" si="5"/>
        <v>0.5</v>
      </c>
    </row>
    <row r="35" spans="1:20">
      <c r="A35" s="67" t="s">
        <v>128</v>
      </c>
      <c r="B35" s="41">
        <v>40</v>
      </c>
      <c r="C35" s="68">
        <v>10</v>
      </c>
      <c r="D35" s="33">
        <f t="shared" si="0"/>
        <v>400</v>
      </c>
      <c r="E35" s="20">
        <v>11</v>
      </c>
      <c r="F35" s="42">
        <f t="shared" si="1"/>
        <v>1</v>
      </c>
      <c r="G35" s="29"/>
      <c r="H35" s="67" t="s">
        <v>128</v>
      </c>
      <c r="I35" s="10">
        <v>25</v>
      </c>
      <c r="J35" s="68">
        <v>10</v>
      </c>
      <c r="K35" s="33">
        <f t="shared" si="2"/>
        <v>250</v>
      </c>
      <c r="L35" s="20">
        <v>5</v>
      </c>
      <c r="M35" s="42">
        <f t="shared" si="3"/>
        <v>1.25</v>
      </c>
      <c r="N35" s="29"/>
      <c r="O35" s="67" t="s">
        <v>128</v>
      </c>
      <c r="P35" s="10">
        <v>10</v>
      </c>
      <c r="Q35" s="68">
        <v>10</v>
      </c>
      <c r="R35" s="33">
        <f t="shared" si="4"/>
        <v>100</v>
      </c>
      <c r="S35" s="20">
        <v>10</v>
      </c>
      <c r="T35" s="42">
        <f t="shared" si="5"/>
        <v>1</v>
      </c>
    </row>
    <row r="36" spans="1:20" ht="15" thickBot="1">
      <c r="A36" s="71" t="s">
        <v>128</v>
      </c>
      <c r="B36" s="43">
        <v>50</v>
      </c>
      <c r="C36" s="22">
        <v>10</v>
      </c>
      <c r="D36" s="34">
        <f t="shared" si="0"/>
        <v>500</v>
      </c>
      <c r="E36" s="23">
        <v>7</v>
      </c>
      <c r="F36" s="44">
        <f t="shared" si="1"/>
        <v>1.25</v>
      </c>
      <c r="G36" s="29"/>
      <c r="H36" s="71" t="s">
        <v>128</v>
      </c>
      <c r="I36" s="22">
        <v>30</v>
      </c>
      <c r="J36" s="22">
        <v>10</v>
      </c>
      <c r="K36" s="34">
        <f t="shared" si="2"/>
        <v>300</v>
      </c>
      <c r="L36" s="23">
        <v>3</v>
      </c>
      <c r="M36" s="44">
        <f t="shared" si="3"/>
        <v>1.5</v>
      </c>
      <c r="N36" s="29"/>
      <c r="O36" s="71" t="s">
        <v>128</v>
      </c>
      <c r="P36" s="22">
        <v>15</v>
      </c>
      <c r="Q36" s="22">
        <v>10</v>
      </c>
      <c r="R36" s="34">
        <f t="shared" si="4"/>
        <v>150</v>
      </c>
      <c r="S36" s="23">
        <v>9</v>
      </c>
      <c r="T36" s="44">
        <f t="shared" si="5"/>
        <v>1.5</v>
      </c>
    </row>
    <row r="37" spans="1:20">
      <c r="A37" s="70" t="s">
        <v>160</v>
      </c>
      <c r="B37" s="37">
        <v>200</v>
      </c>
      <c r="C37" s="38">
        <v>0.65500000000000003</v>
      </c>
      <c r="D37" s="39">
        <f>+B37*C37</f>
        <v>131</v>
      </c>
      <c r="E37" s="19">
        <v>20</v>
      </c>
      <c r="F37" s="40">
        <f t="shared" ref="F37:F45" si="6">+D37/$B$4</f>
        <v>0.32750000000000001</v>
      </c>
      <c r="G37" s="29"/>
      <c r="H37" s="70" t="s">
        <v>160</v>
      </c>
      <c r="I37" s="38">
        <v>100</v>
      </c>
      <c r="J37" s="38">
        <v>0.65500000000000003</v>
      </c>
      <c r="K37" s="39">
        <f t="shared" si="2"/>
        <v>65.5</v>
      </c>
      <c r="L37" s="19">
        <v>30</v>
      </c>
      <c r="M37" s="40">
        <f t="shared" si="3"/>
        <v>0.32750000000000001</v>
      </c>
      <c r="N37" s="29"/>
      <c r="O37" s="70" t="s">
        <v>160</v>
      </c>
      <c r="P37" s="37">
        <v>20</v>
      </c>
      <c r="Q37" s="38">
        <v>0.65500000000000003</v>
      </c>
      <c r="R37" s="39">
        <f t="shared" si="4"/>
        <v>13.100000000000001</v>
      </c>
      <c r="S37" s="19">
        <v>12</v>
      </c>
      <c r="T37" s="40">
        <f t="shared" si="5"/>
        <v>0.13100000000000001</v>
      </c>
    </row>
    <row r="38" spans="1:20">
      <c r="A38" s="67" t="s">
        <v>160</v>
      </c>
      <c r="B38" s="72">
        <v>300</v>
      </c>
      <c r="C38" s="10">
        <v>0.65500000000000003</v>
      </c>
      <c r="D38" s="33">
        <f t="shared" si="0"/>
        <v>196.5</v>
      </c>
      <c r="E38" s="20">
        <v>16</v>
      </c>
      <c r="F38" s="42">
        <f t="shared" si="6"/>
        <v>0.49125000000000002</v>
      </c>
      <c r="G38" s="29"/>
      <c r="H38" s="67" t="s">
        <v>160</v>
      </c>
      <c r="I38" s="68">
        <v>150</v>
      </c>
      <c r="J38" s="10">
        <v>0.65500000000000003</v>
      </c>
      <c r="K38" s="33">
        <f t="shared" si="2"/>
        <v>98.25</v>
      </c>
      <c r="L38" s="20">
        <v>15</v>
      </c>
      <c r="M38" s="42">
        <f t="shared" si="3"/>
        <v>0.49125000000000002</v>
      </c>
      <c r="N38" s="29"/>
      <c r="O38" s="67" t="s">
        <v>160</v>
      </c>
      <c r="P38" s="72">
        <v>50</v>
      </c>
      <c r="Q38" s="10">
        <v>0.65500000000000003</v>
      </c>
      <c r="R38" s="33">
        <f t="shared" si="4"/>
        <v>32.75</v>
      </c>
      <c r="S38" s="20">
        <v>14</v>
      </c>
      <c r="T38" s="42">
        <f t="shared" si="5"/>
        <v>0.32750000000000001</v>
      </c>
    </row>
    <row r="39" spans="1:20" ht="15" thickBot="1">
      <c r="A39" s="71" t="s">
        <v>160</v>
      </c>
      <c r="B39" s="43">
        <v>500</v>
      </c>
      <c r="C39" s="22">
        <v>0.65500000000000003</v>
      </c>
      <c r="D39" s="34">
        <f t="shared" si="0"/>
        <v>327.5</v>
      </c>
      <c r="E39" s="23">
        <v>8</v>
      </c>
      <c r="F39" s="44">
        <f t="shared" si="6"/>
        <v>0.81874999999999998</v>
      </c>
      <c r="G39" s="29"/>
      <c r="H39" s="71" t="s">
        <v>160</v>
      </c>
      <c r="I39" s="22">
        <v>200</v>
      </c>
      <c r="J39" s="22">
        <v>0.65500000000000003</v>
      </c>
      <c r="K39" s="34">
        <f t="shared" si="2"/>
        <v>131</v>
      </c>
      <c r="L39" s="23">
        <v>8</v>
      </c>
      <c r="M39" s="44">
        <f t="shared" si="3"/>
        <v>0.65500000000000003</v>
      </c>
      <c r="N39" s="29"/>
      <c r="O39" s="71" t="s">
        <v>160</v>
      </c>
      <c r="P39" s="43">
        <v>100</v>
      </c>
      <c r="Q39" s="22">
        <v>0.65500000000000003</v>
      </c>
      <c r="R39" s="34">
        <f t="shared" si="4"/>
        <v>65.5</v>
      </c>
      <c r="S39" s="23">
        <v>8</v>
      </c>
      <c r="T39" s="44">
        <f t="shared" si="5"/>
        <v>0.65500000000000003</v>
      </c>
    </row>
    <row r="40" spans="1:20">
      <c r="A40" s="70" t="s">
        <v>161</v>
      </c>
      <c r="B40" s="37">
        <v>200</v>
      </c>
      <c r="C40" s="38">
        <v>0.65500000000000003</v>
      </c>
      <c r="D40" s="39">
        <f t="shared" si="0"/>
        <v>131</v>
      </c>
      <c r="E40" s="19">
        <v>20</v>
      </c>
      <c r="F40" s="40">
        <f t="shared" si="6"/>
        <v>0.32750000000000001</v>
      </c>
      <c r="G40" s="29"/>
      <c r="H40" s="70" t="s">
        <v>161</v>
      </c>
      <c r="I40" s="38">
        <v>100</v>
      </c>
      <c r="J40" s="38">
        <v>0.65500000000000003</v>
      </c>
      <c r="K40" s="39">
        <f t="shared" si="2"/>
        <v>65.5</v>
      </c>
      <c r="L40" s="19">
        <v>30</v>
      </c>
      <c r="M40" s="40">
        <f t="shared" si="3"/>
        <v>0.32750000000000001</v>
      </c>
      <c r="N40" s="29"/>
      <c r="O40" s="70" t="s">
        <v>161</v>
      </c>
      <c r="P40" s="37">
        <v>20</v>
      </c>
      <c r="Q40" s="38">
        <v>0.65500000000000003</v>
      </c>
      <c r="R40" s="39">
        <f t="shared" si="4"/>
        <v>13.100000000000001</v>
      </c>
      <c r="S40" s="19">
        <v>12</v>
      </c>
      <c r="T40" s="40">
        <f t="shared" si="5"/>
        <v>0.13100000000000001</v>
      </c>
    </row>
    <row r="41" spans="1:20">
      <c r="A41" s="67" t="s">
        <v>161</v>
      </c>
      <c r="B41" s="72">
        <v>300</v>
      </c>
      <c r="C41" s="10">
        <v>0.65500000000000003</v>
      </c>
      <c r="D41" s="33">
        <f t="shared" si="0"/>
        <v>196.5</v>
      </c>
      <c r="E41" s="20">
        <v>16</v>
      </c>
      <c r="F41" s="42">
        <f t="shared" si="6"/>
        <v>0.49125000000000002</v>
      </c>
      <c r="G41" s="29"/>
      <c r="H41" s="67" t="s">
        <v>161</v>
      </c>
      <c r="I41" s="68">
        <v>150</v>
      </c>
      <c r="J41" s="10">
        <v>0.65500000000000003</v>
      </c>
      <c r="K41" s="33">
        <f t="shared" si="2"/>
        <v>98.25</v>
      </c>
      <c r="L41" s="20">
        <v>15</v>
      </c>
      <c r="M41" s="42">
        <f t="shared" si="3"/>
        <v>0.49125000000000002</v>
      </c>
      <c r="N41" s="29"/>
      <c r="O41" s="67" t="s">
        <v>161</v>
      </c>
      <c r="P41" s="72">
        <v>50</v>
      </c>
      <c r="Q41" s="10">
        <v>0.65500000000000003</v>
      </c>
      <c r="R41" s="33">
        <f t="shared" si="4"/>
        <v>32.75</v>
      </c>
      <c r="S41" s="20">
        <v>14</v>
      </c>
      <c r="T41" s="42">
        <f t="shared" si="5"/>
        <v>0.32750000000000001</v>
      </c>
    </row>
    <row r="42" spans="1:20" ht="15" thickBot="1">
      <c r="A42" s="71" t="s">
        <v>161</v>
      </c>
      <c r="B42" s="43">
        <v>500</v>
      </c>
      <c r="C42" s="22">
        <v>0.65500000000000003</v>
      </c>
      <c r="D42" s="34">
        <f t="shared" si="0"/>
        <v>327.5</v>
      </c>
      <c r="E42" s="23">
        <v>8</v>
      </c>
      <c r="F42" s="44">
        <f t="shared" si="6"/>
        <v>0.81874999999999998</v>
      </c>
      <c r="G42" s="29"/>
      <c r="H42" s="71" t="s">
        <v>161</v>
      </c>
      <c r="I42" s="22">
        <v>200</v>
      </c>
      <c r="J42" s="22">
        <v>0.65500000000000003</v>
      </c>
      <c r="K42" s="34">
        <f t="shared" si="2"/>
        <v>131</v>
      </c>
      <c r="L42" s="23">
        <v>8</v>
      </c>
      <c r="M42" s="44">
        <f t="shared" si="3"/>
        <v>0.65500000000000003</v>
      </c>
      <c r="N42" s="29"/>
      <c r="O42" s="71" t="s">
        <v>161</v>
      </c>
      <c r="P42" s="43">
        <v>100</v>
      </c>
      <c r="Q42" s="22">
        <v>0.65500000000000003</v>
      </c>
      <c r="R42" s="34">
        <f t="shared" si="4"/>
        <v>65.5</v>
      </c>
      <c r="S42" s="23">
        <v>8</v>
      </c>
      <c r="T42" s="44">
        <f t="shared" si="5"/>
        <v>0.65500000000000003</v>
      </c>
    </row>
    <row r="43" spans="1:20">
      <c r="A43" s="70" t="s">
        <v>162</v>
      </c>
      <c r="B43" s="37">
        <v>35</v>
      </c>
      <c r="C43" s="38">
        <v>20</v>
      </c>
      <c r="D43" s="39">
        <f t="shared" si="0"/>
        <v>700</v>
      </c>
      <c r="E43" s="19">
        <v>15</v>
      </c>
      <c r="F43" s="40">
        <f t="shared" si="6"/>
        <v>1.75</v>
      </c>
      <c r="G43" s="29"/>
      <c r="H43" s="70" t="s">
        <v>162</v>
      </c>
      <c r="I43" s="38">
        <v>20</v>
      </c>
      <c r="J43" s="38">
        <v>20</v>
      </c>
      <c r="K43" s="39">
        <f t="shared" si="2"/>
        <v>400</v>
      </c>
      <c r="L43" s="19">
        <v>16</v>
      </c>
      <c r="M43" s="40">
        <f t="shared" si="3"/>
        <v>2</v>
      </c>
      <c r="N43" s="29"/>
      <c r="O43" s="70" t="s">
        <v>162</v>
      </c>
      <c r="P43" s="38">
        <v>5</v>
      </c>
      <c r="Q43" s="38">
        <v>20</v>
      </c>
      <c r="R43" s="39">
        <f t="shared" si="4"/>
        <v>100</v>
      </c>
      <c r="S43" s="19">
        <v>16</v>
      </c>
      <c r="T43" s="40">
        <f t="shared" si="5"/>
        <v>1</v>
      </c>
    </row>
    <row r="44" spans="1:20">
      <c r="A44" s="67" t="s">
        <v>162</v>
      </c>
      <c r="B44" s="72">
        <v>40</v>
      </c>
      <c r="C44" s="68">
        <v>20</v>
      </c>
      <c r="D44" s="33">
        <f t="shared" si="0"/>
        <v>800</v>
      </c>
      <c r="E44" s="20">
        <v>9</v>
      </c>
      <c r="F44" s="42">
        <f t="shared" si="6"/>
        <v>2</v>
      </c>
      <c r="G44" s="29"/>
      <c r="H44" s="67" t="s">
        <v>162</v>
      </c>
      <c r="I44" s="10">
        <v>25</v>
      </c>
      <c r="J44" s="68">
        <v>20</v>
      </c>
      <c r="K44" s="33">
        <f t="shared" si="2"/>
        <v>500</v>
      </c>
      <c r="L44" s="20">
        <v>9</v>
      </c>
      <c r="M44" s="42">
        <f t="shared" si="3"/>
        <v>2.5</v>
      </c>
      <c r="N44" s="29"/>
      <c r="O44" s="67" t="s">
        <v>162</v>
      </c>
      <c r="P44" s="10">
        <v>10</v>
      </c>
      <c r="Q44" s="68">
        <v>20</v>
      </c>
      <c r="R44" s="33">
        <f t="shared" si="4"/>
        <v>200</v>
      </c>
      <c r="S44" s="20">
        <v>10</v>
      </c>
      <c r="T44" s="42">
        <f t="shared" si="5"/>
        <v>2</v>
      </c>
    </row>
    <row r="45" spans="1:20" ht="15" thickBot="1">
      <c r="A45" s="71" t="s">
        <v>162</v>
      </c>
      <c r="B45" s="43">
        <v>50</v>
      </c>
      <c r="C45" s="22">
        <v>20</v>
      </c>
      <c r="D45" s="34">
        <f t="shared" si="0"/>
        <v>1000</v>
      </c>
      <c r="E45" s="23">
        <v>4</v>
      </c>
      <c r="F45" s="44">
        <f t="shared" si="6"/>
        <v>2.5</v>
      </c>
      <c r="G45" s="29"/>
      <c r="H45" s="71" t="s">
        <v>162</v>
      </c>
      <c r="I45" s="22">
        <v>30</v>
      </c>
      <c r="J45" s="22">
        <v>20</v>
      </c>
      <c r="K45" s="34">
        <f t="shared" si="2"/>
        <v>600</v>
      </c>
      <c r="L45" s="23">
        <v>3</v>
      </c>
      <c r="M45" s="44">
        <f t="shared" si="3"/>
        <v>3</v>
      </c>
      <c r="N45" s="29"/>
      <c r="O45" s="71" t="s">
        <v>162</v>
      </c>
      <c r="P45" s="22">
        <v>15</v>
      </c>
      <c r="Q45" s="22">
        <v>20</v>
      </c>
      <c r="R45" s="34">
        <f t="shared" si="4"/>
        <v>300</v>
      </c>
      <c r="S45" s="23">
        <v>5</v>
      </c>
      <c r="T45" s="44">
        <f t="shared" si="5"/>
        <v>3</v>
      </c>
    </row>
    <row r="46" spans="1:20">
      <c r="A46" s="18" t="s">
        <v>40</v>
      </c>
      <c r="B46" s="10">
        <v>15</v>
      </c>
      <c r="C46" s="10">
        <v>50</v>
      </c>
      <c r="D46" s="33">
        <f t="shared" si="0"/>
        <v>750</v>
      </c>
      <c r="E46" s="20">
        <v>4</v>
      </c>
      <c r="F46" s="42">
        <f t="shared" si="1"/>
        <v>1.875</v>
      </c>
      <c r="G46" s="29"/>
      <c r="H46" s="18" t="s">
        <v>40</v>
      </c>
      <c r="I46" s="10">
        <v>6</v>
      </c>
      <c r="J46" s="10">
        <v>50</v>
      </c>
      <c r="K46" s="33">
        <f t="shared" si="2"/>
        <v>300</v>
      </c>
      <c r="L46" s="20">
        <v>5</v>
      </c>
      <c r="M46" s="42">
        <f t="shared" si="3"/>
        <v>1.5</v>
      </c>
      <c r="N46" s="29"/>
      <c r="O46" s="18" t="s">
        <v>40</v>
      </c>
      <c r="P46" s="10">
        <v>3</v>
      </c>
      <c r="Q46" s="10">
        <v>50</v>
      </c>
      <c r="R46" s="33">
        <f t="shared" si="4"/>
        <v>150</v>
      </c>
      <c r="S46" s="20">
        <v>2</v>
      </c>
      <c r="T46" s="42">
        <f t="shared" si="5"/>
        <v>1.5</v>
      </c>
    </row>
    <row r="47" spans="1:20">
      <c r="A47" s="18" t="s">
        <v>40</v>
      </c>
      <c r="B47" s="10">
        <v>25</v>
      </c>
      <c r="C47" s="10">
        <v>50</v>
      </c>
      <c r="D47" s="33">
        <f t="shared" si="0"/>
        <v>1250</v>
      </c>
      <c r="E47" s="20">
        <v>3</v>
      </c>
      <c r="F47" s="42">
        <f t="shared" si="1"/>
        <v>3.125</v>
      </c>
      <c r="G47" s="29"/>
      <c r="H47" s="18" t="s">
        <v>40</v>
      </c>
      <c r="I47" s="10">
        <v>7</v>
      </c>
      <c r="J47" s="10">
        <v>50</v>
      </c>
      <c r="K47" s="33">
        <f t="shared" si="2"/>
        <v>350</v>
      </c>
      <c r="L47" s="20">
        <v>1</v>
      </c>
      <c r="M47" s="42">
        <f t="shared" si="3"/>
        <v>1.75</v>
      </c>
      <c r="N47" s="29"/>
      <c r="O47" s="18" t="s">
        <v>40</v>
      </c>
      <c r="P47" s="10">
        <v>4</v>
      </c>
      <c r="Q47" s="10">
        <v>50</v>
      </c>
      <c r="R47" s="33">
        <f t="shared" si="4"/>
        <v>200</v>
      </c>
      <c r="S47" s="20">
        <v>2</v>
      </c>
      <c r="T47" s="42">
        <f t="shared" si="5"/>
        <v>2</v>
      </c>
    </row>
    <row r="48" spans="1:20" ht="15" thickBot="1">
      <c r="A48" s="18" t="s">
        <v>40</v>
      </c>
      <c r="B48" s="43">
        <v>30</v>
      </c>
      <c r="C48" s="22">
        <v>50</v>
      </c>
      <c r="D48" s="34">
        <f t="shared" si="0"/>
        <v>1500</v>
      </c>
      <c r="E48" s="23">
        <v>1</v>
      </c>
      <c r="F48" s="44">
        <f t="shared" si="1"/>
        <v>3.75</v>
      </c>
      <c r="G48" s="29"/>
      <c r="H48" s="18" t="s">
        <v>40</v>
      </c>
      <c r="I48" s="22">
        <v>8</v>
      </c>
      <c r="J48" s="22">
        <v>50</v>
      </c>
      <c r="K48" s="34">
        <f t="shared" si="2"/>
        <v>400</v>
      </c>
      <c r="L48" s="23">
        <v>1</v>
      </c>
      <c r="M48" s="44">
        <f t="shared" si="3"/>
        <v>2</v>
      </c>
      <c r="N48" s="29"/>
      <c r="O48" s="18" t="s">
        <v>40</v>
      </c>
      <c r="P48" s="22">
        <v>5</v>
      </c>
      <c r="Q48" s="22">
        <v>50</v>
      </c>
      <c r="R48" s="34">
        <f t="shared" si="4"/>
        <v>250</v>
      </c>
      <c r="S48" s="23">
        <v>2</v>
      </c>
      <c r="T48" s="44">
        <f t="shared" si="5"/>
        <v>2.5</v>
      </c>
    </row>
    <row r="49" spans="1:19">
      <c r="A49" s="15" t="s">
        <v>13</v>
      </c>
      <c r="B49" s="16"/>
      <c r="C49" s="16"/>
      <c r="D49" s="45">
        <f>+SUMPRODUCT(D10:D48,E10:E48)/SUM(E10:E48)</f>
        <v>390.97927461139898</v>
      </c>
      <c r="E49" s="46">
        <f>+SUM(E10:E48)</f>
        <v>386</v>
      </c>
      <c r="H49" s="15" t="s">
        <v>13</v>
      </c>
      <c r="I49" s="16"/>
      <c r="J49" s="16"/>
      <c r="K49" s="45">
        <f>+SUMPRODUCT(K10:K48,L10:L48)/SUM(L10:L48)</f>
        <v>195.46675900277009</v>
      </c>
      <c r="L49" s="46">
        <f>+SUM(L10:L48)</f>
        <v>361</v>
      </c>
      <c r="O49" s="15" t="s">
        <v>13</v>
      </c>
      <c r="P49" s="16"/>
      <c r="Q49" s="16"/>
      <c r="R49" s="45">
        <f>+SUMPRODUCT(R10:R48,S10:S48)/SUM(S10:S48)</f>
        <v>97.714626865671647</v>
      </c>
      <c r="S49" s="46">
        <f>+SUM(S10:S48)</f>
        <v>335</v>
      </c>
    </row>
    <row r="51" spans="1:19">
      <c r="A51" s="12" t="s">
        <v>59</v>
      </c>
      <c r="B51" s="47">
        <f>+D49/B4</f>
        <v>0.97744818652849741</v>
      </c>
      <c r="H51" s="12" t="s">
        <v>59</v>
      </c>
      <c r="I51" s="47">
        <f>+K49/I4</f>
        <v>0.97733379501385043</v>
      </c>
      <c r="O51" s="12" t="s">
        <v>59</v>
      </c>
      <c r="P51" s="47">
        <f>+R49/P4</f>
        <v>0.9771462686567165</v>
      </c>
    </row>
    <row r="53" spans="1:19">
      <c r="A53" s="69"/>
    </row>
    <row r="54" spans="1:19">
      <c r="A54" s="69"/>
    </row>
    <row r="55" spans="1:19">
      <c r="A55" s="69"/>
    </row>
  </sheetData>
  <pageMargins left="0.7" right="0.7" top="0.75" bottom="0.75" header="0.51180555555555496" footer="0.51180555555555496"/>
  <pageSetup paperSize="9" firstPageNumber="0" orientation="portrait" horizontalDpi="300" verticalDpi="300"/>
</worksheet>
</file>

<file path=xl/worksheets/sheet6.xml><?xml version="1.0" encoding="utf-8"?>
<worksheet xmlns="http://schemas.openxmlformats.org/spreadsheetml/2006/main" xmlns:r="http://schemas.openxmlformats.org/officeDocument/2006/relationships">
  <sheetPr codeName="Hoja21"/>
  <dimension ref="A1:BM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8" width="11.5546875" customWidth="1"/>
    <col min="9" max="9" width="15.5546875" customWidth="1"/>
    <col min="10" max="13" width="11.5546875" customWidth="1"/>
    <col min="14" max="14" width="15.5546875" customWidth="1"/>
    <col min="15" max="18" width="11.5546875" customWidth="1"/>
    <col min="19" max="19" width="15.5546875" customWidth="1"/>
    <col min="20" max="23" width="11.5546875" customWidth="1"/>
    <col min="24" max="24" width="15.5546875" customWidth="1"/>
    <col min="25" max="1015" width="11.5546875" customWidth="1"/>
  </cols>
  <sheetData>
    <row r="1" spans="1:65" ht="18">
      <c r="A1" s="102" t="s">
        <v>60</v>
      </c>
      <c r="B1" s="102"/>
      <c r="C1" s="102"/>
      <c r="D1" s="102"/>
      <c r="E1" s="102"/>
    </row>
    <row r="2" spans="1:65">
      <c r="A2" t="s">
        <v>61</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62</v>
      </c>
    </row>
    <row r="5" spans="1:65">
      <c r="A5" t="s">
        <v>63</v>
      </c>
    </row>
    <row r="6" spans="1:65">
      <c r="A6" s="1" t="s">
        <v>64</v>
      </c>
    </row>
    <row r="8" spans="1:65" ht="18">
      <c r="A8" s="101" t="s">
        <v>65</v>
      </c>
      <c r="B8" s="101"/>
      <c r="C8" s="101"/>
      <c r="D8" s="101"/>
      <c r="E8" s="101"/>
    </row>
    <row r="9" spans="1:65" ht="15" thickBot="1"/>
    <row r="10" spans="1:65" ht="15" thickBot="1">
      <c r="B10" s="97" t="s">
        <v>66</v>
      </c>
      <c r="C10" s="97"/>
      <c r="D10" s="97"/>
      <c r="E10" s="97"/>
      <c r="G10" s="97" t="s">
        <v>37</v>
      </c>
      <c r="H10" s="97"/>
      <c r="I10" s="97"/>
      <c r="J10" s="97"/>
      <c r="L10" s="97" t="s">
        <v>38</v>
      </c>
      <c r="M10" s="97"/>
      <c r="N10" s="97"/>
      <c r="O10" s="97"/>
      <c r="Q10" s="97" t="s">
        <v>39</v>
      </c>
      <c r="R10" s="97"/>
      <c r="S10" s="97"/>
      <c r="T10" s="97"/>
      <c r="V10" s="97" t="s">
        <v>130</v>
      </c>
      <c r="W10" s="97"/>
      <c r="X10" s="97"/>
      <c r="Y10" s="97"/>
      <c r="AA10" s="97" t="s">
        <v>125</v>
      </c>
      <c r="AB10" s="97"/>
      <c r="AC10" s="97"/>
      <c r="AD10" s="97"/>
      <c r="AF10" s="97" t="s">
        <v>152</v>
      </c>
      <c r="AG10" s="97"/>
      <c r="AH10" s="97"/>
      <c r="AI10" s="97"/>
      <c r="AK10" s="97" t="s">
        <v>127</v>
      </c>
      <c r="AL10" s="97"/>
      <c r="AM10" s="97"/>
      <c r="AN10" s="97"/>
      <c r="AP10" s="97" t="s">
        <v>153</v>
      </c>
      <c r="AQ10" s="97"/>
      <c r="AR10" s="97"/>
      <c r="AS10" s="97"/>
      <c r="AU10" s="98" t="s">
        <v>166</v>
      </c>
      <c r="AV10" s="99"/>
      <c r="AW10" s="99"/>
      <c r="AX10" s="100"/>
      <c r="AZ10" s="98" t="s">
        <v>168</v>
      </c>
      <c r="BA10" s="99"/>
      <c r="BB10" s="99"/>
      <c r="BC10" s="100"/>
      <c r="BE10" s="98" t="s">
        <v>167</v>
      </c>
      <c r="BF10" s="99"/>
      <c r="BG10" s="99"/>
      <c r="BH10" s="100"/>
      <c r="BJ10" s="98" t="s">
        <v>40</v>
      </c>
      <c r="BK10" s="99"/>
      <c r="BL10" s="99"/>
      <c r="BM10" s="100"/>
    </row>
    <row r="11" spans="1:65">
      <c r="A11" s="1" t="s">
        <v>67</v>
      </c>
      <c r="B11" s="48" t="s">
        <v>25</v>
      </c>
      <c r="C11" s="48" t="s">
        <v>6</v>
      </c>
      <c r="D11" s="48" t="s">
        <v>68</v>
      </c>
      <c r="E11" s="48" t="s">
        <v>4</v>
      </c>
      <c r="G11" s="2" t="s">
        <v>25</v>
      </c>
      <c r="H11" s="2" t="s">
        <v>6</v>
      </c>
      <c r="I11" s="2" t="s">
        <v>68</v>
      </c>
      <c r="J11" s="2" t="s">
        <v>69</v>
      </c>
      <c r="L11" s="2" t="s">
        <v>25</v>
      </c>
      <c r="M11" s="2" t="s">
        <v>6</v>
      </c>
      <c r="N11" s="2" t="s">
        <v>68</v>
      </c>
      <c r="O11" s="2" t="s">
        <v>69</v>
      </c>
      <c r="Q11" s="2" t="s">
        <v>25</v>
      </c>
      <c r="R11" s="2" t="s">
        <v>6</v>
      </c>
      <c r="S11" s="2" t="s">
        <v>68</v>
      </c>
      <c r="T11" s="2" t="s">
        <v>69</v>
      </c>
      <c r="V11" s="2" t="s">
        <v>25</v>
      </c>
      <c r="W11" s="2" t="s">
        <v>6</v>
      </c>
      <c r="X11" s="2" t="s">
        <v>68</v>
      </c>
      <c r="Y11" s="2" t="s">
        <v>69</v>
      </c>
      <c r="AA11" s="2" t="s">
        <v>25</v>
      </c>
      <c r="AB11" s="2" t="s">
        <v>6</v>
      </c>
      <c r="AC11" s="2" t="s">
        <v>68</v>
      </c>
      <c r="AD11" s="2" t="s">
        <v>69</v>
      </c>
      <c r="AF11" s="2" t="s">
        <v>25</v>
      </c>
      <c r="AG11" s="2" t="s">
        <v>6</v>
      </c>
      <c r="AH11" s="2" t="s">
        <v>68</v>
      </c>
      <c r="AI11" s="2" t="s">
        <v>69</v>
      </c>
      <c r="AK11" s="2" t="s">
        <v>25</v>
      </c>
      <c r="AL11" s="2" t="s">
        <v>6</v>
      </c>
      <c r="AM11" s="2" t="s">
        <v>68</v>
      </c>
      <c r="AN11" s="2" t="s">
        <v>69</v>
      </c>
      <c r="AP11" s="2" t="s">
        <v>25</v>
      </c>
      <c r="AQ11" s="2" t="s">
        <v>6</v>
      </c>
      <c r="AR11" s="2" t="s">
        <v>68</v>
      </c>
      <c r="AS11" s="2" t="s">
        <v>69</v>
      </c>
      <c r="AU11" s="2" t="s">
        <v>25</v>
      </c>
      <c r="AV11" s="2" t="s">
        <v>6</v>
      </c>
      <c r="AW11" s="2" t="s">
        <v>68</v>
      </c>
      <c r="AX11" s="2" t="s">
        <v>69</v>
      </c>
      <c r="AZ11" s="2" t="s">
        <v>25</v>
      </c>
      <c r="BA11" s="2" t="s">
        <v>6</v>
      </c>
      <c r="BB11" s="2" t="s">
        <v>68</v>
      </c>
      <c r="BC11" s="2" t="s">
        <v>69</v>
      </c>
      <c r="BE11" s="2" t="s">
        <v>25</v>
      </c>
      <c r="BF11" s="2" t="s">
        <v>6</v>
      </c>
      <c r="BG11" s="2" t="s">
        <v>68</v>
      </c>
      <c r="BH11" s="2" t="s">
        <v>69</v>
      </c>
      <c r="BJ11" s="2" t="s">
        <v>25</v>
      </c>
      <c r="BK11" s="2" t="s">
        <v>6</v>
      </c>
      <c r="BL11" s="2" t="s">
        <v>68</v>
      </c>
      <c r="BM11" s="2" t="s">
        <v>69</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+SUM($R$11:AB12)</f>
        <v>62.05</v>
      </c>
      <c r="AD12" s="3">
        <f t="shared" ref="AD12:AD17" si="5">+AA12*AB12</f>
        <v>1.5</v>
      </c>
      <c r="AF12" s="49">
        <v>30</v>
      </c>
      <c r="AG12" s="73">
        <v>0.05</v>
      </c>
      <c r="AH12" s="3">
        <f>+SUM($R$11:AG12)</f>
        <v>155.65</v>
      </c>
      <c r="AI12" s="3">
        <f t="shared" ref="AI12:AI17" si="6">+AF12*AG12</f>
        <v>1.5</v>
      </c>
      <c r="AK12" s="49">
        <v>30</v>
      </c>
      <c r="AL12" s="73">
        <v>0.05</v>
      </c>
      <c r="AM12" s="3">
        <f>+SUM($R$11:AL12)</f>
        <v>342.85</v>
      </c>
      <c r="AN12" s="3">
        <f t="shared" ref="AN12:AN17" si="7">+AK12*AL12</f>
        <v>1.5</v>
      </c>
      <c r="AP12" s="49">
        <v>30</v>
      </c>
      <c r="AQ12" s="73">
        <v>0.05</v>
      </c>
      <c r="AR12" s="3">
        <f>+SUM($R$11:AQ12)</f>
        <v>717.25</v>
      </c>
      <c r="AS12" s="3">
        <f t="shared" ref="AS12:AS17" si="8">+AP12*AQ12</f>
        <v>1.5</v>
      </c>
      <c r="AU12" s="49">
        <v>5</v>
      </c>
      <c r="AV12" s="3">
        <v>0.17</v>
      </c>
      <c r="AW12" s="3">
        <f>+SUM($AV$12:AV12)</f>
        <v>0.17</v>
      </c>
      <c r="AX12" s="3">
        <f t="shared" ref="AX12:AX17" si="9">+AU12*AV12</f>
        <v>0.85000000000000009</v>
      </c>
      <c r="AZ12" s="49">
        <v>10</v>
      </c>
      <c r="BA12" s="3">
        <v>7.9500000000000001E-2</v>
      </c>
      <c r="BB12" s="3">
        <f>+SUM($BA$12:BA12)</f>
        <v>7.9500000000000001E-2</v>
      </c>
      <c r="BC12" s="3">
        <f t="shared" ref="BC12:BC17" si="10">+AZ12*BA12</f>
        <v>0.79500000000000004</v>
      </c>
      <c r="BE12" s="49">
        <v>25</v>
      </c>
      <c r="BF12" s="3">
        <v>0.12</v>
      </c>
      <c r="BG12" s="3">
        <f>+SUM($BF$12:BF12)</f>
        <v>0.12</v>
      </c>
      <c r="BH12" s="3">
        <f t="shared" ref="BH12:BH17" si="11">+BE12*BF12</f>
        <v>3</v>
      </c>
      <c r="BJ12" s="49">
        <v>50</v>
      </c>
      <c r="BK12" s="3">
        <v>0.15</v>
      </c>
      <c r="BL12" s="3">
        <f>+SUM($BK$12:BK12)</f>
        <v>0.15</v>
      </c>
      <c r="BM12" s="3">
        <f t="shared" ref="BM12:BM17" si="12">+BJ12*BK12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+SUM($R$11:AB13)</f>
        <v>153.11999999999998</v>
      </c>
      <c r="AD13" s="3">
        <f t="shared" si="5"/>
        <v>2</v>
      </c>
      <c r="AF13" s="49">
        <v>50</v>
      </c>
      <c r="AG13" s="73">
        <v>0.06</v>
      </c>
      <c r="AH13" s="3">
        <f>+SUM($R$11:AG13)</f>
        <v>451.9</v>
      </c>
      <c r="AI13" s="3">
        <f t="shared" si="6"/>
        <v>3</v>
      </c>
      <c r="AK13" s="49">
        <v>50</v>
      </c>
      <c r="AL13" s="73">
        <v>0.06</v>
      </c>
      <c r="AM13" s="3">
        <f>+SUM($R$11:AL13)</f>
        <v>1144.06</v>
      </c>
      <c r="AN13" s="3">
        <f t="shared" si="7"/>
        <v>3</v>
      </c>
      <c r="AP13" s="49">
        <v>50</v>
      </c>
      <c r="AQ13" s="73">
        <v>0.04</v>
      </c>
      <c r="AR13" s="3">
        <f>+SUM($R$11:AQ13)</f>
        <v>2715.5599999999995</v>
      </c>
      <c r="AS13" s="3">
        <f t="shared" si="8"/>
        <v>2</v>
      </c>
      <c r="AU13" s="49">
        <v>10</v>
      </c>
      <c r="AV13" s="3">
        <v>0.05</v>
      </c>
      <c r="AW13" s="3">
        <f>+SUM($AV$12:AV13)</f>
        <v>0.22000000000000003</v>
      </c>
      <c r="AX13" s="3">
        <f t="shared" si="9"/>
        <v>0.5</v>
      </c>
      <c r="AZ13" s="49">
        <v>20</v>
      </c>
      <c r="BA13" s="3">
        <v>0.03</v>
      </c>
      <c r="BB13" s="3">
        <f>+SUM($BA$12:BA13)</f>
        <v>0.1095</v>
      </c>
      <c r="BC13" s="3">
        <f t="shared" si="10"/>
        <v>0.6</v>
      </c>
      <c r="BE13" s="49">
        <v>35</v>
      </c>
      <c r="BF13" s="3">
        <v>0.1</v>
      </c>
      <c r="BG13" s="3">
        <f>+SUM($BF$12:BF13)</f>
        <v>0.22</v>
      </c>
      <c r="BH13" s="3">
        <f t="shared" si="11"/>
        <v>3.5</v>
      </c>
      <c r="BJ13" s="49">
        <v>75</v>
      </c>
      <c r="BK13" s="3">
        <v>0.1</v>
      </c>
      <c r="BL13" s="3">
        <f>+SUM($BK$12:BK13)</f>
        <v>0.25</v>
      </c>
      <c r="BM13" s="3">
        <f t="shared" si="12"/>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+SUM($R$11:AB14)</f>
        <v>291.24999999999994</v>
      </c>
      <c r="AD14" s="3">
        <f t="shared" si="5"/>
        <v>2.25</v>
      </c>
      <c r="AF14" s="49">
        <v>75</v>
      </c>
      <c r="AG14" s="73">
        <v>0.03</v>
      </c>
      <c r="AH14" s="3">
        <f>+SUM($R$11:AG14)</f>
        <v>958.56</v>
      </c>
      <c r="AI14" s="3">
        <f t="shared" si="6"/>
        <v>2.25</v>
      </c>
      <c r="AK14" s="49">
        <v>75</v>
      </c>
      <c r="AL14" s="73">
        <v>0.03</v>
      </c>
      <c r="AM14" s="3">
        <f>+SUM($R$11:AL14)</f>
        <v>2686.56</v>
      </c>
      <c r="AN14" s="3">
        <f t="shared" si="7"/>
        <v>2.25</v>
      </c>
      <c r="AP14" s="49">
        <v>75</v>
      </c>
      <c r="AQ14" s="73">
        <v>0.03</v>
      </c>
      <c r="AR14" s="3">
        <f>+SUM($R$11:AQ14)</f>
        <v>7021.8999999999987</v>
      </c>
      <c r="AS14" s="3">
        <f t="shared" si="8"/>
        <v>2.25</v>
      </c>
      <c r="AU14" s="49">
        <v>15</v>
      </c>
      <c r="AV14" s="3">
        <v>0.01</v>
      </c>
      <c r="AW14" s="3">
        <f>+SUM($AV$12:AV14)</f>
        <v>0.23000000000000004</v>
      </c>
      <c r="AX14" s="3">
        <f t="shared" si="9"/>
        <v>0.15</v>
      </c>
      <c r="AZ14" s="49">
        <v>30</v>
      </c>
      <c r="BA14" s="3">
        <v>3.0000000000000001E-3</v>
      </c>
      <c r="BB14" s="3">
        <f>+SUM($BA$12:BA14)</f>
        <v>0.1125</v>
      </c>
      <c r="BC14" s="3">
        <f t="shared" si="10"/>
        <v>0.09</v>
      </c>
      <c r="BE14" s="49">
        <v>50</v>
      </c>
      <c r="BF14" s="3">
        <v>0.1</v>
      </c>
      <c r="BG14" s="3">
        <f>+SUM($BF$12:BF14)</f>
        <v>0.32</v>
      </c>
      <c r="BH14" s="3">
        <f t="shared" si="11"/>
        <v>5</v>
      </c>
      <c r="BJ14" s="49">
        <v>100</v>
      </c>
      <c r="BK14" s="3">
        <v>0.1</v>
      </c>
      <c r="BL14" s="3">
        <f>+SUM($BK$12:BK14)</f>
        <v>0.35</v>
      </c>
      <c r="BM14" s="3">
        <f t="shared" si="12"/>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+SUM($R$11:AB15)</f>
        <v>478.02999999999992</v>
      </c>
      <c r="AD15" s="3">
        <f t="shared" si="5"/>
        <v>2</v>
      </c>
      <c r="AF15" s="49">
        <v>100</v>
      </c>
      <c r="AG15" s="73">
        <v>0.02</v>
      </c>
      <c r="AH15" s="3">
        <f>+SUM($R$11:AG15)</f>
        <v>1725.3899999999996</v>
      </c>
      <c r="AI15" s="3">
        <f t="shared" si="6"/>
        <v>2</v>
      </c>
      <c r="AK15" s="49">
        <v>100</v>
      </c>
      <c r="AL15" s="73">
        <v>0.02</v>
      </c>
      <c r="AM15" s="3">
        <f>+SUM($R$11:AL15)</f>
        <v>5280.8</v>
      </c>
      <c r="AN15" s="3">
        <f t="shared" si="7"/>
        <v>2</v>
      </c>
      <c r="AP15" s="49">
        <v>100</v>
      </c>
      <c r="AQ15" s="73">
        <v>0.02</v>
      </c>
      <c r="AR15" s="3">
        <f>+SUM($R$11:AQ15)</f>
        <v>14998.960000000003</v>
      </c>
      <c r="AS15" s="3">
        <f t="shared" si="8"/>
        <v>2</v>
      </c>
      <c r="AU15" s="49">
        <v>20</v>
      </c>
      <c r="AV15" s="3">
        <v>1E-3</v>
      </c>
      <c r="AW15" s="3">
        <f>+SUM($AV$12:AV15)</f>
        <v>0.23100000000000004</v>
      </c>
      <c r="AX15" s="3">
        <f t="shared" si="9"/>
        <v>0.02</v>
      </c>
      <c r="AZ15" s="49">
        <v>40</v>
      </c>
      <c r="BA15" s="3">
        <f t="shared" ref="BA15" si="13">+C15</f>
        <v>1E-3</v>
      </c>
      <c r="BB15" s="3">
        <f>+SUM($BA$12:BA15)</f>
        <v>0.1135</v>
      </c>
      <c r="BC15" s="3">
        <f t="shared" si="10"/>
        <v>0.04</v>
      </c>
      <c r="BE15" s="49">
        <v>80</v>
      </c>
      <c r="BF15" s="3">
        <v>0.05</v>
      </c>
      <c r="BG15" s="3">
        <f>+SUM($BF$12:BF15)</f>
        <v>0.37</v>
      </c>
      <c r="BH15" s="3">
        <f t="shared" si="11"/>
        <v>4</v>
      </c>
      <c r="BJ15" s="49">
        <v>200</v>
      </c>
      <c r="BK15" s="3">
        <v>0.05</v>
      </c>
      <c r="BL15" s="3">
        <f>+SUM($BK$12:BK15)</f>
        <v>0.39999999999999997</v>
      </c>
      <c r="BM15" s="3">
        <f t="shared" si="12"/>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+SUM($R$11:AB16)</f>
        <v>835.30999999999983</v>
      </c>
      <c r="AD16" s="3">
        <f t="shared" si="5"/>
        <v>2</v>
      </c>
      <c r="AF16" s="49">
        <v>200</v>
      </c>
      <c r="AG16" s="73">
        <v>0.01</v>
      </c>
      <c r="AH16" s="3">
        <f>+SUM($R$11:AG16)</f>
        <v>3119.9900000000002</v>
      </c>
      <c r="AI16" s="3">
        <f t="shared" si="6"/>
        <v>2</v>
      </c>
      <c r="AK16" s="49">
        <v>200</v>
      </c>
      <c r="AL16" s="73">
        <v>0.01</v>
      </c>
      <c r="AM16" s="3">
        <f>+SUM($R$11:AL16)</f>
        <v>9997.4</v>
      </c>
      <c r="AN16" s="3">
        <f t="shared" si="7"/>
        <v>2</v>
      </c>
      <c r="AP16" s="49">
        <v>200</v>
      </c>
      <c r="AQ16" s="73">
        <v>0.01</v>
      </c>
      <c r="AR16" s="3">
        <f>+SUM($R$11:AQ16)</f>
        <v>29914.969999999998</v>
      </c>
      <c r="AS16" s="3">
        <f t="shared" si="8"/>
        <v>2</v>
      </c>
      <c r="AU16" s="49">
        <v>35</v>
      </c>
      <c r="AV16" s="3">
        <v>1E-3</v>
      </c>
      <c r="AW16" s="3">
        <f>+SUM($AV$12:AV16)</f>
        <v>0.23200000000000004</v>
      </c>
      <c r="AX16" s="3">
        <f t="shared" si="9"/>
        <v>3.5000000000000003E-2</v>
      </c>
      <c r="AZ16" s="49">
        <v>70</v>
      </c>
      <c r="BA16" s="3">
        <v>5.0000000000000001E-4</v>
      </c>
      <c r="BB16" s="3">
        <f>+SUM($BA$12:BA16)</f>
        <v>0.114</v>
      </c>
      <c r="BC16" s="3">
        <f t="shared" si="10"/>
        <v>3.5000000000000003E-2</v>
      </c>
      <c r="BE16" s="49">
        <v>150</v>
      </c>
      <c r="BF16" s="3">
        <v>0.02</v>
      </c>
      <c r="BG16" s="3">
        <f>+SUM($BF$12:BF16)</f>
        <v>0.39</v>
      </c>
      <c r="BH16" s="3">
        <f t="shared" si="11"/>
        <v>3</v>
      </c>
      <c r="BJ16" s="49">
        <v>500</v>
      </c>
      <c r="BK16" s="3">
        <v>0.02</v>
      </c>
      <c r="BL16" s="3">
        <f>+SUM($BK$12:BK16)</f>
        <v>0.42</v>
      </c>
      <c r="BM16" s="3">
        <f t="shared" si="12"/>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+SUM($R$11:AB17)</f>
        <v>1639.3114999999998</v>
      </c>
      <c r="AD17" s="3">
        <f t="shared" si="5"/>
        <v>0.25</v>
      </c>
      <c r="AF17" s="49">
        <v>500</v>
      </c>
      <c r="AG17" s="73">
        <v>5.0000000000000001E-4</v>
      </c>
      <c r="AH17" s="3">
        <f>+SUM($R$11:AG17)</f>
        <v>6063.5535000000009</v>
      </c>
      <c r="AI17" s="3">
        <f t="shared" si="6"/>
        <v>0.25</v>
      </c>
      <c r="AK17" s="49">
        <v>500</v>
      </c>
      <c r="AL17" s="73">
        <v>5.0000000000000001E-4</v>
      </c>
      <c r="AM17" s="3">
        <f>+SUM($R$11:AL17)</f>
        <v>19504.767499999998</v>
      </c>
      <c r="AN17" s="3">
        <f t="shared" si="7"/>
        <v>0.25</v>
      </c>
      <c r="AP17" s="49">
        <v>500</v>
      </c>
      <c r="AQ17" s="73">
        <v>5.0000000000000001E-4</v>
      </c>
      <c r="AR17" s="3">
        <f>+SUM($R$11:AQ17)</f>
        <v>59427.355499999998</v>
      </c>
      <c r="AS17" s="3">
        <f t="shared" si="8"/>
        <v>0.25</v>
      </c>
      <c r="AU17" s="49">
        <v>50</v>
      </c>
      <c r="AV17" s="3">
        <v>1.1000000000000001E-3</v>
      </c>
      <c r="AW17" s="3">
        <f>+SUM($AV$12:AV17)</f>
        <v>0.23310000000000003</v>
      </c>
      <c r="AX17" s="3">
        <f t="shared" si="9"/>
        <v>5.5E-2</v>
      </c>
      <c r="AZ17" s="49">
        <v>100</v>
      </c>
      <c r="BA17" s="3">
        <v>5.0000000000000001E-4</v>
      </c>
      <c r="BB17" s="3">
        <f>+SUM($BA$12:BA17)</f>
        <v>0.1145</v>
      </c>
      <c r="BC17" s="3">
        <f t="shared" si="10"/>
        <v>0.05</v>
      </c>
      <c r="BE17" s="49">
        <v>300</v>
      </c>
      <c r="BF17" s="3">
        <v>5.0000000000000001E-3</v>
      </c>
      <c r="BG17" s="3">
        <f>+SUM($BF$12:BF17)</f>
        <v>0.39500000000000002</v>
      </c>
      <c r="BH17" s="3">
        <f t="shared" si="11"/>
        <v>1.5</v>
      </c>
      <c r="BJ17" s="49">
        <v>1000</v>
      </c>
      <c r="BK17" s="3">
        <v>5.0000000000000001E-3</v>
      </c>
      <c r="BL17" s="3">
        <f>+SUM($BK$12:BK17)</f>
        <v>0.42499999999999999</v>
      </c>
      <c r="BM17" s="3">
        <f t="shared" si="12"/>
        <v>5</v>
      </c>
    </row>
    <row r="18" spans="1:65">
      <c r="B18" s="50" t="s">
        <v>70</v>
      </c>
      <c r="C18" s="50">
        <f>+SUM(C12:C17)</f>
        <v>0.1255</v>
      </c>
      <c r="D18" s="50"/>
      <c r="E18" s="51">
        <f>+SUM(E12:E17)</f>
        <v>0.95500000000000007</v>
      </c>
      <c r="G18" s="50" t="s">
        <v>70</v>
      </c>
      <c r="H18" s="50">
        <f>+SUM(H12:H17)</f>
        <v>0.17575000000000002</v>
      </c>
      <c r="I18" s="50"/>
      <c r="J18" s="51">
        <f>+SUM(J12:J17)</f>
        <v>5</v>
      </c>
      <c r="L18" s="50" t="s">
        <v>70</v>
      </c>
      <c r="M18" s="50">
        <f>+SUM(M12:M17)</f>
        <v>0.15800000000000003</v>
      </c>
      <c r="N18" s="50"/>
      <c r="O18" s="51">
        <f>+SUM(O12:O17)</f>
        <v>8</v>
      </c>
      <c r="Q18" s="50" t="s">
        <v>70</v>
      </c>
      <c r="R18" s="50">
        <f>+SUM(R12:R17)</f>
        <v>0.15049999999999999</v>
      </c>
      <c r="S18" s="50"/>
      <c r="T18" s="51">
        <f>+SUM(T12:T17)</f>
        <v>10</v>
      </c>
      <c r="V18" s="50" t="s">
        <v>70</v>
      </c>
      <c r="W18" s="50">
        <f>+SUM(W12:W17)</f>
        <v>0.59000000000000008</v>
      </c>
      <c r="X18" s="50"/>
      <c r="Y18" s="51">
        <f>+SUM(Y12:Y17)</f>
        <v>30</v>
      </c>
      <c r="AA18" s="50" t="s">
        <v>70</v>
      </c>
      <c r="AB18" s="50">
        <f>+SUM(AB12:AB17)</f>
        <v>0.15049999999999999</v>
      </c>
      <c r="AC18" s="50"/>
      <c r="AD18" s="51">
        <f>+SUM(AD12:AD17)</f>
        <v>10</v>
      </c>
      <c r="AF18" s="50" t="s">
        <v>70</v>
      </c>
      <c r="AG18" s="50">
        <f>+SUM(AG12:AG17)</f>
        <v>0.17050000000000001</v>
      </c>
      <c r="AH18" s="50"/>
      <c r="AI18" s="51">
        <f>+SUM(AI12:AI17)</f>
        <v>11</v>
      </c>
      <c r="AK18" s="50" t="s">
        <v>70</v>
      </c>
      <c r="AL18" s="50">
        <f>+SUM(AL12:AL17)</f>
        <v>0.17050000000000001</v>
      </c>
      <c r="AM18" s="50"/>
      <c r="AN18" s="51">
        <f>+SUM(AN12:AN17)</f>
        <v>11</v>
      </c>
      <c r="AP18" s="50" t="s">
        <v>70</v>
      </c>
      <c r="AQ18" s="50">
        <f>+SUM(AQ12:AQ17)</f>
        <v>0.15049999999999999</v>
      </c>
      <c r="AR18" s="50"/>
      <c r="AS18" s="51">
        <f>+SUM(AS12:AS17)</f>
        <v>10</v>
      </c>
      <c r="AU18" s="50" t="s">
        <v>70</v>
      </c>
      <c r="AV18" s="50">
        <f>+SUM(AV12:AV17)</f>
        <v>0.23310000000000003</v>
      </c>
      <c r="AW18" s="50"/>
      <c r="AX18" s="51">
        <f>+SUM(AX12:AX17)</f>
        <v>1.6099999999999999</v>
      </c>
      <c r="AZ18" s="50" t="s">
        <v>70</v>
      </c>
      <c r="BA18" s="50">
        <f>+SUM(BA12:BA17)</f>
        <v>0.1145</v>
      </c>
      <c r="BB18" s="50"/>
      <c r="BC18" s="51">
        <f>+SUM(BC12:BC17)</f>
        <v>1.61</v>
      </c>
      <c r="BE18" s="50" t="s">
        <v>70</v>
      </c>
      <c r="BF18" s="50">
        <f>+SUM(BF12:BF17)</f>
        <v>0.39500000000000002</v>
      </c>
      <c r="BG18" s="50"/>
      <c r="BH18" s="51">
        <f>+SUM(BH12:BH17)</f>
        <v>20</v>
      </c>
      <c r="BJ18" s="50" t="s">
        <v>70</v>
      </c>
      <c r="BK18" s="50">
        <f>+SUM(BK12:BK17)</f>
        <v>0.42499999999999999</v>
      </c>
      <c r="BL18" s="50"/>
      <c r="BM18" s="51">
        <f>+SUM(BM12:BM17)</f>
        <v>50</v>
      </c>
    </row>
    <row r="19" spans="1:65">
      <c r="B19" s="10"/>
      <c r="AX19" t="s">
        <v>172</v>
      </c>
      <c r="BC19" t="s">
        <v>172</v>
      </c>
    </row>
    <row r="21" spans="1:65" ht="18">
      <c r="A21" s="101" t="s">
        <v>71</v>
      </c>
      <c r="B21" s="101"/>
      <c r="C21" s="101"/>
      <c r="D21" s="101"/>
      <c r="E21" s="101"/>
    </row>
    <row r="22" spans="1:65" ht="15" thickBot="1"/>
    <row r="23" spans="1:65" ht="15" thickBot="1">
      <c r="A23" s="15" t="s">
        <v>72</v>
      </c>
      <c r="B23" s="52">
        <f>+Summary!E7</f>
        <v>100</v>
      </c>
    </row>
    <row r="24" spans="1:65">
      <c r="A24" s="12" t="s">
        <v>73</v>
      </c>
      <c r="B24" s="53"/>
    </row>
    <row r="25" spans="1:65">
      <c r="A25" s="54" t="s">
        <v>74</v>
      </c>
    </row>
    <row r="26" spans="1:65">
      <c r="A26" s="54" t="s">
        <v>75</v>
      </c>
    </row>
    <row r="27" spans="1:65">
      <c r="A27" t="s">
        <v>76</v>
      </c>
    </row>
    <row r="28" spans="1:65">
      <c r="A28" s="10" t="s">
        <v>77</v>
      </c>
    </row>
    <row r="29" spans="1:65">
      <c r="A29" s="10" t="s">
        <v>78</v>
      </c>
    </row>
    <row r="30" spans="1:65">
      <c r="A30" s="12" t="s">
        <v>79</v>
      </c>
    </row>
    <row r="31" spans="1:65" ht="15" thickBot="1"/>
    <row r="32" spans="1:65">
      <c r="A32" s="1" t="s">
        <v>80</v>
      </c>
      <c r="B32" s="2" t="s">
        <v>81</v>
      </c>
      <c r="C32" s="2" t="s">
        <v>82</v>
      </c>
      <c r="D32" s="2" t="s">
        <v>4</v>
      </c>
      <c r="F32" s="36" t="s">
        <v>83</v>
      </c>
      <c r="G32" s="55">
        <f>+SUMPRODUCT(B33:B37,C33:C37)</f>
        <v>0.1</v>
      </c>
    </row>
    <row r="33" spans="1:7" ht="15" thickBot="1">
      <c r="B33" s="3">
        <v>1</v>
      </c>
      <c r="C33" s="3">
        <v>0.01</v>
      </c>
      <c r="D33" s="3">
        <f>+B33*C33</f>
        <v>0.01</v>
      </c>
      <c r="F33" s="21" t="s">
        <v>84</v>
      </c>
      <c r="G33" s="56">
        <f>+B23/G32</f>
        <v>1000</v>
      </c>
    </row>
    <row r="34" spans="1:7">
      <c r="B34" s="3">
        <v>2</v>
      </c>
      <c r="C34" s="3">
        <v>1.4999999999999999E-2</v>
      </c>
      <c r="D34" s="3">
        <f>+B34*C34</f>
        <v>0.03</v>
      </c>
    </row>
    <row r="35" spans="1:7">
      <c r="B35" s="3">
        <v>3</v>
      </c>
      <c r="C35" s="3">
        <v>5.0000000000000001E-3</v>
      </c>
      <c r="D35" s="3">
        <f>+B35*C35</f>
        <v>1.4999999999999999E-2</v>
      </c>
    </row>
    <row r="36" spans="1:7">
      <c r="B36" s="3">
        <v>4</v>
      </c>
      <c r="C36" s="3">
        <v>5.0000000000000001E-3</v>
      </c>
      <c r="D36" s="3">
        <f>+B36*C36</f>
        <v>0.02</v>
      </c>
    </row>
    <row r="37" spans="1:7">
      <c r="B37" s="3">
        <v>5</v>
      </c>
      <c r="C37" s="3">
        <v>5.0000000000000001E-3</v>
      </c>
      <c r="D37" s="3">
        <f>+B37*C37</f>
        <v>2.5000000000000001E-2</v>
      </c>
    </row>
    <row r="38" spans="1:7">
      <c r="B38" s="50" t="s">
        <v>13</v>
      </c>
      <c r="C38" s="50">
        <f>+SUM(C33:C37)</f>
        <v>0.04</v>
      </c>
      <c r="D38" s="50">
        <f>+SUM(D33:D37)</f>
        <v>0.1</v>
      </c>
      <c r="E38" t="s">
        <v>85</v>
      </c>
    </row>
    <row r="40" spans="1:7">
      <c r="A40" t="s">
        <v>86</v>
      </c>
    </row>
    <row r="42" spans="1:7">
      <c r="A42" s="1" t="s">
        <v>87</v>
      </c>
      <c r="B42" s="2" t="s">
        <v>81</v>
      </c>
      <c r="C42" s="2" t="s">
        <v>82</v>
      </c>
      <c r="D42" s="2" t="s">
        <v>4</v>
      </c>
    </row>
    <row r="43" spans="1:7">
      <c r="B43" s="3">
        <v>1</v>
      </c>
      <c r="C43" s="3">
        <f>+D38</f>
        <v>0.1</v>
      </c>
      <c r="D43" s="3">
        <f>+C43*B43</f>
        <v>0.1</v>
      </c>
    </row>
    <row r="44" spans="1:7">
      <c r="B44" s="50" t="s">
        <v>13</v>
      </c>
      <c r="C44" s="50">
        <f>+SUM(C43)</f>
        <v>0.1</v>
      </c>
      <c r="D44" s="50">
        <f>+D43</f>
        <v>0.1</v>
      </c>
    </row>
    <row r="46" spans="1:7">
      <c r="A46" s="1" t="s">
        <v>88</v>
      </c>
    </row>
    <row r="47" spans="1:7">
      <c r="A47" t="s">
        <v>89</v>
      </c>
    </row>
    <row r="48" spans="1:7">
      <c r="A48" t="s">
        <v>90</v>
      </c>
    </row>
    <row r="49" spans="1:6">
      <c r="A49" s="10" t="s">
        <v>91</v>
      </c>
    </row>
    <row r="51" spans="1:6">
      <c r="A51" t="s">
        <v>92</v>
      </c>
    </row>
    <row r="53" spans="1:6">
      <c r="B53" s="1" t="s">
        <v>93</v>
      </c>
      <c r="C53" s="1" t="s">
        <v>94</v>
      </c>
    </row>
    <row r="54" spans="1:6">
      <c r="B54" s="2" t="s">
        <v>81</v>
      </c>
      <c r="C54" s="2" t="s">
        <v>82</v>
      </c>
      <c r="D54" s="57" t="s">
        <v>95</v>
      </c>
      <c r="E54" s="2" t="s">
        <v>96</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97</v>
      </c>
      <c r="C62" s="1" t="s">
        <v>98</v>
      </c>
    </row>
    <row r="63" spans="1:6">
      <c r="B63" s="2" t="s">
        <v>81</v>
      </c>
      <c r="C63" s="2" t="s">
        <v>82</v>
      </c>
      <c r="D63" s="57" t="s">
        <v>95</v>
      </c>
      <c r="E63" s="2" t="s">
        <v>96</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99</v>
      </c>
    </row>
    <row r="73" spans="1:6">
      <c r="A73" t="s">
        <v>100</v>
      </c>
    </row>
    <row r="74" spans="1:6">
      <c r="A74" t="s">
        <v>101</v>
      </c>
    </row>
  </sheetData>
  <mergeCells count="16">
    <mergeCell ref="AZ10:BC10"/>
    <mergeCell ref="BE10:BH10"/>
    <mergeCell ref="BJ10:BM10"/>
    <mergeCell ref="Q10:T10"/>
    <mergeCell ref="V10:Y10"/>
    <mergeCell ref="A21:E21"/>
    <mergeCell ref="A1:E1"/>
    <mergeCell ref="A8:E8"/>
    <mergeCell ref="B10:E10"/>
    <mergeCell ref="G10:J10"/>
    <mergeCell ref="L10:O10"/>
    <mergeCell ref="AU10:AX10"/>
    <mergeCell ref="AA10:AD10"/>
    <mergeCell ref="AF10:AI10"/>
    <mergeCell ref="AK10:AN10"/>
    <mergeCell ref="AP10:AS10"/>
  </mergeCells>
  <pageMargins left="0.7" right="0.7" top="0.75" bottom="0.75" header="0.51180555555555496" footer="0.51180555555555496"/>
  <pageSetup firstPageNumber="0" orientation="portrait" horizontalDpi="300" verticalDpi="300"/>
</worksheet>
</file>

<file path=xl/worksheets/sheet7.xml><?xml version="1.0" encoding="utf-8"?>
<worksheet xmlns="http://schemas.openxmlformats.org/spreadsheetml/2006/main" xmlns:r="http://schemas.openxmlformats.org/officeDocument/2006/relationships">
  <sheetPr codeName="Hoja22"/>
  <dimension ref="A1:BM74"/>
  <sheetViews>
    <sheetView workbookViewId="0">
      <selection activeCell="J12" sqref="J12"/>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7" width="11.5546875" customWidth="1"/>
    <col min="8" max="8" width="24.33203125" customWidth="1"/>
    <col min="9" max="9" width="15.5546875" customWidth="1"/>
    <col min="10" max="10" width="11.5546875" bestFit="1" customWidth="1"/>
    <col min="11" max="13" width="11.5546875" customWidth="1"/>
    <col min="14" max="14" width="15.5546875" customWidth="1"/>
    <col min="15" max="18" width="11.5546875" customWidth="1"/>
    <col min="19" max="19" width="15.5546875" customWidth="1"/>
    <col min="20" max="20" width="15" customWidth="1"/>
    <col min="21" max="23" width="11.5546875" customWidth="1"/>
    <col min="24" max="24" width="15.5546875" customWidth="1"/>
    <col min="25" max="1020" width="11.5546875" customWidth="1"/>
  </cols>
  <sheetData>
    <row r="1" spans="1:65" ht="18">
      <c r="A1" s="102" t="s">
        <v>60</v>
      </c>
      <c r="B1" s="102"/>
      <c r="C1" s="102"/>
      <c r="D1" s="102"/>
      <c r="E1" s="102"/>
    </row>
    <row r="2" spans="1:65">
      <c r="A2" t="s">
        <v>61</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62</v>
      </c>
    </row>
    <row r="5" spans="1:65">
      <c r="A5" t="s">
        <v>63</v>
      </c>
    </row>
    <row r="6" spans="1:65">
      <c r="A6" s="1" t="s">
        <v>64</v>
      </c>
    </row>
    <row r="8" spans="1:65" ht="18">
      <c r="A8" s="101" t="s">
        <v>65</v>
      </c>
      <c r="B8" s="101"/>
      <c r="C8" s="101"/>
      <c r="D8" s="101"/>
      <c r="E8" s="101"/>
    </row>
    <row r="9" spans="1:65" ht="15" thickBot="1"/>
    <row r="10" spans="1:65" ht="15" thickBot="1">
      <c r="B10" s="97" t="s">
        <v>66</v>
      </c>
      <c r="C10" s="97"/>
      <c r="D10" s="97"/>
      <c r="E10" s="97"/>
      <c r="G10" s="97" t="s">
        <v>37</v>
      </c>
      <c r="H10" s="97"/>
      <c r="I10" s="97"/>
      <c r="J10" s="97"/>
      <c r="L10" s="97" t="s">
        <v>38</v>
      </c>
      <c r="M10" s="97"/>
      <c r="N10" s="97"/>
      <c r="O10" s="97"/>
      <c r="Q10" s="97" t="s">
        <v>39</v>
      </c>
      <c r="R10" s="97"/>
      <c r="S10" s="97"/>
      <c r="T10" s="97"/>
      <c r="V10" s="97" t="s">
        <v>130</v>
      </c>
      <c r="W10" s="97"/>
      <c r="X10" s="97"/>
      <c r="Y10" s="97"/>
      <c r="AA10" s="97" t="s">
        <v>125</v>
      </c>
      <c r="AB10" s="97"/>
      <c r="AC10" s="97"/>
      <c r="AD10" s="97"/>
      <c r="AF10" s="97" t="s">
        <v>152</v>
      </c>
      <c r="AG10" s="97"/>
      <c r="AH10" s="97"/>
      <c r="AI10" s="97"/>
      <c r="AK10" s="97" t="s">
        <v>127</v>
      </c>
      <c r="AL10" s="97"/>
      <c r="AM10" s="97"/>
      <c r="AN10" s="97"/>
      <c r="AP10" s="97" t="s">
        <v>153</v>
      </c>
      <c r="AQ10" s="97"/>
      <c r="AR10" s="97"/>
      <c r="AS10" s="97"/>
      <c r="AU10" s="98" t="s">
        <v>166</v>
      </c>
      <c r="AV10" s="99"/>
      <c r="AW10" s="99"/>
      <c r="AX10" s="100"/>
      <c r="AZ10" s="98" t="s">
        <v>168</v>
      </c>
      <c r="BA10" s="99"/>
      <c r="BB10" s="99"/>
      <c r="BC10" s="100"/>
      <c r="BE10" s="98" t="s">
        <v>167</v>
      </c>
      <c r="BF10" s="99"/>
      <c r="BG10" s="99"/>
      <c r="BH10" s="100"/>
      <c r="BJ10" s="98" t="s">
        <v>40</v>
      </c>
      <c r="BK10" s="99"/>
      <c r="BL10" s="99"/>
      <c r="BM10" s="100"/>
    </row>
    <row r="11" spans="1:65">
      <c r="A11" s="1" t="s">
        <v>67</v>
      </c>
      <c r="B11" s="48" t="s">
        <v>25</v>
      </c>
      <c r="C11" s="48" t="s">
        <v>6</v>
      </c>
      <c r="D11" s="48" t="s">
        <v>68</v>
      </c>
      <c r="E11" s="48" t="s">
        <v>4</v>
      </c>
      <c r="G11" s="2" t="s">
        <v>25</v>
      </c>
      <c r="H11" s="2" t="s">
        <v>6</v>
      </c>
      <c r="I11" s="2" t="s">
        <v>68</v>
      </c>
      <c r="J11" s="2" t="s">
        <v>69</v>
      </c>
      <c r="L11" s="2" t="s">
        <v>25</v>
      </c>
      <c r="M11" s="2" t="s">
        <v>6</v>
      </c>
      <c r="N11" s="2" t="s">
        <v>68</v>
      </c>
      <c r="O11" s="2" t="s">
        <v>69</v>
      </c>
      <c r="Q11" s="2" t="s">
        <v>25</v>
      </c>
      <c r="R11" s="2" t="s">
        <v>6</v>
      </c>
      <c r="S11" s="2" t="s">
        <v>68</v>
      </c>
      <c r="T11" s="2" t="s">
        <v>69</v>
      </c>
      <c r="V11" s="2" t="s">
        <v>25</v>
      </c>
      <c r="W11" s="2" t="s">
        <v>6</v>
      </c>
      <c r="X11" s="2" t="s">
        <v>68</v>
      </c>
      <c r="Y11" s="2" t="s">
        <v>69</v>
      </c>
      <c r="AA11" s="2" t="s">
        <v>25</v>
      </c>
      <c r="AB11" s="2" t="s">
        <v>6</v>
      </c>
      <c r="AC11" s="2" t="s">
        <v>68</v>
      </c>
      <c r="AD11" s="2" t="s">
        <v>69</v>
      </c>
      <c r="AF11" s="2" t="s">
        <v>25</v>
      </c>
      <c r="AG11" s="2" t="s">
        <v>6</v>
      </c>
      <c r="AH11" s="2" t="s">
        <v>68</v>
      </c>
      <c r="AI11" s="2" t="s">
        <v>69</v>
      </c>
      <c r="AK11" s="2" t="s">
        <v>25</v>
      </c>
      <c r="AL11" s="2" t="s">
        <v>6</v>
      </c>
      <c r="AM11" s="2" t="s">
        <v>68</v>
      </c>
      <c r="AN11" s="2" t="s">
        <v>69</v>
      </c>
      <c r="AP11" s="2" t="s">
        <v>25</v>
      </c>
      <c r="AQ11" s="2" t="s">
        <v>6</v>
      </c>
      <c r="AR11" s="2" t="s">
        <v>68</v>
      </c>
      <c r="AS11" s="2" t="s">
        <v>69</v>
      </c>
      <c r="AU11" s="2" t="s">
        <v>25</v>
      </c>
      <c r="AV11" s="2" t="s">
        <v>6</v>
      </c>
      <c r="AW11" s="2" t="s">
        <v>68</v>
      </c>
      <c r="AX11" s="2" t="s">
        <v>69</v>
      </c>
      <c r="AZ11" s="2" t="s">
        <v>25</v>
      </c>
      <c r="BA11" s="2" t="s">
        <v>6</v>
      </c>
      <c r="BB11" s="2" t="s">
        <v>68</v>
      </c>
      <c r="BC11" s="2" t="s">
        <v>69</v>
      </c>
      <c r="BE11" s="2" t="s">
        <v>25</v>
      </c>
      <c r="BF11" s="2" t="s">
        <v>6</v>
      </c>
      <c r="BG11" s="2" t="s">
        <v>68</v>
      </c>
      <c r="BH11" s="2" t="s">
        <v>69</v>
      </c>
      <c r="BJ11" s="2" t="s">
        <v>25</v>
      </c>
      <c r="BK11" s="2" t="s">
        <v>6</v>
      </c>
      <c r="BL11" s="2" t="s">
        <v>68</v>
      </c>
      <c r="BM11" s="2" t="s">
        <v>69</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+SUM($AB$11:AB12)</f>
        <v>0.05</v>
      </c>
      <c r="AD12" s="3">
        <f t="shared" ref="AD12:AD17" si="5">+AA12*AB12</f>
        <v>1.5</v>
      </c>
      <c r="AF12" s="49">
        <v>30</v>
      </c>
      <c r="AG12" s="73">
        <v>0.05</v>
      </c>
      <c r="AH12" s="3">
        <f>+SUM($AG$11:AG12)</f>
        <v>0.05</v>
      </c>
      <c r="AI12" s="3">
        <f t="shared" ref="AI12:AI17" si="6">+AF12*AG12</f>
        <v>1.5</v>
      </c>
      <c r="AK12" s="49">
        <v>30</v>
      </c>
      <c r="AL12" s="73">
        <v>0.05</v>
      </c>
      <c r="AM12" s="3">
        <f>+SUM($AL$11:AL12)</f>
        <v>0.05</v>
      </c>
      <c r="AN12" s="3">
        <f t="shared" ref="AN12:AN17" si="7">+AK12*AL12</f>
        <v>1.5</v>
      </c>
      <c r="AP12" s="49">
        <v>30</v>
      </c>
      <c r="AQ12" s="73">
        <v>0.05</v>
      </c>
      <c r="AR12" s="3">
        <f>+SUM($AQ$11:AQ12)</f>
        <v>0.05</v>
      </c>
      <c r="AS12" s="3">
        <f>+AP12*AQ12</f>
        <v>1.5</v>
      </c>
      <c r="AU12" s="49">
        <v>5</v>
      </c>
      <c r="AV12" s="3">
        <v>0.17</v>
      </c>
      <c r="AW12" s="3">
        <f>+SUM($AV$12:AV12)</f>
        <v>0.17</v>
      </c>
      <c r="AX12" s="3">
        <f t="shared" ref="AX12:AX17" si="8">+AU12*AV12</f>
        <v>0.85000000000000009</v>
      </c>
      <c r="AZ12" s="49">
        <v>10</v>
      </c>
      <c r="BA12" s="3">
        <v>7.9500000000000001E-2</v>
      </c>
      <c r="BB12" s="3">
        <f>+SUM($BA$12:BA12)</f>
        <v>7.9500000000000001E-2</v>
      </c>
      <c r="BC12" s="3">
        <f t="shared" ref="BC12:BC17" si="9">+AZ12*BA12</f>
        <v>0.79500000000000004</v>
      </c>
      <c r="BE12" s="49">
        <v>25</v>
      </c>
      <c r="BF12" s="3">
        <v>0.12</v>
      </c>
      <c r="BG12" s="3">
        <f>+SUM($BF$12:BF12)</f>
        <v>0.12</v>
      </c>
      <c r="BH12" s="3">
        <f t="shared" ref="BH12:BH17" si="10">+BE12*BF12</f>
        <v>3</v>
      </c>
      <c r="BJ12" s="49">
        <v>50</v>
      </c>
      <c r="BK12" s="3">
        <v>0.15</v>
      </c>
      <c r="BL12" s="3">
        <f>+SUM($BK$12:BK12)</f>
        <v>0.15</v>
      </c>
      <c r="BM12" s="3">
        <f t="shared" ref="BM12:BM17" si="11">+BJ12*BK12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+SUM($AB$11:AB13)</f>
        <v>0.09</v>
      </c>
      <c r="AD13" s="3">
        <f t="shared" si="5"/>
        <v>2</v>
      </c>
      <c r="AF13" s="49">
        <v>50</v>
      </c>
      <c r="AG13" s="73">
        <v>0.06</v>
      </c>
      <c r="AH13" s="3">
        <f>+SUM($AG$11:AG13)</f>
        <v>0.11</v>
      </c>
      <c r="AI13" s="3">
        <f t="shared" si="6"/>
        <v>3</v>
      </c>
      <c r="AK13" s="49">
        <v>50</v>
      </c>
      <c r="AL13" s="73">
        <v>0.06</v>
      </c>
      <c r="AM13" s="3">
        <f>+SUM($AL$11:AL13)</f>
        <v>0.11</v>
      </c>
      <c r="AN13" s="3">
        <f t="shared" si="7"/>
        <v>3</v>
      </c>
      <c r="AP13" s="49">
        <v>50</v>
      </c>
      <c r="AQ13" s="73">
        <v>0.04</v>
      </c>
      <c r="AR13" s="3">
        <f>+SUM($AQ$11:AQ13)</f>
        <v>0.09</v>
      </c>
      <c r="AS13" s="3">
        <f t="shared" ref="AS13:AS17" si="12">+AP13*AQ13</f>
        <v>2</v>
      </c>
      <c r="AU13" s="49">
        <v>10</v>
      </c>
      <c r="AV13" s="3">
        <v>0.05</v>
      </c>
      <c r="AW13" s="3">
        <f>+SUM($AV$12:AV13)</f>
        <v>0.22000000000000003</v>
      </c>
      <c r="AX13" s="3">
        <f t="shared" si="8"/>
        <v>0.5</v>
      </c>
      <c r="AZ13" s="49">
        <v>20</v>
      </c>
      <c r="BA13" s="3">
        <v>0.03</v>
      </c>
      <c r="BB13" s="3">
        <f>+SUM($BA$12:BA13)</f>
        <v>0.1095</v>
      </c>
      <c r="BC13" s="3">
        <f t="shared" si="9"/>
        <v>0.6</v>
      </c>
      <c r="BE13" s="49">
        <v>35</v>
      </c>
      <c r="BF13" s="3">
        <v>0.1</v>
      </c>
      <c r="BG13" s="3">
        <f>+SUM($BF$12:BF13)</f>
        <v>0.22</v>
      </c>
      <c r="BH13" s="3">
        <f t="shared" si="10"/>
        <v>3.5</v>
      </c>
      <c r="BJ13" s="49">
        <v>75</v>
      </c>
      <c r="BK13" s="3">
        <v>0.1</v>
      </c>
      <c r="BL13" s="3">
        <f>+SUM($BK$12:BK13)</f>
        <v>0.25</v>
      </c>
      <c r="BM13" s="3">
        <f t="shared" si="11"/>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+SUM($AB$11:AB14)</f>
        <v>0.12</v>
      </c>
      <c r="AD14" s="3">
        <f t="shared" si="5"/>
        <v>2.25</v>
      </c>
      <c r="AF14" s="49">
        <v>75</v>
      </c>
      <c r="AG14" s="73">
        <v>0.03</v>
      </c>
      <c r="AH14" s="3">
        <f>+SUM($AG$11:AG14)</f>
        <v>0.14000000000000001</v>
      </c>
      <c r="AI14" s="3">
        <f t="shared" si="6"/>
        <v>2.25</v>
      </c>
      <c r="AK14" s="49">
        <v>75</v>
      </c>
      <c r="AL14" s="73">
        <v>0.03</v>
      </c>
      <c r="AM14" s="3">
        <f>+SUM($AL$11:AL14)</f>
        <v>0.14000000000000001</v>
      </c>
      <c r="AN14" s="3">
        <f t="shared" si="7"/>
        <v>2.25</v>
      </c>
      <c r="AP14" s="49">
        <v>75</v>
      </c>
      <c r="AQ14" s="73">
        <v>0.03</v>
      </c>
      <c r="AR14" s="3">
        <f>+SUM($AQ$11:AQ14)</f>
        <v>0.12</v>
      </c>
      <c r="AS14" s="3">
        <f t="shared" si="12"/>
        <v>2.25</v>
      </c>
      <c r="AU14" s="49">
        <v>15</v>
      </c>
      <c r="AV14" s="3">
        <v>0.01</v>
      </c>
      <c r="AW14" s="3">
        <f>+SUM($AV$12:AV14)</f>
        <v>0.23000000000000004</v>
      </c>
      <c r="AX14" s="3">
        <f t="shared" si="8"/>
        <v>0.15</v>
      </c>
      <c r="AZ14" s="49">
        <v>30</v>
      </c>
      <c r="BA14" s="3">
        <v>3.0000000000000001E-3</v>
      </c>
      <c r="BB14" s="3">
        <f>+SUM($BA$12:BA14)</f>
        <v>0.1125</v>
      </c>
      <c r="BC14" s="3">
        <f t="shared" si="9"/>
        <v>0.09</v>
      </c>
      <c r="BE14" s="49">
        <v>50</v>
      </c>
      <c r="BF14" s="3">
        <v>0.1</v>
      </c>
      <c r="BG14" s="3">
        <f>+SUM($BF$12:BF14)</f>
        <v>0.32</v>
      </c>
      <c r="BH14" s="3">
        <f t="shared" si="10"/>
        <v>5</v>
      </c>
      <c r="BJ14" s="49">
        <v>100</v>
      </c>
      <c r="BK14" s="3">
        <v>0.1</v>
      </c>
      <c r="BL14" s="3">
        <f>+SUM($BK$12:BK14)</f>
        <v>0.35</v>
      </c>
      <c r="BM14" s="3">
        <f t="shared" si="11"/>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+SUM($AB$11:AB15)</f>
        <v>0.13999999999999999</v>
      </c>
      <c r="AD15" s="3">
        <f t="shared" si="5"/>
        <v>2</v>
      </c>
      <c r="AF15" s="49">
        <v>100</v>
      </c>
      <c r="AG15" s="73">
        <v>0.02</v>
      </c>
      <c r="AH15" s="3">
        <f>+SUM($AG$11:AG15)</f>
        <v>0.16</v>
      </c>
      <c r="AI15" s="3">
        <f t="shared" si="6"/>
        <v>2</v>
      </c>
      <c r="AK15" s="49">
        <v>100</v>
      </c>
      <c r="AL15" s="73">
        <v>0.02</v>
      </c>
      <c r="AM15" s="3">
        <f>+SUM($AL$11:AL15)</f>
        <v>0.16</v>
      </c>
      <c r="AN15" s="3">
        <f t="shared" si="7"/>
        <v>2</v>
      </c>
      <c r="AP15" s="49">
        <v>100</v>
      </c>
      <c r="AQ15" s="73">
        <v>0.02</v>
      </c>
      <c r="AR15" s="3">
        <f>+SUM($AQ$11:AQ15)</f>
        <v>0.13999999999999999</v>
      </c>
      <c r="AS15" s="3">
        <f t="shared" si="12"/>
        <v>2</v>
      </c>
      <c r="AU15" s="49">
        <v>20</v>
      </c>
      <c r="AV15" s="3">
        <v>1E-3</v>
      </c>
      <c r="AW15" s="3">
        <f>+SUM($AV$12:AV15)</f>
        <v>0.23100000000000004</v>
      </c>
      <c r="AX15" s="3">
        <f t="shared" si="8"/>
        <v>0.02</v>
      </c>
      <c r="AZ15" s="49">
        <v>40</v>
      </c>
      <c r="BA15" s="3">
        <f t="shared" ref="BA15" si="13">+C15</f>
        <v>1E-3</v>
      </c>
      <c r="BB15" s="3">
        <f>+SUM($BA$12:BA15)</f>
        <v>0.1135</v>
      </c>
      <c r="BC15" s="3">
        <f t="shared" si="9"/>
        <v>0.04</v>
      </c>
      <c r="BE15" s="49">
        <v>80</v>
      </c>
      <c r="BF15" s="3">
        <v>0.05</v>
      </c>
      <c r="BG15" s="3">
        <f>+SUM($BF$12:BF15)</f>
        <v>0.37</v>
      </c>
      <c r="BH15" s="3">
        <f t="shared" si="10"/>
        <v>4</v>
      </c>
      <c r="BJ15" s="49">
        <v>200</v>
      </c>
      <c r="BK15" s="3">
        <v>0.05</v>
      </c>
      <c r="BL15" s="3">
        <f>+SUM($BK$12:BK15)</f>
        <v>0.39999999999999997</v>
      </c>
      <c r="BM15" s="3">
        <f t="shared" si="11"/>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+SUM($AB$11:AB16)</f>
        <v>0.15</v>
      </c>
      <c r="AD16" s="3">
        <f t="shared" si="5"/>
        <v>2</v>
      </c>
      <c r="AF16" s="49">
        <v>200</v>
      </c>
      <c r="AG16" s="73">
        <v>0.01</v>
      </c>
      <c r="AH16" s="3">
        <f>+SUM($AG$11:AG16)</f>
        <v>0.17</v>
      </c>
      <c r="AI16" s="3">
        <f t="shared" si="6"/>
        <v>2</v>
      </c>
      <c r="AK16" s="49">
        <v>200</v>
      </c>
      <c r="AL16" s="73">
        <v>0.01</v>
      </c>
      <c r="AM16" s="3">
        <f>+SUM($AL$11:AL16)</f>
        <v>0.17</v>
      </c>
      <c r="AN16" s="3">
        <f t="shared" si="7"/>
        <v>2</v>
      </c>
      <c r="AP16" s="49">
        <v>200</v>
      </c>
      <c r="AQ16" s="73">
        <v>0.01</v>
      </c>
      <c r="AR16" s="3">
        <f>+SUM($AQ$11:AQ16)</f>
        <v>0.15</v>
      </c>
      <c r="AS16" s="3">
        <f t="shared" si="12"/>
        <v>2</v>
      </c>
      <c r="AU16" s="49">
        <v>35</v>
      </c>
      <c r="AV16" s="3">
        <v>1E-3</v>
      </c>
      <c r="AW16" s="3">
        <f>+SUM($AV$12:AV16)</f>
        <v>0.23200000000000004</v>
      </c>
      <c r="AX16" s="3">
        <f t="shared" si="8"/>
        <v>3.5000000000000003E-2</v>
      </c>
      <c r="AZ16" s="49">
        <v>70</v>
      </c>
      <c r="BA16" s="3">
        <v>5.0000000000000001E-4</v>
      </c>
      <c r="BB16" s="3">
        <f>+SUM($BA$12:BA16)</f>
        <v>0.114</v>
      </c>
      <c r="BC16" s="3">
        <f t="shared" si="9"/>
        <v>3.5000000000000003E-2</v>
      </c>
      <c r="BE16" s="49">
        <v>150</v>
      </c>
      <c r="BF16" s="3">
        <v>0.02</v>
      </c>
      <c r="BG16" s="3">
        <f>+SUM($BF$12:BF16)</f>
        <v>0.39</v>
      </c>
      <c r="BH16" s="3">
        <f t="shared" si="10"/>
        <v>3</v>
      </c>
      <c r="BJ16" s="49">
        <v>500</v>
      </c>
      <c r="BK16" s="3">
        <v>0.02</v>
      </c>
      <c r="BL16" s="3">
        <f>+SUM($BK$12:BK16)</f>
        <v>0.42</v>
      </c>
      <c r="BM16" s="3">
        <f t="shared" si="11"/>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+SUM($AB$11:AB17)</f>
        <v>0.15049999999999999</v>
      </c>
      <c r="AD17" s="3">
        <f t="shared" si="5"/>
        <v>0.25</v>
      </c>
      <c r="AF17" s="49">
        <v>500</v>
      </c>
      <c r="AG17" s="73">
        <v>5.0000000000000001E-4</v>
      </c>
      <c r="AH17" s="3">
        <f>+SUM($AG$11:AG17)</f>
        <v>0.17050000000000001</v>
      </c>
      <c r="AI17" s="3">
        <f t="shared" si="6"/>
        <v>0.25</v>
      </c>
      <c r="AK17" s="49">
        <v>500</v>
      </c>
      <c r="AL17" s="73">
        <v>5.0000000000000001E-4</v>
      </c>
      <c r="AM17" s="3">
        <f>+SUM($AL$11:AL17)</f>
        <v>0.17050000000000001</v>
      </c>
      <c r="AN17" s="3">
        <f t="shared" si="7"/>
        <v>0.25</v>
      </c>
      <c r="AP17" s="49">
        <v>500</v>
      </c>
      <c r="AQ17" s="73">
        <v>5.0000000000000001E-4</v>
      </c>
      <c r="AR17" s="3">
        <f>+SUM($AQ$11:AQ17)</f>
        <v>0.15049999999999999</v>
      </c>
      <c r="AS17" s="3">
        <f t="shared" si="12"/>
        <v>0.25</v>
      </c>
      <c r="AU17" s="49">
        <v>50</v>
      </c>
      <c r="AV17" s="3">
        <v>1.1000000000000001E-3</v>
      </c>
      <c r="AW17" s="3">
        <f>+SUM($AV$12:AV17)</f>
        <v>0.23310000000000003</v>
      </c>
      <c r="AX17" s="3">
        <f t="shared" si="8"/>
        <v>5.5E-2</v>
      </c>
      <c r="AZ17" s="49">
        <v>100</v>
      </c>
      <c r="BA17" s="3">
        <v>5.0000000000000001E-4</v>
      </c>
      <c r="BB17" s="3">
        <f>+SUM($BA$12:BA17)</f>
        <v>0.1145</v>
      </c>
      <c r="BC17" s="3">
        <f t="shared" si="9"/>
        <v>0.05</v>
      </c>
      <c r="BE17" s="49">
        <v>300</v>
      </c>
      <c r="BF17" s="3">
        <v>5.0000000000000001E-3</v>
      </c>
      <c r="BG17" s="3">
        <f>+SUM($BF$12:BF17)</f>
        <v>0.39500000000000002</v>
      </c>
      <c r="BH17" s="3">
        <f t="shared" si="10"/>
        <v>1.5</v>
      </c>
      <c r="BJ17" s="49">
        <v>1000</v>
      </c>
      <c r="BK17" s="3">
        <v>5.0000000000000001E-3</v>
      </c>
      <c r="BL17" s="3">
        <f>+SUM($BK$12:BK17)</f>
        <v>0.42499999999999999</v>
      </c>
      <c r="BM17" s="3">
        <f t="shared" si="11"/>
        <v>5</v>
      </c>
    </row>
    <row r="18" spans="1:65">
      <c r="B18" s="50" t="s">
        <v>70</v>
      </c>
      <c r="C18" s="50">
        <f>+SUM(C12:C17)</f>
        <v>0.1255</v>
      </c>
      <c r="D18" s="50"/>
      <c r="E18" s="51">
        <f>+SUM(E12:E17)</f>
        <v>0.95500000000000007</v>
      </c>
      <c r="G18" s="50" t="s">
        <v>70</v>
      </c>
      <c r="H18" s="50">
        <f>+SUM(H12:H17)</f>
        <v>0.17575000000000002</v>
      </c>
      <c r="I18" s="50"/>
      <c r="J18" s="51">
        <f>+SUM(J12:J17)</f>
        <v>5</v>
      </c>
      <c r="L18" s="50" t="s">
        <v>70</v>
      </c>
      <c r="M18" s="50">
        <f>+SUM(M12:M17)</f>
        <v>0.15800000000000003</v>
      </c>
      <c r="N18" s="50"/>
      <c r="O18" s="51">
        <f>+SUM(O12:O17)</f>
        <v>8</v>
      </c>
      <c r="Q18" s="50" t="s">
        <v>70</v>
      </c>
      <c r="R18" s="50">
        <f>+SUM(R12:R17)</f>
        <v>0.15049999999999999</v>
      </c>
      <c r="S18" s="50"/>
      <c r="T18" s="51">
        <f>+SUM(T12:T17)</f>
        <v>10</v>
      </c>
      <c r="V18" s="50" t="s">
        <v>70</v>
      </c>
      <c r="W18" s="50">
        <f>+SUM(W12:W17)</f>
        <v>0.59000000000000008</v>
      </c>
      <c r="X18" s="50"/>
      <c r="Y18" s="51">
        <f>+SUM(Y12:Y17)</f>
        <v>30</v>
      </c>
      <c r="AA18" s="50" t="s">
        <v>70</v>
      </c>
      <c r="AB18" s="50">
        <f>+SUM(AB12:AB17)</f>
        <v>0.15049999999999999</v>
      </c>
      <c r="AC18" s="50"/>
      <c r="AD18" s="51">
        <f>+SUM(AD12:AD17)</f>
        <v>10</v>
      </c>
      <c r="AF18" s="50" t="s">
        <v>70</v>
      </c>
      <c r="AG18" s="50">
        <f>+SUM(AG12:AG17)</f>
        <v>0.17050000000000001</v>
      </c>
      <c r="AH18" s="50"/>
      <c r="AI18" s="51">
        <f>+SUM(AI12:AI17)</f>
        <v>11</v>
      </c>
      <c r="AK18" s="50" t="s">
        <v>70</v>
      </c>
      <c r="AL18" s="50">
        <f>+SUM(AL12:AL17)</f>
        <v>0.17050000000000001</v>
      </c>
      <c r="AM18" s="50"/>
      <c r="AN18" s="51">
        <f>+SUM(AN12:AN17)</f>
        <v>11</v>
      </c>
      <c r="AP18" s="50" t="s">
        <v>70</v>
      </c>
      <c r="AQ18" s="50">
        <f>+SUM(AQ12:AQ17)</f>
        <v>0.15049999999999999</v>
      </c>
      <c r="AR18" s="50"/>
      <c r="AS18" s="51">
        <f>+SUM(AS12:AS17)</f>
        <v>10</v>
      </c>
      <c r="AU18" s="50" t="s">
        <v>70</v>
      </c>
      <c r="AV18" s="50">
        <f>+SUM(AV12:AV17)</f>
        <v>0.23310000000000003</v>
      </c>
      <c r="AW18" s="50"/>
      <c r="AX18" s="51">
        <f>+SUM(AX12:AX17)</f>
        <v>1.6099999999999999</v>
      </c>
      <c r="AZ18" s="50" t="s">
        <v>70</v>
      </c>
      <c r="BA18" s="50">
        <f>+SUM(BA12:BA17)</f>
        <v>0.1145</v>
      </c>
      <c r="BB18" s="50"/>
      <c r="BC18" s="51">
        <f>+SUM(BC12:BC17)</f>
        <v>1.61</v>
      </c>
      <c r="BE18" s="50" t="s">
        <v>70</v>
      </c>
      <c r="BF18" s="50">
        <f>+SUM(BF12:BF17)</f>
        <v>0.39500000000000002</v>
      </c>
      <c r="BG18" s="50"/>
      <c r="BH18" s="51">
        <f>+SUM(BH12:BH17)</f>
        <v>20</v>
      </c>
      <c r="BJ18" s="50" t="s">
        <v>70</v>
      </c>
      <c r="BK18" s="50">
        <f>+SUM(BK12:BK17)</f>
        <v>0.42499999999999999</v>
      </c>
      <c r="BL18" s="50"/>
      <c r="BM18" s="51">
        <f>+SUM(BM12:BM17)</f>
        <v>50</v>
      </c>
    </row>
    <row r="19" spans="1:65">
      <c r="B19" s="10"/>
      <c r="AX19" t="s">
        <v>172</v>
      </c>
      <c r="BC19" t="s">
        <v>172</v>
      </c>
    </row>
    <row r="20" spans="1:65">
      <c r="AX20" s="89"/>
    </row>
    <row r="21" spans="1:65" ht="18">
      <c r="A21" s="101" t="s">
        <v>71</v>
      </c>
      <c r="B21" s="101"/>
      <c r="C21" s="101"/>
      <c r="D21" s="101"/>
      <c r="E21" s="101"/>
    </row>
    <row r="22" spans="1:65" ht="15" thickBot="1"/>
    <row r="23" spans="1:65" ht="15" thickBot="1">
      <c r="A23" s="15" t="s">
        <v>72</v>
      </c>
      <c r="B23" s="52">
        <f>+Summary!E7</f>
        <v>100</v>
      </c>
    </row>
    <row r="24" spans="1:65">
      <c r="A24" s="12" t="s">
        <v>73</v>
      </c>
      <c r="B24" s="53"/>
    </row>
    <row r="25" spans="1:65">
      <c r="A25" s="54" t="s">
        <v>74</v>
      </c>
    </row>
    <row r="26" spans="1:65">
      <c r="A26" s="54" t="s">
        <v>75</v>
      </c>
    </row>
    <row r="27" spans="1:65">
      <c r="A27" t="s">
        <v>76</v>
      </c>
    </row>
    <row r="28" spans="1:65">
      <c r="A28" s="10" t="s">
        <v>77</v>
      </c>
    </row>
    <row r="29" spans="1:65">
      <c r="A29" s="10" t="s">
        <v>78</v>
      </c>
    </row>
    <row r="30" spans="1:65">
      <c r="A30" s="12" t="s">
        <v>79</v>
      </c>
    </row>
    <row r="31" spans="1:65" ht="15" thickBot="1"/>
    <row r="32" spans="1:65">
      <c r="A32" s="1" t="s">
        <v>80</v>
      </c>
      <c r="B32" s="2" t="s">
        <v>81</v>
      </c>
      <c r="C32" s="2" t="s">
        <v>82</v>
      </c>
      <c r="D32" s="2" t="s">
        <v>4</v>
      </c>
      <c r="F32" s="36" t="s">
        <v>83</v>
      </c>
      <c r="G32" s="55">
        <f>+SUMPRODUCT(B33:B37,C33:C37)</f>
        <v>0.14499999999999999</v>
      </c>
    </row>
    <row r="33" spans="1:7" ht="15" thickBot="1">
      <c r="B33" s="3">
        <v>1</v>
      </c>
      <c r="C33" s="3">
        <v>0.01</v>
      </c>
      <c r="D33" s="3">
        <f>+B33*C33</f>
        <v>0.01</v>
      </c>
      <c r="F33" s="21" t="s">
        <v>84</v>
      </c>
      <c r="G33" s="56">
        <f>+B23/G32</f>
        <v>689.65517241379314</v>
      </c>
    </row>
    <row r="34" spans="1:7">
      <c r="B34" s="3">
        <v>2</v>
      </c>
      <c r="C34" s="3">
        <v>0.02</v>
      </c>
      <c r="D34" s="3">
        <f>+B34*C34</f>
        <v>0.04</v>
      </c>
    </row>
    <row r="35" spans="1:7">
      <c r="B35" s="3">
        <v>3</v>
      </c>
      <c r="C35" s="3">
        <v>0.01</v>
      </c>
      <c r="D35" s="3">
        <f>+B35*C35</f>
        <v>0.03</v>
      </c>
    </row>
    <row r="36" spans="1:7">
      <c r="B36" s="3">
        <v>4</v>
      </c>
      <c r="C36" s="3">
        <v>0.01</v>
      </c>
      <c r="D36" s="3">
        <f>+B36*C36</f>
        <v>0.04</v>
      </c>
    </row>
    <row r="37" spans="1:7">
      <c r="B37" s="3">
        <v>5</v>
      </c>
      <c r="C37" s="3">
        <v>5.0000000000000001E-3</v>
      </c>
      <c r="D37" s="3">
        <f>+B37*C37</f>
        <v>2.5000000000000001E-2</v>
      </c>
    </row>
    <row r="38" spans="1:7">
      <c r="B38" s="50" t="s">
        <v>13</v>
      </c>
      <c r="C38" s="50">
        <f>+SUM(C33:C37)</f>
        <v>5.5E-2</v>
      </c>
      <c r="D38" s="50">
        <f>+SUM(D33:D37)</f>
        <v>0.14499999999999999</v>
      </c>
      <c r="E38" t="s">
        <v>85</v>
      </c>
    </row>
    <row r="40" spans="1:7">
      <c r="A40" t="s">
        <v>86</v>
      </c>
    </row>
    <row r="42" spans="1:7">
      <c r="A42" s="1" t="s">
        <v>87</v>
      </c>
      <c r="B42" s="2" t="s">
        <v>81</v>
      </c>
      <c r="C42" s="2" t="s">
        <v>82</v>
      </c>
      <c r="D42" s="2" t="s">
        <v>4</v>
      </c>
    </row>
    <row r="43" spans="1:7">
      <c r="B43" s="3">
        <v>1</v>
      </c>
      <c r="C43" s="3">
        <f>+SUMPRODUCT(B33:B37,C33:C37)</f>
        <v>0.14499999999999999</v>
      </c>
      <c r="D43" s="3">
        <f>+C43*B43</f>
        <v>0.14499999999999999</v>
      </c>
    </row>
    <row r="44" spans="1:7">
      <c r="B44" s="50" t="s">
        <v>13</v>
      </c>
      <c r="C44" s="50">
        <f>+SUM(C43)</f>
        <v>0.14499999999999999</v>
      </c>
      <c r="D44" s="50">
        <f>+D43</f>
        <v>0.14499999999999999</v>
      </c>
    </row>
    <row r="46" spans="1:7">
      <c r="A46" s="1" t="s">
        <v>88</v>
      </c>
    </row>
    <row r="47" spans="1:7">
      <c r="A47" t="s">
        <v>89</v>
      </c>
    </row>
    <row r="48" spans="1:7">
      <c r="A48" t="s">
        <v>90</v>
      </c>
    </row>
    <row r="49" spans="1:6">
      <c r="A49" s="10" t="s">
        <v>91</v>
      </c>
    </row>
    <row r="51" spans="1:6">
      <c r="A51" t="s">
        <v>92</v>
      </c>
    </row>
    <row r="53" spans="1:6">
      <c r="B53" s="1" t="s">
        <v>93</v>
      </c>
      <c r="C53" s="1" t="s">
        <v>94</v>
      </c>
    </row>
    <row r="54" spans="1:6">
      <c r="B54" s="2" t="s">
        <v>81</v>
      </c>
      <c r="C54" s="2" t="s">
        <v>82</v>
      </c>
      <c r="D54" s="57" t="s">
        <v>95</v>
      </c>
      <c r="E54" s="2" t="s">
        <v>96</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97</v>
      </c>
      <c r="C62" s="1" t="s">
        <v>98</v>
      </c>
    </row>
    <row r="63" spans="1:6">
      <c r="B63" s="2" t="s">
        <v>81</v>
      </c>
      <c r="C63" s="2" t="s">
        <v>82</v>
      </c>
      <c r="D63" s="57" t="s">
        <v>95</v>
      </c>
      <c r="E63" s="2" t="s">
        <v>96</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99</v>
      </c>
    </row>
    <row r="73" spans="1:6">
      <c r="A73" t="s">
        <v>100</v>
      </c>
    </row>
    <row r="74" spans="1:6">
      <c r="A74" t="s">
        <v>101</v>
      </c>
    </row>
  </sheetData>
  <mergeCells count="16">
    <mergeCell ref="AZ10:BC10"/>
    <mergeCell ref="BE10:BH10"/>
    <mergeCell ref="BJ10:BM10"/>
    <mergeCell ref="Q10:T10"/>
    <mergeCell ref="V10:Y10"/>
    <mergeCell ref="A21:E21"/>
    <mergeCell ref="A1:E1"/>
    <mergeCell ref="A8:E8"/>
    <mergeCell ref="B10:E10"/>
    <mergeCell ref="G10:J10"/>
    <mergeCell ref="L10:O10"/>
    <mergeCell ref="AU10:AX10"/>
    <mergeCell ref="AA10:AD10"/>
    <mergeCell ref="AF10:AI10"/>
    <mergeCell ref="AK10:AN10"/>
    <mergeCell ref="AP10:AS10"/>
  </mergeCells>
  <pageMargins left="0.7" right="0.7" top="0.75" bottom="0.75" header="0.51180555555555496" footer="0.51180555555555496"/>
  <pageSetup paperSize="9" firstPageNumber="0" orientation="portrait" horizontalDpi="300" verticalDpi="300" r:id="rId1"/>
</worksheet>
</file>

<file path=xl/worksheets/sheet8.xml><?xml version="1.0" encoding="utf-8"?>
<worksheet xmlns="http://schemas.openxmlformats.org/spreadsheetml/2006/main" xmlns:r="http://schemas.openxmlformats.org/officeDocument/2006/relationships">
  <sheetPr codeName="Hoja23"/>
  <dimension ref="A1:DF19"/>
  <sheetViews>
    <sheetView workbookViewId="0">
      <pane xSplit="6" ySplit="1" topLeftCell="G2" activePane="bottomRight" state="frozen"/>
      <selection pane="topRight" activeCell="G1" sqref="G1"/>
      <selection pane="bottomLeft" activeCell="A2" sqref="A2"/>
      <selection pane="bottomRight" activeCell="CX5" sqref="CX5"/>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102</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0.21300813008130121</v>
      </c>
      <c r="C3" s="3">
        <f>1/B3/Summary!$C$7</f>
        <v>4.6946564885496098E-3</v>
      </c>
      <c r="D3" s="59">
        <f>+K10</f>
        <v>3.0749999999999944</v>
      </c>
      <c r="E3" s="3">
        <v>0.65500000000000003</v>
      </c>
      <c r="G3" s="60">
        <v>1</v>
      </c>
      <c r="H3" s="61">
        <v>0.5</v>
      </c>
      <c r="I3" s="62">
        <f>+SUM($H3:H3)</f>
        <v>0.5</v>
      </c>
      <c r="J3" s="50">
        <v>2</v>
      </c>
      <c r="K3" s="58">
        <f t="shared" ref="K3:K9" si="0">+H3*J3</f>
        <v>1</v>
      </c>
      <c r="L3" s="63">
        <v>0</v>
      </c>
      <c r="N3" s="60">
        <v>1</v>
      </c>
      <c r="O3" s="61">
        <v>0.2</v>
      </c>
      <c r="P3" s="62">
        <f>+SUM($O3:O$3)</f>
        <v>0.2</v>
      </c>
      <c r="Q3" s="58">
        <f t="shared" ref="Q3:Q9" si="1">+J3</f>
        <v>2</v>
      </c>
      <c r="R3" s="58">
        <f t="shared" ref="R3:R9" si="2">+O3*Q3</f>
        <v>0.4</v>
      </c>
      <c r="S3" s="63">
        <v>0</v>
      </c>
      <c r="U3" s="60">
        <v>1</v>
      </c>
      <c r="V3" s="61">
        <v>0.15</v>
      </c>
      <c r="W3" s="62">
        <f>+SUM($V3:V$3)</f>
        <v>0.15</v>
      </c>
      <c r="X3" s="58">
        <f t="shared" ref="X3:X9" si="3">+J3</f>
        <v>2</v>
      </c>
      <c r="Y3" s="58">
        <f t="shared" ref="Y3:Y9" si="4">+V3*X3</f>
        <v>0.3</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0.1</v>
      </c>
      <c r="BF3" s="62">
        <f>+SUM($BE$3:BE3)</f>
        <v>0.1</v>
      </c>
      <c r="BG3" s="58">
        <f t="shared" ref="BG3:BG9" si="12">+AL3</f>
        <v>2</v>
      </c>
      <c r="BH3" s="58">
        <f t="shared" ref="BH3:BH9" si="13">+BE3*BG3</f>
        <v>0.2</v>
      </c>
      <c r="BI3" s="63">
        <v>0</v>
      </c>
      <c r="BK3" s="60">
        <v>1</v>
      </c>
      <c r="BL3" s="61">
        <v>0.1</v>
      </c>
      <c r="BM3" s="62">
        <f>+SUM($BL$3:BL3)</f>
        <v>0.1</v>
      </c>
      <c r="BN3" s="58">
        <f t="shared" ref="BN3:BN9" si="14">+AS3</f>
        <v>2</v>
      </c>
      <c r="BO3" s="58">
        <f t="shared" ref="BO3:BO9" si="15">+BL3*BN3</f>
        <v>0.2</v>
      </c>
      <c r="BP3" s="63">
        <v>0</v>
      </c>
      <c r="BR3" s="60">
        <v>1</v>
      </c>
      <c r="BS3" s="61">
        <v>0.1</v>
      </c>
      <c r="BT3" s="62">
        <f>+SUM($BS$3:BS3)</f>
        <v>0.1</v>
      </c>
      <c r="BU3" s="58">
        <f t="shared" ref="BU3:BU9" si="16">+AZ3</f>
        <v>2</v>
      </c>
      <c r="BV3" s="58">
        <f t="shared" ref="BV3:BV9" si="17">+BS3*BU3</f>
        <v>0.2</v>
      </c>
      <c r="BW3" s="63">
        <v>0</v>
      </c>
      <c r="BY3" s="60">
        <v>1</v>
      </c>
      <c r="BZ3" s="61">
        <v>0.35</v>
      </c>
      <c r="CA3" s="62">
        <f>+SUM($BZ$3:BZ3)</f>
        <v>0.35</v>
      </c>
      <c r="CB3" s="58">
        <f t="shared" ref="CB3:CB9" si="18">+BG3</f>
        <v>2</v>
      </c>
      <c r="CC3" s="58">
        <f t="shared" ref="CC3:CC9" si="19">+BZ3*CB3</f>
        <v>0.7</v>
      </c>
      <c r="CD3" s="63">
        <v>0</v>
      </c>
      <c r="CF3" s="60">
        <v>1</v>
      </c>
      <c r="CG3" s="61">
        <v>0</v>
      </c>
      <c r="CH3" s="62">
        <f>+SUM($CG$3:CG3)</f>
        <v>0</v>
      </c>
      <c r="CI3" s="58">
        <f t="shared" ref="CI3:CI9" si="20">+J3</f>
        <v>2</v>
      </c>
      <c r="CJ3" s="58">
        <f t="shared" ref="CJ3:CJ9" si="21">+CG3*CI3</f>
        <v>0</v>
      </c>
      <c r="CK3" s="63">
        <v>0</v>
      </c>
      <c r="CM3" s="60">
        <v>1</v>
      </c>
      <c r="CN3" s="61">
        <v>0.5</v>
      </c>
      <c r="CO3" s="62">
        <f>+SUM($CN$3:CN3)</f>
        <v>0.5</v>
      </c>
      <c r="CP3" s="83">
        <f>+J3</f>
        <v>2</v>
      </c>
      <c r="CQ3" s="58">
        <f t="shared" ref="CQ3" si="22">+CN3*CP3</f>
        <v>1</v>
      </c>
      <c r="CR3" s="63">
        <v>0</v>
      </c>
      <c r="CT3" s="60">
        <v>1</v>
      </c>
      <c r="CU3" s="61">
        <f>+H3</f>
        <v>0.5</v>
      </c>
      <c r="CV3" s="62">
        <f>+SUM($CU$3:CU3)</f>
        <v>0.5</v>
      </c>
      <c r="CW3" s="84">
        <f>+J3*2</f>
        <v>4</v>
      </c>
      <c r="CX3" s="58">
        <f t="shared" ref="CX3" si="23">+CU3*CW3</f>
        <v>2</v>
      </c>
      <c r="CY3" s="63">
        <v>0</v>
      </c>
      <c r="DA3" s="60">
        <v>1</v>
      </c>
      <c r="DB3" s="61">
        <v>0</v>
      </c>
      <c r="DC3" s="62">
        <f>+SUM($DB$3:DB3)</f>
        <v>0</v>
      </c>
      <c r="DD3" s="83">
        <f>+J3</f>
        <v>2</v>
      </c>
      <c r="DE3" s="58">
        <f t="shared" ref="DE3" si="24">+DB3*DD3</f>
        <v>0</v>
      </c>
      <c r="DF3" s="63">
        <v>0</v>
      </c>
    </row>
    <row r="4" spans="1:110">
      <c r="A4" s="3" t="s">
        <v>113</v>
      </c>
      <c r="B4" s="58">
        <f>+E4/D4</f>
        <v>0.6535947712418303</v>
      </c>
      <c r="C4" s="3">
        <v>0</v>
      </c>
      <c r="D4" s="64">
        <f>+R10</f>
        <v>7.6499999999999977</v>
      </c>
      <c r="E4" s="3">
        <v>5</v>
      </c>
      <c r="G4" s="60">
        <v>2</v>
      </c>
      <c r="H4" s="61">
        <v>0.32</v>
      </c>
      <c r="I4" s="62">
        <f>+SUM($H$3:H4)</f>
        <v>0.82000000000000006</v>
      </c>
      <c r="J4" s="50">
        <v>3</v>
      </c>
      <c r="K4" s="58">
        <f>+H4*J4</f>
        <v>0.96</v>
      </c>
      <c r="L4" s="63">
        <v>0</v>
      </c>
      <c r="N4" s="60">
        <v>2</v>
      </c>
      <c r="O4" s="61">
        <v>0.25</v>
      </c>
      <c r="P4" s="62">
        <f>+SUM($O$3:O4)</f>
        <v>0.45</v>
      </c>
      <c r="Q4" s="58">
        <f t="shared" si="1"/>
        <v>3</v>
      </c>
      <c r="R4" s="58">
        <f t="shared" si="2"/>
        <v>0.75</v>
      </c>
      <c r="S4" s="63">
        <v>0</v>
      </c>
      <c r="U4" s="60">
        <v>2</v>
      </c>
      <c r="V4" s="61">
        <v>0.28000000000000003</v>
      </c>
      <c r="W4" s="62">
        <f>+SUM($V$3:V4)</f>
        <v>0.43000000000000005</v>
      </c>
      <c r="X4" s="58">
        <f t="shared" si="3"/>
        <v>3</v>
      </c>
      <c r="Y4" s="58">
        <f t="shared" si="4"/>
        <v>0.84000000000000008</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0.2</v>
      </c>
      <c r="BG4" s="58">
        <f t="shared" si="12"/>
        <v>3</v>
      </c>
      <c r="BH4" s="58">
        <f t="shared" si="13"/>
        <v>0.30000000000000004</v>
      </c>
      <c r="BI4" s="63">
        <v>0</v>
      </c>
      <c r="BK4" s="60">
        <v>2</v>
      </c>
      <c r="BL4" s="61">
        <v>0.1</v>
      </c>
      <c r="BM4" s="62">
        <f>+SUM($BL$3:BL4)</f>
        <v>0.2</v>
      </c>
      <c r="BN4" s="58">
        <f t="shared" si="14"/>
        <v>3</v>
      </c>
      <c r="BO4" s="58">
        <f t="shared" si="15"/>
        <v>0.30000000000000004</v>
      </c>
      <c r="BP4" s="63">
        <v>0</v>
      </c>
      <c r="BR4" s="60">
        <v>2</v>
      </c>
      <c r="BS4" s="61">
        <v>0.1</v>
      </c>
      <c r="BT4" s="62">
        <f>+SUM($BS$3:BS4)</f>
        <v>0.2</v>
      </c>
      <c r="BU4" s="58">
        <f t="shared" si="16"/>
        <v>3</v>
      </c>
      <c r="BV4" s="58">
        <f t="shared" si="17"/>
        <v>0.30000000000000004</v>
      </c>
      <c r="BW4" s="63">
        <v>0</v>
      </c>
      <c r="BY4" s="60">
        <v>2</v>
      </c>
      <c r="BZ4" s="61">
        <v>0.35</v>
      </c>
      <c r="CA4" s="62">
        <f>+SUM($BZ$3:BZ4)</f>
        <v>0.7</v>
      </c>
      <c r="CB4" s="58">
        <f t="shared" si="18"/>
        <v>3</v>
      </c>
      <c r="CC4" s="58">
        <f t="shared" si="19"/>
        <v>1.0499999999999998</v>
      </c>
      <c r="CD4" s="63">
        <v>0</v>
      </c>
      <c r="CF4" s="60">
        <v>2</v>
      </c>
      <c r="CG4" s="61">
        <v>0</v>
      </c>
      <c r="CH4" s="62">
        <f>+SUM($CG$3:CG4)</f>
        <v>0</v>
      </c>
      <c r="CI4" s="58">
        <f t="shared" si="20"/>
        <v>3</v>
      </c>
      <c r="CJ4" s="58">
        <f t="shared" si="21"/>
        <v>0</v>
      </c>
      <c r="CK4" s="63">
        <v>0</v>
      </c>
      <c r="CM4" s="60">
        <v>2</v>
      </c>
      <c r="CN4" s="61">
        <v>0.32</v>
      </c>
      <c r="CO4" s="62">
        <f>+SUM($CN$3:CN4)</f>
        <v>0.82000000000000006</v>
      </c>
      <c r="CP4" s="83">
        <f t="shared" ref="CP4:CP9" si="26">+J4</f>
        <v>3</v>
      </c>
      <c r="CQ4" s="58">
        <f>+CN4*CP4</f>
        <v>0.96</v>
      </c>
      <c r="CR4" s="63">
        <v>0</v>
      </c>
      <c r="CT4" s="60">
        <v>2</v>
      </c>
      <c r="CU4" s="61">
        <f t="shared" ref="CU4:CU8" si="27">+H4</f>
        <v>0.32</v>
      </c>
      <c r="CV4" s="62">
        <f>+SUM($CU$3:CU4)</f>
        <v>0.82000000000000006</v>
      </c>
      <c r="CW4" s="84">
        <f t="shared" ref="CW4:CW9" si="28">+J4*2</f>
        <v>6</v>
      </c>
      <c r="CX4" s="58">
        <f>+CU4*CW4</f>
        <v>1.92</v>
      </c>
      <c r="CY4" s="63">
        <v>0</v>
      </c>
      <c r="DA4" s="60">
        <v>2</v>
      </c>
      <c r="DB4" s="61">
        <v>0</v>
      </c>
      <c r="DC4" s="62">
        <f>+SUM($DB$3:DB4)</f>
        <v>0</v>
      </c>
      <c r="DD4" s="83">
        <f t="shared" ref="DD4:DD9" si="29">+J4</f>
        <v>3</v>
      </c>
      <c r="DE4" s="58">
        <f>+DB4*DD4</f>
        <v>0</v>
      </c>
      <c r="DF4" s="63">
        <v>0</v>
      </c>
    </row>
    <row r="5" spans="1:110">
      <c r="A5" s="3" t="s">
        <v>114</v>
      </c>
      <c r="B5" s="58">
        <f>+E5/D5</f>
        <v>0.85653104925053569</v>
      </c>
      <c r="C5" s="3">
        <v>0</v>
      </c>
      <c r="D5" s="64">
        <f>+Y10</f>
        <v>9.3399999999999963</v>
      </c>
      <c r="E5" s="3">
        <v>8</v>
      </c>
      <c r="G5" s="60">
        <v>3</v>
      </c>
      <c r="H5" s="61">
        <v>0.105</v>
      </c>
      <c r="I5" s="62">
        <f>+SUM($H$3:H5)</f>
        <v>0.92500000000000004</v>
      </c>
      <c r="J5" s="50">
        <v>5</v>
      </c>
      <c r="K5" s="58">
        <f t="shared" si="0"/>
        <v>0.52500000000000002</v>
      </c>
      <c r="L5" s="63">
        <v>0</v>
      </c>
      <c r="N5" s="60">
        <v>3</v>
      </c>
      <c r="O5" s="61">
        <v>0.18</v>
      </c>
      <c r="P5" s="62">
        <f>+SUM($O$3:O5)</f>
        <v>0.63</v>
      </c>
      <c r="Q5" s="58">
        <f t="shared" si="1"/>
        <v>5</v>
      </c>
      <c r="R5" s="58">
        <f t="shared" si="2"/>
        <v>0.89999999999999991</v>
      </c>
      <c r="S5" s="63">
        <v>0</v>
      </c>
      <c r="U5" s="60">
        <v>3</v>
      </c>
      <c r="V5" s="61">
        <v>0.2</v>
      </c>
      <c r="W5" s="62">
        <f>+SUM($V$3:V5)</f>
        <v>0.63000000000000012</v>
      </c>
      <c r="X5" s="58">
        <f t="shared" si="3"/>
        <v>5</v>
      </c>
      <c r="Y5" s="58">
        <f t="shared" si="4"/>
        <v>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0.3</v>
      </c>
      <c r="BF5" s="62">
        <f>+SUM($BE$3:BE5)</f>
        <v>0.5</v>
      </c>
      <c r="BG5" s="58">
        <f t="shared" si="12"/>
        <v>5</v>
      </c>
      <c r="BH5" s="58">
        <f t="shared" si="13"/>
        <v>1.5</v>
      </c>
      <c r="BI5" s="63">
        <v>0</v>
      </c>
      <c r="BK5" s="60">
        <v>3</v>
      </c>
      <c r="BL5" s="61">
        <v>0.3</v>
      </c>
      <c r="BM5" s="62">
        <f>+SUM($BL$3:BL5)</f>
        <v>0.5</v>
      </c>
      <c r="BN5" s="58">
        <f t="shared" si="14"/>
        <v>5</v>
      </c>
      <c r="BO5" s="58">
        <f t="shared" si="15"/>
        <v>1.5</v>
      </c>
      <c r="BP5" s="63">
        <v>0</v>
      </c>
      <c r="BR5" s="60">
        <v>3</v>
      </c>
      <c r="BS5" s="61">
        <v>0.2</v>
      </c>
      <c r="BT5" s="62">
        <f>+SUM($BS$3:BS5)</f>
        <v>0.4</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v>0.105</v>
      </c>
      <c r="CO5" s="62">
        <f>+SUM($CN$3:CN5)</f>
        <v>0.92500000000000004</v>
      </c>
      <c r="CP5" s="83">
        <f t="shared" si="26"/>
        <v>5</v>
      </c>
      <c r="CQ5" s="58">
        <f t="shared" ref="CQ5:CQ9" si="30">+CN5*CP5</f>
        <v>0.52500000000000002</v>
      </c>
      <c r="CR5" s="63">
        <v>0</v>
      </c>
      <c r="CT5" s="60">
        <v>3</v>
      </c>
      <c r="CU5" s="61">
        <f t="shared" si="27"/>
        <v>0.105</v>
      </c>
      <c r="CV5" s="62">
        <f>+SUM($CU$3:CU5)</f>
        <v>0.92500000000000004</v>
      </c>
      <c r="CW5" s="84">
        <f t="shared" si="28"/>
        <v>10</v>
      </c>
      <c r="CX5" s="58">
        <f t="shared" ref="CX5:CX9" si="31">+CU5*CW5</f>
        <v>1.05</v>
      </c>
      <c r="CY5" s="63">
        <v>0</v>
      </c>
      <c r="DA5" s="60">
        <v>3</v>
      </c>
      <c r="DB5" s="61">
        <v>0.1</v>
      </c>
      <c r="DC5" s="62">
        <f>+SUM($DB$3:DB5)</f>
        <v>0.1</v>
      </c>
      <c r="DD5" s="83">
        <f t="shared" si="29"/>
        <v>5</v>
      </c>
      <c r="DE5" s="58">
        <f t="shared" ref="DE5:DE9" si="32">+DB5*DD5</f>
        <v>0.5</v>
      </c>
      <c r="DF5" s="63">
        <v>0</v>
      </c>
    </row>
    <row r="6" spans="1:110">
      <c r="A6" s="3" t="s">
        <v>115</v>
      </c>
      <c r="B6" s="75">
        <f>+E6/D6</f>
        <v>0.95510983763132773</v>
      </c>
      <c r="C6" s="3">
        <v>0</v>
      </c>
      <c r="D6" s="64">
        <f>+AF10</f>
        <v>10.469999999999999</v>
      </c>
      <c r="E6" s="3">
        <v>10</v>
      </c>
      <c r="G6" s="60">
        <v>4</v>
      </c>
      <c r="H6" s="61">
        <v>7.0000000000000007E-2</v>
      </c>
      <c r="I6" s="62">
        <f>+SUM($H$3:H6)</f>
        <v>0.99500000000000011</v>
      </c>
      <c r="J6" s="50">
        <v>7</v>
      </c>
      <c r="K6" s="58">
        <f t="shared" si="0"/>
        <v>0.49000000000000005</v>
      </c>
      <c r="L6" s="63">
        <v>0</v>
      </c>
      <c r="N6" s="60">
        <v>4</v>
      </c>
      <c r="O6" s="61">
        <v>0.2</v>
      </c>
      <c r="P6" s="62">
        <f>+SUM($O$3:O6)</f>
        <v>0.83000000000000007</v>
      </c>
      <c r="Q6" s="58">
        <f t="shared" si="1"/>
        <v>7</v>
      </c>
      <c r="R6" s="58">
        <f t="shared" si="2"/>
        <v>1.4000000000000001</v>
      </c>
      <c r="S6" s="63">
        <v>0</v>
      </c>
      <c r="U6" s="60">
        <v>4</v>
      </c>
      <c r="V6" s="61">
        <v>0.1</v>
      </c>
      <c r="W6" s="62">
        <f>+SUM($V$3:V6)</f>
        <v>0.73000000000000009</v>
      </c>
      <c r="X6" s="58">
        <f t="shared" si="3"/>
        <v>7</v>
      </c>
      <c r="Y6" s="58">
        <f t="shared" si="4"/>
        <v>0.70000000000000007</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0.35</v>
      </c>
      <c r="AY6" s="62">
        <f>+SUM($AX$3:AX6)</f>
        <v>0.37</v>
      </c>
      <c r="AZ6" s="58">
        <f t="shared" si="10"/>
        <v>7</v>
      </c>
      <c r="BA6" s="58">
        <f t="shared" si="11"/>
        <v>2.4499999999999997</v>
      </c>
      <c r="BB6" s="63">
        <v>0</v>
      </c>
      <c r="BD6" s="60">
        <v>4</v>
      </c>
      <c r="BE6" s="61">
        <v>0.1</v>
      </c>
      <c r="BF6" s="62">
        <f>+SUM($BE$3:BE6)</f>
        <v>0.6</v>
      </c>
      <c r="BG6" s="58">
        <f t="shared" si="12"/>
        <v>7</v>
      </c>
      <c r="BH6" s="58">
        <f t="shared" si="13"/>
        <v>0.70000000000000007</v>
      </c>
      <c r="BI6" s="63">
        <v>0</v>
      </c>
      <c r="BK6" s="60">
        <v>4</v>
      </c>
      <c r="BL6" s="61">
        <v>0.2</v>
      </c>
      <c r="BM6" s="62">
        <f>+SUM($BL$3:BL6)</f>
        <v>0.7</v>
      </c>
      <c r="BN6" s="58">
        <f t="shared" si="14"/>
        <v>7</v>
      </c>
      <c r="BO6" s="58">
        <f t="shared" si="15"/>
        <v>1.4000000000000001</v>
      </c>
      <c r="BP6" s="63">
        <v>0</v>
      </c>
      <c r="BR6" s="60">
        <v>4</v>
      </c>
      <c r="BS6" s="61">
        <v>0.25</v>
      </c>
      <c r="BT6" s="62">
        <f>+SUM($BS$3:BS6)</f>
        <v>0.65</v>
      </c>
      <c r="BU6" s="58">
        <f t="shared" si="16"/>
        <v>7</v>
      </c>
      <c r="BV6" s="58">
        <f t="shared" si="17"/>
        <v>1.75</v>
      </c>
      <c r="BW6" s="63">
        <v>0</v>
      </c>
      <c r="BY6" s="60">
        <v>4</v>
      </c>
      <c r="BZ6" s="61">
        <v>0.04</v>
      </c>
      <c r="CA6" s="62">
        <f>+SUM($BZ$3:BZ6)</f>
        <v>0.94</v>
      </c>
      <c r="CB6" s="58">
        <f t="shared" si="18"/>
        <v>7</v>
      </c>
      <c r="CC6" s="58">
        <f t="shared" si="19"/>
        <v>0.28000000000000003</v>
      </c>
      <c r="CD6" s="63">
        <v>0</v>
      </c>
      <c r="CF6" s="60">
        <v>4</v>
      </c>
      <c r="CG6" s="61">
        <v>0</v>
      </c>
      <c r="CH6" s="62">
        <f>+SUM($CG$3:CG6)</f>
        <v>0</v>
      </c>
      <c r="CI6" s="58">
        <f t="shared" si="20"/>
        <v>7</v>
      </c>
      <c r="CJ6" s="58">
        <f t="shared" si="21"/>
        <v>0</v>
      </c>
      <c r="CK6" s="63">
        <v>0</v>
      </c>
      <c r="CM6" s="60">
        <v>4</v>
      </c>
      <c r="CN6" s="61">
        <v>7.0000000000000007E-2</v>
      </c>
      <c r="CO6" s="62">
        <f>+SUM($CN$3:CN6)</f>
        <v>0.99500000000000011</v>
      </c>
      <c r="CP6" s="83">
        <f t="shared" si="26"/>
        <v>7</v>
      </c>
      <c r="CQ6" s="58">
        <f t="shared" si="30"/>
        <v>0.49000000000000005</v>
      </c>
      <c r="CR6" s="63">
        <v>0</v>
      </c>
      <c r="CT6" s="60">
        <v>4</v>
      </c>
      <c r="CU6" s="61">
        <f t="shared" si="27"/>
        <v>7.0000000000000007E-2</v>
      </c>
      <c r="CV6" s="62">
        <f>+SUM($CU$3:CU6)</f>
        <v>0.99500000000000011</v>
      </c>
      <c r="CW6" s="84">
        <f t="shared" si="28"/>
        <v>14</v>
      </c>
      <c r="CX6" s="58">
        <f t="shared" si="31"/>
        <v>0.98000000000000009</v>
      </c>
      <c r="CY6" s="63">
        <v>0</v>
      </c>
      <c r="DA6" s="60">
        <v>4</v>
      </c>
      <c r="DB6" s="61">
        <v>0.15</v>
      </c>
      <c r="DC6" s="62">
        <f>+SUM($DB$3:DB6)</f>
        <v>0.25</v>
      </c>
      <c r="DD6" s="83">
        <f t="shared" si="29"/>
        <v>7</v>
      </c>
      <c r="DE6" s="58">
        <f t="shared" si="32"/>
        <v>1.05</v>
      </c>
      <c r="DF6" s="63">
        <v>0</v>
      </c>
    </row>
    <row r="7" spans="1:110">
      <c r="A7" s="75" t="s">
        <v>131</v>
      </c>
      <c r="B7" s="75">
        <f t="shared" ref="B7:B12" si="33">+E7/D7</f>
        <v>0.95238095238095233</v>
      </c>
      <c r="C7" s="3">
        <v>0</v>
      </c>
      <c r="D7" s="64">
        <f>+AM10</f>
        <v>21</v>
      </c>
      <c r="E7" s="3">
        <v>20</v>
      </c>
      <c r="G7" s="60">
        <v>5</v>
      </c>
      <c r="H7" s="61">
        <v>3.0000000000000001E-3</v>
      </c>
      <c r="I7" s="62">
        <f>+SUM($H$3:H7)</f>
        <v>0.99800000000000011</v>
      </c>
      <c r="J7" s="50">
        <v>10</v>
      </c>
      <c r="K7" s="58">
        <f t="shared" si="0"/>
        <v>0.03</v>
      </c>
      <c r="L7" s="63">
        <v>0</v>
      </c>
      <c r="N7" s="60">
        <v>5</v>
      </c>
      <c r="O7" s="61">
        <v>0.1</v>
      </c>
      <c r="P7" s="62">
        <f>+SUM($O$3:O7)</f>
        <v>0.93</v>
      </c>
      <c r="Q7" s="58">
        <f t="shared" si="1"/>
        <v>10</v>
      </c>
      <c r="R7" s="58">
        <f t="shared" si="2"/>
        <v>1</v>
      </c>
      <c r="S7" s="63">
        <v>0</v>
      </c>
      <c r="U7" s="60">
        <v>5</v>
      </c>
      <c r="V7" s="61">
        <v>0.1</v>
      </c>
      <c r="W7" s="62">
        <f>+SUM($V$3:V7)</f>
        <v>0.83000000000000007</v>
      </c>
      <c r="X7" s="58">
        <f t="shared" si="3"/>
        <v>10</v>
      </c>
      <c r="Y7" s="58">
        <f t="shared" si="4"/>
        <v>1</v>
      </c>
      <c r="Z7" s="63">
        <v>0</v>
      </c>
      <c r="AB7" s="60">
        <v>5</v>
      </c>
      <c r="AC7" s="61">
        <v>0.6</v>
      </c>
      <c r="AD7" s="62">
        <f>+SUM($AC$3:AC7)</f>
        <v>0.89</v>
      </c>
      <c r="AE7" s="58">
        <f t="shared" si="5"/>
        <v>10</v>
      </c>
      <c r="AF7" s="58">
        <f t="shared" si="6"/>
        <v>6</v>
      </c>
      <c r="AG7" s="63">
        <v>0</v>
      </c>
      <c r="AI7" s="60">
        <v>5</v>
      </c>
      <c r="AJ7" s="61">
        <v>0.35</v>
      </c>
      <c r="AK7" s="62">
        <f>+SUM($AJ$3:AJ7)</f>
        <v>0.35</v>
      </c>
      <c r="AL7" s="58">
        <f t="shared" si="7"/>
        <v>10</v>
      </c>
      <c r="AM7" s="58">
        <f t="shared" si="8"/>
        <v>3.5</v>
      </c>
      <c r="AN7" s="63">
        <v>0</v>
      </c>
      <c r="AP7" s="60">
        <v>5</v>
      </c>
      <c r="AQ7" s="61">
        <v>0</v>
      </c>
      <c r="AR7" s="62">
        <f>+SUM($AQ$3:AQ7)</f>
        <v>1</v>
      </c>
      <c r="AS7" s="58">
        <f t="shared" si="9"/>
        <v>10</v>
      </c>
      <c r="AT7" s="58">
        <f t="shared" si="25"/>
        <v>0</v>
      </c>
      <c r="AU7" s="63">
        <v>0</v>
      </c>
      <c r="AW7" s="60">
        <v>5</v>
      </c>
      <c r="AX7" s="61">
        <v>0.55000000000000004</v>
      </c>
      <c r="AY7" s="62">
        <f>+SUM($AX$3:AX7)</f>
        <v>0.92</v>
      </c>
      <c r="AZ7" s="58">
        <f t="shared" si="10"/>
        <v>10</v>
      </c>
      <c r="BA7" s="58">
        <f t="shared" si="11"/>
        <v>5.5</v>
      </c>
      <c r="BB7" s="63">
        <v>0</v>
      </c>
      <c r="BD7" s="60">
        <v>5</v>
      </c>
      <c r="BE7" s="61">
        <v>0.1</v>
      </c>
      <c r="BF7" s="62">
        <f>+SUM($BE$3:BE7)</f>
        <v>0.7</v>
      </c>
      <c r="BG7" s="58">
        <f t="shared" si="12"/>
        <v>10</v>
      </c>
      <c r="BH7" s="58">
        <f t="shared" si="13"/>
        <v>1</v>
      </c>
      <c r="BI7" s="63">
        <v>0</v>
      </c>
      <c r="BK7" s="60">
        <v>5</v>
      </c>
      <c r="BL7" s="61">
        <v>0.1</v>
      </c>
      <c r="BM7" s="62">
        <f>+SUM($BL$3:BL7)</f>
        <v>0.79999999999999993</v>
      </c>
      <c r="BN7" s="58">
        <f t="shared" si="14"/>
        <v>10</v>
      </c>
      <c r="BO7" s="58">
        <f t="shared" si="15"/>
        <v>1</v>
      </c>
      <c r="BP7" s="63">
        <v>0</v>
      </c>
      <c r="BR7" s="60">
        <v>5</v>
      </c>
      <c r="BS7" s="61">
        <v>0.1</v>
      </c>
      <c r="BT7" s="62">
        <f>+SUM($BS$3:BS7)</f>
        <v>0.75</v>
      </c>
      <c r="BU7" s="58">
        <f t="shared" si="16"/>
        <v>10</v>
      </c>
      <c r="BV7" s="58">
        <f t="shared" si="17"/>
        <v>1</v>
      </c>
      <c r="BW7" s="63">
        <v>0</v>
      </c>
      <c r="BY7" s="60">
        <v>5</v>
      </c>
      <c r="BZ7" s="61">
        <v>0.03</v>
      </c>
      <c r="CA7" s="62">
        <f>+SUM($BZ$3:BZ7)</f>
        <v>0.97</v>
      </c>
      <c r="CB7" s="58">
        <f t="shared" si="18"/>
        <v>10</v>
      </c>
      <c r="CC7" s="58">
        <f t="shared" si="19"/>
        <v>0.3</v>
      </c>
      <c r="CD7" s="63">
        <v>0</v>
      </c>
      <c r="CF7" s="60">
        <v>5</v>
      </c>
      <c r="CG7" s="61">
        <v>0</v>
      </c>
      <c r="CH7" s="62">
        <f>+SUM($CG$3:CG7)</f>
        <v>0</v>
      </c>
      <c r="CI7" s="58">
        <f t="shared" si="20"/>
        <v>10</v>
      </c>
      <c r="CJ7" s="58">
        <f t="shared" si="21"/>
        <v>0</v>
      </c>
      <c r="CK7" s="63">
        <v>0</v>
      </c>
      <c r="CM7" s="60">
        <v>5</v>
      </c>
      <c r="CN7" s="61">
        <v>3.0000000000000001E-3</v>
      </c>
      <c r="CO7" s="62">
        <f>+SUM($CN$3:CN7)</f>
        <v>0.99800000000000011</v>
      </c>
      <c r="CP7" s="83">
        <f t="shared" si="26"/>
        <v>10</v>
      </c>
      <c r="CQ7" s="58">
        <f t="shared" si="30"/>
        <v>0.03</v>
      </c>
      <c r="CR7" s="63">
        <v>0</v>
      </c>
      <c r="CT7" s="60">
        <v>5</v>
      </c>
      <c r="CU7" s="61">
        <f t="shared" si="27"/>
        <v>3.0000000000000001E-3</v>
      </c>
      <c r="CV7" s="62">
        <f>+SUM($CU$3:CU7)</f>
        <v>0.99800000000000011</v>
      </c>
      <c r="CW7" s="84">
        <f t="shared" si="28"/>
        <v>20</v>
      </c>
      <c r="CX7" s="58">
        <f t="shared" si="31"/>
        <v>0.06</v>
      </c>
      <c r="CY7" s="63">
        <v>0</v>
      </c>
      <c r="DA7" s="60">
        <v>5</v>
      </c>
      <c r="DB7" s="61">
        <v>0.15</v>
      </c>
      <c r="DC7" s="62">
        <f>+SUM($DB$3:DB7)</f>
        <v>0.4</v>
      </c>
      <c r="DD7" s="83">
        <f t="shared" si="29"/>
        <v>10</v>
      </c>
      <c r="DE7" s="58">
        <f t="shared" si="32"/>
        <v>1.5</v>
      </c>
      <c r="DF7" s="63">
        <v>0</v>
      </c>
    </row>
    <row r="8" spans="1:110">
      <c r="A8" s="75" t="s">
        <v>132</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0.1</v>
      </c>
      <c r="W8" s="62">
        <f>+SUM($V$3:V8)</f>
        <v>0.93</v>
      </c>
      <c r="X8" s="58">
        <f t="shared" si="3"/>
        <v>20</v>
      </c>
      <c r="Y8" s="58">
        <f t="shared" si="4"/>
        <v>2</v>
      </c>
      <c r="Z8" s="63">
        <v>0</v>
      </c>
      <c r="AB8" s="60">
        <v>6</v>
      </c>
      <c r="AC8" s="61">
        <v>0.1</v>
      </c>
      <c r="AD8" s="62">
        <f>+SUM($AC$3:AC8)</f>
        <v>0.99</v>
      </c>
      <c r="AE8" s="58">
        <f t="shared" si="5"/>
        <v>20</v>
      </c>
      <c r="AF8" s="58">
        <f t="shared" si="6"/>
        <v>2</v>
      </c>
      <c r="AG8" s="63">
        <v>0</v>
      </c>
      <c r="AI8" s="60">
        <v>6</v>
      </c>
      <c r="AJ8" s="61">
        <v>0.5</v>
      </c>
      <c r="AK8" s="62">
        <f>+SUM($AJ$3:AJ8)</f>
        <v>0.85</v>
      </c>
      <c r="AL8" s="58">
        <f t="shared" si="7"/>
        <v>20</v>
      </c>
      <c r="AM8" s="58">
        <f t="shared" si="8"/>
        <v>10</v>
      </c>
      <c r="AN8" s="63">
        <v>0</v>
      </c>
      <c r="AP8" s="60">
        <v>6</v>
      </c>
      <c r="AQ8" s="61">
        <v>0</v>
      </c>
      <c r="AR8" s="62">
        <f>+SUM($AQ$3:AQ8)</f>
        <v>1</v>
      </c>
      <c r="AS8" s="58">
        <f t="shared" si="9"/>
        <v>20</v>
      </c>
      <c r="AT8" s="58">
        <f t="shared" si="25"/>
        <v>0</v>
      </c>
      <c r="AU8" s="63">
        <v>0</v>
      </c>
      <c r="AW8" s="60">
        <v>6</v>
      </c>
      <c r="AX8" s="61">
        <v>0.05</v>
      </c>
      <c r="AY8" s="62">
        <f>+SUM($AX$3:AX8)</f>
        <v>0.97000000000000008</v>
      </c>
      <c r="AZ8" s="58">
        <f t="shared" si="10"/>
        <v>20</v>
      </c>
      <c r="BA8" s="58">
        <f t="shared" si="11"/>
        <v>1</v>
      </c>
      <c r="BB8" s="63">
        <v>0</v>
      </c>
      <c r="BD8" s="60">
        <v>6</v>
      </c>
      <c r="BE8" s="61">
        <v>0.2</v>
      </c>
      <c r="BF8" s="62">
        <f>+SUM($BE$3:BE8)</f>
        <v>0.89999999999999991</v>
      </c>
      <c r="BG8" s="58">
        <f t="shared" si="12"/>
        <v>20</v>
      </c>
      <c r="BH8" s="58">
        <f t="shared" si="13"/>
        <v>4</v>
      </c>
      <c r="BI8" s="63">
        <v>0</v>
      </c>
      <c r="BK8" s="60">
        <v>6</v>
      </c>
      <c r="BL8" s="61">
        <v>0.1</v>
      </c>
      <c r="BM8" s="62">
        <f>+SUM($BL$3:BL8)</f>
        <v>0.89999999999999991</v>
      </c>
      <c r="BN8" s="58">
        <f t="shared" si="14"/>
        <v>20</v>
      </c>
      <c r="BO8" s="58">
        <f t="shared" si="15"/>
        <v>2</v>
      </c>
      <c r="BP8" s="63">
        <v>0</v>
      </c>
      <c r="BR8" s="60">
        <v>6</v>
      </c>
      <c r="BS8" s="61">
        <v>0.15</v>
      </c>
      <c r="BT8" s="62">
        <f>+SUM($BS$3:BS8)</f>
        <v>0.9</v>
      </c>
      <c r="BU8" s="58">
        <f t="shared" si="16"/>
        <v>20</v>
      </c>
      <c r="BV8" s="58">
        <f t="shared" si="17"/>
        <v>3</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v>1E-3</v>
      </c>
      <c r="CO8" s="62">
        <f>+SUM($CN$3:CN8)</f>
        <v>0.99900000000000011</v>
      </c>
      <c r="CP8" s="83">
        <f t="shared" si="26"/>
        <v>20</v>
      </c>
      <c r="CQ8" s="58">
        <f t="shared" si="30"/>
        <v>0.02</v>
      </c>
      <c r="CR8" s="63">
        <v>0</v>
      </c>
      <c r="CT8" s="60">
        <v>6</v>
      </c>
      <c r="CU8" s="61">
        <f t="shared" si="27"/>
        <v>1E-3</v>
      </c>
      <c r="CV8" s="62">
        <f>+SUM($CU$3:CU8)</f>
        <v>0.99900000000000011</v>
      </c>
      <c r="CW8" s="84">
        <f t="shared" si="28"/>
        <v>40</v>
      </c>
      <c r="CX8" s="58">
        <f t="shared" si="31"/>
        <v>0.04</v>
      </c>
      <c r="CY8" s="63">
        <v>0</v>
      </c>
      <c r="DA8" s="60">
        <v>6</v>
      </c>
      <c r="DB8" s="61">
        <v>0.32</v>
      </c>
      <c r="DC8" s="62">
        <f>+SUM($DB$3:DB8)</f>
        <v>0.72</v>
      </c>
      <c r="DD8" s="83">
        <f t="shared" si="29"/>
        <v>20</v>
      </c>
      <c r="DE8" s="58">
        <f t="shared" si="32"/>
        <v>6.4</v>
      </c>
      <c r="DF8" s="63">
        <v>0</v>
      </c>
    </row>
    <row r="9" spans="1:110">
      <c r="A9" s="75" t="s">
        <v>133</v>
      </c>
      <c r="B9" s="75">
        <f t="shared" si="33"/>
        <v>0.94786729857819929</v>
      </c>
      <c r="C9" s="3">
        <v>0</v>
      </c>
      <c r="D9" s="64">
        <f>+BA10</f>
        <v>10.549999999999997</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6.9999999999999951E-2</v>
      </c>
      <c r="W9" s="62">
        <f>+SUM($V$3:V9)</f>
        <v>1</v>
      </c>
      <c r="X9" s="58">
        <f t="shared" si="3"/>
        <v>50</v>
      </c>
      <c r="Y9" s="58">
        <f t="shared" si="4"/>
        <v>3.4999999999999973</v>
      </c>
      <c r="Z9" s="63">
        <v>0</v>
      </c>
      <c r="AB9" s="60">
        <v>7</v>
      </c>
      <c r="AC9" s="66">
        <f>1-SUM(AC3:AC8)</f>
        <v>1.0000000000000009E-2</v>
      </c>
      <c r="AD9" s="62">
        <f>+SUM($AC$3:AC9)</f>
        <v>1</v>
      </c>
      <c r="AE9" s="58">
        <f t="shared" si="5"/>
        <v>50</v>
      </c>
      <c r="AF9" s="58">
        <f t="shared" si="6"/>
        <v>0.50000000000000044</v>
      </c>
      <c r="AG9" s="63">
        <v>0</v>
      </c>
      <c r="AI9" s="60">
        <v>7</v>
      </c>
      <c r="AJ9" s="66">
        <f>1-SUM(AJ3:AJ8)</f>
        <v>0.15000000000000002</v>
      </c>
      <c r="AK9" s="62">
        <f>+SUM($AJ$3:AJ9)</f>
        <v>1</v>
      </c>
      <c r="AL9" s="58">
        <f t="shared" si="7"/>
        <v>50</v>
      </c>
      <c r="AM9" s="58">
        <f t="shared" si="8"/>
        <v>7.5000000000000009</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0.10000000000000009</v>
      </c>
      <c r="BF9" s="62">
        <f>+SUM($BE$3:BE9)</f>
        <v>1</v>
      </c>
      <c r="BG9" s="58">
        <f t="shared" si="12"/>
        <v>50</v>
      </c>
      <c r="BH9" s="58">
        <f t="shared" si="13"/>
        <v>5.0000000000000044</v>
      </c>
      <c r="BI9" s="63">
        <v>0</v>
      </c>
      <c r="BK9" s="60">
        <v>7</v>
      </c>
      <c r="BL9" s="66">
        <f>1-SUM(BL3:BL8)</f>
        <v>0.10000000000000009</v>
      </c>
      <c r="BM9" s="62">
        <f>+SUM($BL$3:BL9)</f>
        <v>1</v>
      </c>
      <c r="BN9" s="58">
        <f t="shared" si="14"/>
        <v>50</v>
      </c>
      <c r="BO9" s="58">
        <f t="shared" si="15"/>
        <v>5.0000000000000044</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6"/>
        <v>50</v>
      </c>
      <c r="CQ9" s="58">
        <f t="shared" si="30"/>
        <v>4.9999999999994493E-2</v>
      </c>
      <c r="CR9" s="63">
        <v>0</v>
      </c>
      <c r="CT9" s="60">
        <v>7</v>
      </c>
      <c r="CU9" s="66">
        <f>1-SUM(CU3:CU8)</f>
        <v>9.9999999999988987E-4</v>
      </c>
      <c r="CV9" s="62">
        <f>+SUM($CU$3:CU9)</f>
        <v>1</v>
      </c>
      <c r="CW9" s="84">
        <f t="shared" si="28"/>
        <v>100</v>
      </c>
      <c r="CX9" s="58">
        <f t="shared" si="31"/>
        <v>9.9999999999988987E-2</v>
      </c>
      <c r="CY9" s="63">
        <v>0</v>
      </c>
      <c r="DA9" s="60">
        <v>7</v>
      </c>
      <c r="DB9" s="66">
        <f>1-SUM(DB3:DB8)</f>
        <v>0.28000000000000003</v>
      </c>
      <c r="DC9" s="62">
        <f>+SUM($DB$3:DB9)</f>
        <v>1</v>
      </c>
      <c r="DD9" s="83">
        <f t="shared" si="29"/>
        <v>50</v>
      </c>
      <c r="DE9" s="58">
        <f t="shared" si="32"/>
        <v>14.000000000000002</v>
      </c>
      <c r="DF9" s="63">
        <v>0</v>
      </c>
    </row>
    <row r="10" spans="1:110">
      <c r="A10" s="75" t="s">
        <v>134</v>
      </c>
      <c r="B10" s="75">
        <f t="shared" si="33"/>
        <v>0.86614173228346425</v>
      </c>
      <c r="C10" s="3">
        <v>0</v>
      </c>
      <c r="D10" s="64">
        <f>+BH10</f>
        <v>12.700000000000005</v>
      </c>
      <c r="E10" s="3">
        <v>11</v>
      </c>
      <c r="G10" s="50" t="s">
        <v>70</v>
      </c>
      <c r="H10" s="50">
        <f>+SUM(H3:H9)</f>
        <v>1</v>
      </c>
      <c r="I10" s="50"/>
      <c r="J10" s="50"/>
      <c r="K10" s="51">
        <f>+SUM(K3:K9)</f>
        <v>3.0749999999999944</v>
      </c>
      <c r="L10" s="51"/>
      <c r="N10" s="50" t="s">
        <v>70</v>
      </c>
      <c r="O10" s="50">
        <f>+SUM(O3:O9)</f>
        <v>1</v>
      </c>
      <c r="P10" s="50"/>
      <c r="Q10" s="50"/>
      <c r="R10" s="51">
        <f>+SUM(R3:R9)</f>
        <v>7.6499999999999977</v>
      </c>
      <c r="S10" s="51"/>
      <c r="U10" s="50" t="s">
        <v>70</v>
      </c>
      <c r="V10" s="50">
        <f>+SUM(V3:V9)</f>
        <v>1</v>
      </c>
      <c r="W10" s="50"/>
      <c r="X10" s="50"/>
      <c r="Y10" s="51">
        <f>+SUM(Y3:Y9)</f>
        <v>9.3399999999999963</v>
      </c>
      <c r="Z10" s="51"/>
      <c r="AB10" s="50" t="s">
        <v>70</v>
      </c>
      <c r="AC10" s="50">
        <f>+SUM(AC3:AC9)</f>
        <v>1</v>
      </c>
      <c r="AD10" s="50"/>
      <c r="AE10" s="50"/>
      <c r="AF10" s="51">
        <f>+SUM(AF3:AF9)</f>
        <v>10.469999999999999</v>
      </c>
      <c r="AG10" s="51"/>
      <c r="AI10" s="50" t="s">
        <v>70</v>
      </c>
      <c r="AJ10" s="50">
        <f>+SUM(AJ3:AJ9)</f>
        <v>1</v>
      </c>
      <c r="AK10" s="50"/>
      <c r="AL10" s="50"/>
      <c r="AM10" s="51">
        <f>+SUM(AM3:AM9)</f>
        <v>21</v>
      </c>
      <c r="AN10" s="51"/>
      <c r="AP10" s="50" t="s">
        <v>70</v>
      </c>
      <c r="AQ10" s="50">
        <f>+SUM(AQ3:AQ9)</f>
        <v>1</v>
      </c>
      <c r="AR10" s="50"/>
      <c r="AS10" s="50"/>
      <c r="AT10" s="51">
        <f>+SUM(AT3:AT9)</f>
        <v>5</v>
      </c>
      <c r="AU10" s="51"/>
      <c r="AW10" s="50" t="s">
        <v>70</v>
      </c>
      <c r="AX10" s="50">
        <f>+SUM(AX3:AX9)</f>
        <v>1</v>
      </c>
      <c r="AY10" s="50"/>
      <c r="AZ10" s="50"/>
      <c r="BA10" s="51">
        <f>+SUM(BA3:BA9)</f>
        <v>10.549999999999997</v>
      </c>
      <c r="BB10" s="51"/>
      <c r="BD10" s="50" t="s">
        <v>70</v>
      </c>
      <c r="BE10" s="50">
        <f>+SUM(BE3:BE9)</f>
        <v>1</v>
      </c>
      <c r="BF10" s="50"/>
      <c r="BG10" s="50"/>
      <c r="BH10" s="51">
        <f>+SUM(BH3:BH9)</f>
        <v>12.700000000000005</v>
      </c>
      <c r="BI10" s="51"/>
      <c r="BK10" s="50" t="s">
        <v>70</v>
      </c>
      <c r="BL10" s="50">
        <f>+SUM(BL3:BL9)</f>
        <v>1</v>
      </c>
      <c r="BM10" s="50"/>
      <c r="BN10" s="50"/>
      <c r="BO10" s="51">
        <f>+SUM(BO3:BO9)</f>
        <v>11.400000000000006</v>
      </c>
      <c r="BP10" s="51"/>
      <c r="BR10" s="50" t="s">
        <v>70</v>
      </c>
      <c r="BS10" s="50">
        <f>+SUM(BS3:BS9)</f>
        <v>1</v>
      </c>
      <c r="BT10" s="50"/>
      <c r="BU10" s="50"/>
      <c r="BV10" s="51">
        <f>+SUM(BV3:BV9)</f>
        <v>12.25</v>
      </c>
      <c r="BW10" s="51"/>
      <c r="BY10" s="50" t="s">
        <v>70</v>
      </c>
      <c r="BZ10" s="50">
        <f>+SUM(BZ3:BZ9)</f>
        <v>1</v>
      </c>
      <c r="CA10" s="50"/>
      <c r="CB10" s="50"/>
      <c r="CC10" s="51">
        <f>+SUM(CC3:CC9)</f>
        <v>4.2300000000000004</v>
      </c>
      <c r="CD10" s="51"/>
      <c r="CF10" s="50" t="s">
        <v>70</v>
      </c>
      <c r="CG10" s="50">
        <f>+SUM(CG3:CG9)</f>
        <v>1</v>
      </c>
      <c r="CH10" s="50"/>
      <c r="CI10" s="50"/>
      <c r="CJ10" s="51">
        <f>+SUM(CJ3:CJ9)</f>
        <v>50</v>
      </c>
      <c r="CK10" s="51"/>
      <c r="CM10" s="50" t="s">
        <v>70</v>
      </c>
      <c r="CN10" s="50">
        <f>+SUM(CN3:CN9)</f>
        <v>1</v>
      </c>
      <c r="CO10" s="50"/>
      <c r="CP10" s="50"/>
      <c r="CQ10" s="51">
        <f>+SUM(CQ3:CQ9)</f>
        <v>3.0749999999999944</v>
      </c>
      <c r="CR10" s="51"/>
      <c r="CT10" s="50" t="s">
        <v>70</v>
      </c>
      <c r="CU10" s="50">
        <f>+SUM(CU3:CU9)</f>
        <v>1</v>
      </c>
      <c r="CV10" s="50"/>
      <c r="CW10" s="50"/>
      <c r="CX10" s="51">
        <f>+SUM(CX3:CX9)</f>
        <v>6.1499999999999888</v>
      </c>
      <c r="CY10" s="51"/>
      <c r="DA10" s="50" t="s">
        <v>70</v>
      </c>
      <c r="DB10" s="50">
        <f>+SUM(DB3:DB9)</f>
        <v>1</v>
      </c>
      <c r="DC10" s="50"/>
      <c r="DD10" s="50"/>
      <c r="DE10" s="51">
        <f>+SUM(DE3:DE9)</f>
        <v>23.450000000000003</v>
      </c>
      <c r="DF10" s="51"/>
    </row>
    <row r="11" spans="1:110">
      <c r="A11" s="75" t="s">
        <v>135</v>
      </c>
      <c r="B11" s="75">
        <f t="shared" si="33"/>
        <v>0.96491228070175394</v>
      </c>
      <c r="C11" s="3">
        <v>0</v>
      </c>
      <c r="D11" s="64">
        <f>+BO10</f>
        <v>11.400000000000006</v>
      </c>
      <c r="E11" s="3">
        <v>11</v>
      </c>
    </row>
    <row r="12" spans="1:110">
      <c r="A12" s="75" t="s">
        <v>136</v>
      </c>
      <c r="B12" s="75">
        <f t="shared" si="33"/>
        <v>0.81632653061224492</v>
      </c>
      <c r="C12" s="3">
        <v>0</v>
      </c>
      <c r="D12" s="64">
        <f>+BV10</f>
        <v>12.25</v>
      </c>
      <c r="E12" s="3">
        <v>10</v>
      </c>
    </row>
    <row r="13" spans="1:110">
      <c r="A13" s="85" t="s">
        <v>164</v>
      </c>
      <c r="B13" s="58">
        <f>+E13/D13</f>
        <v>0.42601626016260241</v>
      </c>
      <c r="C13" s="3">
        <f>1/B13/Summary!$C$7</f>
        <v>2.3473282442748049E-3</v>
      </c>
      <c r="D13" s="86">
        <f>+CQ10</f>
        <v>3.0749999999999944</v>
      </c>
      <c r="E13" s="3">
        <f>+E3*2</f>
        <v>1.31</v>
      </c>
    </row>
    <row r="14" spans="1:110">
      <c r="A14" s="85" t="s">
        <v>165</v>
      </c>
      <c r="B14" s="58">
        <f>+E14/D14</f>
        <v>0.21300813008130121</v>
      </c>
      <c r="C14" s="3">
        <f>1/B14/Summary!$C$7</f>
        <v>4.6946564885496098E-3</v>
      </c>
      <c r="D14" s="86">
        <f>+CX10</f>
        <v>6.1499999999999888</v>
      </c>
      <c r="E14" s="3">
        <f>+E13</f>
        <v>1.31</v>
      </c>
    </row>
    <row r="15" spans="1:110">
      <c r="A15" s="75" t="s">
        <v>163</v>
      </c>
      <c r="B15" s="58">
        <f>+E15/D15</f>
        <v>0.85287846481876317</v>
      </c>
      <c r="C15" s="3">
        <v>0</v>
      </c>
      <c r="D15" s="86">
        <f>+DE10</f>
        <v>23.450000000000003</v>
      </c>
      <c r="E15" s="3">
        <v>20</v>
      </c>
    </row>
    <row r="16" spans="1:110">
      <c r="A16" s="3" t="s">
        <v>116</v>
      </c>
      <c r="B16" s="58">
        <f>+E16/D16</f>
        <v>1</v>
      </c>
      <c r="C16" s="3">
        <v>0</v>
      </c>
      <c r="D16" s="64">
        <f>+CJ10</f>
        <v>50</v>
      </c>
      <c r="E16" s="3">
        <v>50</v>
      </c>
    </row>
    <row r="17" spans="1:2">
      <c r="A17" s="3" t="s">
        <v>117</v>
      </c>
      <c r="B17" s="65" t="str">
        <f>+CONCATENATE("x",J3," - x",J9)</f>
        <v>x2 - x50</v>
      </c>
    </row>
    <row r="19" spans="1:2">
      <c r="A19" t="s">
        <v>169</v>
      </c>
    </row>
  </sheetData>
  <mergeCells count="15">
    <mergeCell ref="CM1:CR1"/>
    <mergeCell ref="CT1:CY1"/>
    <mergeCell ref="DA1:DF1"/>
    <mergeCell ref="G1:L1"/>
    <mergeCell ref="N1:S1"/>
    <mergeCell ref="U1:Z1"/>
    <mergeCell ref="AB1:AG1"/>
    <mergeCell ref="CF1:CK1"/>
    <mergeCell ref="AI1:AN1"/>
    <mergeCell ref="AP1:AU1"/>
    <mergeCell ref="AW1:BB1"/>
    <mergeCell ref="BD1:BI1"/>
    <mergeCell ref="BK1:BP1"/>
    <mergeCell ref="BR1:BW1"/>
    <mergeCell ref="BY1:CD1"/>
  </mergeCells>
  <conditionalFormatting sqref="H3:H9 O3:O9 CG3:CG9 V3:V9 AC3:AC9 AJ3:AJ9 AQ3:AQ9 AX3:AX9 BZ3:BZ9 BE3:BE9 BL3:BL9 BS3:BS9 CN3:CN9 CU3:CU9 DB3:DB9">
    <cfRule type="cellIs" priority="50" operator="lessThan">
      <formula>0</formula>
    </cfRule>
    <cfRule type="cellIs" priority="51" operator="greaterThan">
      <formula>1</formula>
    </cfRule>
  </conditionalFormatting>
  <conditionalFormatting sqref="H3:H9 O3:O9 CG3:CG9 V3:V9 AC3:AC9 AJ3:AJ9 AQ3:AQ9 AX3:AX9 BZ3:BZ9 BE3:BE9 BL3:BL9 BS3:BS9 CN3:CN9 CU3:CU9 DB3:DB9">
    <cfRule type="cellIs" priority="52" operator="equal">
      <formula>0</formula>
    </cfRule>
  </conditionalFormatting>
  <conditionalFormatting sqref="B3:B16">
    <cfRule type="cellIs" priority="53" operator="greaterThan">
      <formula>1</formula>
    </cfRule>
    <cfRule type="cellIs" priority="54"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9.xml><?xml version="1.0" encoding="utf-8"?>
<worksheet xmlns="http://schemas.openxmlformats.org/spreadsheetml/2006/main" xmlns:r="http://schemas.openxmlformats.org/officeDocument/2006/relationships">
  <sheetPr codeName="Hoja35"/>
  <dimension ref="A1:DF19"/>
  <sheetViews>
    <sheetView workbookViewId="0">
      <pane xSplit="6" ySplit="1" topLeftCell="DA2" activePane="bottomRight" state="frozen"/>
      <selection pane="topRight" activeCell="G1" sqref="G1"/>
      <selection pane="bottomLeft" activeCell="A2" sqref="A2"/>
      <selection pane="bottomRight" activeCell="E11" sqref="E11"/>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118</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0.19758672699849203</v>
      </c>
      <c r="C3" s="3">
        <f>1/B3/Summary!$C$7</f>
        <v>5.0610687022900683E-3</v>
      </c>
      <c r="D3" s="59">
        <f>+K10</f>
        <v>3.3149999999999946</v>
      </c>
      <c r="E3" s="3">
        <v>0.65500000000000003</v>
      </c>
      <c r="G3" s="60">
        <v>1</v>
      </c>
      <c r="H3" s="61">
        <v>0.3</v>
      </c>
      <c r="I3" s="62">
        <f>+SUM($H3:H3)</f>
        <v>0.3</v>
      </c>
      <c r="J3" s="50">
        <v>2</v>
      </c>
      <c r="K3" s="58">
        <f t="shared" ref="K3:K9" si="0">+H3*J3</f>
        <v>0.6</v>
      </c>
      <c r="L3" s="63">
        <v>0</v>
      </c>
      <c r="N3" s="60">
        <v>1</v>
      </c>
      <c r="O3" s="61">
        <v>0.1</v>
      </c>
      <c r="P3" s="62">
        <f>+SUM($O3:O$3)</f>
        <v>0.1</v>
      </c>
      <c r="Q3" s="58">
        <f t="shared" ref="Q3:Q9" si="1">+J3</f>
        <v>2</v>
      </c>
      <c r="R3" s="58">
        <f t="shared" ref="R3:R9" si="2">+O3*Q3</f>
        <v>0.2</v>
      </c>
      <c r="S3" s="63">
        <v>0</v>
      </c>
      <c r="U3" s="60">
        <v>1</v>
      </c>
      <c r="V3" s="61">
        <v>0.1</v>
      </c>
      <c r="W3" s="62">
        <f>+SUM($V3:V$3)</f>
        <v>0.1</v>
      </c>
      <c r="X3" s="58">
        <f t="shared" ref="X3:X9" si="3">+J3</f>
        <v>2</v>
      </c>
      <c r="Y3" s="58">
        <f t="shared" ref="Y3:Y9" si="4">+V3*X3</f>
        <v>0.2</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0.05</v>
      </c>
      <c r="BF3" s="62">
        <f>+SUM($BE$3:BE3)</f>
        <v>0.05</v>
      </c>
      <c r="BG3" s="58">
        <f t="shared" ref="BG3:BG9" si="12">+AL3</f>
        <v>2</v>
      </c>
      <c r="BH3" s="58">
        <f t="shared" ref="BH3:BH9" si="13">+BE3*BG3</f>
        <v>0.1</v>
      </c>
      <c r="BI3" s="63">
        <v>0</v>
      </c>
      <c r="BK3" s="60">
        <v>1</v>
      </c>
      <c r="BL3" s="61">
        <v>0.05</v>
      </c>
      <c r="BM3" s="62">
        <f>+SUM($BL$3:BL3)</f>
        <v>0.05</v>
      </c>
      <c r="BN3" s="58">
        <f t="shared" ref="BN3:BN9" si="14">+AS3</f>
        <v>2</v>
      </c>
      <c r="BO3" s="58">
        <f t="shared" ref="BO3:BO9" si="15">+BL3*BN3</f>
        <v>0.1</v>
      </c>
      <c r="BP3" s="63">
        <v>0</v>
      </c>
      <c r="BR3" s="60">
        <v>1</v>
      </c>
      <c r="BS3" s="61">
        <v>0.09</v>
      </c>
      <c r="BT3" s="62">
        <f>+SUM($BS$3:BS3)</f>
        <v>0.09</v>
      </c>
      <c r="BU3" s="58">
        <f t="shared" ref="BU3:BU9" si="16">+AZ3</f>
        <v>2</v>
      </c>
      <c r="BV3" s="58">
        <f t="shared" ref="BV3:BV9" si="17">+BS3*BU3</f>
        <v>0.18</v>
      </c>
      <c r="BW3" s="63">
        <v>0</v>
      </c>
      <c r="BY3" s="60">
        <v>1</v>
      </c>
      <c r="BZ3" s="61">
        <v>0.36</v>
      </c>
      <c r="CA3" s="62">
        <f>+SUM($BZ$3:BZ3)</f>
        <v>0.36</v>
      </c>
      <c r="CB3" s="58">
        <f t="shared" ref="CB3:CB9" si="18">+BG3</f>
        <v>2</v>
      </c>
      <c r="CC3" s="58">
        <f t="shared" ref="CC3:CC9" si="19">+BZ3*CB3</f>
        <v>0.72</v>
      </c>
      <c r="CD3" s="63">
        <v>0</v>
      </c>
      <c r="CF3" s="60">
        <v>1</v>
      </c>
      <c r="CG3" s="61">
        <v>0</v>
      </c>
      <c r="CH3" s="62">
        <f>+SUM($CG$3:CG3)</f>
        <v>0</v>
      </c>
      <c r="CI3" s="58">
        <f t="shared" ref="CI3:CI9" si="20">+BG3</f>
        <v>2</v>
      </c>
      <c r="CJ3" s="58">
        <f t="shared" ref="CJ3:CJ9" si="21">+CG3*CI3</f>
        <v>0</v>
      </c>
      <c r="CK3" s="63">
        <v>0</v>
      </c>
      <c r="CM3" s="60">
        <v>1</v>
      </c>
      <c r="CN3" s="61">
        <f>+H3</f>
        <v>0.3</v>
      </c>
      <c r="CO3" s="62">
        <f>+SUM($CN$3:CN3)</f>
        <v>0.3</v>
      </c>
      <c r="CP3" s="83">
        <f>+J3</f>
        <v>2</v>
      </c>
      <c r="CQ3" s="58">
        <f t="shared" ref="CQ3" si="22">+CN3*CP3</f>
        <v>0.6</v>
      </c>
      <c r="CR3" s="63">
        <v>0</v>
      </c>
      <c r="CT3" s="60">
        <v>1</v>
      </c>
      <c r="CU3" s="61">
        <f>+H3</f>
        <v>0.3</v>
      </c>
      <c r="CV3" s="62">
        <f>+SUM($CU$3:CU3)</f>
        <v>0.3</v>
      </c>
      <c r="CW3" s="84">
        <f>+J3*2</f>
        <v>4</v>
      </c>
      <c r="CX3" s="58">
        <f t="shared" ref="CX3" si="23">+CU3*CW3</f>
        <v>1.2</v>
      </c>
      <c r="CY3" s="63">
        <v>0</v>
      </c>
      <c r="DA3" s="60">
        <v>1</v>
      </c>
      <c r="DB3" s="61">
        <v>0</v>
      </c>
      <c r="DC3" s="62">
        <f>+SUM($DB$3:DB3)</f>
        <v>0</v>
      </c>
      <c r="DD3" s="83">
        <f>+J3</f>
        <v>2</v>
      </c>
      <c r="DE3" s="58">
        <f t="shared" ref="DE3" si="24">+DB3*DD3</f>
        <v>0</v>
      </c>
      <c r="DF3" s="63">
        <v>0</v>
      </c>
    </row>
    <row r="4" spans="1:110">
      <c r="A4" s="3" t="s">
        <v>113</v>
      </c>
      <c r="B4" s="58">
        <f>+E4/D4</f>
        <v>0.60679611650485443</v>
      </c>
      <c r="C4" s="3">
        <v>0</v>
      </c>
      <c r="D4" s="64">
        <f>+R10</f>
        <v>8.2399999999999984</v>
      </c>
      <c r="E4" s="3">
        <v>5</v>
      </c>
      <c r="G4" s="60">
        <v>2</v>
      </c>
      <c r="H4" s="61">
        <v>0.5</v>
      </c>
      <c r="I4" s="62">
        <f>+SUM($H$3:H4)</f>
        <v>0.8</v>
      </c>
      <c r="J4" s="50">
        <v>3</v>
      </c>
      <c r="K4" s="58">
        <f t="shared" si="0"/>
        <v>1.5</v>
      </c>
      <c r="L4" s="63">
        <v>0</v>
      </c>
      <c r="N4" s="60">
        <v>2</v>
      </c>
      <c r="O4" s="61">
        <v>0.23</v>
      </c>
      <c r="P4" s="62">
        <f>+SUM($O$3:O4)</f>
        <v>0.33</v>
      </c>
      <c r="Q4" s="58">
        <f t="shared" si="1"/>
        <v>3</v>
      </c>
      <c r="R4" s="58">
        <f t="shared" si="2"/>
        <v>0.69000000000000006</v>
      </c>
      <c r="S4" s="63">
        <v>0</v>
      </c>
      <c r="U4" s="60">
        <v>2</v>
      </c>
      <c r="V4" s="61">
        <v>0.25</v>
      </c>
      <c r="W4" s="62">
        <f>+SUM($V$3:V4)</f>
        <v>0.35</v>
      </c>
      <c r="X4" s="58">
        <f t="shared" si="3"/>
        <v>3</v>
      </c>
      <c r="Y4" s="58">
        <f t="shared" si="4"/>
        <v>0.75</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0.15000000000000002</v>
      </c>
      <c r="BG4" s="58">
        <f t="shared" si="12"/>
        <v>3</v>
      </c>
      <c r="BH4" s="58">
        <f t="shared" si="13"/>
        <v>0.30000000000000004</v>
      </c>
      <c r="BI4" s="63">
        <v>0</v>
      </c>
      <c r="BK4" s="60">
        <v>2</v>
      </c>
      <c r="BL4" s="61">
        <v>0.1</v>
      </c>
      <c r="BM4" s="62">
        <f>+SUM($BL$3:BL4)</f>
        <v>0.15000000000000002</v>
      </c>
      <c r="BN4" s="58">
        <f t="shared" si="14"/>
        <v>3</v>
      </c>
      <c r="BO4" s="58">
        <f t="shared" si="15"/>
        <v>0.30000000000000004</v>
      </c>
      <c r="BP4" s="63">
        <v>0</v>
      </c>
      <c r="BR4" s="60">
        <v>2</v>
      </c>
      <c r="BS4" s="61">
        <v>0.1</v>
      </c>
      <c r="BT4" s="62">
        <f>+SUM($BS$3:BS4)</f>
        <v>0.19</v>
      </c>
      <c r="BU4" s="58">
        <f t="shared" si="16"/>
        <v>3</v>
      </c>
      <c r="BV4" s="58">
        <f t="shared" si="17"/>
        <v>0.30000000000000004</v>
      </c>
      <c r="BW4" s="63">
        <v>0</v>
      </c>
      <c r="BY4" s="60">
        <v>2</v>
      </c>
      <c r="BZ4" s="61">
        <v>0.34</v>
      </c>
      <c r="CA4" s="62">
        <f>+SUM($BZ$3:BZ4)</f>
        <v>0.7</v>
      </c>
      <c r="CB4" s="58">
        <f t="shared" si="18"/>
        <v>3</v>
      </c>
      <c r="CC4" s="58">
        <f t="shared" si="19"/>
        <v>1.02</v>
      </c>
      <c r="CD4" s="63">
        <v>0</v>
      </c>
      <c r="CF4" s="60">
        <v>2</v>
      </c>
      <c r="CG4" s="61">
        <v>0</v>
      </c>
      <c r="CH4" s="62">
        <f>+SUM($CG$3:CG4)</f>
        <v>0</v>
      </c>
      <c r="CI4" s="58">
        <f t="shared" si="20"/>
        <v>3</v>
      </c>
      <c r="CJ4" s="58">
        <f t="shared" si="21"/>
        <v>0</v>
      </c>
      <c r="CK4" s="63">
        <v>0</v>
      </c>
      <c r="CM4" s="60">
        <v>2</v>
      </c>
      <c r="CN4" s="61">
        <f t="shared" ref="CN4:CN8" si="26">+H4</f>
        <v>0.5</v>
      </c>
      <c r="CO4" s="62">
        <f>+SUM($CN$3:CN4)</f>
        <v>0.8</v>
      </c>
      <c r="CP4" s="83">
        <f t="shared" ref="CP4:CP9" si="27">+J4</f>
        <v>3</v>
      </c>
      <c r="CQ4" s="58">
        <f>+CN4*CP4</f>
        <v>1.5</v>
      </c>
      <c r="CR4" s="63">
        <v>0</v>
      </c>
      <c r="CT4" s="60">
        <v>2</v>
      </c>
      <c r="CU4" s="61">
        <f t="shared" ref="CU4:CU8" si="28">+H4</f>
        <v>0.5</v>
      </c>
      <c r="CV4" s="62">
        <f>+SUM($CU$3:CU4)</f>
        <v>0.8</v>
      </c>
      <c r="CW4" s="84">
        <f t="shared" ref="CW4:CW9" si="29">+J4*2</f>
        <v>6</v>
      </c>
      <c r="CX4" s="58">
        <f>+CU4*CW4</f>
        <v>3</v>
      </c>
      <c r="CY4" s="63">
        <v>0</v>
      </c>
      <c r="DA4" s="60">
        <v>2</v>
      </c>
      <c r="DB4" s="61">
        <v>0</v>
      </c>
      <c r="DC4" s="62">
        <f>+SUM($DB$3:DB4)</f>
        <v>0</v>
      </c>
      <c r="DD4" s="83">
        <f t="shared" ref="DD4:DD9" si="30">+J4</f>
        <v>3</v>
      </c>
      <c r="DE4" s="58">
        <f>+DB4*DD4</f>
        <v>0</v>
      </c>
      <c r="DF4" s="63">
        <v>0</v>
      </c>
    </row>
    <row r="5" spans="1:110">
      <c r="A5" s="3" t="s">
        <v>114</v>
      </c>
      <c r="B5" s="58">
        <f>+E5/D5</f>
        <v>0.79601990049751215</v>
      </c>
      <c r="C5" s="3">
        <v>0</v>
      </c>
      <c r="D5" s="64">
        <f>+Y10</f>
        <v>10.050000000000004</v>
      </c>
      <c r="E5" s="3">
        <v>8</v>
      </c>
      <c r="G5" s="60">
        <v>3</v>
      </c>
      <c r="H5" s="61">
        <v>0.125</v>
      </c>
      <c r="I5" s="62">
        <f>+SUM($H$3:H5)</f>
        <v>0.92500000000000004</v>
      </c>
      <c r="J5" s="50">
        <v>5</v>
      </c>
      <c r="K5" s="58">
        <f t="shared" si="0"/>
        <v>0.625</v>
      </c>
      <c r="L5" s="63">
        <v>0</v>
      </c>
      <c r="N5" s="60">
        <v>3</v>
      </c>
      <c r="O5" s="61">
        <v>0.25</v>
      </c>
      <c r="P5" s="62">
        <f>+SUM($O$3:O5)</f>
        <v>0.58000000000000007</v>
      </c>
      <c r="Q5" s="58">
        <f t="shared" si="1"/>
        <v>5</v>
      </c>
      <c r="R5" s="58">
        <f t="shared" si="2"/>
        <v>1.25</v>
      </c>
      <c r="S5" s="63">
        <v>0</v>
      </c>
      <c r="U5" s="60">
        <v>3</v>
      </c>
      <c r="V5" s="61">
        <v>0.18</v>
      </c>
      <c r="W5" s="62">
        <f>+SUM($V$3:V5)</f>
        <v>0.53</v>
      </c>
      <c r="X5" s="58">
        <f t="shared" si="3"/>
        <v>5</v>
      </c>
      <c r="Y5" s="58">
        <f t="shared" si="4"/>
        <v>0.89999999999999991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0.2</v>
      </c>
      <c r="BF5" s="62">
        <f>+SUM($BE$3:BE5)</f>
        <v>0.35000000000000003</v>
      </c>
      <c r="BG5" s="58">
        <f t="shared" si="12"/>
        <v>5</v>
      </c>
      <c r="BH5" s="58">
        <f t="shared" si="13"/>
        <v>1</v>
      </c>
      <c r="BI5" s="63">
        <v>0</v>
      </c>
      <c r="BK5" s="60">
        <v>3</v>
      </c>
      <c r="BL5" s="61">
        <v>0.14000000000000001</v>
      </c>
      <c r="BM5" s="62">
        <f>+SUM($BL$3:BL5)</f>
        <v>0.29000000000000004</v>
      </c>
      <c r="BN5" s="58">
        <f t="shared" si="14"/>
        <v>5</v>
      </c>
      <c r="BO5" s="58">
        <f t="shared" si="15"/>
        <v>0.70000000000000007</v>
      </c>
      <c r="BP5" s="63">
        <v>0</v>
      </c>
      <c r="BR5" s="60">
        <v>3</v>
      </c>
      <c r="BS5" s="61">
        <v>0.2</v>
      </c>
      <c r="BT5" s="62">
        <f>+SUM($BS$3:BS5)</f>
        <v>0.39</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f t="shared" si="26"/>
        <v>0.125</v>
      </c>
      <c r="CO5" s="62">
        <f>+SUM($CN$3:CN5)</f>
        <v>0.92500000000000004</v>
      </c>
      <c r="CP5" s="83">
        <f t="shared" si="27"/>
        <v>5</v>
      </c>
      <c r="CQ5" s="58">
        <f t="shared" ref="CQ5:CQ9" si="31">+CN5*CP5</f>
        <v>0.625</v>
      </c>
      <c r="CR5" s="63">
        <v>0</v>
      </c>
      <c r="CT5" s="60">
        <v>3</v>
      </c>
      <c r="CU5" s="61">
        <f t="shared" si="28"/>
        <v>0.125</v>
      </c>
      <c r="CV5" s="62">
        <f>+SUM($CU$3:CU5)</f>
        <v>0.92500000000000004</v>
      </c>
      <c r="CW5" s="84">
        <f t="shared" si="29"/>
        <v>10</v>
      </c>
      <c r="CX5" s="58">
        <f t="shared" ref="CX5:CX9" si="32">+CU5*CW5</f>
        <v>1.25</v>
      </c>
      <c r="CY5" s="63">
        <v>0</v>
      </c>
      <c r="DA5" s="60">
        <v>3</v>
      </c>
      <c r="DB5" s="61">
        <v>0</v>
      </c>
      <c r="DC5" s="62">
        <f>+SUM($DB$3:DB5)</f>
        <v>0</v>
      </c>
      <c r="DD5" s="83">
        <f t="shared" si="30"/>
        <v>5</v>
      </c>
      <c r="DE5" s="58">
        <f t="shared" ref="DE5:DE9" si="33">+DB5*DD5</f>
        <v>0</v>
      </c>
      <c r="DF5" s="63">
        <v>0</v>
      </c>
    </row>
    <row r="6" spans="1:110">
      <c r="A6" s="3" t="s">
        <v>115</v>
      </c>
      <c r="B6" s="75">
        <f>+E6/D6</f>
        <v>0.88731144631765757</v>
      </c>
      <c r="C6" s="3">
        <v>0</v>
      </c>
      <c r="D6" s="64">
        <f>+AF10</f>
        <v>11.27</v>
      </c>
      <c r="E6" s="3">
        <v>10</v>
      </c>
      <c r="G6" s="60">
        <v>4</v>
      </c>
      <c r="H6" s="61">
        <v>7.0000000000000007E-2</v>
      </c>
      <c r="I6" s="62">
        <f>+SUM($H$3:H6)</f>
        <v>0.99500000000000011</v>
      </c>
      <c r="J6" s="50">
        <v>7</v>
      </c>
      <c r="K6" s="58">
        <f t="shared" si="0"/>
        <v>0.49000000000000005</v>
      </c>
      <c r="L6" s="63">
        <v>0</v>
      </c>
      <c r="N6" s="60">
        <v>4</v>
      </c>
      <c r="O6" s="61">
        <v>0.2</v>
      </c>
      <c r="P6" s="62">
        <f>+SUM($O$3:O6)</f>
        <v>0.78</v>
      </c>
      <c r="Q6" s="58">
        <f t="shared" si="1"/>
        <v>7</v>
      </c>
      <c r="R6" s="58">
        <f t="shared" si="2"/>
        <v>1.4000000000000001</v>
      </c>
      <c r="S6" s="63">
        <v>0</v>
      </c>
      <c r="U6" s="60">
        <v>4</v>
      </c>
      <c r="V6" s="61">
        <v>0.2</v>
      </c>
      <c r="W6" s="62">
        <f>+SUM($V$3:V6)</f>
        <v>0.73</v>
      </c>
      <c r="X6" s="58">
        <f t="shared" si="3"/>
        <v>7</v>
      </c>
      <c r="Y6" s="58">
        <f t="shared" si="4"/>
        <v>1.4000000000000001</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0.34</v>
      </c>
      <c r="AY6" s="62">
        <f>+SUM($AX$3:AX6)</f>
        <v>0.36000000000000004</v>
      </c>
      <c r="AZ6" s="58">
        <f t="shared" si="10"/>
        <v>7</v>
      </c>
      <c r="BA6" s="58">
        <f t="shared" si="11"/>
        <v>2.3800000000000003</v>
      </c>
      <c r="BB6" s="63">
        <v>0</v>
      </c>
      <c r="BD6" s="60">
        <v>4</v>
      </c>
      <c r="BE6" s="61">
        <v>0.2</v>
      </c>
      <c r="BF6" s="62">
        <f>+SUM($BE$3:BE6)</f>
        <v>0.55000000000000004</v>
      </c>
      <c r="BG6" s="58">
        <f t="shared" si="12"/>
        <v>7</v>
      </c>
      <c r="BH6" s="58">
        <f t="shared" si="13"/>
        <v>1.4000000000000001</v>
      </c>
      <c r="BI6" s="63">
        <v>0</v>
      </c>
      <c r="BK6" s="60">
        <v>4</v>
      </c>
      <c r="BL6" s="61">
        <v>0.3</v>
      </c>
      <c r="BM6" s="62">
        <f>+SUM($BL$3:BL6)</f>
        <v>0.59000000000000008</v>
      </c>
      <c r="BN6" s="58">
        <f t="shared" si="14"/>
        <v>7</v>
      </c>
      <c r="BO6" s="58">
        <f t="shared" si="15"/>
        <v>2.1</v>
      </c>
      <c r="BP6" s="63">
        <v>0</v>
      </c>
      <c r="BR6" s="60">
        <v>4</v>
      </c>
      <c r="BS6" s="61">
        <v>0.25</v>
      </c>
      <c r="BT6" s="62">
        <f>+SUM($BS$3:BS6)</f>
        <v>0.64</v>
      </c>
      <c r="BU6" s="58">
        <f t="shared" si="16"/>
        <v>7</v>
      </c>
      <c r="BV6" s="58">
        <f t="shared" si="17"/>
        <v>1.75</v>
      </c>
      <c r="BW6" s="63">
        <v>0</v>
      </c>
      <c r="BY6" s="60">
        <v>4</v>
      </c>
      <c r="BZ6" s="61">
        <v>0.05</v>
      </c>
      <c r="CA6" s="62">
        <f>+SUM($BZ$3:BZ6)</f>
        <v>0.95</v>
      </c>
      <c r="CB6" s="58">
        <f t="shared" si="18"/>
        <v>7</v>
      </c>
      <c r="CC6" s="58">
        <f t="shared" si="19"/>
        <v>0.35000000000000003</v>
      </c>
      <c r="CD6" s="63">
        <v>0</v>
      </c>
      <c r="CF6" s="60">
        <v>4</v>
      </c>
      <c r="CG6" s="61">
        <v>0</v>
      </c>
      <c r="CH6" s="62">
        <f>+SUM($CG$3:CG6)</f>
        <v>0</v>
      </c>
      <c r="CI6" s="58">
        <f t="shared" si="20"/>
        <v>7</v>
      </c>
      <c r="CJ6" s="58">
        <f t="shared" si="21"/>
        <v>0</v>
      </c>
      <c r="CK6" s="63">
        <v>0</v>
      </c>
      <c r="CM6" s="60">
        <v>4</v>
      </c>
      <c r="CN6" s="61">
        <f t="shared" si="26"/>
        <v>7.0000000000000007E-2</v>
      </c>
      <c r="CO6" s="62">
        <f>+SUM($CN$3:CN6)</f>
        <v>0.99500000000000011</v>
      </c>
      <c r="CP6" s="83">
        <f t="shared" si="27"/>
        <v>7</v>
      </c>
      <c r="CQ6" s="58">
        <f t="shared" si="31"/>
        <v>0.49000000000000005</v>
      </c>
      <c r="CR6" s="63">
        <v>0</v>
      </c>
      <c r="CT6" s="60">
        <v>4</v>
      </c>
      <c r="CU6" s="61">
        <f t="shared" si="28"/>
        <v>7.0000000000000007E-2</v>
      </c>
      <c r="CV6" s="62">
        <f>+SUM($CU$3:CU6)</f>
        <v>0.99500000000000011</v>
      </c>
      <c r="CW6" s="84">
        <f t="shared" si="29"/>
        <v>14</v>
      </c>
      <c r="CX6" s="58">
        <f t="shared" si="32"/>
        <v>0.98000000000000009</v>
      </c>
      <c r="CY6" s="63">
        <v>0</v>
      </c>
      <c r="DA6" s="60">
        <v>4</v>
      </c>
      <c r="DB6" s="61">
        <v>0.15</v>
      </c>
      <c r="DC6" s="62">
        <f>+SUM($DB$3:DB6)</f>
        <v>0.15</v>
      </c>
      <c r="DD6" s="83">
        <f t="shared" si="30"/>
        <v>7</v>
      </c>
      <c r="DE6" s="58">
        <f t="shared" si="33"/>
        <v>1.05</v>
      </c>
      <c r="DF6" s="63">
        <v>0</v>
      </c>
    </row>
    <row r="7" spans="1:110">
      <c r="A7" s="75" t="s">
        <v>131</v>
      </c>
      <c r="B7" s="75">
        <f t="shared" ref="B7:B12" si="34">+E7/D7</f>
        <v>0.90090090090090102</v>
      </c>
      <c r="C7" s="3">
        <v>0</v>
      </c>
      <c r="D7" s="64">
        <f>+AM10</f>
        <v>22.199999999999996</v>
      </c>
      <c r="E7" s="3">
        <v>20</v>
      </c>
      <c r="G7" s="60">
        <v>5</v>
      </c>
      <c r="H7" s="61">
        <v>3.0000000000000001E-3</v>
      </c>
      <c r="I7" s="62">
        <f>+SUM($H$3:H7)</f>
        <v>0.99800000000000011</v>
      </c>
      <c r="J7" s="50">
        <v>10</v>
      </c>
      <c r="K7" s="58">
        <f t="shared" si="0"/>
        <v>0.03</v>
      </c>
      <c r="L7" s="63">
        <v>0</v>
      </c>
      <c r="N7" s="60">
        <v>5</v>
      </c>
      <c r="O7" s="61">
        <v>0.15</v>
      </c>
      <c r="P7" s="62">
        <f>+SUM($O$3:O7)</f>
        <v>0.93</v>
      </c>
      <c r="Q7" s="58">
        <f t="shared" si="1"/>
        <v>10</v>
      </c>
      <c r="R7" s="58">
        <f t="shared" si="2"/>
        <v>1.5</v>
      </c>
      <c r="S7" s="63">
        <v>0</v>
      </c>
      <c r="U7" s="60">
        <v>5</v>
      </c>
      <c r="V7" s="61">
        <v>0.1</v>
      </c>
      <c r="W7" s="62">
        <f>+SUM($V$3:V7)</f>
        <v>0.83</v>
      </c>
      <c r="X7" s="58">
        <f t="shared" si="3"/>
        <v>10</v>
      </c>
      <c r="Y7" s="58">
        <f t="shared" si="4"/>
        <v>1</v>
      </c>
      <c r="Z7" s="63">
        <v>0</v>
      </c>
      <c r="AB7" s="60">
        <v>5</v>
      </c>
      <c r="AC7" s="61">
        <v>0.52</v>
      </c>
      <c r="AD7" s="62">
        <f>+SUM($AC$3:AC7)</f>
        <v>0.81</v>
      </c>
      <c r="AE7" s="58">
        <f t="shared" si="5"/>
        <v>10</v>
      </c>
      <c r="AF7" s="58">
        <f t="shared" si="6"/>
        <v>5.2</v>
      </c>
      <c r="AG7" s="63">
        <v>0</v>
      </c>
      <c r="AI7" s="60">
        <v>5</v>
      </c>
      <c r="AJ7" s="61">
        <v>0.32</v>
      </c>
      <c r="AK7" s="62">
        <f>+SUM($AJ$3:AJ7)</f>
        <v>0.32</v>
      </c>
      <c r="AL7" s="58">
        <f t="shared" si="7"/>
        <v>10</v>
      </c>
      <c r="AM7" s="58">
        <f t="shared" si="8"/>
        <v>3.2</v>
      </c>
      <c r="AN7" s="63">
        <v>0</v>
      </c>
      <c r="AP7" s="60">
        <v>5</v>
      </c>
      <c r="AQ7" s="61">
        <v>0</v>
      </c>
      <c r="AR7" s="62">
        <f>+SUM($AQ$3:AQ7)</f>
        <v>1</v>
      </c>
      <c r="AS7" s="58">
        <f t="shared" si="9"/>
        <v>10</v>
      </c>
      <c r="AT7" s="58">
        <f t="shared" si="25"/>
        <v>0</v>
      </c>
      <c r="AU7" s="63">
        <v>0</v>
      </c>
      <c r="AW7" s="60">
        <v>5</v>
      </c>
      <c r="AX7" s="61">
        <v>0.5</v>
      </c>
      <c r="AY7" s="62">
        <f>+SUM($AX$3:AX7)</f>
        <v>0.8600000000000001</v>
      </c>
      <c r="AZ7" s="58">
        <f t="shared" si="10"/>
        <v>10</v>
      </c>
      <c r="BA7" s="58">
        <f t="shared" si="11"/>
        <v>5</v>
      </c>
      <c r="BB7" s="63">
        <v>0</v>
      </c>
      <c r="BD7" s="60">
        <v>5</v>
      </c>
      <c r="BE7" s="61">
        <v>0.2</v>
      </c>
      <c r="BF7" s="62">
        <f>+SUM($BE$3:BE7)</f>
        <v>0.75</v>
      </c>
      <c r="BG7" s="58">
        <f t="shared" si="12"/>
        <v>10</v>
      </c>
      <c r="BH7" s="58">
        <f t="shared" si="13"/>
        <v>2</v>
      </c>
      <c r="BI7" s="63">
        <v>0</v>
      </c>
      <c r="BK7" s="60">
        <v>5</v>
      </c>
      <c r="BL7" s="61">
        <v>0.2</v>
      </c>
      <c r="BM7" s="62">
        <f>+SUM($BL$3:BL7)</f>
        <v>0.79</v>
      </c>
      <c r="BN7" s="58">
        <f t="shared" si="14"/>
        <v>10</v>
      </c>
      <c r="BO7" s="58">
        <f t="shared" si="15"/>
        <v>2</v>
      </c>
      <c r="BP7" s="63">
        <v>0</v>
      </c>
      <c r="BR7" s="60">
        <v>5</v>
      </c>
      <c r="BS7" s="61">
        <v>0.1</v>
      </c>
      <c r="BT7" s="62">
        <f>+SUM($BS$3:BS7)</f>
        <v>0.74</v>
      </c>
      <c r="BU7" s="58">
        <f t="shared" si="16"/>
        <v>10</v>
      </c>
      <c r="BV7" s="58">
        <f t="shared" si="17"/>
        <v>1</v>
      </c>
      <c r="BW7" s="63">
        <v>0</v>
      </c>
      <c r="BY7" s="60">
        <v>5</v>
      </c>
      <c r="BZ7" s="61">
        <v>0.02</v>
      </c>
      <c r="CA7" s="62">
        <f>+SUM($BZ$3:BZ7)</f>
        <v>0.97</v>
      </c>
      <c r="CB7" s="58">
        <f t="shared" si="18"/>
        <v>10</v>
      </c>
      <c r="CC7" s="58">
        <f t="shared" si="19"/>
        <v>0.2</v>
      </c>
      <c r="CD7" s="63">
        <v>0</v>
      </c>
      <c r="CF7" s="60">
        <v>5</v>
      </c>
      <c r="CG7" s="61">
        <v>0</v>
      </c>
      <c r="CH7" s="62">
        <f>+SUM($CG$3:CG7)</f>
        <v>0</v>
      </c>
      <c r="CI7" s="58">
        <f t="shared" si="20"/>
        <v>10</v>
      </c>
      <c r="CJ7" s="58">
        <f t="shared" si="21"/>
        <v>0</v>
      </c>
      <c r="CK7" s="63">
        <v>0</v>
      </c>
      <c r="CM7" s="60">
        <v>5</v>
      </c>
      <c r="CN7" s="61">
        <f t="shared" si="26"/>
        <v>3.0000000000000001E-3</v>
      </c>
      <c r="CO7" s="62">
        <f>+SUM($CN$3:CN7)</f>
        <v>0.99800000000000011</v>
      </c>
      <c r="CP7" s="83">
        <f t="shared" si="27"/>
        <v>10</v>
      </c>
      <c r="CQ7" s="58">
        <f t="shared" si="31"/>
        <v>0.03</v>
      </c>
      <c r="CR7" s="63">
        <v>0</v>
      </c>
      <c r="CT7" s="60">
        <v>5</v>
      </c>
      <c r="CU7" s="61">
        <f t="shared" si="28"/>
        <v>3.0000000000000001E-3</v>
      </c>
      <c r="CV7" s="62">
        <f>+SUM($CU$3:CU7)</f>
        <v>0.99800000000000011</v>
      </c>
      <c r="CW7" s="84">
        <f t="shared" si="29"/>
        <v>20</v>
      </c>
      <c r="CX7" s="58">
        <f t="shared" si="32"/>
        <v>0.06</v>
      </c>
      <c r="CY7" s="63">
        <v>0</v>
      </c>
      <c r="DA7" s="60">
        <v>5</v>
      </c>
      <c r="DB7" s="61">
        <v>0.2</v>
      </c>
      <c r="DC7" s="62">
        <f>+SUM($DB$3:DB7)</f>
        <v>0.35</v>
      </c>
      <c r="DD7" s="83">
        <f t="shared" si="30"/>
        <v>10</v>
      </c>
      <c r="DE7" s="58">
        <f t="shared" si="33"/>
        <v>2</v>
      </c>
      <c r="DF7" s="63">
        <v>0</v>
      </c>
    </row>
    <row r="8" spans="1:110">
      <c r="A8" s="75" t="s">
        <v>132</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0.09</v>
      </c>
      <c r="W8" s="62">
        <f>+SUM($V$3:V8)</f>
        <v>0.91999999999999993</v>
      </c>
      <c r="X8" s="58">
        <f t="shared" si="3"/>
        <v>20</v>
      </c>
      <c r="Y8" s="58">
        <f t="shared" si="4"/>
        <v>1.7999999999999998</v>
      </c>
      <c r="Z8" s="63">
        <v>0</v>
      </c>
      <c r="AB8" s="60">
        <v>6</v>
      </c>
      <c r="AC8" s="61">
        <v>0.18</v>
      </c>
      <c r="AD8" s="62">
        <f>+SUM($AC$3:AC8)</f>
        <v>0.99</v>
      </c>
      <c r="AE8" s="58">
        <f t="shared" si="5"/>
        <v>20</v>
      </c>
      <c r="AF8" s="58">
        <f t="shared" si="6"/>
        <v>3.5999999999999996</v>
      </c>
      <c r="AG8" s="63">
        <v>0</v>
      </c>
      <c r="AI8" s="60">
        <v>6</v>
      </c>
      <c r="AJ8" s="61">
        <v>0.5</v>
      </c>
      <c r="AK8" s="62">
        <f>+SUM($AJ$3:AJ8)</f>
        <v>0.82000000000000006</v>
      </c>
      <c r="AL8" s="58">
        <f t="shared" si="7"/>
        <v>20</v>
      </c>
      <c r="AM8" s="58">
        <f t="shared" si="8"/>
        <v>10</v>
      </c>
      <c r="AN8" s="63">
        <v>0</v>
      </c>
      <c r="AP8" s="60">
        <v>6</v>
      </c>
      <c r="AQ8" s="61">
        <v>0</v>
      </c>
      <c r="AR8" s="62">
        <f>+SUM($AQ$3:AQ8)</f>
        <v>1</v>
      </c>
      <c r="AS8" s="58">
        <f t="shared" si="9"/>
        <v>20</v>
      </c>
      <c r="AT8" s="58">
        <f t="shared" si="25"/>
        <v>0</v>
      </c>
      <c r="AU8" s="63">
        <v>0</v>
      </c>
      <c r="AW8" s="60">
        <v>6</v>
      </c>
      <c r="AX8" s="61">
        <v>0.11</v>
      </c>
      <c r="AY8" s="62">
        <f>+SUM($AX$3:AX8)</f>
        <v>0.97000000000000008</v>
      </c>
      <c r="AZ8" s="58">
        <f t="shared" si="10"/>
        <v>20</v>
      </c>
      <c r="BA8" s="58">
        <f t="shared" si="11"/>
        <v>2.2000000000000002</v>
      </c>
      <c r="BB8" s="63">
        <v>0</v>
      </c>
      <c r="BD8" s="60">
        <v>6</v>
      </c>
      <c r="BE8" s="61">
        <v>0.12</v>
      </c>
      <c r="BF8" s="62">
        <f>+SUM($BE$3:BE8)</f>
        <v>0.87</v>
      </c>
      <c r="BG8" s="58">
        <f t="shared" si="12"/>
        <v>20</v>
      </c>
      <c r="BH8" s="58">
        <f t="shared" si="13"/>
        <v>2.4</v>
      </c>
      <c r="BI8" s="63">
        <v>0</v>
      </c>
      <c r="BK8" s="60">
        <v>6</v>
      </c>
      <c r="BL8" s="61">
        <v>0.11</v>
      </c>
      <c r="BM8" s="62">
        <f>+SUM($BL$3:BL8)</f>
        <v>0.9</v>
      </c>
      <c r="BN8" s="58">
        <f t="shared" si="14"/>
        <v>20</v>
      </c>
      <c r="BO8" s="58">
        <f t="shared" si="15"/>
        <v>2.2000000000000002</v>
      </c>
      <c r="BP8" s="63">
        <v>0</v>
      </c>
      <c r="BR8" s="60">
        <v>6</v>
      </c>
      <c r="BS8" s="61">
        <v>0.16</v>
      </c>
      <c r="BT8" s="62">
        <f>+SUM($BS$3:BS8)</f>
        <v>0.9</v>
      </c>
      <c r="BU8" s="58">
        <f t="shared" si="16"/>
        <v>20</v>
      </c>
      <c r="BV8" s="58">
        <f t="shared" si="17"/>
        <v>3.2</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f t="shared" si="26"/>
        <v>1E-3</v>
      </c>
      <c r="CO8" s="62">
        <f>+SUM($CN$3:CN8)</f>
        <v>0.99900000000000011</v>
      </c>
      <c r="CP8" s="83">
        <f t="shared" si="27"/>
        <v>20</v>
      </c>
      <c r="CQ8" s="58">
        <f t="shared" si="31"/>
        <v>0.02</v>
      </c>
      <c r="CR8" s="63">
        <v>0</v>
      </c>
      <c r="CT8" s="60">
        <v>6</v>
      </c>
      <c r="CU8" s="61">
        <f t="shared" si="28"/>
        <v>1E-3</v>
      </c>
      <c r="CV8" s="62">
        <f>+SUM($CU$3:CU8)</f>
        <v>0.99900000000000011</v>
      </c>
      <c r="CW8" s="84">
        <f t="shared" si="29"/>
        <v>40</v>
      </c>
      <c r="CX8" s="58">
        <f t="shared" si="32"/>
        <v>0.04</v>
      </c>
      <c r="CY8" s="63">
        <v>0</v>
      </c>
      <c r="DA8" s="60">
        <v>6</v>
      </c>
      <c r="DB8" s="61">
        <v>0.35</v>
      </c>
      <c r="DC8" s="62">
        <f>+SUM($DB$3:DB8)</f>
        <v>0.7</v>
      </c>
      <c r="DD8" s="83">
        <f t="shared" si="30"/>
        <v>20</v>
      </c>
      <c r="DE8" s="58">
        <f t="shared" si="33"/>
        <v>7</v>
      </c>
      <c r="DF8" s="63">
        <v>0</v>
      </c>
    </row>
    <row r="9" spans="1:110">
      <c r="A9" s="75" t="s">
        <v>133</v>
      </c>
      <c r="B9" s="75">
        <f t="shared" si="34"/>
        <v>0.89445438282647616</v>
      </c>
      <c r="C9" s="3">
        <v>0</v>
      </c>
      <c r="D9" s="64">
        <f>+BA10</f>
        <v>11.179999999999996</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8.0000000000000071E-2</v>
      </c>
      <c r="W9" s="62">
        <f>+SUM($V$3:V9)</f>
        <v>1</v>
      </c>
      <c r="X9" s="58">
        <f t="shared" si="3"/>
        <v>50</v>
      </c>
      <c r="Y9" s="58">
        <f t="shared" si="4"/>
        <v>4.0000000000000036</v>
      </c>
      <c r="Z9" s="63">
        <v>0</v>
      </c>
      <c r="AB9" s="60">
        <v>7</v>
      </c>
      <c r="AC9" s="66">
        <f>1-SUM(AC3:AC8)</f>
        <v>1.0000000000000009E-2</v>
      </c>
      <c r="AD9" s="62">
        <f>+SUM($AC$3:AC9)</f>
        <v>1</v>
      </c>
      <c r="AE9" s="58">
        <f t="shared" si="5"/>
        <v>50</v>
      </c>
      <c r="AF9" s="58">
        <f t="shared" si="6"/>
        <v>0.50000000000000044</v>
      </c>
      <c r="AG9" s="63">
        <v>0</v>
      </c>
      <c r="AI9" s="60">
        <v>7</v>
      </c>
      <c r="AJ9" s="66">
        <f>1-SUM(AJ3:AJ8)</f>
        <v>0.17999999999999994</v>
      </c>
      <c r="AK9" s="62">
        <f>+SUM($AJ$3:AJ9)</f>
        <v>1</v>
      </c>
      <c r="AL9" s="58">
        <f t="shared" si="7"/>
        <v>50</v>
      </c>
      <c r="AM9" s="58">
        <f t="shared" si="8"/>
        <v>8.9999999999999964</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0.13</v>
      </c>
      <c r="BF9" s="62">
        <f>+SUM($BE$3:BE9)</f>
        <v>1</v>
      </c>
      <c r="BG9" s="58">
        <f t="shared" si="12"/>
        <v>50</v>
      </c>
      <c r="BH9" s="58">
        <f t="shared" si="13"/>
        <v>6.5</v>
      </c>
      <c r="BI9" s="63">
        <v>0</v>
      </c>
      <c r="BK9" s="60">
        <v>7</v>
      </c>
      <c r="BL9" s="66">
        <f>1-SUM(BL3:BL8)</f>
        <v>9.9999999999999978E-2</v>
      </c>
      <c r="BM9" s="62">
        <f>+SUM($BL$3:BL9)</f>
        <v>1</v>
      </c>
      <c r="BN9" s="58">
        <f t="shared" si="14"/>
        <v>50</v>
      </c>
      <c r="BO9" s="58">
        <f t="shared" si="15"/>
        <v>4.9999999999999991</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7"/>
        <v>50</v>
      </c>
      <c r="CQ9" s="58">
        <f t="shared" si="31"/>
        <v>4.9999999999994493E-2</v>
      </c>
      <c r="CR9" s="63">
        <v>0</v>
      </c>
      <c r="CT9" s="60">
        <v>7</v>
      </c>
      <c r="CU9" s="66">
        <f>1-SUM(CU3:CU8)</f>
        <v>9.9999999999988987E-4</v>
      </c>
      <c r="CV9" s="62">
        <f>+SUM($CU$3:CU9)</f>
        <v>1</v>
      </c>
      <c r="CW9" s="84">
        <f t="shared" si="29"/>
        <v>100</v>
      </c>
      <c r="CX9" s="58">
        <f t="shared" si="32"/>
        <v>9.9999999999988987E-2</v>
      </c>
      <c r="CY9" s="63">
        <v>0</v>
      </c>
      <c r="DA9" s="60">
        <v>7</v>
      </c>
      <c r="DB9" s="66">
        <f>1-SUM(DB3:DB8)</f>
        <v>0.30000000000000004</v>
      </c>
      <c r="DC9" s="62">
        <f>+SUM($DB$3:DB9)</f>
        <v>1</v>
      </c>
      <c r="DD9" s="83">
        <f t="shared" si="30"/>
        <v>50</v>
      </c>
      <c r="DE9" s="58">
        <f t="shared" si="33"/>
        <v>15.000000000000002</v>
      </c>
      <c r="DF9" s="63">
        <v>0</v>
      </c>
    </row>
    <row r="10" spans="1:110">
      <c r="A10" s="75" t="s">
        <v>134</v>
      </c>
      <c r="B10" s="75">
        <f t="shared" si="34"/>
        <v>0.8029197080291971</v>
      </c>
      <c r="C10" s="3">
        <v>0</v>
      </c>
      <c r="D10" s="64">
        <f>+BH10</f>
        <v>13.7</v>
      </c>
      <c r="E10" s="3">
        <v>11</v>
      </c>
      <c r="G10" s="50" t="s">
        <v>70</v>
      </c>
      <c r="H10" s="50">
        <f>+SUM(H3:H9)</f>
        <v>1</v>
      </c>
      <c r="I10" s="50"/>
      <c r="J10" s="50"/>
      <c r="K10" s="51">
        <f>+SUM(K3:K9)</f>
        <v>3.3149999999999946</v>
      </c>
      <c r="L10" s="51"/>
      <c r="N10" s="50" t="s">
        <v>70</v>
      </c>
      <c r="O10" s="50">
        <f>+SUM(O3:O9)</f>
        <v>1</v>
      </c>
      <c r="P10" s="50"/>
      <c r="Q10" s="50"/>
      <c r="R10" s="51">
        <f>+SUM(R3:R9)</f>
        <v>8.2399999999999984</v>
      </c>
      <c r="S10" s="51"/>
      <c r="U10" s="50" t="s">
        <v>70</v>
      </c>
      <c r="V10" s="50">
        <f>+SUM(V3:V9)</f>
        <v>1</v>
      </c>
      <c r="W10" s="50"/>
      <c r="X10" s="50"/>
      <c r="Y10" s="51">
        <f>+SUM(Y3:Y9)</f>
        <v>10.050000000000004</v>
      </c>
      <c r="Z10" s="51"/>
      <c r="AB10" s="50" t="s">
        <v>70</v>
      </c>
      <c r="AC10" s="50">
        <f>+SUM(AC3:AC9)</f>
        <v>1</v>
      </c>
      <c r="AD10" s="50"/>
      <c r="AE10" s="50"/>
      <c r="AF10" s="51">
        <f>+SUM(AF3:AF9)</f>
        <v>11.27</v>
      </c>
      <c r="AG10" s="51"/>
      <c r="AI10" s="50" t="s">
        <v>70</v>
      </c>
      <c r="AJ10" s="50">
        <f>+SUM(AJ3:AJ9)</f>
        <v>1</v>
      </c>
      <c r="AK10" s="50"/>
      <c r="AL10" s="50"/>
      <c r="AM10" s="51">
        <f>+SUM(AM3:AM9)</f>
        <v>22.199999999999996</v>
      </c>
      <c r="AN10" s="51"/>
      <c r="AP10" s="50" t="s">
        <v>70</v>
      </c>
      <c r="AQ10" s="50">
        <f>+SUM(AQ3:AQ9)</f>
        <v>1</v>
      </c>
      <c r="AR10" s="50"/>
      <c r="AS10" s="50"/>
      <c r="AT10" s="51">
        <f>+SUM(AT3:AT9)</f>
        <v>5</v>
      </c>
      <c r="AU10" s="51"/>
      <c r="AW10" s="50" t="s">
        <v>70</v>
      </c>
      <c r="AX10" s="50">
        <f>+SUM(AX3:AX9)</f>
        <v>1</v>
      </c>
      <c r="AY10" s="50"/>
      <c r="AZ10" s="50"/>
      <c r="BA10" s="51">
        <f>+SUM(BA3:BA9)</f>
        <v>11.179999999999996</v>
      </c>
      <c r="BB10" s="51"/>
      <c r="BD10" s="50" t="s">
        <v>70</v>
      </c>
      <c r="BE10" s="50">
        <f>+SUM(BE3:BE9)</f>
        <v>1</v>
      </c>
      <c r="BF10" s="50"/>
      <c r="BG10" s="50"/>
      <c r="BH10" s="51">
        <f>+SUM(BH3:BH9)</f>
        <v>13.7</v>
      </c>
      <c r="BI10" s="51"/>
      <c r="BK10" s="50" t="s">
        <v>70</v>
      </c>
      <c r="BL10" s="50">
        <f>+SUM(BL3:BL9)</f>
        <v>1</v>
      </c>
      <c r="BM10" s="50"/>
      <c r="BN10" s="50"/>
      <c r="BO10" s="51">
        <f>+SUM(BO3:BO9)</f>
        <v>12.399999999999999</v>
      </c>
      <c r="BP10" s="51"/>
      <c r="BR10" s="50" t="s">
        <v>70</v>
      </c>
      <c r="BS10" s="50">
        <f>+SUM(BS3:BS9)</f>
        <v>1</v>
      </c>
      <c r="BT10" s="50"/>
      <c r="BU10" s="50"/>
      <c r="BV10" s="51">
        <f>+SUM(BV3:BV9)</f>
        <v>12.43</v>
      </c>
      <c r="BW10" s="51"/>
      <c r="BY10" s="50" t="s">
        <v>70</v>
      </c>
      <c r="BZ10" s="50">
        <f>+SUM(BZ3:BZ9)</f>
        <v>1</v>
      </c>
      <c r="CA10" s="50"/>
      <c r="CB10" s="50"/>
      <c r="CC10" s="51">
        <f>+SUM(CC3:CC9)</f>
        <v>4.1900000000000013</v>
      </c>
      <c r="CD10" s="51"/>
      <c r="CF10" s="50" t="s">
        <v>70</v>
      </c>
      <c r="CG10" s="50">
        <f>+SUM(CG3:CG9)</f>
        <v>1</v>
      </c>
      <c r="CH10" s="50"/>
      <c r="CI10" s="50"/>
      <c r="CJ10" s="51">
        <f>+SUM(CJ3:CJ9)</f>
        <v>50</v>
      </c>
      <c r="CK10" s="51"/>
      <c r="CM10" s="50" t="s">
        <v>70</v>
      </c>
      <c r="CN10" s="50">
        <f>+SUM(CN3:CN9)</f>
        <v>1</v>
      </c>
      <c r="CO10" s="50"/>
      <c r="CP10" s="50"/>
      <c r="CQ10" s="51">
        <f>+SUM(CQ3:CQ9)</f>
        <v>3.3149999999999946</v>
      </c>
      <c r="CR10" s="51"/>
      <c r="CT10" s="50" t="s">
        <v>70</v>
      </c>
      <c r="CU10" s="50">
        <f>+SUM(CU3:CU9)</f>
        <v>1</v>
      </c>
      <c r="CV10" s="50"/>
      <c r="CW10" s="50"/>
      <c r="CX10" s="51">
        <f>+SUM(CX3:CX9)</f>
        <v>6.6299999999999892</v>
      </c>
      <c r="CY10" s="51"/>
      <c r="DA10" s="50" t="s">
        <v>70</v>
      </c>
      <c r="DB10" s="50">
        <f>+SUM(DB3:DB9)</f>
        <v>1</v>
      </c>
      <c r="DC10" s="50"/>
      <c r="DD10" s="50"/>
      <c r="DE10" s="51">
        <f>+SUM(DE3:DE9)</f>
        <v>25.050000000000004</v>
      </c>
      <c r="DF10" s="51"/>
    </row>
    <row r="11" spans="1:110">
      <c r="A11" s="75" t="s">
        <v>135</v>
      </c>
      <c r="B11" s="75">
        <f t="shared" si="34"/>
        <v>0.88709677419354849</v>
      </c>
      <c r="C11" s="3">
        <v>0</v>
      </c>
      <c r="D11" s="64">
        <f>+BO10</f>
        <v>12.399999999999999</v>
      </c>
      <c r="E11" s="3">
        <v>11</v>
      </c>
    </row>
    <row r="12" spans="1:110">
      <c r="A12" s="75" t="s">
        <v>136</v>
      </c>
      <c r="B12" s="75">
        <f t="shared" si="34"/>
        <v>0.80450522928399038</v>
      </c>
      <c r="C12" s="3">
        <v>0</v>
      </c>
      <c r="D12" s="64">
        <f>+BV10</f>
        <v>12.43</v>
      </c>
      <c r="E12" s="3">
        <v>10</v>
      </c>
    </row>
    <row r="13" spans="1:110">
      <c r="A13" s="85" t="s">
        <v>164</v>
      </c>
      <c r="B13" s="58">
        <f>+E13/D13</f>
        <v>0.39517345399698406</v>
      </c>
      <c r="C13" s="3">
        <f>1/B13/Summary!$C$7</f>
        <v>2.5305343511450341E-3</v>
      </c>
      <c r="D13" s="86">
        <f>+CQ10</f>
        <v>3.3149999999999946</v>
      </c>
      <c r="E13" s="3">
        <f>+E3*2</f>
        <v>1.31</v>
      </c>
    </row>
    <row r="14" spans="1:110">
      <c r="A14" s="85" t="s">
        <v>165</v>
      </c>
      <c r="B14" s="58">
        <f>+E14/D14</f>
        <v>0.19758672699849203</v>
      </c>
      <c r="C14" s="3">
        <f>1/B14/Summary!$C$7</f>
        <v>5.0610687022900683E-3</v>
      </c>
      <c r="D14" s="86">
        <f>+CX10</f>
        <v>6.6299999999999892</v>
      </c>
      <c r="E14" s="3">
        <f>+E13</f>
        <v>1.31</v>
      </c>
    </row>
    <row r="15" spans="1:110">
      <c r="A15" s="75" t="s">
        <v>163</v>
      </c>
      <c r="B15" s="58">
        <f>+E15/D15</f>
        <v>0.79840319361277434</v>
      </c>
      <c r="C15" s="3">
        <v>0</v>
      </c>
      <c r="D15" s="86">
        <f>+DE10</f>
        <v>25.050000000000004</v>
      </c>
      <c r="E15" s="3">
        <v>20</v>
      </c>
    </row>
    <row r="16" spans="1:110">
      <c r="A16" s="3" t="s">
        <v>116</v>
      </c>
      <c r="B16" s="58">
        <f>+E16/D16</f>
        <v>1</v>
      </c>
      <c r="C16" s="3">
        <v>0</v>
      </c>
      <c r="D16" s="64">
        <f>+CJ10</f>
        <v>50</v>
      </c>
      <c r="E16" s="3">
        <v>50</v>
      </c>
    </row>
    <row r="17" spans="1:2">
      <c r="A17" s="3" t="s">
        <v>117</v>
      </c>
      <c r="B17" s="65" t="str">
        <f>+CONCATENATE("x",J3," - x",J9)</f>
        <v>x2 - x50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O3:O9 V3:V9 AC3:AC9 H3:H9 CG3:CG9 CN3:CN9 CU3:CU9 DB3:DB9">
    <cfRule type="cellIs" priority="27" operator="lessThan">
      <formula>0</formula>
    </cfRule>
    <cfRule type="cellIs" priority="28" operator="greaterThan">
      <formula>1</formula>
    </cfRule>
  </conditionalFormatting>
  <conditionalFormatting sqref="AJ3:AJ9 AQ3:AQ9 AX3:AX9 BZ3:BZ9 BE3:BE9 BL3:BL9 BS3:BS9 O3:O9 V3:V9 AC3:AC9 H3:H9 CG3:CG9 CN3:CN9 CU3:CU9 DB3:DB9">
    <cfRule type="cellIs" priority="26" operator="equal">
      <formula>0</formula>
    </cfRule>
  </conditionalFormatting>
  <conditionalFormatting sqref="B3:B16">
    <cfRule type="cellIs" priority="24" operator="greaterThan">
      <formula>1</formula>
    </cfRule>
    <cfRule type="cellIs" priority="25"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0.xml><?xml version="1.0" encoding="utf-8"?>
<worksheet xmlns="http://schemas.openxmlformats.org/spreadsheetml/2006/main" xmlns:r="http://schemas.openxmlformats.org/officeDocument/2006/relationships">
  <sheetPr codeName="Hoja36"/>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119</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0.16637033274066576</v>
      </c>
      <c r="C3" s="3">
        <f>1/B3/Summary!$C$7</f>
        <v>6.0106870229007531E-3</v>
      </c>
      <c r="D3" s="59">
        <f>+K10</f>
        <v>3.9369999999999936</v>
      </c>
      <c r="E3" s="3">
        <v>0.65500000000000003</v>
      </c>
      <c r="G3" s="60">
        <v>1</v>
      </c>
      <c r="H3" s="61">
        <v>0.55600000000000005</v>
      </c>
      <c r="I3" s="62">
        <f>+SUM($H3:H3)</f>
        <v>0.55600000000000005</v>
      </c>
      <c r="J3" s="50">
        <v>3</v>
      </c>
      <c r="K3" s="58">
        <f t="shared" ref="K3:K9" si="0">+H3*J3</f>
        <v>1.6680000000000001</v>
      </c>
      <c r="L3" s="63">
        <v>0</v>
      </c>
      <c r="N3" s="60">
        <v>1</v>
      </c>
      <c r="O3" s="61">
        <v>0.1</v>
      </c>
      <c r="P3" s="62">
        <f>+SUM($O3:O$3)</f>
        <v>0.1</v>
      </c>
      <c r="Q3" s="58">
        <f t="shared" ref="Q3:Q9" si="1">+J3</f>
        <v>3</v>
      </c>
      <c r="R3" s="58">
        <f t="shared" ref="R3:R9" si="2">+O3*Q3</f>
        <v>0.30000000000000004</v>
      </c>
      <c r="S3" s="63">
        <v>0</v>
      </c>
      <c r="U3" s="60">
        <v>1</v>
      </c>
      <c r="V3" s="61">
        <v>0.1</v>
      </c>
      <c r="W3" s="62">
        <f>+SUM($V3:V$3)</f>
        <v>0.1</v>
      </c>
      <c r="X3" s="58">
        <f t="shared" ref="X3:X9" si="3">+J3</f>
        <v>3</v>
      </c>
      <c r="Y3" s="58">
        <f t="shared" ref="Y3:Y9" si="4">+V3*X3</f>
        <v>0.30000000000000004</v>
      </c>
      <c r="Z3" s="63">
        <v>0</v>
      </c>
      <c r="AB3" s="60">
        <v>1</v>
      </c>
      <c r="AC3" s="61">
        <v>0</v>
      </c>
      <c r="AD3" s="62">
        <f>+SUM($AC$3:AC3)</f>
        <v>0</v>
      </c>
      <c r="AE3" s="58">
        <f t="shared" ref="AE3:AE9" si="5">+J3</f>
        <v>3</v>
      </c>
      <c r="AF3" s="58">
        <f t="shared" ref="AF3:AF9" si="6">+AC3*AE3</f>
        <v>0</v>
      </c>
      <c r="AG3" s="63">
        <v>0</v>
      </c>
      <c r="AI3" s="60">
        <v>1</v>
      </c>
      <c r="AJ3" s="61">
        <v>0</v>
      </c>
      <c r="AK3" s="62">
        <f>+SUM(AJ3:$AJ3)</f>
        <v>0</v>
      </c>
      <c r="AL3" s="58">
        <f t="shared" ref="AL3:AL9" si="7">+Q3</f>
        <v>3</v>
      </c>
      <c r="AM3" s="58">
        <f t="shared" ref="AM3:AM9" si="8">+AJ3*AL3</f>
        <v>0</v>
      </c>
      <c r="AN3" s="63">
        <v>0</v>
      </c>
      <c r="AP3" s="60">
        <v>1</v>
      </c>
      <c r="AQ3" s="61">
        <v>0.1</v>
      </c>
      <c r="AR3" s="62">
        <f>+SUM($AQ$3:AQ3)</f>
        <v>0.1</v>
      </c>
      <c r="AS3" s="58">
        <f t="shared" ref="AS3:AS9" si="9">+X3</f>
        <v>3</v>
      </c>
      <c r="AT3" s="58">
        <f>+AQ3*AS3</f>
        <v>0.30000000000000004</v>
      </c>
      <c r="AU3" s="63">
        <v>0</v>
      </c>
      <c r="AW3" s="60">
        <v>1</v>
      </c>
      <c r="AX3" s="61">
        <v>0</v>
      </c>
      <c r="AY3" s="62">
        <f>+SUM($AX$3:AX3)</f>
        <v>0</v>
      </c>
      <c r="AZ3" s="58">
        <f t="shared" ref="AZ3:AZ9" si="10">+AE3</f>
        <v>3</v>
      </c>
      <c r="BA3" s="58">
        <f t="shared" ref="BA3:BA9" si="11">+AX3*AZ3</f>
        <v>0</v>
      </c>
      <c r="BB3" s="63">
        <v>0</v>
      </c>
      <c r="BD3" s="60">
        <v>1</v>
      </c>
      <c r="BE3" s="61">
        <v>0.05</v>
      </c>
      <c r="BF3" s="62">
        <f>+SUM($BE$3:BE3)</f>
        <v>0.05</v>
      </c>
      <c r="BG3" s="58">
        <f t="shared" ref="BG3:BG9" si="12">+AL3</f>
        <v>3</v>
      </c>
      <c r="BH3" s="58">
        <f t="shared" ref="BH3:BH9" si="13">+BE3*BG3</f>
        <v>0.15000000000000002</v>
      </c>
      <c r="BI3" s="63">
        <v>0</v>
      </c>
      <c r="BK3" s="60">
        <v>1</v>
      </c>
      <c r="BL3" s="61">
        <v>0.05</v>
      </c>
      <c r="BM3" s="62">
        <f>+SUM($BL$3:BL3)</f>
        <v>0.05</v>
      </c>
      <c r="BN3" s="58">
        <f t="shared" ref="BN3:BN9" si="14">+AS3</f>
        <v>3</v>
      </c>
      <c r="BO3" s="58">
        <f t="shared" ref="BO3:BO9" si="15">+BL3*BN3</f>
        <v>0.15000000000000002</v>
      </c>
      <c r="BP3" s="63">
        <v>0</v>
      </c>
      <c r="BR3" s="60">
        <v>1</v>
      </c>
      <c r="BS3" s="61">
        <v>0.09</v>
      </c>
      <c r="BT3" s="62">
        <f>+SUM($BS$3:BS3)</f>
        <v>0.09</v>
      </c>
      <c r="BU3" s="58">
        <f t="shared" ref="BU3:BU9" si="16">+AZ3</f>
        <v>3</v>
      </c>
      <c r="BV3" s="58">
        <f t="shared" ref="BV3:BV9" si="17">+BS3*BU3</f>
        <v>0.27</v>
      </c>
      <c r="BW3" s="63">
        <v>0</v>
      </c>
      <c r="BY3" s="60">
        <v>1</v>
      </c>
      <c r="BZ3" s="61">
        <v>0.36</v>
      </c>
      <c r="CA3" s="62">
        <f>+SUM($BZ$3:BZ3)</f>
        <v>0.36</v>
      </c>
      <c r="CB3" s="58">
        <f t="shared" ref="CB3:CB9" si="18">+BG3</f>
        <v>3</v>
      </c>
      <c r="CC3" s="58">
        <f t="shared" ref="CC3:CC9" si="19">+BZ3*CB3</f>
        <v>1.08</v>
      </c>
      <c r="CD3" s="63">
        <v>0</v>
      </c>
      <c r="CF3" s="60">
        <v>1</v>
      </c>
      <c r="CG3" s="61">
        <v>0</v>
      </c>
      <c r="CH3" s="62">
        <f>+SUM($CG$3:CG3)</f>
        <v>0</v>
      </c>
      <c r="CI3" s="58">
        <f t="shared" ref="CI3:CI9" si="20">+BG3</f>
        <v>3</v>
      </c>
      <c r="CJ3" s="58">
        <f t="shared" ref="CJ3:CJ9" si="21">+CG3*CI3</f>
        <v>0</v>
      </c>
      <c r="CK3" s="63">
        <v>0</v>
      </c>
      <c r="CM3" s="60">
        <v>1</v>
      </c>
      <c r="CN3" s="61">
        <f>+H3</f>
        <v>0.55600000000000005</v>
      </c>
      <c r="CO3" s="62">
        <f>+SUM($CN$3:CN3)</f>
        <v>0.55600000000000005</v>
      </c>
      <c r="CP3" s="83">
        <f>+J3</f>
        <v>3</v>
      </c>
      <c r="CQ3" s="58">
        <f t="shared" ref="CQ3" si="22">+CN3*CP3</f>
        <v>1.6680000000000001</v>
      </c>
      <c r="CR3" s="63">
        <v>0</v>
      </c>
      <c r="CT3" s="60">
        <v>1</v>
      </c>
      <c r="CU3" s="61">
        <f>+H3</f>
        <v>0.55600000000000005</v>
      </c>
      <c r="CV3" s="62">
        <f>+SUM($CU$3:CU3)</f>
        <v>0.55600000000000005</v>
      </c>
      <c r="CW3" s="84">
        <f>+J3*2</f>
        <v>6</v>
      </c>
      <c r="CX3" s="58">
        <f t="shared" ref="CX3" si="23">+CU3*CW3</f>
        <v>3.3360000000000003</v>
      </c>
      <c r="CY3" s="63">
        <v>0</v>
      </c>
      <c r="DA3" s="60">
        <v>1</v>
      </c>
      <c r="DB3" s="61">
        <v>0</v>
      </c>
      <c r="DC3" s="62">
        <f>+SUM($DB$3:DB3)</f>
        <v>0</v>
      </c>
      <c r="DD3" s="83">
        <f>+J3</f>
        <v>3</v>
      </c>
      <c r="DE3" s="58">
        <f t="shared" ref="DE3" si="24">+DB3*DD3</f>
        <v>0</v>
      </c>
      <c r="DF3" s="63">
        <v>0</v>
      </c>
    </row>
    <row r="4" spans="1:110">
      <c r="A4" s="3" t="s">
        <v>113</v>
      </c>
      <c r="B4" s="58">
        <f>+E4/D4</f>
        <v>0.50864699898270616</v>
      </c>
      <c r="C4" s="3">
        <v>0</v>
      </c>
      <c r="D4" s="64">
        <f>+R10</f>
        <v>9.8299999999999965</v>
      </c>
      <c r="E4" s="3">
        <v>5</v>
      </c>
      <c r="G4" s="60">
        <v>2</v>
      </c>
      <c r="H4" s="61">
        <v>0.28999999999999998</v>
      </c>
      <c r="I4" s="62">
        <f>+SUM($H$3:H4)</f>
        <v>0.84600000000000009</v>
      </c>
      <c r="J4" s="50">
        <v>4</v>
      </c>
      <c r="K4" s="58">
        <f t="shared" si="0"/>
        <v>1.1599999999999999</v>
      </c>
      <c r="L4" s="63">
        <v>0</v>
      </c>
      <c r="N4" s="60">
        <v>2</v>
      </c>
      <c r="O4" s="61">
        <v>0.2</v>
      </c>
      <c r="P4" s="62">
        <f>+SUM($O$3:O4)</f>
        <v>0.30000000000000004</v>
      </c>
      <c r="Q4" s="58">
        <f t="shared" si="1"/>
        <v>4</v>
      </c>
      <c r="R4" s="58">
        <f t="shared" si="2"/>
        <v>0.8</v>
      </c>
      <c r="S4" s="63">
        <v>0</v>
      </c>
      <c r="U4" s="60">
        <v>2</v>
      </c>
      <c r="V4" s="61">
        <v>0.25</v>
      </c>
      <c r="W4" s="62">
        <f>+SUM($V$3:V4)</f>
        <v>0.35</v>
      </c>
      <c r="X4" s="58">
        <f t="shared" si="3"/>
        <v>4</v>
      </c>
      <c r="Y4" s="58">
        <f t="shared" si="4"/>
        <v>1</v>
      </c>
      <c r="Z4" s="63">
        <v>0</v>
      </c>
      <c r="AB4" s="60">
        <v>2</v>
      </c>
      <c r="AC4" s="61">
        <v>0</v>
      </c>
      <c r="AD4" s="62">
        <f>+SUM($AC$3:AC4)</f>
        <v>0</v>
      </c>
      <c r="AE4" s="58">
        <f t="shared" si="5"/>
        <v>4</v>
      </c>
      <c r="AF4" s="58">
        <f t="shared" si="6"/>
        <v>0</v>
      </c>
      <c r="AG4" s="63">
        <v>0</v>
      </c>
      <c r="AI4" s="60">
        <v>2</v>
      </c>
      <c r="AJ4" s="61">
        <v>0</v>
      </c>
      <c r="AK4" s="62">
        <f>+SUM($AJ$3:AJ4)</f>
        <v>0</v>
      </c>
      <c r="AL4" s="58">
        <f t="shared" si="7"/>
        <v>4</v>
      </c>
      <c r="AM4" s="58">
        <f t="shared" si="8"/>
        <v>0</v>
      </c>
      <c r="AN4" s="63">
        <v>0</v>
      </c>
      <c r="AP4" s="60">
        <v>2</v>
      </c>
      <c r="AQ4" s="61">
        <v>0.1</v>
      </c>
      <c r="AR4" s="62">
        <f>+SUM($AQ$3:AQ4)</f>
        <v>0.2</v>
      </c>
      <c r="AS4" s="58">
        <f t="shared" si="9"/>
        <v>4</v>
      </c>
      <c r="AT4" s="58">
        <f t="shared" ref="AT4:AT9" si="25">+AQ4*AS4</f>
        <v>0.4</v>
      </c>
      <c r="AU4" s="63">
        <v>0</v>
      </c>
      <c r="AW4" s="60">
        <v>2</v>
      </c>
      <c r="AX4" s="61">
        <v>0</v>
      </c>
      <c r="AY4" s="62">
        <f>+SUM($AX$3:AX4)</f>
        <v>0</v>
      </c>
      <c r="AZ4" s="58">
        <f t="shared" si="10"/>
        <v>4</v>
      </c>
      <c r="BA4" s="58">
        <f t="shared" si="11"/>
        <v>0</v>
      </c>
      <c r="BB4" s="63">
        <v>0</v>
      </c>
      <c r="BD4" s="60">
        <v>2</v>
      </c>
      <c r="BE4" s="61">
        <v>0.1</v>
      </c>
      <c r="BF4" s="62">
        <f>+SUM($BE$3:BE4)</f>
        <v>0.15000000000000002</v>
      </c>
      <c r="BG4" s="58">
        <f t="shared" si="12"/>
        <v>4</v>
      </c>
      <c r="BH4" s="58">
        <f t="shared" si="13"/>
        <v>0.4</v>
      </c>
      <c r="BI4" s="63">
        <v>0</v>
      </c>
      <c r="BK4" s="60">
        <v>2</v>
      </c>
      <c r="BL4" s="61">
        <v>0.1</v>
      </c>
      <c r="BM4" s="62">
        <f>+SUM($BL$3:BL4)</f>
        <v>0.15000000000000002</v>
      </c>
      <c r="BN4" s="58">
        <f t="shared" si="14"/>
        <v>4</v>
      </c>
      <c r="BO4" s="58">
        <f t="shared" si="15"/>
        <v>0.4</v>
      </c>
      <c r="BP4" s="63">
        <v>0</v>
      </c>
      <c r="BR4" s="60">
        <v>2</v>
      </c>
      <c r="BS4" s="61">
        <v>0.1</v>
      </c>
      <c r="BT4" s="62">
        <f>+SUM($BS$3:BS4)</f>
        <v>0.19</v>
      </c>
      <c r="BU4" s="58">
        <f t="shared" si="16"/>
        <v>4</v>
      </c>
      <c r="BV4" s="58">
        <f t="shared" si="17"/>
        <v>0.4</v>
      </c>
      <c r="BW4" s="63">
        <v>0</v>
      </c>
      <c r="BY4" s="60">
        <v>2</v>
      </c>
      <c r="BZ4" s="61">
        <v>0.34</v>
      </c>
      <c r="CA4" s="62">
        <f>+SUM($BZ$3:BZ4)</f>
        <v>0.7</v>
      </c>
      <c r="CB4" s="58">
        <f t="shared" si="18"/>
        <v>4</v>
      </c>
      <c r="CC4" s="58">
        <f t="shared" si="19"/>
        <v>1.36</v>
      </c>
      <c r="CD4" s="63">
        <v>0</v>
      </c>
      <c r="CF4" s="60">
        <v>2</v>
      </c>
      <c r="CG4" s="61">
        <v>0</v>
      </c>
      <c r="CH4" s="62">
        <f>+SUM($CG$3:CG4)</f>
        <v>0</v>
      </c>
      <c r="CI4" s="58">
        <f t="shared" si="20"/>
        <v>4</v>
      </c>
      <c r="CJ4" s="58">
        <f t="shared" si="21"/>
        <v>0</v>
      </c>
      <c r="CK4" s="63">
        <v>0</v>
      </c>
      <c r="CM4" s="60">
        <v>2</v>
      </c>
      <c r="CN4" s="61">
        <f t="shared" ref="CN4:CN8" si="26">+H4</f>
        <v>0.28999999999999998</v>
      </c>
      <c r="CO4" s="62">
        <f>+SUM($CN$3:CN4)</f>
        <v>0.84600000000000009</v>
      </c>
      <c r="CP4" s="83">
        <f t="shared" ref="CP4:CP9" si="27">+J4</f>
        <v>4</v>
      </c>
      <c r="CQ4" s="58">
        <f>+CN4*CP4</f>
        <v>1.1599999999999999</v>
      </c>
      <c r="CR4" s="63">
        <v>0</v>
      </c>
      <c r="CT4" s="60">
        <v>2</v>
      </c>
      <c r="CU4" s="61">
        <f t="shared" ref="CU4:CU8" si="28">+H4</f>
        <v>0.28999999999999998</v>
      </c>
      <c r="CV4" s="62">
        <f>+SUM($CU$3:CU4)</f>
        <v>0.84600000000000009</v>
      </c>
      <c r="CW4" s="84">
        <f t="shared" ref="CW4:CW9" si="29">+J4*2</f>
        <v>8</v>
      </c>
      <c r="CX4" s="58">
        <f>+CU4*CW4</f>
        <v>2.3199999999999998</v>
      </c>
      <c r="CY4" s="63">
        <v>0</v>
      </c>
      <c r="DA4" s="60">
        <v>2</v>
      </c>
      <c r="DB4" s="61">
        <v>0</v>
      </c>
      <c r="DC4" s="62">
        <f>+SUM($DB$3:DB4)</f>
        <v>0</v>
      </c>
      <c r="DD4" s="83">
        <f t="shared" ref="DD4:DD9" si="30">+J4</f>
        <v>4</v>
      </c>
      <c r="DE4" s="58">
        <f>+DB4*DD4</f>
        <v>0</v>
      </c>
      <c r="DF4" s="63">
        <v>0</v>
      </c>
    </row>
    <row r="5" spans="1:110">
      <c r="A5" s="3" t="s">
        <v>114</v>
      </c>
      <c r="B5" s="58">
        <f>+E5/D5</f>
        <v>0.66390041493775909</v>
      </c>
      <c r="C5" s="3">
        <v>0</v>
      </c>
      <c r="D5" s="64">
        <f>+Y10</f>
        <v>12.050000000000004</v>
      </c>
      <c r="E5" s="3">
        <v>8</v>
      </c>
      <c r="G5" s="60">
        <v>3</v>
      </c>
      <c r="H5" s="61">
        <v>0.1</v>
      </c>
      <c r="I5" s="62">
        <f>+SUM($H$3:H5)</f>
        <v>0.94600000000000006</v>
      </c>
      <c r="J5" s="50">
        <v>6</v>
      </c>
      <c r="K5" s="58">
        <f t="shared" si="0"/>
        <v>0.60000000000000009</v>
      </c>
      <c r="L5" s="63">
        <v>0</v>
      </c>
      <c r="N5" s="60">
        <v>3</v>
      </c>
      <c r="O5" s="61">
        <v>0.28000000000000003</v>
      </c>
      <c r="P5" s="62">
        <f>+SUM($O$3:O5)</f>
        <v>0.58000000000000007</v>
      </c>
      <c r="Q5" s="58">
        <f t="shared" si="1"/>
        <v>6</v>
      </c>
      <c r="R5" s="58">
        <f t="shared" si="2"/>
        <v>1.6800000000000002</v>
      </c>
      <c r="S5" s="63">
        <v>0</v>
      </c>
      <c r="U5" s="60">
        <v>3</v>
      </c>
      <c r="V5" s="61">
        <v>0.23</v>
      </c>
      <c r="W5" s="62">
        <f>+SUM($V$3:V5)</f>
        <v>0.57999999999999996</v>
      </c>
      <c r="X5" s="58">
        <f t="shared" si="3"/>
        <v>6</v>
      </c>
      <c r="Y5" s="58">
        <f t="shared" si="4"/>
        <v>1.3800000000000001</v>
      </c>
      <c r="Z5" s="63">
        <v>0</v>
      </c>
      <c r="AB5" s="60">
        <v>3</v>
      </c>
      <c r="AC5" s="61">
        <v>0.03</v>
      </c>
      <c r="AD5" s="62">
        <f>+SUM($AC$3:AC5)</f>
        <v>0.03</v>
      </c>
      <c r="AE5" s="58">
        <f t="shared" si="5"/>
        <v>6</v>
      </c>
      <c r="AF5" s="58">
        <f t="shared" si="6"/>
        <v>0.18</v>
      </c>
      <c r="AG5" s="63">
        <v>0</v>
      </c>
      <c r="AI5" s="60">
        <v>3</v>
      </c>
      <c r="AJ5" s="61">
        <v>0</v>
      </c>
      <c r="AK5" s="62">
        <f>+SUM($AJ$3:AJ5)</f>
        <v>0</v>
      </c>
      <c r="AL5" s="58">
        <f t="shared" si="7"/>
        <v>6</v>
      </c>
      <c r="AM5" s="58">
        <f t="shared" si="8"/>
        <v>0</v>
      </c>
      <c r="AN5" s="63">
        <v>0</v>
      </c>
      <c r="AP5" s="60">
        <v>3</v>
      </c>
      <c r="AQ5" s="61">
        <v>0.3</v>
      </c>
      <c r="AR5" s="62">
        <f>+SUM($AQ$3:AQ5)</f>
        <v>0.5</v>
      </c>
      <c r="AS5" s="58">
        <f t="shared" si="9"/>
        <v>6</v>
      </c>
      <c r="AT5" s="58">
        <f t="shared" si="25"/>
        <v>1.7999999999999998</v>
      </c>
      <c r="AU5" s="63">
        <v>0</v>
      </c>
      <c r="AW5" s="60">
        <v>3</v>
      </c>
      <c r="AX5" s="61">
        <v>0.04</v>
      </c>
      <c r="AY5" s="62">
        <f>+SUM($AX$3:AX5)</f>
        <v>0.04</v>
      </c>
      <c r="AZ5" s="58">
        <f t="shared" si="10"/>
        <v>6</v>
      </c>
      <c r="BA5" s="58">
        <f t="shared" si="11"/>
        <v>0.24</v>
      </c>
      <c r="BB5" s="63">
        <v>0</v>
      </c>
      <c r="BD5" s="60">
        <v>3</v>
      </c>
      <c r="BE5" s="61">
        <v>0.2</v>
      </c>
      <c r="BF5" s="62">
        <f>+SUM($BE$3:BE5)</f>
        <v>0.35000000000000003</v>
      </c>
      <c r="BG5" s="58">
        <f t="shared" si="12"/>
        <v>6</v>
      </c>
      <c r="BH5" s="58">
        <f t="shared" si="13"/>
        <v>1.2000000000000002</v>
      </c>
      <c r="BI5" s="63">
        <v>0</v>
      </c>
      <c r="BK5" s="60">
        <v>3</v>
      </c>
      <c r="BL5" s="61">
        <v>0.14000000000000001</v>
      </c>
      <c r="BM5" s="62">
        <f>+SUM($BL$3:BL5)</f>
        <v>0.29000000000000004</v>
      </c>
      <c r="BN5" s="58">
        <f t="shared" si="14"/>
        <v>6</v>
      </c>
      <c r="BO5" s="58">
        <f t="shared" si="15"/>
        <v>0.84000000000000008</v>
      </c>
      <c r="BP5" s="63">
        <v>0</v>
      </c>
      <c r="BR5" s="60">
        <v>3</v>
      </c>
      <c r="BS5" s="61">
        <v>0.2</v>
      </c>
      <c r="BT5" s="62">
        <f>+SUM($BS$3:BS5)</f>
        <v>0.39</v>
      </c>
      <c r="BU5" s="58">
        <f t="shared" si="16"/>
        <v>6</v>
      </c>
      <c r="BV5" s="58">
        <f t="shared" si="17"/>
        <v>1.2000000000000002</v>
      </c>
      <c r="BW5" s="63">
        <v>0</v>
      </c>
      <c r="BY5" s="60">
        <v>3</v>
      </c>
      <c r="BZ5" s="61">
        <v>0.21</v>
      </c>
      <c r="CA5" s="62">
        <f>+SUM($BZ$3:BZ5)</f>
        <v>0.90999999999999992</v>
      </c>
      <c r="CB5" s="58">
        <f t="shared" si="18"/>
        <v>6</v>
      </c>
      <c r="CC5" s="58">
        <f t="shared" si="19"/>
        <v>1.26</v>
      </c>
      <c r="CD5" s="63">
        <v>0</v>
      </c>
      <c r="CF5" s="60">
        <v>3</v>
      </c>
      <c r="CG5" s="61">
        <v>0</v>
      </c>
      <c r="CH5" s="62">
        <f>+SUM($CG$3:CG5)</f>
        <v>0</v>
      </c>
      <c r="CI5" s="58">
        <f t="shared" si="20"/>
        <v>6</v>
      </c>
      <c r="CJ5" s="58">
        <f t="shared" si="21"/>
        <v>0</v>
      </c>
      <c r="CK5" s="63">
        <v>0</v>
      </c>
      <c r="CM5" s="60">
        <v>3</v>
      </c>
      <c r="CN5" s="61">
        <f t="shared" si="26"/>
        <v>0.1</v>
      </c>
      <c r="CO5" s="62">
        <f>+SUM($CN$3:CN5)</f>
        <v>0.94600000000000006</v>
      </c>
      <c r="CP5" s="83">
        <f t="shared" si="27"/>
        <v>6</v>
      </c>
      <c r="CQ5" s="58">
        <f t="shared" ref="CQ5:CQ9" si="31">+CN5*CP5</f>
        <v>0.60000000000000009</v>
      </c>
      <c r="CR5" s="63">
        <v>0</v>
      </c>
      <c r="CT5" s="60">
        <v>3</v>
      </c>
      <c r="CU5" s="61">
        <f t="shared" si="28"/>
        <v>0.1</v>
      </c>
      <c r="CV5" s="62">
        <f>+SUM($CU$3:CU5)</f>
        <v>0.94600000000000006</v>
      </c>
      <c r="CW5" s="84">
        <f t="shared" si="29"/>
        <v>12</v>
      </c>
      <c r="CX5" s="58">
        <f t="shared" ref="CX5:CX9" si="32">+CU5*CW5</f>
        <v>1.2000000000000002</v>
      </c>
      <c r="CY5" s="63">
        <v>0</v>
      </c>
      <c r="DA5" s="60">
        <v>3</v>
      </c>
      <c r="DB5" s="61">
        <v>0</v>
      </c>
      <c r="DC5" s="62">
        <f>+SUM($DB$3:DB5)</f>
        <v>0</v>
      </c>
      <c r="DD5" s="83">
        <f t="shared" si="30"/>
        <v>6</v>
      </c>
      <c r="DE5" s="58">
        <f t="shared" ref="DE5:DE9" si="33">+DB5*DD5</f>
        <v>0</v>
      </c>
      <c r="DF5" s="63">
        <v>0</v>
      </c>
    </row>
    <row r="6" spans="1:110">
      <c r="A6" s="3" t="s">
        <v>115</v>
      </c>
      <c r="B6" s="75">
        <f>+E6/D6</f>
        <v>0.75700227100681328</v>
      </c>
      <c r="C6" s="3">
        <v>0</v>
      </c>
      <c r="D6" s="64">
        <f>+AF10</f>
        <v>13.209999999999996</v>
      </c>
      <c r="E6" s="3">
        <v>10</v>
      </c>
      <c r="G6" s="60">
        <v>4</v>
      </c>
      <c r="H6" s="61">
        <v>0.05</v>
      </c>
      <c r="I6" s="62">
        <f>+SUM($H$3:H6)</f>
        <v>0.99600000000000011</v>
      </c>
      <c r="J6" s="50">
        <v>8</v>
      </c>
      <c r="K6" s="58">
        <f t="shared" si="0"/>
        <v>0.4</v>
      </c>
      <c r="L6" s="63">
        <v>0</v>
      </c>
      <c r="N6" s="60">
        <v>4</v>
      </c>
      <c r="O6" s="61">
        <v>0.25</v>
      </c>
      <c r="P6" s="62">
        <f>+SUM($O$3:O6)</f>
        <v>0.83000000000000007</v>
      </c>
      <c r="Q6" s="58">
        <f t="shared" si="1"/>
        <v>8</v>
      </c>
      <c r="R6" s="58">
        <f t="shared" si="2"/>
        <v>2</v>
      </c>
      <c r="S6" s="63">
        <v>0</v>
      </c>
      <c r="U6" s="60">
        <v>4</v>
      </c>
      <c r="V6" s="61">
        <v>0.17</v>
      </c>
      <c r="W6" s="62">
        <f>+SUM($V$3:V6)</f>
        <v>0.75</v>
      </c>
      <c r="X6" s="58">
        <f t="shared" si="3"/>
        <v>8</v>
      </c>
      <c r="Y6" s="58">
        <f t="shared" si="4"/>
        <v>1.36</v>
      </c>
      <c r="Z6" s="63">
        <v>0</v>
      </c>
      <c r="AB6" s="60">
        <v>4</v>
      </c>
      <c r="AC6" s="61">
        <v>0.26</v>
      </c>
      <c r="AD6" s="62">
        <f>+SUM($AC$3:AC6)</f>
        <v>0.29000000000000004</v>
      </c>
      <c r="AE6" s="58">
        <f t="shared" si="5"/>
        <v>8</v>
      </c>
      <c r="AF6" s="58">
        <f t="shared" si="6"/>
        <v>2.08</v>
      </c>
      <c r="AG6" s="63">
        <v>0</v>
      </c>
      <c r="AI6" s="60">
        <v>4</v>
      </c>
      <c r="AJ6" s="61">
        <v>0</v>
      </c>
      <c r="AK6" s="62">
        <f>+SUM($AJ$3:AJ6)</f>
        <v>0</v>
      </c>
      <c r="AL6" s="58">
        <f t="shared" si="7"/>
        <v>8</v>
      </c>
      <c r="AM6" s="58">
        <f t="shared" si="8"/>
        <v>0</v>
      </c>
      <c r="AN6" s="63">
        <v>0</v>
      </c>
      <c r="AP6" s="60">
        <v>4</v>
      </c>
      <c r="AQ6" s="61">
        <f>1-SUM(AQ3:AQ5)</f>
        <v>0.5</v>
      </c>
      <c r="AR6" s="62">
        <f>+SUM($AQ$3:AQ6)</f>
        <v>1</v>
      </c>
      <c r="AS6" s="58">
        <f t="shared" si="9"/>
        <v>8</v>
      </c>
      <c r="AT6" s="58">
        <f t="shared" si="25"/>
        <v>4</v>
      </c>
      <c r="AU6" s="63">
        <v>0</v>
      </c>
      <c r="AW6" s="60">
        <v>4</v>
      </c>
      <c r="AX6" s="61">
        <v>0.32</v>
      </c>
      <c r="AY6" s="62">
        <f>+SUM($AX$3:AX6)</f>
        <v>0.36</v>
      </c>
      <c r="AZ6" s="58">
        <f t="shared" si="10"/>
        <v>8</v>
      </c>
      <c r="BA6" s="58">
        <f t="shared" si="11"/>
        <v>2.56</v>
      </c>
      <c r="BB6" s="63">
        <v>0</v>
      </c>
      <c r="BD6" s="60">
        <v>4</v>
      </c>
      <c r="BE6" s="61">
        <v>0.2</v>
      </c>
      <c r="BF6" s="62">
        <f>+SUM($BE$3:BE6)</f>
        <v>0.55000000000000004</v>
      </c>
      <c r="BG6" s="58">
        <f t="shared" si="12"/>
        <v>8</v>
      </c>
      <c r="BH6" s="58">
        <f t="shared" si="13"/>
        <v>1.6</v>
      </c>
      <c r="BI6" s="63">
        <v>0</v>
      </c>
      <c r="BK6" s="60">
        <v>4</v>
      </c>
      <c r="BL6" s="61">
        <v>0.3</v>
      </c>
      <c r="BM6" s="62">
        <f>+SUM($BL$3:BL6)</f>
        <v>0.59000000000000008</v>
      </c>
      <c r="BN6" s="58">
        <f t="shared" si="14"/>
        <v>8</v>
      </c>
      <c r="BO6" s="58">
        <f t="shared" si="15"/>
        <v>2.4</v>
      </c>
      <c r="BP6" s="63">
        <v>0</v>
      </c>
      <c r="BR6" s="60">
        <v>4</v>
      </c>
      <c r="BS6" s="61">
        <v>0.25</v>
      </c>
      <c r="BT6" s="62">
        <f>+SUM($BS$3:BS6)</f>
        <v>0.64</v>
      </c>
      <c r="BU6" s="58">
        <f t="shared" si="16"/>
        <v>8</v>
      </c>
      <c r="BV6" s="58">
        <f t="shared" si="17"/>
        <v>2</v>
      </c>
      <c r="BW6" s="63">
        <v>0</v>
      </c>
      <c r="BY6" s="60">
        <v>4</v>
      </c>
      <c r="BZ6" s="61">
        <v>0.05</v>
      </c>
      <c r="CA6" s="62">
        <f>+SUM($BZ$3:BZ6)</f>
        <v>0.96</v>
      </c>
      <c r="CB6" s="58">
        <f t="shared" si="18"/>
        <v>8</v>
      </c>
      <c r="CC6" s="58">
        <f t="shared" si="19"/>
        <v>0.4</v>
      </c>
      <c r="CD6" s="63">
        <v>0</v>
      </c>
      <c r="CF6" s="60">
        <v>4</v>
      </c>
      <c r="CG6" s="61">
        <v>0</v>
      </c>
      <c r="CH6" s="62">
        <f>+SUM($CG$3:CG6)</f>
        <v>0</v>
      </c>
      <c r="CI6" s="58">
        <f t="shared" si="20"/>
        <v>8</v>
      </c>
      <c r="CJ6" s="58">
        <f t="shared" si="21"/>
        <v>0</v>
      </c>
      <c r="CK6" s="63">
        <v>0</v>
      </c>
      <c r="CM6" s="60">
        <v>4</v>
      </c>
      <c r="CN6" s="61">
        <f t="shared" si="26"/>
        <v>0.05</v>
      </c>
      <c r="CO6" s="62">
        <f>+SUM($CN$3:CN6)</f>
        <v>0.99600000000000011</v>
      </c>
      <c r="CP6" s="83">
        <f t="shared" si="27"/>
        <v>8</v>
      </c>
      <c r="CQ6" s="58">
        <f t="shared" si="31"/>
        <v>0.4</v>
      </c>
      <c r="CR6" s="63">
        <v>0</v>
      </c>
      <c r="CT6" s="60">
        <v>4</v>
      </c>
      <c r="CU6" s="61">
        <f t="shared" si="28"/>
        <v>0.05</v>
      </c>
      <c r="CV6" s="62">
        <f>+SUM($CU$3:CU6)</f>
        <v>0.99600000000000011</v>
      </c>
      <c r="CW6" s="84">
        <f t="shared" si="29"/>
        <v>16</v>
      </c>
      <c r="CX6" s="58">
        <f t="shared" si="32"/>
        <v>0.8</v>
      </c>
      <c r="CY6" s="63">
        <v>0</v>
      </c>
      <c r="DA6" s="60">
        <v>4</v>
      </c>
      <c r="DB6" s="61">
        <v>0.15</v>
      </c>
      <c r="DC6" s="62">
        <f>+SUM($DB$3:DB6)</f>
        <v>0.15</v>
      </c>
      <c r="DD6" s="83">
        <f t="shared" si="30"/>
        <v>8</v>
      </c>
      <c r="DE6" s="58">
        <f t="shared" si="33"/>
        <v>1.2</v>
      </c>
      <c r="DF6" s="63">
        <v>0</v>
      </c>
    </row>
    <row r="7" spans="1:110">
      <c r="A7" s="75" t="s">
        <v>131</v>
      </c>
      <c r="B7" s="75">
        <f t="shared" ref="B7:B12" si="34">+E7/D7</f>
        <v>0.71174377224199292</v>
      </c>
      <c r="C7" s="3">
        <v>0</v>
      </c>
      <c r="D7" s="64">
        <f>+AM10</f>
        <v>28.099999999999998</v>
      </c>
      <c r="E7" s="3">
        <v>20</v>
      </c>
      <c r="G7" s="60">
        <v>5</v>
      </c>
      <c r="H7" s="61">
        <v>2E-3</v>
      </c>
      <c r="I7" s="62">
        <f>+SUM($H$3:H7)</f>
        <v>0.99800000000000011</v>
      </c>
      <c r="J7" s="50">
        <v>12</v>
      </c>
      <c r="K7" s="58">
        <f t="shared" si="0"/>
        <v>2.4E-2</v>
      </c>
      <c r="L7" s="63">
        <v>0</v>
      </c>
      <c r="N7" s="60">
        <v>5</v>
      </c>
      <c r="O7" s="61">
        <v>0.1</v>
      </c>
      <c r="P7" s="62">
        <f>+SUM($O$3:O7)</f>
        <v>0.93</v>
      </c>
      <c r="Q7" s="58">
        <f t="shared" si="1"/>
        <v>12</v>
      </c>
      <c r="R7" s="58">
        <f t="shared" si="2"/>
        <v>1.2000000000000002</v>
      </c>
      <c r="S7" s="63">
        <v>0</v>
      </c>
      <c r="U7" s="60">
        <v>5</v>
      </c>
      <c r="V7" s="61">
        <v>0.08</v>
      </c>
      <c r="W7" s="62">
        <f>+SUM($V$3:V7)</f>
        <v>0.83</v>
      </c>
      <c r="X7" s="58">
        <f t="shared" si="3"/>
        <v>12</v>
      </c>
      <c r="Y7" s="58">
        <f t="shared" si="4"/>
        <v>0.96</v>
      </c>
      <c r="Z7" s="63">
        <v>0</v>
      </c>
      <c r="AB7" s="60">
        <v>5</v>
      </c>
      <c r="AC7" s="61">
        <v>0.55000000000000004</v>
      </c>
      <c r="AD7" s="62">
        <f>+SUM($AC$3:AC7)</f>
        <v>0.84000000000000008</v>
      </c>
      <c r="AE7" s="58">
        <f t="shared" si="5"/>
        <v>12</v>
      </c>
      <c r="AF7" s="58">
        <f t="shared" si="6"/>
        <v>6.6000000000000005</v>
      </c>
      <c r="AG7" s="63">
        <v>0</v>
      </c>
      <c r="AI7" s="60">
        <v>5</v>
      </c>
      <c r="AJ7" s="61">
        <v>0.3</v>
      </c>
      <c r="AK7" s="62">
        <f>+SUM($AJ$3:AJ7)</f>
        <v>0.3</v>
      </c>
      <c r="AL7" s="58">
        <f t="shared" si="7"/>
        <v>12</v>
      </c>
      <c r="AM7" s="58">
        <f t="shared" si="8"/>
        <v>3.5999999999999996</v>
      </c>
      <c r="AN7" s="63">
        <v>0</v>
      </c>
      <c r="AP7" s="60">
        <v>5</v>
      </c>
      <c r="AQ7" s="61">
        <v>0</v>
      </c>
      <c r="AR7" s="62">
        <f>+SUM($AQ$3:AQ7)</f>
        <v>1</v>
      </c>
      <c r="AS7" s="58">
        <f t="shared" si="9"/>
        <v>12</v>
      </c>
      <c r="AT7" s="58">
        <f t="shared" si="25"/>
        <v>0</v>
      </c>
      <c r="AU7" s="63">
        <v>0</v>
      </c>
      <c r="AW7" s="60">
        <v>5</v>
      </c>
      <c r="AX7" s="61">
        <v>0.51</v>
      </c>
      <c r="AY7" s="62">
        <f>+SUM($AX$3:AX7)</f>
        <v>0.87</v>
      </c>
      <c r="AZ7" s="58">
        <f t="shared" si="10"/>
        <v>12</v>
      </c>
      <c r="BA7" s="58">
        <f t="shared" si="11"/>
        <v>6.12</v>
      </c>
      <c r="BB7" s="63">
        <v>0</v>
      </c>
      <c r="BD7" s="60">
        <v>5</v>
      </c>
      <c r="BE7" s="61">
        <v>0.2</v>
      </c>
      <c r="BF7" s="62">
        <f>+SUM($BE$3:BE7)</f>
        <v>0.75</v>
      </c>
      <c r="BG7" s="58">
        <f t="shared" si="12"/>
        <v>12</v>
      </c>
      <c r="BH7" s="58">
        <f t="shared" si="13"/>
        <v>2.4000000000000004</v>
      </c>
      <c r="BI7" s="63">
        <v>0</v>
      </c>
      <c r="BK7" s="60">
        <v>5</v>
      </c>
      <c r="BL7" s="61">
        <v>0.2</v>
      </c>
      <c r="BM7" s="62">
        <f>+SUM($BL$3:BL7)</f>
        <v>0.79</v>
      </c>
      <c r="BN7" s="58">
        <f t="shared" si="14"/>
        <v>12</v>
      </c>
      <c r="BO7" s="58">
        <f t="shared" si="15"/>
        <v>2.4000000000000004</v>
      </c>
      <c r="BP7" s="63">
        <v>0</v>
      </c>
      <c r="BR7" s="60">
        <v>5</v>
      </c>
      <c r="BS7" s="61">
        <v>0.1</v>
      </c>
      <c r="BT7" s="62">
        <f>+SUM($BS$3:BS7)</f>
        <v>0.74</v>
      </c>
      <c r="BU7" s="58">
        <f t="shared" si="16"/>
        <v>12</v>
      </c>
      <c r="BV7" s="58">
        <f t="shared" si="17"/>
        <v>1.2000000000000002</v>
      </c>
      <c r="BW7" s="63">
        <v>0</v>
      </c>
      <c r="BY7" s="60">
        <v>5</v>
      </c>
      <c r="BZ7" s="61">
        <v>0.02</v>
      </c>
      <c r="CA7" s="62">
        <f>+SUM($BZ$3:BZ7)</f>
        <v>0.98</v>
      </c>
      <c r="CB7" s="58">
        <f t="shared" si="18"/>
        <v>12</v>
      </c>
      <c r="CC7" s="58">
        <f t="shared" si="19"/>
        <v>0.24</v>
      </c>
      <c r="CD7" s="63">
        <v>0</v>
      </c>
      <c r="CF7" s="60">
        <v>5</v>
      </c>
      <c r="CG7" s="61">
        <v>0.05</v>
      </c>
      <c r="CH7" s="62">
        <f>+SUM($CG$3:CG7)</f>
        <v>0.05</v>
      </c>
      <c r="CI7" s="58">
        <f t="shared" si="20"/>
        <v>12</v>
      </c>
      <c r="CJ7" s="58">
        <f t="shared" si="21"/>
        <v>0.60000000000000009</v>
      </c>
      <c r="CK7" s="63">
        <v>0</v>
      </c>
      <c r="CM7" s="60">
        <v>5</v>
      </c>
      <c r="CN7" s="61">
        <f t="shared" si="26"/>
        <v>2E-3</v>
      </c>
      <c r="CO7" s="62">
        <f>+SUM($CN$3:CN7)</f>
        <v>0.99800000000000011</v>
      </c>
      <c r="CP7" s="83">
        <f t="shared" si="27"/>
        <v>12</v>
      </c>
      <c r="CQ7" s="58">
        <f t="shared" si="31"/>
        <v>2.4E-2</v>
      </c>
      <c r="CR7" s="63">
        <v>0</v>
      </c>
      <c r="CT7" s="60">
        <v>5</v>
      </c>
      <c r="CU7" s="61">
        <f t="shared" si="28"/>
        <v>2E-3</v>
      </c>
      <c r="CV7" s="62">
        <f>+SUM($CU$3:CU7)</f>
        <v>0.99800000000000011</v>
      </c>
      <c r="CW7" s="84">
        <f t="shared" si="29"/>
        <v>24</v>
      </c>
      <c r="CX7" s="58">
        <f t="shared" si="32"/>
        <v>4.8000000000000001E-2</v>
      </c>
      <c r="CY7" s="63">
        <v>0</v>
      </c>
      <c r="DA7" s="60">
        <v>5</v>
      </c>
      <c r="DB7" s="61">
        <v>0.2</v>
      </c>
      <c r="DC7" s="62">
        <f>+SUM($DB$3:DB7)</f>
        <v>0.35</v>
      </c>
      <c r="DD7" s="83">
        <f t="shared" si="30"/>
        <v>12</v>
      </c>
      <c r="DE7" s="58">
        <f t="shared" si="33"/>
        <v>2.4000000000000004</v>
      </c>
      <c r="DF7" s="63">
        <v>0</v>
      </c>
    </row>
    <row r="8" spans="1:110">
      <c r="A8" s="75" t="s">
        <v>132</v>
      </c>
      <c r="B8" s="75">
        <f>+E8/D8</f>
        <v>0.30769230769230771</v>
      </c>
      <c r="C8" s="3">
        <v>0</v>
      </c>
      <c r="D8" s="64">
        <f>+AT10</f>
        <v>6.5</v>
      </c>
      <c r="E8" s="3">
        <v>2</v>
      </c>
      <c r="G8" s="60">
        <v>6</v>
      </c>
      <c r="H8" s="61">
        <v>1E-3</v>
      </c>
      <c r="I8" s="62">
        <f>+SUM($H$3:H8)</f>
        <v>0.99900000000000011</v>
      </c>
      <c r="J8" s="50">
        <v>25</v>
      </c>
      <c r="K8" s="58">
        <f t="shared" si="0"/>
        <v>2.5000000000000001E-2</v>
      </c>
      <c r="L8" s="63">
        <v>0</v>
      </c>
      <c r="N8" s="60">
        <v>6</v>
      </c>
      <c r="O8" s="61">
        <v>0.01</v>
      </c>
      <c r="P8" s="62">
        <f>+SUM($O$3:O8)</f>
        <v>0.94000000000000006</v>
      </c>
      <c r="Q8" s="58">
        <f t="shared" si="1"/>
        <v>25</v>
      </c>
      <c r="R8" s="58">
        <f t="shared" si="2"/>
        <v>0.25</v>
      </c>
      <c r="S8" s="63">
        <v>0</v>
      </c>
      <c r="U8" s="60">
        <v>6</v>
      </c>
      <c r="V8" s="61">
        <v>0.09</v>
      </c>
      <c r="W8" s="62">
        <f>+SUM($V$3:V8)</f>
        <v>0.91999999999999993</v>
      </c>
      <c r="X8" s="58">
        <f t="shared" si="3"/>
        <v>25</v>
      </c>
      <c r="Y8" s="58">
        <f t="shared" si="4"/>
        <v>2.25</v>
      </c>
      <c r="Z8" s="63">
        <v>0</v>
      </c>
      <c r="AB8" s="60">
        <v>6</v>
      </c>
      <c r="AC8" s="61">
        <v>0.15</v>
      </c>
      <c r="AD8" s="62">
        <f>+SUM($AC$3:AC8)</f>
        <v>0.9900000000000001</v>
      </c>
      <c r="AE8" s="58">
        <f t="shared" si="5"/>
        <v>25</v>
      </c>
      <c r="AF8" s="58">
        <f t="shared" si="6"/>
        <v>3.75</v>
      </c>
      <c r="AG8" s="63">
        <v>0</v>
      </c>
      <c r="AI8" s="60">
        <v>6</v>
      </c>
      <c r="AJ8" s="61">
        <v>0.5</v>
      </c>
      <c r="AK8" s="62">
        <f>+SUM($AJ$3:AJ8)</f>
        <v>0.8</v>
      </c>
      <c r="AL8" s="58">
        <f t="shared" si="7"/>
        <v>25</v>
      </c>
      <c r="AM8" s="58">
        <f t="shared" si="8"/>
        <v>12.5</v>
      </c>
      <c r="AN8" s="63">
        <v>0</v>
      </c>
      <c r="AP8" s="60">
        <v>6</v>
      </c>
      <c r="AQ8" s="61">
        <v>0</v>
      </c>
      <c r="AR8" s="62">
        <f>+SUM($AQ$3:AQ8)</f>
        <v>1</v>
      </c>
      <c r="AS8" s="58">
        <f t="shared" si="9"/>
        <v>25</v>
      </c>
      <c r="AT8" s="58">
        <f t="shared" si="25"/>
        <v>0</v>
      </c>
      <c r="AU8" s="63">
        <v>0</v>
      </c>
      <c r="AW8" s="60">
        <v>6</v>
      </c>
      <c r="AX8" s="61">
        <v>0.1</v>
      </c>
      <c r="AY8" s="62">
        <f>+SUM($AX$3:AX8)</f>
        <v>0.97</v>
      </c>
      <c r="AZ8" s="58">
        <f t="shared" si="10"/>
        <v>25</v>
      </c>
      <c r="BA8" s="58">
        <f t="shared" si="11"/>
        <v>2.5</v>
      </c>
      <c r="BB8" s="63">
        <v>0</v>
      </c>
      <c r="BD8" s="60">
        <v>6</v>
      </c>
      <c r="BE8" s="61">
        <v>0.12</v>
      </c>
      <c r="BF8" s="62">
        <f>+SUM($BE$3:BE8)</f>
        <v>0.87</v>
      </c>
      <c r="BG8" s="58">
        <f t="shared" si="12"/>
        <v>25</v>
      </c>
      <c r="BH8" s="58">
        <f t="shared" si="13"/>
        <v>3</v>
      </c>
      <c r="BI8" s="63">
        <v>0</v>
      </c>
      <c r="BK8" s="60">
        <v>6</v>
      </c>
      <c r="BL8" s="61">
        <v>0.12</v>
      </c>
      <c r="BM8" s="62">
        <f>+SUM($BL$3:BL8)</f>
        <v>0.91</v>
      </c>
      <c r="BN8" s="58">
        <f t="shared" si="14"/>
        <v>25</v>
      </c>
      <c r="BO8" s="58">
        <f t="shared" si="15"/>
        <v>3</v>
      </c>
      <c r="BP8" s="63">
        <v>0</v>
      </c>
      <c r="BR8" s="60">
        <v>6</v>
      </c>
      <c r="BS8" s="61">
        <v>0.16</v>
      </c>
      <c r="BT8" s="62">
        <f>+SUM($BS$3:BS8)</f>
        <v>0.9</v>
      </c>
      <c r="BU8" s="58">
        <f t="shared" si="16"/>
        <v>25</v>
      </c>
      <c r="BV8" s="58">
        <f t="shared" si="17"/>
        <v>4</v>
      </c>
      <c r="BW8" s="63">
        <v>0</v>
      </c>
      <c r="BY8" s="60">
        <v>6</v>
      </c>
      <c r="BZ8" s="61">
        <v>0.01</v>
      </c>
      <c r="CA8" s="62">
        <f>+SUM($BZ$3:BZ8)</f>
        <v>0.99</v>
      </c>
      <c r="CB8" s="58">
        <f t="shared" si="18"/>
        <v>25</v>
      </c>
      <c r="CC8" s="58">
        <f t="shared" si="19"/>
        <v>0.25</v>
      </c>
      <c r="CD8" s="63">
        <v>0</v>
      </c>
      <c r="CF8" s="60">
        <v>6</v>
      </c>
      <c r="CG8" s="61">
        <v>0.13</v>
      </c>
      <c r="CH8" s="62">
        <f>+SUM($CG$3:CG8)</f>
        <v>0.18</v>
      </c>
      <c r="CI8" s="58">
        <f t="shared" si="20"/>
        <v>25</v>
      </c>
      <c r="CJ8" s="58">
        <f t="shared" si="21"/>
        <v>3.25</v>
      </c>
      <c r="CK8" s="63">
        <v>0</v>
      </c>
      <c r="CM8" s="60">
        <v>6</v>
      </c>
      <c r="CN8" s="61">
        <f t="shared" si="26"/>
        <v>1E-3</v>
      </c>
      <c r="CO8" s="62">
        <f>+SUM($CN$3:CN8)</f>
        <v>0.99900000000000011</v>
      </c>
      <c r="CP8" s="83">
        <f t="shared" si="27"/>
        <v>25</v>
      </c>
      <c r="CQ8" s="58">
        <f t="shared" si="31"/>
        <v>2.5000000000000001E-2</v>
      </c>
      <c r="CR8" s="63">
        <v>0</v>
      </c>
      <c r="CT8" s="60">
        <v>6</v>
      </c>
      <c r="CU8" s="61">
        <f t="shared" si="28"/>
        <v>1E-3</v>
      </c>
      <c r="CV8" s="62">
        <f>+SUM($CU$3:CU8)</f>
        <v>0.99900000000000011</v>
      </c>
      <c r="CW8" s="84">
        <f t="shared" si="29"/>
        <v>50</v>
      </c>
      <c r="CX8" s="58">
        <f t="shared" si="32"/>
        <v>0.05</v>
      </c>
      <c r="CY8" s="63">
        <v>0</v>
      </c>
      <c r="DA8" s="60">
        <v>6</v>
      </c>
      <c r="DB8" s="61">
        <v>0.35</v>
      </c>
      <c r="DC8" s="62">
        <f>+SUM($DB$3:DB8)</f>
        <v>0.7</v>
      </c>
      <c r="DD8" s="83">
        <f t="shared" si="30"/>
        <v>25</v>
      </c>
      <c r="DE8" s="58">
        <f t="shared" si="33"/>
        <v>8.75</v>
      </c>
      <c r="DF8" s="63">
        <v>0</v>
      </c>
    </row>
    <row r="9" spans="1:110">
      <c r="A9" s="75" t="s">
        <v>133</v>
      </c>
      <c r="B9" s="75">
        <f t="shared" si="34"/>
        <v>0.7564296520423599</v>
      </c>
      <c r="C9" s="3">
        <v>0</v>
      </c>
      <c r="D9" s="64">
        <f>+BA10</f>
        <v>13.220000000000002</v>
      </c>
      <c r="E9" s="3">
        <v>10</v>
      </c>
      <c r="G9" s="60">
        <v>7</v>
      </c>
      <c r="H9" s="66">
        <f>1-SUM(H3:H8)</f>
        <v>9.9999999999988987E-4</v>
      </c>
      <c r="I9" s="62">
        <f>+SUM($H$3:H9)</f>
        <v>1</v>
      </c>
      <c r="J9" s="50">
        <v>60</v>
      </c>
      <c r="K9" s="58">
        <f t="shared" si="0"/>
        <v>5.9999999999993392E-2</v>
      </c>
      <c r="L9" s="63">
        <v>0</v>
      </c>
      <c r="N9" s="60">
        <v>7</v>
      </c>
      <c r="O9" s="66">
        <f>1-SUM(O3:O8)</f>
        <v>5.9999999999999942E-2</v>
      </c>
      <c r="P9" s="62">
        <f>+SUM($O$3:O9)</f>
        <v>1</v>
      </c>
      <c r="Q9" s="58">
        <f t="shared" si="1"/>
        <v>60</v>
      </c>
      <c r="R9" s="58">
        <f t="shared" si="2"/>
        <v>3.5999999999999965</v>
      </c>
      <c r="S9" s="63">
        <v>0</v>
      </c>
      <c r="U9" s="60">
        <v>7</v>
      </c>
      <c r="V9" s="66">
        <f>1-SUM(V3:V8)</f>
        <v>8.0000000000000071E-2</v>
      </c>
      <c r="W9" s="62">
        <f>+SUM($V$3:V9)</f>
        <v>1</v>
      </c>
      <c r="X9" s="58">
        <f t="shared" si="3"/>
        <v>60</v>
      </c>
      <c r="Y9" s="58">
        <f t="shared" si="4"/>
        <v>4.8000000000000043</v>
      </c>
      <c r="Z9" s="63">
        <v>0</v>
      </c>
      <c r="AB9" s="60">
        <v>7</v>
      </c>
      <c r="AC9" s="66">
        <f>1-SUM(AC3:AC8)</f>
        <v>9.9999999999998979E-3</v>
      </c>
      <c r="AD9" s="62">
        <f>+SUM($AC$3:AC9)</f>
        <v>1</v>
      </c>
      <c r="AE9" s="58">
        <f t="shared" si="5"/>
        <v>60</v>
      </c>
      <c r="AF9" s="58">
        <f t="shared" si="6"/>
        <v>0.59999999999999387</v>
      </c>
      <c r="AG9" s="63">
        <v>0</v>
      </c>
      <c r="AI9" s="60">
        <v>7</v>
      </c>
      <c r="AJ9" s="66">
        <f>1-SUM(AJ3:AJ8)</f>
        <v>0.19999999999999996</v>
      </c>
      <c r="AK9" s="62">
        <f>+SUM($AJ$3:AJ9)</f>
        <v>1</v>
      </c>
      <c r="AL9" s="58">
        <f t="shared" si="7"/>
        <v>60</v>
      </c>
      <c r="AM9" s="58">
        <f t="shared" si="8"/>
        <v>11.999999999999996</v>
      </c>
      <c r="AN9" s="63">
        <v>0</v>
      </c>
      <c r="AP9" s="60">
        <v>7</v>
      </c>
      <c r="AQ9" s="66">
        <v>0</v>
      </c>
      <c r="AR9" s="62">
        <f>+SUM($AQ$3:AQ9)</f>
        <v>1</v>
      </c>
      <c r="AS9" s="58">
        <f t="shared" si="9"/>
        <v>60</v>
      </c>
      <c r="AT9" s="58">
        <f t="shared" si="25"/>
        <v>0</v>
      </c>
      <c r="AU9" s="63">
        <v>0</v>
      </c>
      <c r="AW9" s="60">
        <v>7</v>
      </c>
      <c r="AX9" s="66">
        <f>1-SUM(AX3:AX8)</f>
        <v>3.0000000000000027E-2</v>
      </c>
      <c r="AY9" s="62">
        <f>+SUM($AX$3:AX9)</f>
        <v>1</v>
      </c>
      <c r="AZ9" s="58">
        <f t="shared" si="10"/>
        <v>60</v>
      </c>
      <c r="BA9" s="58">
        <f t="shared" si="11"/>
        <v>1.8000000000000016</v>
      </c>
      <c r="BB9" s="63">
        <v>0</v>
      </c>
      <c r="BD9" s="60">
        <v>7</v>
      </c>
      <c r="BE9" s="66">
        <f>1-SUM(BE3:BE8)</f>
        <v>0.13</v>
      </c>
      <c r="BF9" s="62">
        <f>+SUM($BE$3:BE9)</f>
        <v>1</v>
      </c>
      <c r="BG9" s="58">
        <f t="shared" si="12"/>
        <v>60</v>
      </c>
      <c r="BH9" s="58">
        <f t="shared" si="13"/>
        <v>7.8000000000000007</v>
      </c>
      <c r="BI9" s="63">
        <v>0</v>
      </c>
      <c r="BK9" s="60">
        <v>7</v>
      </c>
      <c r="BL9" s="66">
        <f>1-SUM(BL3:BL8)</f>
        <v>8.9999999999999969E-2</v>
      </c>
      <c r="BM9" s="62">
        <f>+SUM($BL$3:BL9)</f>
        <v>1</v>
      </c>
      <c r="BN9" s="58">
        <f t="shared" si="14"/>
        <v>60</v>
      </c>
      <c r="BO9" s="58">
        <f t="shared" si="15"/>
        <v>5.3999999999999986</v>
      </c>
      <c r="BP9" s="63">
        <v>0</v>
      </c>
      <c r="BR9" s="60">
        <v>7</v>
      </c>
      <c r="BS9" s="66">
        <f>1-SUM(BS3:BS8)</f>
        <v>9.9999999999999978E-2</v>
      </c>
      <c r="BT9" s="62">
        <f>+SUM($BS$3:BS9)</f>
        <v>1</v>
      </c>
      <c r="BU9" s="58">
        <f t="shared" si="16"/>
        <v>60</v>
      </c>
      <c r="BV9" s="58">
        <f t="shared" si="17"/>
        <v>5.9999999999999982</v>
      </c>
      <c r="BW9" s="63">
        <v>0</v>
      </c>
      <c r="BY9" s="60">
        <v>7</v>
      </c>
      <c r="BZ9" s="66">
        <f>1-SUM(BZ3:BZ8)</f>
        <v>1.0000000000000009E-2</v>
      </c>
      <c r="CA9" s="62">
        <f>+SUM($BZ$3:BZ9)</f>
        <v>1</v>
      </c>
      <c r="CB9" s="58">
        <f t="shared" si="18"/>
        <v>60</v>
      </c>
      <c r="CC9" s="58">
        <f t="shared" si="19"/>
        <v>0.60000000000000053</v>
      </c>
      <c r="CD9" s="63">
        <v>0</v>
      </c>
      <c r="CF9" s="60">
        <v>7</v>
      </c>
      <c r="CG9" s="66">
        <f>1-SUM(CG3:CG8)</f>
        <v>0.82000000000000006</v>
      </c>
      <c r="CH9" s="62">
        <f>+SUM($CG$3:CG9)</f>
        <v>1</v>
      </c>
      <c r="CI9" s="58">
        <f t="shared" si="20"/>
        <v>60</v>
      </c>
      <c r="CJ9" s="58">
        <f t="shared" si="21"/>
        <v>49.2</v>
      </c>
      <c r="CK9" s="63">
        <v>0</v>
      </c>
      <c r="CM9" s="60">
        <v>7</v>
      </c>
      <c r="CN9" s="66">
        <f>1-SUM(CN3:CN8)</f>
        <v>9.9999999999988987E-4</v>
      </c>
      <c r="CO9" s="62">
        <f>+SUM($CN$3:CN9)</f>
        <v>1</v>
      </c>
      <c r="CP9" s="83">
        <f t="shared" si="27"/>
        <v>60</v>
      </c>
      <c r="CQ9" s="58">
        <f t="shared" si="31"/>
        <v>5.9999999999993392E-2</v>
      </c>
      <c r="CR9" s="63">
        <v>0</v>
      </c>
      <c r="CT9" s="60">
        <v>7</v>
      </c>
      <c r="CU9" s="66">
        <f>1-SUM(CU3:CU8)</f>
        <v>9.9999999999988987E-4</v>
      </c>
      <c r="CV9" s="62">
        <f>+SUM($CU$3:CU9)</f>
        <v>1</v>
      </c>
      <c r="CW9" s="84">
        <f t="shared" si="29"/>
        <v>120</v>
      </c>
      <c r="CX9" s="58">
        <f t="shared" si="32"/>
        <v>0.11999999999998678</v>
      </c>
      <c r="CY9" s="63">
        <v>0</v>
      </c>
      <c r="DA9" s="60">
        <v>7</v>
      </c>
      <c r="DB9" s="66">
        <f>1-SUM(DB3:DB8)</f>
        <v>0.30000000000000004</v>
      </c>
      <c r="DC9" s="62">
        <f>+SUM($DB$3:DB9)</f>
        <v>1</v>
      </c>
      <c r="DD9" s="83">
        <f t="shared" si="30"/>
        <v>60</v>
      </c>
      <c r="DE9" s="58">
        <f t="shared" si="33"/>
        <v>18.000000000000004</v>
      </c>
      <c r="DF9" s="63">
        <v>0</v>
      </c>
    </row>
    <row r="10" spans="1:110">
      <c r="A10" s="75" t="s">
        <v>134</v>
      </c>
      <c r="B10" s="75">
        <f t="shared" si="34"/>
        <v>0.66465256797583083</v>
      </c>
      <c r="C10" s="3">
        <v>0</v>
      </c>
      <c r="D10" s="64">
        <f>+BH10</f>
        <v>16.55</v>
      </c>
      <c r="E10" s="3">
        <v>11</v>
      </c>
      <c r="G10" s="50" t="s">
        <v>70</v>
      </c>
      <c r="H10" s="50">
        <f>+SUM(H3:H9)</f>
        <v>1</v>
      </c>
      <c r="I10" s="50"/>
      <c r="J10" s="50"/>
      <c r="K10" s="51">
        <f>+SUM(K3:K9)</f>
        <v>3.9369999999999936</v>
      </c>
      <c r="L10" s="51"/>
      <c r="N10" s="50" t="s">
        <v>70</v>
      </c>
      <c r="O10" s="50">
        <f>+SUM(O3:O9)</f>
        <v>1</v>
      </c>
      <c r="P10" s="50"/>
      <c r="Q10" s="50"/>
      <c r="R10" s="51">
        <f>+SUM(R3:R9)</f>
        <v>9.8299999999999965</v>
      </c>
      <c r="S10" s="51"/>
      <c r="U10" s="50" t="s">
        <v>70</v>
      </c>
      <c r="V10" s="50">
        <f>+SUM(V3:V9)</f>
        <v>1</v>
      </c>
      <c r="W10" s="50"/>
      <c r="X10" s="50"/>
      <c r="Y10" s="51">
        <f>+SUM(Y3:Y9)</f>
        <v>12.050000000000004</v>
      </c>
      <c r="Z10" s="51"/>
      <c r="AB10" s="50" t="s">
        <v>70</v>
      </c>
      <c r="AC10" s="50">
        <f>+SUM(AC3:AC9)</f>
        <v>1</v>
      </c>
      <c r="AD10" s="50"/>
      <c r="AE10" s="50"/>
      <c r="AF10" s="51">
        <f>+SUM(AF3:AF9)</f>
        <v>13.209999999999996</v>
      </c>
      <c r="AG10" s="51"/>
      <c r="AI10" s="50" t="s">
        <v>70</v>
      </c>
      <c r="AJ10" s="50">
        <f>+SUM(AJ3:AJ9)</f>
        <v>1</v>
      </c>
      <c r="AK10" s="50"/>
      <c r="AL10" s="50"/>
      <c r="AM10" s="51">
        <f>+SUM(AM3:AM9)</f>
        <v>28.099999999999998</v>
      </c>
      <c r="AN10" s="51"/>
      <c r="AP10" s="50" t="s">
        <v>70</v>
      </c>
      <c r="AQ10" s="50">
        <f>+SUM(AQ3:AQ9)</f>
        <v>1</v>
      </c>
      <c r="AR10" s="50"/>
      <c r="AS10" s="50"/>
      <c r="AT10" s="51">
        <f>+SUM(AT3:AT9)</f>
        <v>6.5</v>
      </c>
      <c r="AU10" s="51"/>
      <c r="AW10" s="50" t="s">
        <v>70</v>
      </c>
      <c r="AX10" s="50">
        <f>+SUM(AX3:AX9)</f>
        <v>1</v>
      </c>
      <c r="AY10" s="50"/>
      <c r="AZ10" s="50"/>
      <c r="BA10" s="51">
        <f>+SUM(BA3:BA9)</f>
        <v>13.220000000000002</v>
      </c>
      <c r="BB10" s="51"/>
      <c r="BD10" s="50" t="s">
        <v>70</v>
      </c>
      <c r="BE10" s="50">
        <f>+SUM(BE3:BE9)</f>
        <v>1</v>
      </c>
      <c r="BF10" s="50"/>
      <c r="BG10" s="50"/>
      <c r="BH10" s="51">
        <f>+SUM(BH3:BH9)</f>
        <v>16.55</v>
      </c>
      <c r="BI10" s="51"/>
      <c r="BK10" s="50" t="s">
        <v>70</v>
      </c>
      <c r="BL10" s="50">
        <f>+SUM(BL3:BL9)</f>
        <v>1</v>
      </c>
      <c r="BM10" s="50"/>
      <c r="BN10" s="50"/>
      <c r="BO10" s="51">
        <f>+SUM(BO3:BO9)</f>
        <v>14.59</v>
      </c>
      <c r="BP10" s="51"/>
      <c r="BR10" s="50" t="s">
        <v>70</v>
      </c>
      <c r="BS10" s="50">
        <f>+SUM(BS3:BS9)</f>
        <v>1</v>
      </c>
      <c r="BT10" s="50"/>
      <c r="BU10" s="50"/>
      <c r="BV10" s="51">
        <f>+SUM(BV3:BV9)</f>
        <v>15.069999999999999</v>
      </c>
      <c r="BW10" s="51"/>
      <c r="BY10" s="50" t="s">
        <v>70</v>
      </c>
      <c r="BZ10" s="50">
        <f>+SUM(BZ3:BZ9)</f>
        <v>1</v>
      </c>
      <c r="CA10" s="50"/>
      <c r="CB10" s="50"/>
      <c r="CC10" s="51">
        <f>+SUM(CC3:CC9)</f>
        <v>5.1900000000000013</v>
      </c>
      <c r="CD10" s="51"/>
      <c r="CF10" s="50" t="s">
        <v>70</v>
      </c>
      <c r="CG10" s="50">
        <f>+SUM(CG3:CG9)</f>
        <v>1</v>
      </c>
      <c r="CH10" s="50"/>
      <c r="CI10" s="50"/>
      <c r="CJ10" s="51">
        <f>+SUM(CJ3:CJ9)</f>
        <v>53.050000000000004</v>
      </c>
      <c r="CK10" s="51"/>
      <c r="CM10" s="50" t="s">
        <v>70</v>
      </c>
      <c r="CN10" s="50">
        <f>+SUM(CN3:CN9)</f>
        <v>1</v>
      </c>
      <c r="CO10" s="50"/>
      <c r="CP10" s="50"/>
      <c r="CQ10" s="51">
        <f>+SUM(CQ3:CQ9)</f>
        <v>3.9369999999999936</v>
      </c>
      <c r="CR10" s="51"/>
      <c r="CT10" s="50" t="s">
        <v>70</v>
      </c>
      <c r="CU10" s="50">
        <f>+SUM(CU3:CU9)</f>
        <v>1</v>
      </c>
      <c r="CV10" s="50"/>
      <c r="CW10" s="50"/>
      <c r="CX10" s="51">
        <f>+SUM(CX3:CX9)</f>
        <v>7.8739999999999872</v>
      </c>
      <c r="CY10" s="51"/>
      <c r="DA10" s="50" t="s">
        <v>70</v>
      </c>
      <c r="DB10" s="50">
        <f>+SUM(DB3:DB9)</f>
        <v>1</v>
      </c>
      <c r="DC10" s="50"/>
      <c r="DD10" s="50"/>
      <c r="DE10" s="51">
        <f>+SUM(DE3:DE9)</f>
        <v>30.350000000000005</v>
      </c>
      <c r="DF10" s="51"/>
    </row>
    <row r="11" spans="1:110">
      <c r="A11" s="75" t="s">
        <v>135</v>
      </c>
      <c r="B11" s="75">
        <f t="shared" si="34"/>
        <v>0.7539410555174777</v>
      </c>
      <c r="C11" s="3">
        <v>0</v>
      </c>
      <c r="D11" s="64">
        <f>+BO10</f>
        <v>14.59</v>
      </c>
      <c r="E11" s="3">
        <v>11</v>
      </c>
    </row>
    <row r="12" spans="1:110">
      <c r="A12" s="75" t="s">
        <v>136</v>
      </c>
      <c r="B12" s="75">
        <f t="shared" si="34"/>
        <v>0.66357000663570009</v>
      </c>
      <c r="C12" s="3">
        <v>0</v>
      </c>
      <c r="D12" s="64">
        <f>+BV10</f>
        <v>15.069999999999999</v>
      </c>
      <c r="E12" s="3">
        <v>10</v>
      </c>
    </row>
    <row r="13" spans="1:110">
      <c r="A13" s="85" t="s">
        <v>164</v>
      </c>
      <c r="B13" s="58">
        <f>+E13/D13</f>
        <v>0.33274066548133152</v>
      </c>
      <c r="C13" s="3">
        <f>1/B13/Summary!$C$7</f>
        <v>3.0053435114503766E-3</v>
      </c>
      <c r="D13" s="86">
        <f>+CQ10</f>
        <v>3.9369999999999936</v>
      </c>
      <c r="E13" s="3">
        <f>+E3*2</f>
        <v>1.31</v>
      </c>
    </row>
    <row r="14" spans="1:110">
      <c r="A14" s="85" t="s">
        <v>165</v>
      </c>
      <c r="B14" s="58">
        <f>+E14/D14</f>
        <v>0.16637033274066576</v>
      </c>
      <c r="C14" s="3">
        <f>1/B14/Summary!$C$7</f>
        <v>6.0106870229007531E-3</v>
      </c>
      <c r="D14" s="86">
        <f>+CX10</f>
        <v>7.8739999999999872</v>
      </c>
      <c r="E14" s="3">
        <f>+E13</f>
        <v>1.31</v>
      </c>
    </row>
    <row r="15" spans="1:110">
      <c r="A15" s="75" t="s">
        <v>163</v>
      </c>
      <c r="B15" s="58">
        <f>+E15/D15</f>
        <v>0.65897858319604607</v>
      </c>
      <c r="C15" s="3">
        <v>0</v>
      </c>
      <c r="D15" s="86">
        <f>+DE10</f>
        <v>30.350000000000005</v>
      </c>
      <c r="E15" s="3">
        <v>20</v>
      </c>
    </row>
    <row r="16" spans="1:110">
      <c r="A16" s="3" t="s">
        <v>116</v>
      </c>
      <c r="B16" s="58">
        <f>+E16/D16</f>
        <v>0.94250706880301593</v>
      </c>
      <c r="C16" s="3">
        <v>0</v>
      </c>
      <c r="D16" s="64">
        <f>+CJ10</f>
        <v>53.050000000000004</v>
      </c>
      <c r="E16" s="3">
        <v>50</v>
      </c>
    </row>
    <row r="17" spans="1:2">
      <c r="A17" s="3" t="s">
        <v>117</v>
      </c>
      <c r="B17" s="65" t="str">
        <f>+CONCATENATE("x",J3," - x",J9)</f>
        <v>x3 - x60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44" operator="lessThan">
      <formula>0</formula>
    </cfRule>
    <cfRule type="cellIs" priority="45" operator="greaterThan">
      <formula>1</formula>
    </cfRule>
  </conditionalFormatting>
  <conditionalFormatting sqref="AJ3:AJ9 AQ3:AQ9 AX3:AX9 BZ3:BZ9 BE3:BE9 BL3:BL9 BS3:BS9 H3:H9 O3:O9 V3:V9 AC3:AC9 CG3:CG9 CN3:CN9 CU3:CU9 DB3:DB9">
    <cfRule type="cellIs" priority="43" operator="equal">
      <formula>0</formula>
    </cfRule>
  </conditionalFormatting>
  <conditionalFormatting sqref="B3:B16">
    <cfRule type="cellIs" priority="41" operator="greaterThan">
      <formula>1</formula>
    </cfRule>
    <cfRule type="cellIs" priority="42" operator="lessThan">
      <formula>0</formula>
    </cfRule>
  </conditionalFormatting>
  <conditionalFormatting sqref="B13:B15">
    <cfRule type="cellIs" priority="12" operator="greaterThan">
      <formula>1</formula>
    </cfRule>
    <cfRule type="cellIs" priority="13"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1.xml><?xml version="1.0" encoding="utf-8"?>
<worksheet xmlns="http://schemas.openxmlformats.org/spreadsheetml/2006/main" xmlns:r="http://schemas.openxmlformats.org/officeDocument/2006/relationships">
  <sheetPr codeName="Hoja37"/>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120</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0.05</v>
      </c>
      <c r="AD3" s="62">
        <f>+SUM($AC$3:AC3)</f>
        <v>0.05</v>
      </c>
      <c r="AE3" s="58">
        <f t="shared" ref="AE3:AE9" si="5">+J3</f>
        <v>5</v>
      </c>
      <c r="AF3" s="58">
        <f t="shared" ref="AF3:AF9" si="6">+AC3*AE3</f>
        <v>0.25</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0.05</v>
      </c>
      <c r="BF3" s="62">
        <f>+SUM($BE$3:BE3)</f>
        <v>0.05</v>
      </c>
      <c r="BG3" s="58">
        <f t="shared" ref="BG3:BG9" si="12">+AL3</f>
        <v>5</v>
      </c>
      <c r="BH3" s="58">
        <f t="shared" ref="BH3:BH9" si="13">+BE3*BG3</f>
        <v>0.25</v>
      </c>
      <c r="BI3" s="63">
        <v>0</v>
      </c>
      <c r="BK3" s="60">
        <v>1</v>
      </c>
      <c r="BL3" s="61">
        <v>0.05</v>
      </c>
      <c r="BM3" s="62">
        <f>+SUM($BL$3:BL3)</f>
        <v>0.05</v>
      </c>
      <c r="BN3" s="58">
        <f t="shared" ref="BN3:BN9" si="14">+AS3</f>
        <v>5</v>
      </c>
      <c r="BO3" s="58">
        <f t="shared" ref="BO3:BO9" si="15">+BL3*BN3</f>
        <v>0.25</v>
      </c>
      <c r="BP3" s="63">
        <v>0</v>
      </c>
      <c r="BR3" s="60">
        <v>1</v>
      </c>
      <c r="BS3" s="61">
        <v>0.09</v>
      </c>
      <c r="BT3" s="62">
        <f>+SUM($BS$3:BS3)</f>
        <v>0.09</v>
      </c>
      <c r="BU3" s="58">
        <f t="shared" ref="BU3:BU9" si="16">+AZ3</f>
        <v>5</v>
      </c>
      <c r="BV3" s="58">
        <f t="shared" ref="BV3:BV9" si="17">+BS3*BU3</f>
        <v>0.44999999999999996</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0.27762354247640209</v>
      </c>
      <c r="C4" s="3">
        <v>0</v>
      </c>
      <c r="D4" s="64">
        <f>+R10</f>
        <v>18.009999999999994</v>
      </c>
      <c r="E4" s="3">
        <v>5</v>
      </c>
      <c r="G4" s="60">
        <v>2</v>
      </c>
      <c r="H4" s="61">
        <v>0.32</v>
      </c>
      <c r="I4" s="62">
        <f>+SUM($H$3:H4)</f>
        <v>0.82000000000000006</v>
      </c>
      <c r="J4" s="50">
        <v>7</v>
      </c>
      <c r="K4" s="58">
        <f t="shared" si="0"/>
        <v>2.2400000000000002</v>
      </c>
      <c r="L4" s="63">
        <v>0</v>
      </c>
      <c r="N4" s="60">
        <v>2</v>
      </c>
      <c r="O4" s="61">
        <v>0.18</v>
      </c>
      <c r="P4" s="62">
        <f>+SUM($O$3:O4)</f>
        <v>0.28000000000000003</v>
      </c>
      <c r="Q4" s="58">
        <f t="shared" si="1"/>
        <v>7</v>
      </c>
      <c r="R4" s="58">
        <f t="shared" si="2"/>
        <v>1.26</v>
      </c>
      <c r="S4" s="63">
        <v>0</v>
      </c>
      <c r="U4" s="60">
        <v>2</v>
      </c>
      <c r="V4" s="61">
        <v>0.25</v>
      </c>
      <c r="W4" s="62">
        <f>+SUM($V$3:V4)</f>
        <v>0.35</v>
      </c>
      <c r="X4" s="58">
        <f t="shared" si="3"/>
        <v>7</v>
      </c>
      <c r="Y4" s="58">
        <f t="shared" si="4"/>
        <v>1.75</v>
      </c>
      <c r="Z4" s="63">
        <v>0</v>
      </c>
      <c r="AB4" s="60">
        <v>2</v>
      </c>
      <c r="AC4" s="61">
        <v>0.05</v>
      </c>
      <c r="AD4" s="62">
        <f>+SUM($AC$3:AC4)</f>
        <v>0.1</v>
      </c>
      <c r="AE4" s="58">
        <f t="shared" si="5"/>
        <v>7</v>
      </c>
      <c r="AF4" s="58">
        <f t="shared" si="6"/>
        <v>0.35000000000000003</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0.15000000000000002</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0.19</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0.36281179138321984</v>
      </c>
      <c r="C5" s="3">
        <v>0</v>
      </c>
      <c r="D5" s="64">
        <f>+Y10</f>
        <v>22.050000000000008</v>
      </c>
      <c r="E5" s="3">
        <v>8</v>
      </c>
      <c r="G5" s="60">
        <v>3</v>
      </c>
      <c r="H5" s="61">
        <v>0.105</v>
      </c>
      <c r="I5" s="62">
        <f>+SUM($H$3:H5)</f>
        <v>0.92500000000000004</v>
      </c>
      <c r="J5" s="50">
        <v>10</v>
      </c>
      <c r="K5" s="58">
        <f t="shared" si="0"/>
        <v>1.05</v>
      </c>
      <c r="L5" s="63">
        <v>0</v>
      </c>
      <c r="N5" s="60">
        <v>3</v>
      </c>
      <c r="O5" s="61">
        <v>0.2</v>
      </c>
      <c r="P5" s="62">
        <f>+SUM($O$3:O5)</f>
        <v>0.48000000000000004</v>
      </c>
      <c r="Q5" s="58">
        <f t="shared" si="1"/>
        <v>10</v>
      </c>
      <c r="R5" s="58">
        <f t="shared" si="2"/>
        <v>2</v>
      </c>
      <c r="S5" s="63">
        <v>0</v>
      </c>
      <c r="U5" s="60">
        <v>3</v>
      </c>
      <c r="V5" s="61">
        <v>0.18</v>
      </c>
      <c r="W5" s="62">
        <f>+SUM($V$3:V5)</f>
        <v>0.53</v>
      </c>
      <c r="X5" s="58">
        <f t="shared" si="3"/>
        <v>10</v>
      </c>
      <c r="Y5" s="58">
        <f t="shared" si="4"/>
        <v>1.7999999999999998</v>
      </c>
      <c r="Z5" s="63">
        <v>0</v>
      </c>
      <c r="AB5" s="60">
        <v>3</v>
      </c>
      <c r="AC5" s="61">
        <v>0.01</v>
      </c>
      <c r="AD5" s="62">
        <f>+SUM($AC$3:AC5)</f>
        <v>0.11</v>
      </c>
      <c r="AE5" s="58">
        <f t="shared" si="5"/>
        <v>10</v>
      </c>
      <c r="AF5" s="58">
        <f t="shared" si="6"/>
        <v>0.1</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0.35000000000000003</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0.39</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0.41753653444676408</v>
      </c>
      <c r="C6" s="3">
        <v>0</v>
      </c>
      <c r="D6" s="64">
        <f>+AF10</f>
        <v>23.95</v>
      </c>
      <c r="E6" s="3">
        <v>10</v>
      </c>
      <c r="G6" s="60">
        <v>4</v>
      </c>
      <c r="H6" s="61">
        <v>7.0000000000000007E-2</v>
      </c>
      <c r="I6" s="62">
        <f>+SUM($H$3:H6)</f>
        <v>0.99500000000000011</v>
      </c>
      <c r="J6" s="50">
        <v>15</v>
      </c>
      <c r="K6" s="58">
        <f t="shared" si="0"/>
        <v>1.05</v>
      </c>
      <c r="L6" s="63">
        <v>0</v>
      </c>
      <c r="N6" s="60">
        <v>4</v>
      </c>
      <c r="O6" s="61">
        <v>0.35</v>
      </c>
      <c r="P6" s="62">
        <f>+SUM($O$3:O6)</f>
        <v>0.83000000000000007</v>
      </c>
      <c r="Q6" s="58">
        <f t="shared" si="1"/>
        <v>15</v>
      </c>
      <c r="R6" s="58">
        <f t="shared" si="2"/>
        <v>5.25</v>
      </c>
      <c r="S6" s="63">
        <v>0</v>
      </c>
      <c r="U6" s="60">
        <v>4</v>
      </c>
      <c r="V6" s="61">
        <v>0.2</v>
      </c>
      <c r="W6" s="62">
        <f>+SUM($V$3:V6)</f>
        <v>0.73</v>
      </c>
      <c r="X6" s="58">
        <f t="shared" si="3"/>
        <v>15</v>
      </c>
      <c r="Y6" s="58">
        <f t="shared" si="4"/>
        <v>3</v>
      </c>
      <c r="Z6" s="63">
        <v>0</v>
      </c>
      <c r="AB6" s="60">
        <v>4</v>
      </c>
      <c r="AC6" s="61">
        <v>0.3</v>
      </c>
      <c r="AD6" s="62">
        <f>+SUM($AC$3:AC6)</f>
        <v>0.41</v>
      </c>
      <c r="AE6" s="58">
        <f t="shared" si="5"/>
        <v>15</v>
      </c>
      <c r="AF6" s="58">
        <f t="shared" si="6"/>
        <v>4.5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0.55000000000000004</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0.64</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v>
      </c>
      <c r="W7" s="62">
        <f>+SUM($V$3:V7)</f>
        <v>0.83</v>
      </c>
      <c r="X7" s="58">
        <f t="shared" si="3"/>
        <v>25</v>
      </c>
      <c r="Y7" s="58">
        <f t="shared" si="4"/>
        <v>2.5</v>
      </c>
      <c r="Z7" s="63">
        <v>0</v>
      </c>
      <c r="AB7" s="60">
        <v>5</v>
      </c>
      <c r="AC7" s="61">
        <v>0.45</v>
      </c>
      <c r="AD7" s="62">
        <f>+SUM($AC$3:AC7)</f>
        <v>0.86</v>
      </c>
      <c r="AE7" s="58">
        <f t="shared" si="5"/>
        <v>25</v>
      </c>
      <c r="AF7" s="58">
        <f t="shared" si="6"/>
        <v>11.25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0.2</v>
      </c>
      <c r="BF7" s="62">
        <f>+SUM($BE$3:BE7)</f>
        <v>0.75</v>
      </c>
      <c r="BG7" s="58">
        <f t="shared" si="12"/>
        <v>25</v>
      </c>
      <c r="BH7" s="58">
        <f t="shared" si="13"/>
        <v>5</v>
      </c>
      <c r="BI7" s="63">
        <v>0</v>
      </c>
      <c r="BK7" s="60">
        <v>5</v>
      </c>
      <c r="BL7" s="61">
        <v>0.22</v>
      </c>
      <c r="BM7" s="62">
        <f>+SUM($BL$3:BL7)</f>
        <v>0.81</v>
      </c>
      <c r="BN7" s="58">
        <f t="shared" si="14"/>
        <v>25</v>
      </c>
      <c r="BO7" s="58">
        <f t="shared" si="15"/>
        <v>5.5</v>
      </c>
      <c r="BP7" s="63">
        <v>0</v>
      </c>
      <c r="BR7" s="60">
        <v>5</v>
      </c>
      <c r="BS7" s="61">
        <v>0.1</v>
      </c>
      <c r="BT7" s="62">
        <f>+SUM($BS$3:BS7)</f>
        <v>0.74</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132</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0.91999999999999993</v>
      </c>
      <c r="X8" s="58">
        <f t="shared" si="3"/>
        <v>50</v>
      </c>
      <c r="Y8" s="58">
        <f t="shared" si="4"/>
        <v>4.5</v>
      </c>
      <c r="Z8" s="63">
        <v>0</v>
      </c>
      <c r="AB8" s="60">
        <v>6</v>
      </c>
      <c r="AC8" s="61">
        <v>0.13</v>
      </c>
      <c r="AD8" s="62">
        <f>+SUM($AC$3:AC8)</f>
        <v>0.99</v>
      </c>
      <c r="AE8" s="58">
        <f t="shared" si="5"/>
        <v>50</v>
      </c>
      <c r="AF8" s="58">
        <f t="shared" si="6"/>
        <v>6.5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0.12</v>
      </c>
      <c r="BF8" s="62">
        <f>+SUM($BE$3:BE8)</f>
        <v>0.87</v>
      </c>
      <c r="BG8" s="58">
        <f t="shared" si="12"/>
        <v>50</v>
      </c>
      <c r="BH8" s="58">
        <f t="shared" si="13"/>
        <v>6</v>
      </c>
      <c r="BI8" s="63">
        <v>0</v>
      </c>
      <c r="BK8" s="60">
        <v>6</v>
      </c>
      <c r="BL8" s="61">
        <v>0.1</v>
      </c>
      <c r="BM8" s="62">
        <f>+SUM($BL$3:BL8)</f>
        <v>0.91</v>
      </c>
      <c r="BN8" s="58">
        <f t="shared" si="14"/>
        <v>50</v>
      </c>
      <c r="BO8" s="58">
        <f t="shared" si="15"/>
        <v>5</v>
      </c>
      <c r="BP8" s="63">
        <v>0</v>
      </c>
      <c r="BR8" s="60">
        <v>6</v>
      </c>
      <c r="BS8" s="61">
        <v>0.16</v>
      </c>
      <c r="BT8" s="62">
        <f>+SUM($BS$3:BS8)</f>
        <v>0.9</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8.0000000000000071E-2</v>
      </c>
      <c r="W9" s="62">
        <f>+SUM($V$3:V9)</f>
        <v>1</v>
      </c>
      <c r="X9" s="58">
        <f t="shared" si="3"/>
        <v>100</v>
      </c>
      <c r="Y9" s="58">
        <f t="shared" si="4"/>
        <v>8.0000000000000071</v>
      </c>
      <c r="Z9" s="63">
        <v>0</v>
      </c>
      <c r="AB9" s="60">
        <v>7</v>
      </c>
      <c r="AC9" s="66">
        <f>1-SUM(AC3:AC8)</f>
        <v>1.0000000000000009E-2</v>
      </c>
      <c r="AD9" s="62">
        <f>+SUM($AC$3:AC9)</f>
        <v>1</v>
      </c>
      <c r="AE9" s="58">
        <f t="shared" si="5"/>
        <v>100</v>
      </c>
      <c r="AF9" s="58">
        <f t="shared" si="6"/>
        <v>1.0000000000000009</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0.13</v>
      </c>
      <c r="BF9" s="62">
        <f>+SUM($BE$3:BE9)</f>
        <v>1</v>
      </c>
      <c r="BG9" s="58">
        <f t="shared" si="12"/>
        <v>100</v>
      </c>
      <c r="BH9" s="58">
        <f t="shared" si="13"/>
        <v>13</v>
      </c>
      <c r="BI9" s="63">
        <v>0</v>
      </c>
      <c r="BK9" s="60">
        <v>7</v>
      </c>
      <c r="BL9" s="66">
        <f>1-SUM(BL3:BL8)</f>
        <v>8.9999999999999969E-2</v>
      </c>
      <c r="BM9" s="62">
        <f>+SUM($BL$3:BL9)</f>
        <v>1</v>
      </c>
      <c r="BN9" s="58">
        <f t="shared" si="14"/>
        <v>100</v>
      </c>
      <c r="BO9" s="58">
        <f t="shared" si="15"/>
        <v>8.9999999999999964</v>
      </c>
      <c r="BP9" s="63">
        <v>0</v>
      </c>
      <c r="BR9" s="60">
        <v>7</v>
      </c>
      <c r="BS9" s="66">
        <f>1-SUM(BS3:BS8)</f>
        <v>9.9999999999999978E-2</v>
      </c>
      <c r="BT9" s="62">
        <f>+SUM($BS$3:BS9)</f>
        <v>1</v>
      </c>
      <c r="BU9" s="58">
        <f t="shared" si="16"/>
        <v>100</v>
      </c>
      <c r="BV9" s="58">
        <f t="shared" si="17"/>
        <v>9.9999999999999982</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134</v>
      </c>
      <c r="B10" s="75">
        <f t="shared" si="34"/>
        <v>0.36727879799666113</v>
      </c>
      <c r="C10" s="3">
        <v>0</v>
      </c>
      <c r="D10" s="64">
        <f>+BH10</f>
        <v>29.95</v>
      </c>
      <c r="E10" s="3">
        <v>11</v>
      </c>
      <c r="G10" s="50" t="s">
        <v>70</v>
      </c>
      <c r="H10" s="50">
        <f>+SUM(H3:H9)</f>
        <v>1</v>
      </c>
      <c r="I10" s="50"/>
      <c r="J10" s="50"/>
      <c r="K10" s="51">
        <f>+SUM(K3:K9)</f>
        <v>7.0649999999999888</v>
      </c>
      <c r="L10" s="51"/>
      <c r="N10" s="50" t="s">
        <v>70</v>
      </c>
      <c r="O10" s="50">
        <f>+SUM(O3:O9)</f>
        <v>1</v>
      </c>
      <c r="P10" s="50"/>
      <c r="Q10" s="50"/>
      <c r="R10" s="51">
        <f>+SUM(R3:R9)</f>
        <v>18.009999999999994</v>
      </c>
      <c r="S10" s="51"/>
      <c r="U10" s="50" t="s">
        <v>70</v>
      </c>
      <c r="V10" s="50">
        <f>+SUM(V3:V9)</f>
        <v>1</v>
      </c>
      <c r="W10" s="50"/>
      <c r="X10" s="50"/>
      <c r="Y10" s="51">
        <f>+SUM(Y3:Y9)</f>
        <v>22.050000000000008</v>
      </c>
      <c r="Z10" s="51"/>
      <c r="AB10" s="50" t="s">
        <v>70</v>
      </c>
      <c r="AC10" s="50">
        <f>+SUM(AC3:AC9)</f>
        <v>1</v>
      </c>
      <c r="AD10" s="50"/>
      <c r="AE10" s="50"/>
      <c r="AF10" s="51">
        <f>+SUM(AF3:AF9)</f>
        <v>23.95</v>
      </c>
      <c r="AG10" s="51"/>
      <c r="AI10" s="50" t="s">
        <v>70</v>
      </c>
      <c r="AJ10" s="50">
        <f>+SUM(AJ3:AJ9)</f>
        <v>1</v>
      </c>
      <c r="AK10" s="50"/>
      <c r="AL10" s="50"/>
      <c r="AM10" s="51">
        <f>+SUM(AM3:AM9)</f>
        <v>48.75</v>
      </c>
      <c r="AN10" s="51"/>
      <c r="AP10" s="50" t="s">
        <v>70</v>
      </c>
      <c r="AQ10" s="50">
        <f>+SUM(AQ3:AQ9)</f>
        <v>1</v>
      </c>
      <c r="AR10" s="50"/>
      <c r="AS10" s="50"/>
      <c r="AT10" s="51">
        <f>+SUM(AT3:AT9)</f>
        <v>8.75</v>
      </c>
      <c r="AU10" s="51"/>
      <c r="AW10" s="50" t="s">
        <v>70</v>
      </c>
      <c r="AX10" s="50">
        <f>+SUM(AX3:AX9)</f>
        <v>1</v>
      </c>
      <c r="AY10" s="50"/>
      <c r="AZ10" s="50"/>
      <c r="BA10" s="51">
        <f>+SUM(BA3:BA9)</f>
        <v>24.15</v>
      </c>
      <c r="BB10" s="51"/>
      <c r="BD10" s="50" t="s">
        <v>70</v>
      </c>
      <c r="BE10" s="50">
        <f>+SUM(BE3:BE9)</f>
        <v>1</v>
      </c>
      <c r="BF10" s="50"/>
      <c r="BG10" s="50"/>
      <c r="BH10" s="51">
        <f>+SUM(BH3:BH9)</f>
        <v>29.95</v>
      </c>
      <c r="BI10" s="51"/>
      <c r="BK10" s="50" t="s">
        <v>70</v>
      </c>
      <c r="BL10" s="50">
        <f>+SUM(BL3:BL9)</f>
        <v>1</v>
      </c>
      <c r="BM10" s="50"/>
      <c r="BN10" s="50"/>
      <c r="BO10" s="51">
        <f>+SUM(BO3:BO9)</f>
        <v>26.349999999999998</v>
      </c>
      <c r="BP10" s="51"/>
      <c r="BR10" s="50" t="s">
        <v>70</v>
      </c>
      <c r="BS10" s="50">
        <f>+SUM(BS3:BS9)</f>
        <v>1</v>
      </c>
      <c r="BT10" s="50"/>
      <c r="BU10" s="50"/>
      <c r="BV10" s="51">
        <f>+SUM(BV3:BV9)</f>
        <v>27.4</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54.75</v>
      </c>
      <c r="DF10" s="51"/>
    </row>
    <row r="11" spans="1:110">
      <c r="A11" s="75" t="s">
        <v>135</v>
      </c>
      <c r="B11" s="75">
        <f t="shared" si="34"/>
        <v>0.41745730550284632</v>
      </c>
      <c r="C11" s="3">
        <v>0</v>
      </c>
      <c r="D11" s="64">
        <f>+BO10</f>
        <v>26.349999999999998</v>
      </c>
      <c r="E11" s="3">
        <v>11</v>
      </c>
    </row>
    <row r="12" spans="1:110">
      <c r="A12" s="75" t="s">
        <v>136</v>
      </c>
      <c r="B12" s="75">
        <f t="shared" si="34"/>
        <v>0.36496350364963503</v>
      </c>
      <c r="C12" s="3">
        <v>0</v>
      </c>
      <c r="D12" s="64">
        <f>+BV10</f>
        <v>27.4</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0.36529680365296802</v>
      </c>
      <c r="C15" s="3">
        <v>0</v>
      </c>
      <c r="D15" s="86">
        <f>+DE10</f>
        <v>54.75</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58" operator="lessThan">
      <formula>0</formula>
    </cfRule>
    <cfRule type="cellIs" priority="59" operator="greaterThan">
      <formula>1</formula>
    </cfRule>
  </conditionalFormatting>
  <conditionalFormatting sqref="AJ3:AJ9 AQ3:AQ9 AX3:AX9 BZ3:BZ9 BE3:BE9 BL3:BL9 BS3:BS9 H3:H9 O3:O9 V3:V9 AC3:AC9 CG3:CG9 CN3:CN9 CU3:CU9 DB3:DB9">
    <cfRule type="cellIs" priority="57" operator="equal">
      <formula>0</formula>
    </cfRule>
  </conditionalFormatting>
  <conditionalFormatting sqref="B3:B16">
    <cfRule type="cellIs" priority="55" operator="greaterThan">
      <formula>1</formula>
    </cfRule>
    <cfRule type="cellIs" priority="56"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12.xml><?xml version="1.0" encoding="utf-8"?>
<worksheet xmlns="http://schemas.openxmlformats.org/spreadsheetml/2006/main" xmlns:r="http://schemas.openxmlformats.org/officeDocument/2006/relationships">
  <sheetPr codeName="Hoja38"/>
  <dimension ref="A1:DF19"/>
  <sheetViews>
    <sheetView workbookViewId="0">
      <pane xSplit="6" ySplit="1" topLeftCell="CF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144</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132</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134</v>
      </c>
      <c r="B10" s="75">
        <f t="shared" si="34"/>
        <v>0.37606837606837606</v>
      </c>
      <c r="C10" s="3">
        <v>0</v>
      </c>
      <c r="D10" s="64">
        <f>+BH10</f>
        <v>29.25</v>
      </c>
      <c r="E10" s="3">
        <v>11</v>
      </c>
      <c r="G10" s="50" t="s">
        <v>70</v>
      </c>
      <c r="H10" s="50">
        <f>+SUM(H3:H9)</f>
        <v>1</v>
      </c>
      <c r="I10" s="50"/>
      <c r="J10" s="50"/>
      <c r="K10" s="51">
        <f>+SUM(K3:K9)</f>
        <v>7.0649999999999888</v>
      </c>
      <c r="L10" s="51"/>
      <c r="N10" s="50" t="s">
        <v>70</v>
      </c>
      <c r="O10" s="50">
        <f>+SUM(O3:O9)</f>
        <v>1</v>
      </c>
      <c r="P10" s="50"/>
      <c r="Q10" s="50"/>
      <c r="R10" s="51">
        <f>+SUM(R3:R9)</f>
        <v>17.449999999999996</v>
      </c>
      <c r="S10" s="51"/>
      <c r="U10" s="50" t="s">
        <v>70</v>
      </c>
      <c r="V10" s="50">
        <f>+SUM(V3:V9)</f>
        <v>1</v>
      </c>
      <c r="W10" s="50"/>
      <c r="X10" s="50"/>
      <c r="Y10" s="51">
        <f>+SUM(Y3:Y9)</f>
        <v>21.200000000000006</v>
      </c>
      <c r="Z10" s="51"/>
      <c r="AB10" s="50" t="s">
        <v>70</v>
      </c>
      <c r="AC10" s="50">
        <f>+SUM(AC3:AC9)</f>
        <v>1</v>
      </c>
      <c r="AD10" s="50"/>
      <c r="AE10" s="50"/>
      <c r="AF10" s="51">
        <f>+SUM(AF3:AF9)</f>
        <v>24.049999999999997</v>
      </c>
      <c r="AG10" s="51"/>
      <c r="AI10" s="50" t="s">
        <v>70</v>
      </c>
      <c r="AJ10" s="50">
        <f>+SUM(AJ3:AJ9)</f>
        <v>1</v>
      </c>
      <c r="AK10" s="50"/>
      <c r="AL10" s="50"/>
      <c r="AM10" s="51">
        <f>+SUM(AM3:AM9)</f>
        <v>48.75</v>
      </c>
      <c r="AN10" s="51"/>
      <c r="AP10" s="50" t="s">
        <v>70</v>
      </c>
      <c r="AQ10" s="50">
        <f>+SUM(AQ3:AQ9)</f>
        <v>1</v>
      </c>
      <c r="AR10" s="50"/>
      <c r="AS10" s="50"/>
      <c r="AT10" s="51">
        <f>+SUM(AT3:AT9)</f>
        <v>8.75</v>
      </c>
      <c r="AU10" s="51"/>
      <c r="AW10" s="50" t="s">
        <v>70</v>
      </c>
      <c r="AX10" s="50">
        <f>+SUM(AX3:AX9)</f>
        <v>1</v>
      </c>
      <c r="AY10" s="50"/>
      <c r="AZ10" s="50"/>
      <c r="BA10" s="51">
        <f>+SUM(BA3:BA9)</f>
        <v>24.15</v>
      </c>
      <c r="BB10" s="51"/>
      <c r="BD10" s="50" t="s">
        <v>70</v>
      </c>
      <c r="BE10" s="50">
        <f>+SUM(BE3:BE9)</f>
        <v>1</v>
      </c>
      <c r="BF10" s="50"/>
      <c r="BG10" s="50"/>
      <c r="BH10" s="51">
        <f>+SUM(BH3:BH9)</f>
        <v>29.25</v>
      </c>
      <c r="BI10" s="51"/>
      <c r="BK10" s="50" t="s">
        <v>70</v>
      </c>
      <c r="BL10" s="50">
        <f>+SUM(BL3:BL9)</f>
        <v>1</v>
      </c>
      <c r="BM10" s="50"/>
      <c r="BN10" s="50"/>
      <c r="BO10" s="51">
        <f>+SUM(BO3:BO9)</f>
        <v>26.349999999999998</v>
      </c>
      <c r="BP10" s="51"/>
      <c r="BR10" s="50" t="s">
        <v>70</v>
      </c>
      <c r="BS10" s="50">
        <f>+SUM(BS3:BS9)</f>
        <v>1</v>
      </c>
      <c r="BT10" s="50"/>
      <c r="BU10" s="50"/>
      <c r="BV10" s="51">
        <f>+SUM(BV3:BV9)</f>
        <v>26.449999999999996</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54.75</v>
      </c>
      <c r="DF10" s="51"/>
    </row>
    <row r="11" spans="1:110">
      <c r="A11" s="75" t="s">
        <v>135</v>
      </c>
      <c r="B11" s="75">
        <f t="shared" si="34"/>
        <v>0.41745730550284632</v>
      </c>
      <c r="C11" s="3">
        <v>0</v>
      </c>
      <c r="D11" s="64">
        <f>+BO10</f>
        <v>26.349999999999998</v>
      </c>
      <c r="E11" s="3">
        <v>11</v>
      </c>
    </row>
    <row r="12" spans="1:110">
      <c r="A12" s="75" t="s">
        <v>136</v>
      </c>
      <c r="B12" s="75">
        <f t="shared" si="34"/>
        <v>0.37807183364839325</v>
      </c>
      <c r="C12" s="3">
        <v>0</v>
      </c>
      <c r="D12" s="64">
        <f>+BV10</f>
        <v>26.449999999999996</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0.36529680365296802</v>
      </c>
      <c r="C15" s="3">
        <v>0</v>
      </c>
      <c r="D15" s="86">
        <f>+DE10</f>
        <v>54.75</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75" operator="lessThan">
      <formula>0</formula>
    </cfRule>
    <cfRule type="cellIs" priority="76" operator="greaterThan">
      <formula>1</formula>
    </cfRule>
  </conditionalFormatting>
  <conditionalFormatting sqref="AX3:AX9 BZ3:BZ9 BE3:BE9 BL3:BL9 BS3:BS9 H3:H9 O3:O9 V3:V9 AC3:AC9 CG3:CG9 AQ3:AQ9 AJ3:AJ9 CN3:CN9 CU3:CU9 DB3:DB9">
    <cfRule type="cellIs" priority="74" operator="equal">
      <formula>0</formula>
    </cfRule>
  </conditionalFormatting>
  <conditionalFormatting sqref="B3:B16">
    <cfRule type="cellIs" priority="72" operator="greaterThan">
      <formula>1</formula>
    </cfRule>
    <cfRule type="cellIs" priority="73"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3.xml><?xml version="1.0" encoding="utf-8"?>
<worksheet xmlns="http://schemas.openxmlformats.org/spreadsheetml/2006/main" xmlns:r="http://schemas.openxmlformats.org/officeDocument/2006/relationships">
  <sheetPr codeName="Hoja39"/>
  <dimension ref="A1:DF19"/>
  <sheetViews>
    <sheetView workbookViewId="0">
      <pane xSplit="6" ySplit="1" topLeftCell="CX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145</v>
      </c>
      <c r="G1" s="103" t="s">
        <v>103</v>
      </c>
      <c r="H1" s="104"/>
      <c r="I1" s="104"/>
      <c r="J1" s="104"/>
      <c r="K1" s="104"/>
      <c r="L1" s="104"/>
      <c r="N1" s="103" t="s">
        <v>104</v>
      </c>
      <c r="O1" s="104"/>
      <c r="P1" s="104"/>
      <c r="Q1" s="104"/>
      <c r="R1" s="104"/>
      <c r="S1" s="104"/>
      <c r="U1" s="103" t="s">
        <v>105</v>
      </c>
      <c r="V1" s="104"/>
      <c r="W1" s="104"/>
      <c r="X1" s="104"/>
      <c r="Y1" s="104"/>
      <c r="Z1" s="104"/>
      <c r="AB1" s="103" t="s">
        <v>106</v>
      </c>
      <c r="AC1" s="104"/>
      <c r="AD1" s="104"/>
      <c r="AE1" s="104"/>
      <c r="AF1" s="104"/>
      <c r="AG1" s="104"/>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v>
      </c>
      <c r="AR4" s="62">
        <f>+SUM($AQ$3:AQ4)</f>
        <v>0.5</v>
      </c>
      <c r="AS4" s="58">
        <f t="shared" si="9"/>
        <v>7</v>
      </c>
      <c r="AT4" s="58">
        <f t="shared" ref="AT4:AT9" si="25">+AQ4*AS4</f>
        <v>1.4000000000000001</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0.75</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0.25</v>
      </c>
      <c r="AR6" s="62">
        <f>+SUM($AQ$3:AQ6)</f>
        <v>1</v>
      </c>
      <c r="AS6" s="58">
        <f t="shared" si="9"/>
        <v>15</v>
      </c>
      <c r="AT6" s="58">
        <f t="shared" si="25"/>
        <v>3.75</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0.16</v>
      </c>
      <c r="DC6" s="62">
        <f>+SUM($DB$3:DB6)</f>
        <v>0.16</v>
      </c>
      <c r="DD6" s="83">
        <f t="shared" si="30"/>
        <v>15</v>
      </c>
      <c r="DE6" s="58">
        <f t="shared" si="33"/>
        <v>2.4</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0.36</v>
      </c>
      <c r="DD7" s="83">
        <f t="shared" si="30"/>
        <v>25</v>
      </c>
      <c r="DE7" s="58">
        <f t="shared" si="33"/>
        <v>5</v>
      </c>
      <c r="DF7" s="63">
        <v>0</v>
      </c>
    </row>
    <row r="8" spans="1:110">
      <c r="A8" s="75" t="s">
        <v>132</v>
      </c>
      <c r="B8" s="75">
        <f>+E8/D8</f>
        <v>0.21857923497267759</v>
      </c>
      <c r="C8" s="3">
        <v>0</v>
      </c>
      <c r="D8" s="64">
        <f>+AT10</f>
        <v>9.15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0.71</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0.29000000000000004</v>
      </c>
      <c r="DC9" s="62">
        <f>+SUM($DB$3:DB9)</f>
        <v>1</v>
      </c>
      <c r="DD9" s="83">
        <f t="shared" si="30"/>
        <v>100</v>
      </c>
      <c r="DE9" s="58">
        <f t="shared" si="33"/>
        <v>29.000000000000004</v>
      </c>
      <c r="DF9" s="63">
        <v>0</v>
      </c>
    </row>
    <row r="10" spans="1:110">
      <c r="A10" s="75" t="s">
        <v>134</v>
      </c>
      <c r="B10" s="75">
        <f t="shared" si="34"/>
        <v>0.37606837606837606</v>
      </c>
      <c r="C10" s="3">
        <v>0</v>
      </c>
      <c r="D10" s="64">
        <f>+BH10</f>
        <v>29.25</v>
      </c>
      <c r="E10" s="3">
        <v>11</v>
      </c>
      <c r="G10" s="50" t="s">
        <v>70</v>
      </c>
      <c r="H10" s="50">
        <f>+SUM(H3:H9)</f>
        <v>1</v>
      </c>
      <c r="I10" s="50"/>
      <c r="J10" s="50"/>
      <c r="K10" s="51">
        <f>+SUM(K3:K9)</f>
        <v>7.0649999999999888</v>
      </c>
      <c r="L10" s="51"/>
      <c r="N10" s="50" t="s">
        <v>70</v>
      </c>
      <c r="O10" s="50">
        <f>+SUM(O3:O9)</f>
        <v>1</v>
      </c>
      <c r="P10" s="50"/>
      <c r="Q10" s="50"/>
      <c r="R10" s="51">
        <f>+SUM(R3:R9)</f>
        <v>17.449999999999996</v>
      </c>
      <c r="S10" s="51"/>
      <c r="U10" s="50" t="s">
        <v>70</v>
      </c>
      <c r="V10" s="50">
        <f>+SUM(V3:V9)</f>
        <v>1</v>
      </c>
      <c r="W10" s="50"/>
      <c r="X10" s="50"/>
      <c r="Y10" s="51">
        <f>+SUM(Y3:Y9)</f>
        <v>21.200000000000006</v>
      </c>
      <c r="Z10" s="51"/>
      <c r="AB10" s="50" t="s">
        <v>70</v>
      </c>
      <c r="AC10" s="50">
        <f>+SUM(AC3:AC9)</f>
        <v>1</v>
      </c>
      <c r="AD10" s="50"/>
      <c r="AE10" s="50"/>
      <c r="AF10" s="51">
        <f>+SUM(AF3:AF9)</f>
        <v>24.049999999999997</v>
      </c>
      <c r="AG10" s="51"/>
      <c r="AI10" s="50" t="s">
        <v>70</v>
      </c>
      <c r="AJ10" s="50">
        <f>+SUM(AJ3:AJ9)</f>
        <v>1</v>
      </c>
      <c r="AK10" s="50"/>
      <c r="AL10" s="50"/>
      <c r="AM10" s="51">
        <f>+SUM(AM3:AM9)</f>
        <v>48.75</v>
      </c>
      <c r="AN10" s="51"/>
      <c r="AP10" s="50" t="s">
        <v>70</v>
      </c>
      <c r="AQ10" s="50">
        <f>+SUM(AQ3:AQ9)</f>
        <v>1</v>
      </c>
      <c r="AR10" s="50"/>
      <c r="AS10" s="50"/>
      <c r="AT10" s="51">
        <f>+SUM(AT3:AT9)</f>
        <v>9.15</v>
      </c>
      <c r="AU10" s="51"/>
      <c r="AW10" s="50" t="s">
        <v>70</v>
      </c>
      <c r="AX10" s="50">
        <f>+SUM(AX3:AX9)</f>
        <v>1</v>
      </c>
      <c r="AY10" s="50"/>
      <c r="AZ10" s="50"/>
      <c r="BA10" s="51">
        <f>+SUM(BA3:BA9)</f>
        <v>24.15</v>
      </c>
      <c r="BB10" s="51"/>
      <c r="BD10" s="50" t="s">
        <v>70</v>
      </c>
      <c r="BE10" s="50">
        <f>+SUM(BE3:BE9)</f>
        <v>1</v>
      </c>
      <c r="BF10" s="50"/>
      <c r="BG10" s="50"/>
      <c r="BH10" s="51">
        <f>+SUM(BH3:BH9)</f>
        <v>29.25</v>
      </c>
      <c r="BI10" s="51"/>
      <c r="BK10" s="50" t="s">
        <v>70</v>
      </c>
      <c r="BL10" s="50">
        <f>+SUM(BL3:BL9)</f>
        <v>1</v>
      </c>
      <c r="BM10" s="50"/>
      <c r="BN10" s="50"/>
      <c r="BO10" s="51">
        <f>+SUM(BO3:BO9)</f>
        <v>26.349999999999998</v>
      </c>
      <c r="BP10" s="51"/>
      <c r="BR10" s="50" t="s">
        <v>70</v>
      </c>
      <c r="BS10" s="50">
        <f>+SUM(BS3:BS9)</f>
        <v>1</v>
      </c>
      <c r="BT10" s="50"/>
      <c r="BU10" s="50"/>
      <c r="BV10" s="51">
        <f>+SUM(BV3:BV9)</f>
        <v>26.449999999999996</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53.900000000000006</v>
      </c>
      <c r="DF10" s="51"/>
    </row>
    <row r="11" spans="1:110">
      <c r="A11" s="75" t="s">
        <v>135</v>
      </c>
      <c r="B11" s="75">
        <f t="shared" si="34"/>
        <v>0.41745730550284632</v>
      </c>
      <c r="C11" s="3">
        <v>0</v>
      </c>
      <c r="D11" s="64">
        <f>+BO10</f>
        <v>26.349999999999998</v>
      </c>
      <c r="E11" s="3">
        <v>11</v>
      </c>
    </row>
    <row r="12" spans="1:110">
      <c r="A12" s="75" t="s">
        <v>136</v>
      </c>
      <c r="B12" s="75">
        <f t="shared" si="34"/>
        <v>0.37807183364839325</v>
      </c>
      <c r="C12" s="3">
        <v>0</v>
      </c>
      <c r="D12" s="64">
        <f>+BV10</f>
        <v>26.449999999999996</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0.37105751391465674</v>
      </c>
      <c r="C15" s="3">
        <v>0</v>
      </c>
      <c r="D15" s="86">
        <f>+DE10</f>
        <v>53.900000000000006</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CG3:CG9 H3:H9 O3:O9 V3:V9 AC3:AC9 CN3:CN9 CU3:CU9 DB3:DB9">
    <cfRule type="cellIs" priority="83" operator="lessThan">
      <formula>0</formula>
    </cfRule>
    <cfRule type="cellIs" priority="84" operator="greaterThan">
      <formula>1</formula>
    </cfRule>
  </conditionalFormatting>
  <conditionalFormatting sqref="AJ3:AJ9 AQ3:AQ9 AX3:AX9 BZ3:BZ9 BE3:BE9 BL3:BL9 BS3:BS9 CG3:CG9 H3:H9 O3:O9 V3:V9 AC3:AC9 CN3:CN9 CU3:CU9 DB3:DB9">
    <cfRule type="cellIs" priority="82" operator="equal">
      <formula>0</formula>
    </cfRule>
  </conditionalFormatting>
  <conditionalFormatting sqref="B3:B16">
    <cfRule type="cellIs" priority="80" operator="greaterThan">
      <formula>1</formula>
    </cfRule>
    <cfRule type="cellIs" priority="81"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4.xml><?xml version="1.0" encoding="utf-8"?>
<worksheet xmlns="http://schemas.openxmlformats.org/spreadsheetml/2006/main" xmlns:r="http://schemas.openxmlformats.org/officeDocument/2006/relationships">
  <sheetPr codeName="Hoja40"/>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146</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6.5369261477046026E-2</v>
      </c>
      <c r="C3" s="3">
        <f>1/B3/Summary!$C$7</f>
        <v>1.5297709923664094E-2</v>
      </c>
      <c r="D3" s="59">
        <f>+K10</f>
        <v>10.019999999999982</v>
      </c>
      <c r="E3" s="3">
        <v>0.65500000000000003</v>
      </c>
      <c r="G3" s="60">
        <v>1</v>
      </c>
      <c r="H3" s="61">
        <v>0.5</v>
      </c>
      <c r="I3" s="62">
        <f>+SUM($H3:H3)</f>
        <v>0.5</v>
      </c>
      <c r="J3" s="50">
        <v>7</v>
      </c>
      <c r="K3" s="58">
        <f t="shared" ref="K3:K9" si="0">+H3*J3</f>
        <v>3.5</v>
      </c>
      <c r="L3" s="63">
        <v>0</v>
      </c>
      <c r="N3" s="60">
        <v>1</v>
      </c>
      <c r="O3" s="61">
        <v>0.18</v>
      </c>
      <c r="P3" s="62">
        <f>+SUM($O3:O$3)</f>
        <v>0.18</v>
      </c>
      <c r="Q3" s="58">
        <f t="shared" ref="Q3:Q9" si="1">+J3</f>
        <v>7</v>
      </c>
      <c r="R3" s="58">
        <f t="shared" ref="R3:R9" si="2">+O3*Q3</f>
        <v>1.26</v>
      </c>
      <c r="S3" s="63">
        <v>0</v>
      </c>
      <c r="U3" s="60">
        <v>1</v>
      </c>
      <c r="V3" s="61">
        <v>0.1</v>
      </c>
      <c r="W3" s="62">
        <f>+SUM($V3:V$3)</f>
        <v>0.1</v>
      </c>
      <c r="X3" s="58">
        <f t="shared" ref="X3:X9" si="3">+J3</f>
        <v>7</v>
      </c>
      <c r="Y3" s="58">
        <f t="shared" ref="Y3:Y9" si="4">+V3*X3</f>
        <v>0.70000000000000007</v>
      </c>
      <c r="Z3" s="63">
        <v>0</v>
      </c>
      <c r="AB3" s="60">
        <v>1</v>
      </c>
      <c r="AC3" s="61">
        <v>0</v>
      </c>
      <c r="AD3" s="62">
        <f>+SUM($AC$3:AC3)</f>
        <v>0</v>
      </c>
      <c r="AE3" s="58">
        <f t="shared" ref="AE3:AE9" si="5">+J3</f>
        <v>7</v>
      </c>
      <c r="AF3" s="58">
        <f t="shared" ref="AF3:AF9" si="6">+AC3*AE3</f>
        <v>0</v>
      </c>
      <c r="AG3" s="63">
        <v>0</v>
      </c>
      <c r="AI3" s="60">
        <v>1</v>
      </c>
      <c r="AJ3" s="61">
        <v>0</v>
      </c>
      <c r="AK3" s="62">
        <f>+SUM(AJ3:$AJ3)</f>
        <v>0</v>
      </c>
      <c r="AL3" s="58">
        <f t="shared" ref="AL3:AL9" si="7">+Q3</f>
        <v>7</v>
      </c>
      <c r="AM3" s="58">
        <f t="shared" ref="AM3:AM9" si="8">+AJ3*AL3</f>
        <v>0</v>
      </c>
      <c r="AN3" s="63">
        <v>0</v>
      </c>
      <c r="AP3" s="60">
        <v>1</v>
      </c>
      <c r="AQ3" s="61">
        <v>0.3</v>
      </c>
      <c r="AR3" s="62">
        <f>+SUM($AQ$3:AQ3)</f>
        <v>0.3</v>
      </c>
      <c r="AS3" s="58">
        <f t="shared" ref="AS3:AS9" si="9">+X3</f>
        <v>7</v>
      </c>
      <c r="AT3" s="58">
        <f>+AQ3*AS3</f>
        <v>2.1</v>
      </c>
      <c r="AU3" s="63">
        <v>0</v>
      </c>
      <c r="AW3" s="60">
        <v>1</v>
      </c>
      <c r="AX3" s="61">
        <v>0</v>
      </c>
      <c r="AY3" s="62">
        <f>+SUM($AX$3:AX3)</f>
        <v>0</v>
      </c>
      <c r="AZ3" s="58">
        <f t="shared" ref="AZ3:AZ9" si="10">+AE3</f>
        <v>7</v>
      </c>
      <c r="BA3" s="58">
        <f t="shared" ref="BA3:BA9" si="11">+AX3*AZ3</f>
        <v>0</v>
      </c>
      <c r="BB3" s="63">
        <v>0</v>
      </c>
      <c r="BD3" s="60">
        <v>1</v>
      </c>
      <c r="BE3" s="61">
        <v>0.06</v>
      </c>
      <c r="BF3" s="62">
        <f>+SUM($BE$3:BE3)</f>
        <v>0.06</v>
      </c>
      <c r="BG3" s="58">
        <f t="shared" ref="BG3:BG9" si="12">+AL3</f>
        <v>7</v>
      </c>
      <c r="BH3" s="58">
        <f t="shared" ref="BH3:BH9" si="13">+BE3*BG3</f>
        <v>0.42</v>
      </c>
      <c r="BI3" s="63">
        <v>0</v>
      </c>
      <c r="BK3" s="60">
        <v>1</v>
      </c>
      <c r="BL3" s="61">
        <v>0.06</v>
      </c>
      <c r="BM3" s="62">
        <f>+SUM($BL$3:BL3)</f>
        <v>0.06</v>
      </c>
      <c r="BN3" s="58">
        <f t="shared" ref="BN3:BN9" si="14">+AS3</f>
        <v>7</v>
      </c>
      <c r="BO3" s="58">
        <f t="shared" ref="BO3:BO9" si="15">+BL3*BN3</f>
        <v>0.42</v>
      </c>
      <c r="BP3" s="63">
        <v>0</v>
      </c>
      <c r="BR3" s="60">
        <v>1</v>
      </c>
      <c r="BS3" s="61">
        <v>0.09</v>
      </c>
      <c r="BT3" s="62">
        <f>+SUM($BS$3:BS3)</f>
        <v>0.09</v>
      </c>
      <c r="BU3" s="58">
        <f t="shared" ref="BU3:BU9" si="16">+AZ3</f>
        <v>7</v>
      </c>
      <c r="BV3" s="58">
        <f t="shared" ref="BV3:BV9" si="17">+BS3*BU3</f>
        <v>0.63</v>
      </c>
      <c r="BW3" s="63">
        <v>0</v>
      </c>
      <c r="BY3" s="60">
        <v>1</v>
      </c>
      <c r="BZ3" s="61">
        <v>0.35</v>
      </c>
      <c r="CA3" s="62">
        <f>+SUM($BZ$3:BZ3)</f>
        <v>0.35</v>
      </c>
      <c r="CB3" s="58">
        <f t="shared" ref="CB3:CB9" si="18">+BG3</f>
        <v>7</v>
      </c>
      <c r="CC3" s="58">
        <f t="shared" ref="CC3:CC9" si="19">+BZ3*CB3</f>
        <v>2.4499999999999997</v>
      </c>
      <c r="CD3" s="63">
        <v>0</v>
      </c>
      <c r="CF3" s="60">
        <v>1</v>
      </c>
      <c r="CG3" s="61">
        <v>0</v>
      </c>
      <c r="CH3" s="62">
        <f>+SUM($CG$3:CG3)</f>
        <v>0</v>
      </c>
      <c r="CI3" s="58">
        <f t="shared" ref="CI3:CI9" si="20">+BG3</f>
        <v>7</v>
      </c>
      <c r="CJ3" s="58">
        <f t="shared" ref="CJ3:CJ9" si="21">+CG3*CI3</f>
        <v>0</v>
      </c>
      <c r="CK3" s="63">
        <v>0</v>
      </c>
      <c r="CM3" s="60">
        <v>1</v>
      </c>
      <c r="CN3" s="61">
        <f>+H3</f>
        <v>0.5</v>
      </c>
      <c r="CO3" s="62">
        <f>+SUM($CN$3:CN3)</f>
        <v>0.5</v>
      </c>
      <c r="CP3" s="83">
        <f>+J3</f>
        <v>7</v>
      </c>
      <c r="CQ3" s="58">
        <f t="shared" ref="CQ3" si="22">+CN3*CP3</f>
        <v>3.5</v>
      </c>
      <c r="CR3" s="63">
        <v>0</v>
      </c>
      <c r="CT3" s="60">
        <v>1</v>
      </c>
      <c r="CU3" s="61">
        <f>+H3</f>
        <v>0.5</v>
      </c>
      <c r="CV3" s="62">
        <f>+SUM($CU$3:CU3)</f>
        <v>0.5</v>
      </c>
      <c r="CW3" s="84">
        <f>+J3*2</f>
        <v>14</v>
      </c>
      <c r="CX3" s="58">
        <f t="shared" ref="CX3" si="23">+CU3*CW3</f>
        <v>7</v>
      </c>
      <c r="CY3" s="63">
        <v>0</v>
      </c>
      <c r="DA3" s="60">
        <v>1</v>
      </c>
      <c r="DB3" s="61">
        <v>0</v>
      </c>
      <c r="DC3" s="62">
        <f>+SUM($DB$3:DB3)</f>
        <v>0</v>
      </c>
      <c r="DD3" s="83">
        <f>+J3</f>
        <v>7</v>
      </c>
      <c r="DE3" s="58">
        <f t="shared" ref="DE3" si="24">+DB3*DD3</f>
        <v>0</v>
      </c>
      <c r="DF3" s="63">
        <v>0</v>
      </c>
    </row>
    <row r="4" spans="1:110">
      <c r="A4" s="3" t="s">
        <v>113</v>
      </c>
      <c r="B4" s="58">
        <f>+E4/D4</f>
        <v>0.1999200319872052</v>
      </c>
      <c r="C4" s="3">
        <v>0</v>
      </c>
      <c r="D4" s="64">
        <f>+R10</f>
        <v>25.009999999999991</v>
      </c>
      <c r="E4" s="3">
        <v>5</v>
      </c>
      <c r="G4" s="60">
        <v>2</v>
      </c>
      <c r="H4" s="61">
        <v>0.32</v>
      </c>
      <c r="I4" s="62">
        <f>+SUM($H$3:H4)</f>
        <v>0.82000000000000006</v>
      </c>
      <c r="J4" s="50">
        <v>10</v>
      </c>
      <c r="K4" s="58">
        <f t="shared" si="0"/>
        <v>3.2</v>
      </c>
      <c r="L4" s="63">
        <v>0</v>
      </c>
      <c r="N4" s="60">
        <v>2</v>
      </c>
      <c r="O4" s="61">
        <v>0.2</v>
      </c>
      <c r="P4" s="62">
        <f>+SUM($O$3:O4)</f>
        <v>0.38</v>
      </c>
      <c r="Q4" s="58">
        <f t="shared" si="1"/>
        <v>10</v>
      </c>
      <c r="R4" s="58">
        <f t="shared" si="2"/>
        <v>2</v>
      </c>
      <c r="S4" s="63">
        <v>0</v>
      </c>
      <c r="U4" s="60">
        <v>2</v>
      </c>
      <c r="V4" s="61">
        <v>0.25</v>
      </c>
      <c r="W4" s="62">
        <f>+SUM($V$3:V4)</f>
        <v>0.35</v>
      </c>
      <c r="X4" s="58">
        <f t="shared" si="3"/>
        <v>10</v>
      </c>
      <c r="Y4" s="58">
        <f t="shared" si="4"/>
        <v>2.5</v>
      </c>
      <c r="Z4" s="63">
        <v>0</v>
      </c>
      <c r="AB4" s="60">
        <v>2</v>
      </c>
      <c r="AC4" s="61">
        <v>0</v>
      </c>
      <c r="AD4" s="62">
        <f>+SUM($AC$3:AC4)</f>
        <v>0</v>
      </c>
      <c r="AE4" s="58">
        <f t="shared" si="5"/>
        <v>10</v>
      </c>
      <c r="AF4" s="58">
        <f t="shared" si="6"/>
        <v>0</v>
      </c>
      <c r="AG4" s="63">
        <v>0</v>
      </c>
      <c r="AI4" s="60">
        <v>2</v>
      </c>
      <c r="AJ4" s="61">
        <v>0</v>
      </c>
      <c r="AK4" s="62">
        <f>+SUM($AJ$3:AJ4)</f>
        <v>0</v>
      </c>
      <c r="AL4" s="58">
        <f t="shared" si="7"/>
        <v>10</v>
      </c>
      <c r="AM4" s="58">
        <f t="shared" si="8"/>
        <v>0</v>
      </c>
      <c r="AN4" s="63">
        <v>0</v>
      </c>
      <c r="AP4" s="60">
        <v>2</v>
      </c>
      <c r="AQ4" s="61">
        <v>0.2</v>
      </c>
      <c r="AR4" s="62">
        <f>+SUM($AQ$3:AQ4)</f>
        <v>0.5</v>
      </c>
      <c r="AS4" s="58">
        <f t="shared" si="9"/>
        <v>10</v>
      </c>
      <c r="AT4" s="58">
        <f t="shared" ref="AT4:AT9" si="25">+AQ4*AS4</f>
        <v>2</v>
      </c>
      <c r="AU4" s="63">
        <v>0</v>
      </c>
      <c r="AW4" s="60">
        <v>2</v>
      </c>
      <c r="AX4" s="61">
        <v>0.04</v>
      </c>
      <c r="AY4" s="62">
        <f>+SUM($AX$3:AX4)</f>
        <v>0.04</v>
      </c>
      <c r="AZ4" s="58">
        <f t="shared" si="10"/>
        <v>10</v>
      </c>
      <c r="BA4" s="58">
        <f t="shared" si="11"/>
        <v>0.4</v>
      </c>
      <c r="BB4" s="63">
        <v>0</v>
      </c>
      <c r="BD4" s="60">
        <v>2</v>
      </c>
      <c r="BE4" s="61">
        <v>0.1</v>
      </c>
      <c r="BF4" s="62">
        <f>+SUM($BE$3:BE4)</f>
        <v>0.16</v>
      </c>
      <c r="BG4" s="58">
        <f t="shared" si="12"/>
        <v>10</v>
      </c>
      <c r="BH4" s="58">
        <f t="shared" si="13"/>
        <v>1</v>
      </c>
      <c r="BI4" s="63">
        <v>0</v>
      </c>
      <c r="BK4" s="60">
        <v>2</v>
      </c>
      <c r="BL4" s="61">
        <v>0.1</v>
      </c>
      <c r="BM4" s="62">
        <f>+SUM($BL$3:BL4)</f>
        <v>0.16</v>
      </c>
      <c r="BN4" s="58">
        <f t="shared" si="14"/>
        <v>10</v>
      </c>
      <c r="BO4" s="58">
        <f t="shared" si="15"/>
        <v>1</v>
      </c>
      <c r="BP4" s="63">
        <v>0</v>
      </c>
      <c r="BR4" s="60">
        <v>2</v>
      </c>
      <c r="BS4" s="61">
        <v>0.1</v>
      </c>
      <c r="BT4" s="62">
        <f>+SUM($BS$3:BS4)</f>
        <v>0.19</v>
      </c>
      <c r="BU4" s="58">
        <f t="shared" si="16"/>
        <v>10</v>
      </c>
      <c r="BV4" s="58">
        <f t="shared" si="17"/>
        <v>1</v>
      </c>
      <c r="BW4" s="63">
        <v>0</v>
      </c>
      <c r="BY4" s="60">
        <v>2</v>
      </c>
      <c r="BZ4" s="61">
        <v>0.3</v>
      </c>
      <c r="CA4" s="62">
        <f>+SUM($BZ$3:BZ4)</f>
        <v>0.64999999999999991</v>
      </c>
      <c r="CB4" s="58">
        <f t="shared" si="18"/>
        <v>10</v>
      </c>
      <c r="CC4" s="58">
        <f t="shared" si="19"/>
        <v>3</v>
      </c>
      <c r="CD4" s="63">
        <v>0</v>
      </c>
      <c r="CF4" s="60">
        <v>2</v>
      </c>
      <c r="CG4" s="61">
        <v>0</v>
      </c>
      <c r="CH4" s="62">
        <f>+SUM($CG$3:CG4)</f>
        <v>0</v>
      </c>
      <c r="CI4" s="58">
        <f t="shared" si="20"/>
        <v>10</v>
      </c>
      <c r="CJ4" s="58">
        <f t="shared" si="21"/>
        <v>0</v>
      </c>
      <c r="CK4" s="63">
        <v>0</v>
      </c>
      <c r="CM4" s="60">
        <v>2</v>
      </c>
      <c r="CN4" s="61">
        <f t="shared" ref="CN4:CN8" si="26">+H4</f>
        <v>0.32</v>
      </c>
      <c r="CO4" s="62">
        <f>+SUM($CN$3:CN4)</f>
        <v>0.82000000000000006</v>
      </c>
      <c r="CP4" s="83">
        <f t="shared" ref="CP4:CP9" si="27">+J4</f>
        <v>10</v>
      </c>
      <c r="CQ4" s="58">
        <f>+CN4*CP4</f>
        <v>3.2</v>
      </c>
      <c r="CR4" s="63">
        <v>0</v>
      </c>
      <c r="CT4" s="60">
        <v>2</v>
      </c>
      <c r="CU4" s="61">
        <f t="shared" ref="CU4:CU8" si="28">+H4</f>
        <v>0.32</v>
      </c>
      <c r="CV4" s="62">
        <f>+SUM($CU$3:CU4)</f>
        <v>0.82000000000000006</v>
      </c>
      <c r="CW4" s="84">
        <f t="shared" ref="CW4:CW9" si="29">+J4*2</f>
        <v>20</v>
      </c>
      <c r="CX4" s="58">
        <f>+CU4*CW4</f>
        <v>6.4</v>
      </c>
      <c r="CY4" s="63">
        <v>0</v>
      </c>
      <c r="DA4" s="60">
        <v>2</v>
      </c>
      <c r="DB4" s="61">
        <v>0</v>
      </c>
      <c r="DC4" s="62">
        <f>+SUM($DB$3:DB4)</f>
        <v>0</v>
      </c>
      <c r="DD4" s="83">
        <f t="shared" ref="DD4:DD9" si="30">+J4</f>
        <v>10</v>
      </c>
      <c r="DE4" s="58">
        <f>+DB4*DD4</f>
        <v>0</v>
      </c>
      <c r="DF4" s="63">
        <v>0</v>
      </c>
    </row>
    <row r="5" spans="1:110">
      <c r="A5" s="3" t="s">
        <v>114</v>
      </c>
      <c r="B5" s="58">
        <f>+E5/D5</f>
        <v>0.26272577996715923</v>
      </c>
      <c r="C5" s="3">
        <v>0</v>
      </c>
      <c r="D5" s="64">
        <f>+Y10</f>
        <v>30.450000000000006</v>
      </c>
      <c r="E5" s="3">
        <v>8</v>
      </c>
      <c r="G5" s="60">
        <v>3</v>
      </c>
      <c r="H5" s="61">
        <v>0.105</v>
      </c>
      <c r="I5" s="62">
        <f>+SUM($H$3:H5)</f>
        <v>0.92500000000000004</v>
      </c>
      <c r="J5" s="50">
        <v>15</v>
      </c>
      <c r="K5" s="58">
        <f t="shared" si="0"/>
        <v>1.575</v>
      </c>
      <c r="L5" s="63">
        <v>0</v>
      </c>
      <c r="N5" s="60">
        <v>3</v>
      </c>
      <c r="O5" s="61">
        <v>0.2</v>
      </c>
      <c r="P5" s="62">
        <f>+SUM($O$3:O5)</f>
        <v>0.58000000000000007</v>
      </c>
      <c r="Q5" s="58">
        <f t="shared" si="1"/>
        <v>15</v>
      </c>
      <c r="R5" s="58">
        <f t="shared" si="2"/>
        <v>3</v>
      </c>
      <c r="S5" s="63">
        <v>0</v>
      </c>
      <c r="U5" s="60">
        <v>3</v>
      </c>
      <c r="V5" s="61">
        <v>0.22</v>
      </c>
      <c r="W5" s="62">
        <f>+SUM($V$3:V5)</f>
        <v>0.56999999999999995</v>
      </c>
      <c r="X5" s="58">
        <f t="shared" si="3"/>
        <v>15</v>
      </c>
      <c r="Y5" s="58">
        <f t="shared" si="4"/>
        <v>3.3</v>
      </c>
      <c r="Z5" s="63">
        <v>0</v>
      </c>
      <c r="AB5" s="60">
        <v>3</v>
      </c>
      <c r="AC5" s="61">
        <v>0.15</v>
      </c>
      <c r="AD5" s="62">
        <f>+SUM($AC$3:AC5)</f>
        <v>0.15</v>
      </c>
      <c r="AE5" s="58">
        <f t="shared" si="5"/>
        <v>15</v>
      </c>
      <c r="AF5" s="58">
        <f t="shared" si="6"/>
        <v>2.25</v>
      </c>
      <c r="AG5" s="63">
        <v>0</v>
      </c>
      <c r="AI5" s="60">
        <v>3</v>
      </c>
      <c r="AJ5" s="61">
        <v>0</v>
      </c>
      <c r="AK5" s="62">
        <f>+SUM($AJ$3:AJ5)</f>
        <v>0</v>
      </c>
      <c r="AL5" s="58">
        <f t="shared" si="7"/>
        <v>15</v>
      </c>
      <c r="AM5" s="58">
        <f t="shared" si="8"/>
        <v>0</v>
      </c>
      <c r="AN5" s="63">
        <v>0</v>
      </c>
      <c r="AP5" s="60">
        <v>3</v>
      </c>
      <c r="AQ5" s="61">
        <v>0.25</v>
      </c>
      <c r="AR5" s="62">
        <f>+SUM($AQ$3:AQ5)</f>
        <v>0.75</v>
      </c>
      <c r="AS5" s="58">
        <f t="shared" si="9"/>
        <v>15</v>
      </c>
      <c r="AT5" s="58">
        <f t="shared" si="25"/>
        <v>3.75</v>
      </c>
      <c r="AU5" s="63">
        <v>0</v>
      </c>
      <c r="AW5" s="60">
        <v>3</v>
      </c>
      <c r="AX5" s="61">
        <v>0.12</v>
      </c>
      <c r="AY5" s="62">
        <f>+SUM($AX$3:AX5)</f>
        <v>0.16</v>
      </c>
      <c r="AZ5" s="58">
        <f t="shared" si="10"/>
        <v>15</v>
      </c>
      <c r="BA5" s="58">
        <f t="shared" si="11"/>
        <v>1.7999999999999998</v>
      </c>
      <c r="BB5" s="63">
        <v>0</v>
      </c>
      <c r="BD5" s="60">
        <v>3</v>
      </c>
      <c r="BE5" s="61">
        <v>0.2</v>
      </c>
      <c r="BF5" s="62">
        <f>+SUM($BE$3:BE5)</f>
        <v>0.36</v>
      </c>
      <c r="BG5" s="58">
        <f t="shared" si="12"/>
        <v>15</v>
      </c>
      <c r="BH5" s="58">
        <f t="shared" si="13"/>
        <v>3</v>
      </c>
      <c r="BI5" s="63">
        <v>0</v>
      </c>
      <c r="BK5" s="60">
        <v>3</v>
      </c>
      <c r="BL5" s="61">
        <v>0.14000000000000001</v>
      </c>
      <c r="BM5" s="62">
        <f>+SUM($BL$3:BL5)</f>
        <v>0.30000000000000004</v>
      </c>
      <c r="BN5" s="58">
        <f t="shared" si="14"/>
        <v>15</v>
      </c>
      <c r="BO5" s="58">
        <f t="shared" si="15"/>
        <v>2.1</v>
      </c>
      <c r="BP5" s="63">
        <v>0</v>
      </c>
      <c r="BR5" s="60">
        <v>3</v>
      </c>
      <c r="BS5" s="61">
        <v>0.2</v>
      </c>
      <c r="BT5" s="62">
        <f>+SUM($BS$3:BS5)</f>
        <v>0.39</v>
      </c>
      <c r="BU5" s="58">
        <f t="shared" si="16"/>
        <v>15</v>
      </c>
      <c r="BV5" s="58">
        <f t="shared" si="17"/>
        <v>3</v>
      </c>
      <c r="BW5" s="63">
        <v>0</v>
      </c>
      <c r="BY5" s="60">
        <v>3</v>
      </c>
      <c r="BZ5" s="61">
        <v>0.2</v>
      </c>
      <c r="CA5" s="62">
        <f>+SUM($BZ$3:BZ5)</f>
        <v>0.84999999999999987</v>
      </c>
      <c r="CB5" s="58">
        <f t="shared" si="18"/>
        <v>15</v>
      </c>
      <c r="CC5" s="58">
        <f t="shared" si="19"/>
        <v>3</v>
      </c>
      <c r="CD5" s="63">
        <v>0</v>
      </c>
      <c r="CF5" s="60">
        <v>3</v>
      </c>
      <c r="CG5" s="61">
        <v>0</v>
      </c>
      <c r="CH5" s="62">
        <f>+SUM($CG$3:CG5)</f>
        <v>0</v>
      </c>
      <c r="CI5" s="58">
        <f t="shared" si="20"/>
        <v>15</v>
      </c>
      <c r="CJ5" s="58">
        <f t="shared" si="21"/>
        <v>0</v>
      </c>
      <c r="CK5" s="63">
        <v>0</v>
      </c>
      <c r="CM5" s="60">
        <v>3</v>
      </c>
      <c r="CN5" s="61">
        <f t="shared" si="26"/>
        <v>0.105</v>
      </c>
      <c r="CO5" s="62">
        <f>+SUM($CN$3:CN5)</f>
        <v>0.92500000000000004</v>
      </c>
      <c r="CP5" s="83">
        <f t="shared" si="27"/>
        <v>15</v>
      </c>
      <c r="CQ5" s="58">
        <f t="shared" ref="CQ5:CQ9" si="31">+CN5*CP5</f>
        <v>1.575</v>
      </c>
      <c r="CR5" s="63">
        <v>0</v>
      </c>
      <c r="CT5" s="60">
        <v>3</v>
      </c>
      <c r="CU5" s="61">
        <f t="shared" si="28"/>
        <v>0.105</v>
      </c>
      <c r="CV5" s="62">
        <f>+SUM($CU$3:CU5)</f>
        <v>0.92500000000000004</v>
      </c>
      <c r="CW5" s="84">
        <f t="shared" si="29"/>
        <v>30</v>
      </c>
      <c r="CX5" s="58">
        <f t="shared" ref="CX5:CX9" si="32">+CU5*CW5</f>
        <v>3.15</v>
      </c>
      <c r="CY5" s="63">
        <v>0</v>
      </c>
      <c r="DA5" s="60">
        <v>3</v>
      </c>
      <c r="DB5" s="61">
        <v>0</v>
      </c>
      <c r="DC5" s="62">
        <f>+SUM($DB$3:DB5)</f>
        <v>0</v>
      </c>
      <c r="DD5" s="83">
        <f t="shared" si="30"/>
        <v>15</v>
      </c>
      <c r="DE5" s="58">
        <f t="shared" ref="DE5:DE9" si="33">+DB5*DD5</f>
        <v>0</v>
      </c>
      <c r="DF5" s="63">
        <v>0</v>
      </c>
    </row>
    <row r="6" spans="1:110">
      <c r="A6" s="80" t="s">
        <v>115</v>
      </c>
      <c r="B6" s="75">
        <f>+E6/D6</f>
        <v>0.29197080291970801</v>
      </c>
      <c r="C6" s="3">
        <v>0</v>
      </c>
      <c r="D6" s="64">
        <f>+AF10</f>
        <v>34.25</v>
      </c>
      <c r="E6" s="3">
        <v>10</v>
      </c>
      <c r="G6" s="60">
        <v>4</v>
      </c>
      <c r="H6" s="61">
        <v>7.0000000000000007E-2</v>
      </c>
      <c r="I6" s="62">
        <f>+SUM($H$3:H6)</f>
        <v>0.99500000000000011</v>
      </c>
      <c r="J6" s="50">
        <v>20</v>
      </c>
      <c r="K6" s="58">
        <f t="shared" si="0"/>
        <v>1.4000000000000001</v>
      </c>
      <c r="L6" s="63">
        <v>0</v>
      </c>
      <c r="N6" s="60">
        <v>4</v>
      </c>
      <c r="O6" s="61">
        <v>0.25</v>
      </c>
      <c r="P6" s="62">
        <f>+SUM($O$3:O6)</f>
        <v>0.83000000000000007</v>
      </c>
      <c r="Q6" s="58">
        <f t="shared" si="1"/>
        <v>20</v>
      </c>
      <c r="R6" s="58">
        <f t="shared" si="2"/>
        <v>5</v>
      </c>
      <c r="S6" s="63">
        <v>0</v>
      </c>
      <c r="U6" s="60">
        <v>4</v>
      </c>
      <c r="V6" s="61">
        <v>0.15</v>
      </c>
      <c r="W6" s="62">
        <f>+SUM($V$3:V6)</f>
        <v>0.72</v>
      </c>
      <c r="X6" s="58">
        <f t="shared" si="3"/>
        <v>20</v>
      </c>
      <c r="Y6" s="58">
        <f t="shared" si="4"/>
        <v>3</v>
      </c>
      <c r="Z6" s="63">
        <v>0</v>
      </c>
      <c r="AB6" s="60">
        <v>4</v>
      </c>
      <c r="AC6" s="61">
        <v>0.35</v>
      </c>
      <c r="AD6" s="62">
        <f>+SUM($AC$3:AC6)</f>
        <v>0.5</v>
      </c>
      <c r="AE6" s="58">
        <f t="shared" si="5"/>
        <v>20</v>
      </c>
      <c r="AF6" s="58">
        <f t="shared" si="6"/>
        <v>7</v>
      </c>
      <c r="AG6" s="63">
        <v>0</v>
      </c>
      <c r="AI6" s="60">
        <v>4</v>
      </c>
      <c r="AJ6" s="61">
        <v>0</v>
      </c>
      <c r="AK6" s="62">
        <f>+SUM($AJ$3:AJ6)</f>
        <v>0</v>
      </c>
      <c r="AL6" s="58">
        <f t="shared" si="7"/>
        <v>20</v>
      </c>
      <c r="AM6" s="58">
        <f t="shared" si="8"/>
        <v>0</v>
      </c>
      <c r="AN6" s="63">
        <v>0</v>
      </c>
      <c r="AP6" s="60">
        <v>4</v>
      </c>
      <c r="AQ6" s="61">
        <f>1-SUM(AQ3:AQ5)</f>
        <v>0.25</v>
      </c>
      <c r="AR6" s="62">
        <f>+SUM($AQ$3:AQ6)</f>
        <v>1</v>
      </c>
      <c r="AS6" s="58">
        <f t="shared" si="9"/>
        <v>20</v>
      </c>
      <c r="AT6" s="58">
        <f t="shared" si="25"/>
        <v>5</v>
      </c>
      <c r="AU6" s="63">
        <v>0</v>
      </c>
      <c r="AW6" s="60">
        <v>4</v>
      </c>
      <c r="AX6" s="61">
        <v>0.35</v>
      </c>
      <c r="AY6" s="62">
        <f>+SUM($AX$3:AX6)</f>
        <v>0.51</v>
      </c>
      <c r="AZ6" s="58">
        <f t="shared" si="10"/>
        <v>20</v>
      </c>
      <c r="BA6" s="58">
        <f t="shared" si="11"/>
        <v>7</v>
      </c>
      <c r="BB6" s="63">
        <v>0</v>
      </c>
      <c r="BD6" s="60">
        <v>4</v>
      </c>
      <c r="BE6" s="61">
        <v>0.2</v>
      </c>
      <c r="BF6" s="62">
        <f>+SUM($BE$3:BE6)</f>
        <v>0.56000000000000005</v>
      </c>
      <c r="BG6" s="58">
        <f t="shared" si="12"/>
        <v>20</v>
      </c>
      <c r="BH6" s="58">
        <f t="shared" si="13"/>
        <v>4</v>
      </c>
      <c r="BI6" s="63">
        <v>0</v>
      </c>
      <c r="BK6" s="60">
        <v>4</v>
      </c>
      <c r="BL6" s="61">
        <v>0.31</v>
      </c>
      <c r="BM6" s="62">
        <f>+SUM($BL$3:BL6)</f>
        <v>0.6100000000000001</v>
      </c>
      <c r="BN6" s="58">
        <f t="shared" si="14"/>
        <v>20</v>
      </c>
      <c r="BO6" s="58">
        <f t="shared" si="15"/>
        <v>6.2</v>
      </c>
      <c r="BP6" s="63">
        <v>0</v>
      </c>
      <c r="BR6" s="60">
        <v>4</v>
      </c>
      <c r="BS6" s="61">
        <v>0.25</v>
      </c>
      <c r="BT6" s="62">
        <f>+SUM($BS$3:BS6)</f>
        <v>0.64</v>
      </c>
      <c r="BU6" s="58">
        <f t="shared" si="16"/>
        <v>20</v>
      </c>
      <c r="BV6" s="58">
        <f t="shared" si="17"/>
        <v>5</v>
      </c>
      <c r="BW6" s="63">
        <v>0</v>
      </c>
      <c r="BY6" s="60">
        <v>4</v>
      </c>
      <c r="BZ6" s="61">
        <v>0.1</v>
      </c>
      <c r="CA6" s="62">
        <f>+SUM($BZ$3:BZ6)</f>
        <v>0.94999999999999984</v>
      </c>
      <c r="CB6" s="58">
        <f t="shared" si="18"/>
        <v>20</v>
      </c>
      <c r="CC6" s="58">
        <f t="shared" si="19"/>
        <v>2</v>
      </c>
      <c r="CD6" s="63">
        <v>0</v>
      </c>
      <c r="CF6" s="60">
        <v>4</v>
      </c>
      <c r="CG6" s="61">
        <v>0</v>
      </c>
      <c r="CH6" s="62">
        <f>+SUM($CG$3:CG6)</f>
        <v>0</v>
      </c>
      <c r="CI6" s="58">
        <f t="shared" si="20"/>
        <v>20</v>
      </c>
      <c r="CJ6" s="58">
        <f t="shared" si="21"/>
        <v>0</v>
      </c>
      <c r="CK6" s="63">
        <v>0</v>
      </c>
      <c r="CM6" s="60">
        <v>4</v>
      </c>
      <c r="CN6" s="61">
        <f t="shared" si="26"/>
        <v>7.0000000000000007E-2</v>
      </c>
      <c r="CO6" s="62">
        <f>+SUM($CN$3:CN6)</f>
        <v>0.99500000000000011</v>
      </c>
      <c r="CP6" s="83">
        <f t="shared" si="27"/>
        <v>20</v>
      </c>
      <c r="CQ6" s="58">
        <f t="shared" si="31"/>
        <v>1.4000000000000001</v>
      </c>
      <c r="CR6" s="63">
        <v>0</v>
      </c>
      <c r="CT6" s="60">
        <v>4</v>
      </c>
      <c r="CU6" s="61">
        <f t="shared" si="28"/>
        <v>7.0000000000000007E-2</v>
      </c>
      <c r="CV6" s="62">
        <f>+SUM($CU$3:CU6)</f>
        <v>0.99500000000000011</v>
      </c>
      <c r="CW6" s="84">
        <f t="shared" si="29"/>
        <v>40</v>
      </c>
      <c r="CX6" s="58">
        <f t="shared" si="32"/>
        <v>2.8000000000000003</v>
      </c>
      <c r="CY6" s="63">
        <v>0</v>
      </c>
      <c r="DA6" s="60">
        <v>4</v>
      </c>
      <c r="DB6" s="61">
        <v>0.16</v>
      </c>
      <c r="DC6" s="62">
        <f>+SUM($DB$3:DB6)</f>
        <v>0.16</v>
      </c>
      <c r="DD6" s="83">
        <f t="shared" si="30"/>
        <v>20</v>
      </c>
      <c r="DE6" s="58">
        <f t="shared" si="33"/>
        <v>3.2</v>
      </c>
      <c r="DF6" s="63">
        <v>0</v>
      </c>
    </row>
    <row r="7" spans="1:110">
      <c r="A7" s="75" t="s">
        <v>131</v>
      </c>
      <c r="B7" s="75">
        <f t="shared" ref="B7:B12" si="34">+E7/D7</f>
        <v>0.29197080291970801</v>
      </c>
      <c r="C7" s="3">
        <v>0</v>
      </c>
      <c r="D7" s="64">
        <f>+AM10</f>
        <v>68.5</v>
      </c>
      <c r="E7" s="3">
        <v>20</v>
      </c>
      <c r="G7" s="60">
        <v>5</v>
      </c>
      <c r="H7" s="61">
        <v>3.0000000000000001E-3</v>
      </c>
      <c r="I7" s="62">
        <f>+SUM($H$3:H7)</f>
        <v>0.99800000000000011</v>
      </c>
      <c r="J7" s="50">
        <v>40</v>
      </c>
      <c r="K7" s="58">
        <f t="shared" si="0"/>
        <v>0.12</v>
      </c>
      <c r="L7" s="63">
        <v>0</v>
      </c>
      <c r="N7" s="60">
        <v>5</v>
      </c>
      <c r="O7" s="61">
        <v>0.1</v>
      </c>
      <c r="P7" s="62">
        <f>+SUM($O$3:O7)</f>
        <v>0.93</v>
      </c>
      <c r="Q7" s="58">
        <f t="shared" si="1"/>
        <v>40</v>
      </c>
      <c r="R7" s="58">
        <f t="shared" si="2"/>
        <v>4</v>
      </c>
      <c r="S7" s="63">
        <v>0</v>
      </c>
      <c r="U7" s="60">
        <v>5</v>
      </c>
      <c r="V7" s="61">
        <v>0.13</v>
      </c>
      <c r="W7" s="62">
        <f>+SUM($V$3:V7)</f>
        <v>0.85</v>
      </c>
      <c r="X7" s="58">
        <f t="shared" si="3"/>
        <v>40</v>
      </c>
      <c r="Y7" s="58">
        <f t="shared" si="4"/>
        <v>5.2</v>
      </c>
      <c r="Z7" s="63">
        <v>0</v>
      </c>
      <c r="AB7" s="60">
        <v>5</v>
      </c>
      <c r="AC7" s="61">
        <v>0.4</v>
      </c>
      <c r="AD7" s="62">
        <f>+SUM($AC$3:AC7)</f>
        <v>0.9</v>
      </c>
      <c r="AE7" s="58">
        <f t="shared" si="5"/>
        <v>40</v>
      </c>
      <c r="AF7" s="58">
        <f t="shared" si="6"/>
        <v>16</v>
      </c>
      <c r="AG7" s="63">
        <v>0</v>
      </c>
      <c r="AI7" s="60">
        <v>5</v>
      </c>
      <c r="AJ7" s="61">
        <v>0.4</v>
      </c>
      <c r="AK7" s="62">
        <f>+SUM($AJ$3:AJ7)</f>
        <v>0.4</v>
      </c>
      <c r="AL7" s="58">
        <f t="shared" si="7"/>
        <v>40</v>
      </c>
      <c r="AM7" s="58">
        <f t="shared" si="8"/>
        <v>16</v>
      </c>
      <c r="AN7" s="63">
        <v>0</v>
      </c>
      <c r="AP7" s="60">
        <v>5</v>
      </c>
      <c r="AQ7" s="61">
        <v>0</v>
      </c>
      <c r="AR7" s="62">
        <f>+SUM($AQ$3:AQ7)</f>
        <v>1</v>
      </c>
      <c r="AS7" s="58">
        <f t="shared" si="9"/>
        <v>40</v>
      </c>
      <c r="AT7" s="58">
        <f t="shared" si="25"/>
        <v>0</v>
      </c>
      <c r="AU7" s="63">
        <v>0</v>
      </c>
      <c r="AW7" s="60">
        <v>5</v>
      </c>
      <c r="AX7" s="61">
        <v>0.38</v>
      </c>
      <c r="AY7" s="62">
        <f>+SUM($AX$3:AX7)</f>
        <v>0.89</v>
      </c>
      <c r="AZ7" s="58">
        <f t="shared" si="10"/>
        <v>40</v>
      </c>
      <c r="BA7" s="58">
        <f t="shared" si="11"/>
        <v>15.2</v>
      </c>
      <c r="BB7" s="63">
        <v>0</v>
      </c>
      <c r="BD7" s="60">
        <v>5</v>
      </c>
      <c r="BE7" s="61">
        <v>0.21</v>
      </c>
      <c r="BF7" s="62">
        <f>+SUM($BE$3:BE7)</f>
        <v>0.77</v>
      </c>
      <c r="BG7" s="58">
        <f t="shared" si="12"/>
        <v>40</v>
      </c>
      <c r="BH7" s="58">
        <f t="shared" si="13"/>
        <v>8.4</v>
      </c>
      <c r="BI7" s="63">
        <v>0</v>
      </c>
      <c r="BK7" s="60">
        <v>5</v>
      </c>
      <c r="BL7" s="61">
        <v>0.21</v>
      </c>
      <c r="BM7" s="62">
        <f>+SUM($BL$3:BL7)</f>
        <v>0.82000000000000006</v>
      </c>
      <c r="BN7" s="58">
        <f t="shared" si="14"/>
        <v>40</v>
      </c>
      <c r="BO7" s="58">
        <f t="shared" si="15"/>
        <v>8.4</v>
      </c>
      <c r="BP7" s="63">
        <v>0</v>
      </c>
      <c r="BR7" s="60">
        <v>5</v>
      </c>
      <c r="BS7" s="61">
        <v>0.16</v>
      </c>
      <c r="BT7" s="62">
        <f>+SUM($BS$3:BS7)</f>
        <v>0.8</v>
      </c>
      <c r="BU7" s="58">
        <f t="shared" si="16"/>
        <v>40</v>
      </c>
      <c r="BV7" s="58">
        <f t="shared" si="17"/>
        <v>6.4</v>
      </c>
      <c r="BW7" s="63">
        <v>0</v>
      </c>
      <c r="BY7" s="60">
        <v>5</v>
      </c>
      <c r="BZ7" s="61">
        <v>0.02</v>
      </c>
      <c r="CA7" s="62">
        <f>+SUM($BZ$3:BZ7)</f>
        <v>0.96999999999999986</v>
      </c>
      <c r="CB7" s="58">
        <f t="shared" si="18"/>
        <v>40</v>
      </c>
      <c r="CC7" s="58">
        <f t="shared" si="19"/>
        <v>0.8</v>
      </c>
      <c r="CD7" s="63">
        <v>0</v>
      </c>
      <c r="CF7" s="60">
        <v>5</v>
      </c>
      <c r="CG7" s="61">
        <v>0.35</v>
      </c>
      <c r="CH7" s="62">
        <f>+SUM($CG$3:CG7)</f>
        <v>0.35</v>
      </c>
      <c r="CI7" s="58">
        <f t="shared" si="20"/>
        <v>40</v>
      </c>
      <c r="CJ7" s="58">
        <f t="shared" si="21"/>
        <v>14</v>
      </c>
      <c r="CK7" s="63">
        <v>0</v>
      </c>
      <c r="CM7" s="60">
        <v>5</v>
      </c>
      <c r="CN7" s="61">
        <f t="shared" si="26"/>
        <v>3.0000000000000001E-3</v>
      </c>
      <c r="CO7" s="62">
        <f>+SUM($CN$3:CN7)</f>
        <v>0.99800000000000011</v>
      </c>
      <c r="CP7" s="83">
        <f t="shared" si="27"/>
        <v>40</v>
      </c>
      <c r="CQ7" s="58">
        <f t="shared" si="31"/>
        <v>0.12</v>
      </c>
      <c r="CR7" s="63">
        <v>0</v>
      </c>
      <c r="CT7" s="60">
        <v>5</v>
      </c>
      <c r="CU7" s="61">
        <f t="shared" si="28"/>
        <v>3.0000000000000001E-3</v>
      </c>
      <c r="CV7" s="62">
        <f>+SUM($CU$3:CU7)</f>
        <v>0.99800000000000011</v>
      </c>
      <c r="CW7" s="84">
        <f t="shared" si="29"/>
        <v>80</v>
      </c>
      <c r="CX7" s="58">
        <f t="shared" si="32"/>
        <v>0.24</v>
      </c>
      <c r="CY7" s="63">
        <v>0</v>
      </c>
      <c r="DA7" s="60">
        <v>5</v>
      </c>
      <c r="DB7" s="61">
        <v>0.25</v>
      </c>
      <c r="DC7" s="62">
        <f>+SUM($DB$3:DB7)</f>
        <v>0.41000000000000003</v>
      </c>
      <c r="DD7" s="83">
        <f t="shared" si="30"/>
        <v>40</v>
      </c>
      <c r="DE7" s="58">
        <f t="shared" si="33"/>
        <v>10</v>
      </c>
      <c r="DF7" s="63">
        <v>0</v>
      </c>
    </row>
    <row r="8" spans="1:110">
      <c r="A8" s="75" t="s">
        <v>132</v>
      </c>
      <c r="B8" s="75">
        <f>+E8/D8</f>
        <v>0.1556420233463035</v>
      </c>
      <c r="C8" s="3">
        <v>0</v>
      </c>
      <c r="D8" s="64">
        <f>+AT10</f>
        <v>12.85</v>
      </c>
      <c r="E8" s="3">
        <v>2</v>
      </c>
      <c r="G8" s="60">
        <v>6</v>
      </c>
      <c r="H8" s="61">
        <v>1E-3</v>
      </c>
      <c r="I8" s="62">
        <f>+SUM($H$3:H8)</f>
        <v>0.99900000000000011</v>
      </c>
      <c r="J8" s="50">
        <v>75</v>
      </c>
      <c r="K8" s="58">
        <f t="shared" si="0"/>
        <v>7.4999999999999997E-2</v>
      </c>
      <c r="L8" s="63">
        <v>0</v>
      </c>
      <c r="N8" s="60">
        <v>6</v>
      </c>
      <c r="O8" s="61">
        <v>0.01</v>
      </c>
      <c r="P8" s="62">
        <f>+SUM($O$3:O8)</f>
        <v>0.94000000000000006</v>
      </c>
      <c r="Q8" s="58">
        <f t="shared" si="1"/>
        <v>75</v>
      </c>
      <c r="R8" s="58">
        <f t="shared" si="2"/>
        <v>0.75</v>
      </c>
      <c r="S8" s="63">
        <v>0</v>
      </c>
      <c r="U8" s="60">
        <v>6</v>
      </c>
      <c r="V8" s="61">
        <v>0.09</v>
      </c>
      <c r="W8" s="62">
        <f>+SUM($V$3:V8)</f>
        <v>0.94</v>
      </c>
      <c r="X8" s="58">
        <f t="shared" si="3"/>
        <v>75</v>
      </c>
      <c r="Y8" s="58">
        <f t="shared" si="4"/>
        <v>6.75</v>
      </c>
      <c r="Z8" s="63">
        <v>0</v>
      </c>
      <c r="AB8" s="60">
        <v>6</v>
      </c>
      <c r="AC8" s="61">
        <v>0.08</v>
      </c>
      <c r="AD8" s="62">
        <f>+SUM($AC$3:AC8)</f>
        <v>0.98</v>
      </c>
      <c r="AE8" s="58">
        <f t="shared" si="5"/>
        <v>75</v>
      </c>
      <c r="AF8" s="58">
        <f t="shared" si="6"/>
        <v>6</v>
      </c>
      <c r="AG8" s="63">
        <v>0</v>
      </c>
      <c r="AI8" s="60">
        <v>6</v>
      </c>
      <c r="AJ8" s="61">
        <v>0.5</v>
      </c>
      <c r="AK8" s="62">
        <f>+SUM($AJ$3:AJ8)</f>
        <v>0.9</v>
      </c>
      <c r="AL8" s="58">
        <f t="shared" si="7"/>
        <v>75</v>
      </c>
      <c r="AM8" s="58">
        <f t="shared" si="8"/>
        <v>37.5</v>
      </c>
      <c r="AN8" s="63">
        <v>0</v>
      </c>
      <c r="AP8" s="60">
        <v>6</v>
      </c>
      <c r="AQ8" s="61">
        <v>0</v>
      </c>
      <c r="AR8" s="62">
        <f>+SUM($AQ$3:AQ8)</f>
        <v>1</v>
      </c>
      <c r="AS8" s="58">
        <f t="shared" si="9"/>
        <v>75</v>
      </c>
      <c r="AT8" s="58">
        <f t="shared" si="25"/>
        <v>0</v>
      </c>
      <c r="AU8" s="63">
        <v>0</v>
      </c>
      <c r="AW8" s="60">
        <v>6</v>
      </c>
      <c r="AX8" s="61">
        <v>0.09</v>
      </c>
      <c r="AY8" s="62">
        <f>+SUM($AX$3:AX8)</f>
        <v>0.98</v>
      </c>
      <c r="AZ8" s="58">
        <f t="shared" si="10"/>
        <v>75</v>
      </c>
      <c r="BA8" s="58">
        <f t="shared" si="11"/>
        <v>6.75</v>
      </c>
      <c r="BB8" s="63">
        <v>0</v>
      </c>
      <c r="BD8" s="60">
        <v>6</v>
      </c>
      <c r="BE8" s="61">
        <v>0.13</v>
      </c>
      <c r="BF8" s="62">
        <f>+SUM($BE$3:BE8)</f>
        <v>0.9</v>
      </c>
      <c r="BG8" s="58">
        <f t="shared" si="12"/>
        <v>75</v>
      </c>
      <c r="BH8" s="58">
        <f t="shared" si="13"/>
        <v>9.75</v>
      </c>
      <c r="BI8" s="63">
        <v>0</v>
      </c>
      <c r="BK8" s="60">
        <v>6</v>
      </c>
      <c r="BL8" s="61">
        <v>0.1</v>
      </c>
      <c r="BM8" s="62">
        <f>+SUM($BL$3:BL8)</f>
        <v>0.92</v>
      </c>
      <c r="BN8" s="58">
        <f t="shared" si="14"/>
        <v>75</v>
      </c>
      <c r="BO8" s="58">
        <f t="shared" si="15"/>
        <v>7.5</v>
      </c>
      <c r="BP8" s="63">
        <v>0</v>
      </c>
      <c r="BR8" s="60">
        <v>6</v>
      </c>
      <c r="BS8" s="61">
        <v>0.11</v>
      </c>
      <c r="BT8" s="62">
        <f>+SUM($BS$3:BS8)</f>
        <v>0.91</v>
      </c>
      <c r="BU8" s="58">
        <f t="shared" si="16"/>
        <v>75</v>
      </c>
      <c r="BV8" s="58">
        <f t="shared" si="17"/>
        <v>8.25</v>
      </c>
      <c r="BW8" s="63">
        <v>0</v>
      </c>
      <c r="BY8" s="60">
        <v>6</v>
      </c>
      <c r="BZ8" s="61">
        <v>0.02</v>
      </c>
      <c r="CA8" s="62">
        <f>+SUM($BZ$3:BZ8)</f>
        <v>0.98999999999999988</v>
      </c>
      <c r="CB8" s="58">
        <f t="shared" si="18"/>
        <v>75</v>
      </c>
      <c r="CC8" s="58">
        <f t="shared" si="19"/>
        <v>1.5</v>
      </c>
      <c r="CD8" s="63">
        <v>0</v>
      </c>
      <c r="CF8" s="60">
        <v>6</v>
      </c>
      <c r="CG8" s="61">
        <v>0.55000000000000004</v>
      </c>
      <c r="CH8" s="62">
        <f>+SUM($CG$3:CG8)</f>
        <v>0.9</v>
      </c>
      <c r="CI8" s="58">
        <f t="shared" si="20"/>
        <v>75</v>
      </c>
      <c r="CJ8" s="58">
        <f t="shared" si="21"/>
        <v>41.25</v>
      </c>
      <c r="CK8" s="63">
        <v>0</v>
      </c>
      <c r="CM8" s="60">
        <v>6</v>
      </c>
      <c r="CN8" s="61">
        <f t="shared" si="26"/>
        <v>1E-3</v>
      </c>
      <c r="CO8" s="62">
        <f>+SUM($CN$3:CN8)</f>
        <v>0.99900000000000011</v>
      </c>
      <c r="CP8" s="83">
        <f t="shared" si="27"/>
        <v>75</v>
      </c>
      <c r="CQ8" s="58">
        <f t="shared" si="31"/>
        <v>7.4999999999999997E-2</v>
      </c>
      <c r="CR8" s="63">
        <v>0</v>
      </c>
      <c r="CT8" s="60">
        <v>6</v>
      </c>
      <c r="CU8" s="61">
        <f t="shared" si="28"/>
        <v>1E-3</v>
      </c>
      <c r="CV8" s="62">
        <f>+SUM($CU$3:CU8)</f>
        <v>0.99900000000000011</v>
      </c>
      <c r="CW8" s="84">
        <f t="shared" si="29"/>
        <v>150</v>
      </c>
      <c r="CX8" s="58">
        <f t="shared" si="32"/>
        <v>0.15</v>
      </c>
      <c r="CY8" s="63">
        <v>0</v>
      </c>
      <c r="DA8" s="60">
        <v>6</v>
      </c>
      <c r="DB8" s="61">
        <v>0.35</v>
      </c>
      <c r="DC8" s="62">
        <f>+SUM($DB$3:DB8)</f>
        <v>0.76</v>
      </c>
      <c r="DD8" s="83">
        <f t="shared" si="30"/>
        <v>75</v>
      </c>
      <c r="DE8" s="58">
        <f t="shared" si="33"/>
        <v>26.25</v>
      </c>
      <c r="DF8" s="63">
        <v>0</v>
      </c>
    </row>
    <row r="9" spans="1:110">
      <c r="A9" s="75" t="s">
        <v>133</v>
      </c>
      <c r="B9" s="75">
        <f t="shared" si="34"/>
        <v>0.29282576866764276</v>
      </c>
      <c r="C9" s="3">
        <v>0</v>
      </c>
      <c r="D9" s="64">
        <f>+BA10</f>
        <v>34.15</v>
      </c>
      <c r="E9" s="3">
        <v>10</v>
      </c>
      <c r="G9" s="60">
        <v>7</v>
      </c>
      <c r="H9" s="66">
        <f>1-SUM(H3:H8)</f>
        <v>9.9999999999988987E-4</v>
      </c>
      <c r="I9" s="62">
        <f>+SUM($H$3:H9)</f>
        <v>1</v>
      </c>
      <c r="J9" s="50">
        <v>150</v>
      </c>
      <c r="K9" s="58">
        <f t="shared" si="0"/>
        <v>0.14999999999998348</v>
      </c>
      <c r="L9" s="63">
        <v>0</v>
      </c>
      <c r="N9" s="60">
        <v>7</v>
      </c>
      <c r="O9" s="66">
        <f>1-SUM(O3:O8)</f>
        <v>5.9999999999999942E-2</v>
      </c>
      <c r="P9" s="62">
        <f>+SUM($O$3:O9)</f>
        <v>1</v>
      </c>
      <c r="Q9" s="58">
        <f t="shared" si="1"/>
        <v>150</v>
      </c>
      <c r="R9" s="58">
        <f t="shared" si="2"/>
        <v>8.9999999999999911</v>
      </c>
      <c r="S9" s="63">
        <v>0</v>
      </c>
      <c r="U9" s="60">
        <v>7</v>
      </c>
      <c r="V9" s="66">
        <f>1-SUM(V3:V8)</f>
        <v>6.0000000000000053E-2</v>
      </c>
      <c r="W9" s="62">
        <f>+SUM($V$3:V9)</f>
        <v>1</v>
      </c>
      <c r="X9" s="58">
        <f t="shared" si="3"/>
        <v>150</v>
      </c>
      <c r="Y9" s="58">
        <f t="shared" si="4"/>
        <v>9.0000000000000071</v>
      </c>
      <c r="Z9" s="63">
        <v>0</v>
      </c>
      <c r="AB9" s="60">
        <v>7</v>
      </c>
      <c r="AC9" s="66">
        <f>1-SUM(AC3:AC8)</f>
        <v>2.0000000000000018E-2</v>
      </c>
      <c r="AD9" s="62">
        <f>+SUM($AC$3:AC9)</f>
        <v>1</v>
      </c>
      <c r="AE9" s="58">
        <f t="shared" si="5"/>
        <v>150</v>
      </c>
      <c r="AF9" s="58">
        <f t="shared" si="6"/>
        <v>3.0000000000000027</v>
      </c>
      <c r="AG9" s="63">
        <v>0</v>
      </c>
      <c r="AI9" s="60">
        <v>7</v>
      </c>
      <c r="AJ9" s="66">
        <f>1-SUM(AJ3:AJ8)</f>
        <v>9.9999999999999978E-2</v>
      </c>
      <c r="AK9" s="62">
        <f>+SUM($AJ$3:AJ9)</f>
        <v>1</v>
      </c>
      <c r="AL9" s="58">
        <f t="shared" si="7"/>
        <v>150</v>
      </c>
      <c r="AM9" s="58">
        <f t="shared" si="8"/>
        <v>14.999999999999996</v>
      </c>
      <c r="AN9" s="63">
        <v>0</v>
      </c>
      <c r="AP9" s="60">
        <v>7</v>
      </c>
      <c r="AQ9" s="66">
        <v>0</v>
      </c>
      <c r="AR9" s="62">
        <f>+SUM($AQ$3:AQ9)</f>
        <v>1</v>
      </c>
      <c r="AS9" s="58">
        <f t="shared" si="9"/>
        <v>150</v>
      </c>
      <c r="AT9" s="58">
        <f t="shared" si="25"/>
        <v>0</v>
      </c>
      <c r="AU9" s="63">
        <v>0</v>
      </c>
      <c r="AW9" s="60">
        <v>7</v>
      </c>
      <c r="AX9" s="66">
        <f>1-SUM(AX3:AX8)</f>
        <v>2.0000000000000018E-2</v>
      </c>
      <c r="AY9" s="62">
        <f>+SUM($AX$3:AX9)</f>
        <v>1</v>
      </c>
      <c r="AZ9" s="58">
        <f t="shared" si="10"/>
        <v>150</v>
      </c>
      <c r="BA9" s="58">
        <f t="shared" si="11"/>
        <v>3.0000000000000027</v>
      </c>
      <c r="BB9" s="63">
        <v>0</v>
      </c>
      <c r="BD9" s="60">
        <v>7</v>
      </c>
      <c r="BE9" s="66">
        <f>1-SUM(BE3:BE8)</f>
        <v>9.9999999999999978E-2</v>
      </c>
      <c r="BF9" s="62">
        <f>+SUM($BE$3:BE9)</f>
        <v>1</v>
      </c>
      <c r="BG9" s="58">
        <f t="shared" si="12"/>
        <v>150</v>
      </c>
      <c r="BH9" s="58">
        <f t="shared" si="13"/>
        <v>14.999999999999996</v>
      </c>
      <c r="BI9" s="63">
        <v>0</v>
      </c>
      <c r="BK9" s="60">
        <v>7</v>
      </c>
      <c r="BL9" s="66">
        <f>1-SUM(BL3:BL8)</f>
        <v>7.999999999999996E-2</v>
      </c>
      <c r="BM9" s="62">
        <f>+SUM($BL$3:BL9)</f>
        <v>1</v>
      </c>
      <c r="BN9" s="58">
        <f t="shared" si="14"/>
        <v>150</v>
      </c>
      <c r="BO9" s="58">
        <f t="shared" si="15"/>
        <v>11.999999999999995</v>
      </c>
      <c r="BP9" s="63">
        <v>0</v>
      </c>
      <c r="BR9" s="60">
        <v>7</v>
      </c>
      <c r="BS9" s="66">
        <f>1-SUM(BS3:BS8)</f>
        <v>8.9999999999999969E-2</v>
      </c>
      <c r="BT9" s="62">
        <f>+SUM($BS$3:BS9)</f>
        <v>1</v>
      </c>
      <c r="BU9" s="58">
        <f t="shared" si="16"/>
        <v>150</v>
      </c>
      <c r="BV9" s="58">
        <f t="shared" si="17"/>
        <v>13.499999999999995</v>
      </c>
      <c r="BW9" s="63">
        <v>0</v>
      </c>
      <c r="BY9" s="60">
        <v>7</v>
      </c>
      <c r="BZ9" s="66">
        <f>1-SUM(BZ3:BZ8)</f>
        <v>1.000000000000012E-2</v>
      </c>
      <c r="CA9" s="62">
        <f>+SUM($BZ$3:BZ9)</f>
        <v>1</v>
      </c>
      <c r="CB9" s="58">
        <f t="shared" si="18"/>
        <v>150</v>
      </c>
      <c r="CC9" s="58">
        <f t="shared" si="19"/>
        <v>1.500000000000018</v>
      </c>
      <c r="CD9" s="63">
        <v>0</v>
      </c>
      <c r="CF9" s="60">
        <v>7</v>
      </c>
      <c r="CG9" s="66">
        <f>1-SUM(CG3:CG8)</f>
        <v>9.9999999999999978E-2</v>
      </c>
      <c r="CH9" s="62">
        <f>+SUM($CG$3:CG9)</f>
        <v>1</v>
      </c>
      <c r="CI9" s="58">
        <f t="shared" si="20"/>
        <v>150</v>
      </c>
      <c r="CJ9" s="58">
        <f t="shared" si="21"/>
        <v>14.999999999999996</v>
      </c>
      <c r="CK9" s="63">
        <v>0</v>
      </c>
      <c r="CM9" s="60">
        <v>7</v>
      </c>
      <c r="CN9" s="66">
        <f>1-SUM(CN3:CN8)</f>
        <v>9.9999999999988987E-4</v>
      </c>
      <c r="CO9" s="62">
        <f>+SUM($CN$3:CN9)</f>
        <v>1</v>
      </c>
      <c r="CP9" s="83">
        <f t="shared" si="27"/>
        <v>150</v>
      </c>
      <c r="CQ9" s="58">
        <f t="shared" si="31"/>
        <v>0.14999999999998348</v>
      </c>
      <c r="CR9" s="63">
        <v>0</v>
      </c>
      <c r="CT9" s="60">
        <v>7</v>
      </c>
      <c r="CU9" s="66">
        <f>1-SUM(CU3:CU8)</f>
        <v>9.9999999999988987E-4</v>
      </c>
      <c r="CV9" s="62">
        <f>+SUM($CU$3:CU9)</f>
        <v>1</v>
      </c>
      <c r="CW9" s="84">
        <f t="shared" si="29"/>
        <v>300</v>
      </c>
      <c r="CX9" s="58">
        <f t="shared" si="32"/>
        <v>0.29999999999996696</v>
      </c>
      <c r="CY9" s="63">
        <v>0</v>
      </c>
      <c r="DA9" s="60">
        <v>7</v>
      </c>
      <c r="DB9" s="66">
        <f>1-SUM(DB3:DB8)</f>
        <v>0.24</v>
      </c>
      <c r="DC9" s="62">
        <f>+SUM($DB$3:DB9)</f>
        <v>1</v>
      </c>
      <c r="DD9" s="83">
        <f t="shared" si="30"/>
        <v>150</v>
      </c>
      <c r="DE9" s="58">
        <f t="shared" si="33"/>
        <v>36</v>
      </c>
      <c r="DF9" s="63">
        <v>0</v>
      </c>
    </row>
    <row r="10" spans="1:110">
      <c r="A10" s="75" t="s">
        <v>134</v>
      </c>
      <c r="B10" s="75">
        <f t="shared" si="34"/>
        <v>0.26461390425787834</v>
      </c>
      <c r="C10" s="3">
        <v>0</v>
      </c>
      <c r="D10" s="64">
        <f>+BH10</f>
        <v>41.569999999999993</v>
      </c>
      <c r="E10" s="3">
        <v>11</v>
      </c>
      <c r="G10" s="50" t="s">
        <v>70</v>
      </c>
      <c r="H10" s="50">
        <f>+SUM(H3:H9)</f>
        <v>1</v>
      </c>
      <c r="I10" s="50"/>
      <c r="J10" s="50"/>
      <c r="K10" s="51">
        <f>+SUM(K3:K9)</f>
        <v>10.019999999999982</v>
      </c>
      <c r="L10" s="51"/>
      <c r="N10" s="50" t="s">
        <v>70</v>
      </c>
      <c r="O10" s="50">
        <f>+SUM(O3:O9)</f>
        <v>1</v>
      </c>
      <c r="P10" s="50"/>
      <c r="Q10" s="50"/>
      <c r="R10" s="51">
        <f>+SUM(R3:R9)</f>
        <v>25.009999999999991</v>
      </c>
      <c r="S10" s="51"/>
      <c r="U10" s="50" t="s">
        <v>70</v>
      </c>
      <c r="V10" s="50">
        <f>+SUM(V3:V9)</f>
        <v>1</v>
      </c>
      <c r="W10" s="50"/>
      <c r="X10" s="50"/>
      <c r="Y10" s="51">
        <f>+SUM(Y3:Y9)</f>
        <v>30.450000000000006</v>
      </c>
      <c r="Z10" s="51"/>
      <c r="AB10" s="50" t="s">
        <v>70</v>
      </c>
      <c r="AC10" s="50">
        <f>+SUM(AC3:AC9)</f>
        <v>1</v>
      </c>
      <c r="AD10" s="50"/>
      <c r="AE10" s="50"/>
      <c r="AF10" s="51">
        <f>+SUM(AF3:AF9)</f>
        <v>34.25</v>
      </c>
      <c r="AG10" s="51"/>
      <c r="AI10" s="50" t="s">
        <v>70</v>
      </c>
      <c r="AJ10" s="50">
        <f>+SUM(AJ3:AJ9)</f>
        <v>1</v>
      </c>
      <c r="AK10" s="50"/>
      <c r="AL10" s="50"/>
      <c r="AM10" s="51">
        <f>+SUM(AM3:AM9)</f>
        <v>68.5</v>
      </c>
      <c r="AN10" s="51"/>
      <c r="AP10" s="50" t="s">
        <v>70</v>
      </c>
      <c r="AQ10" s="50">
        <f>+SUM(AQ3:AQ9)</f>
        <v>1</v>
      </c>
      <c r="AR10" s="50"/>
      <c r="AS10" s="50"/>
      <c r="AT10" s="51">
        <f>+SUM(AT3:AT9)</f>
        <v>12.85</v>
      </c>
      <c r="AU10" s="51"/>
      <c r="AW10" s="50" t="s">
        <v>70</v>
      </c>
      <c r="AX10" s="50">
        <f>+SUM(AX3:AX9)</f>
        <v>1</v>
      </c>
      <c r="AY10" s="50"/>
      <c r="AZ10" s="50"/>
      <c r="BA10" s="51">
        <f>+SUM(BA3:BA9)</f>
        <v>34.15</v>
      </c>
      <c r="BB10" s="51"/>
      <c r="BD10" s="50" t="s">
        <v>70</v>
      </c>
      <c r="BE10" s="50">
        <f>+SUM(BE3:BE9)</f>
        <v>1</v>
      </c>
      <c r="BF10" s="50"/>
      <c r="BG10" s="50"/>
      <c r="BH10" s="51">
        <f>+SUM(BH3:BH9)</f>
        <v>41.569999999999993</v>
      </c>
      <c r="BI10" s="51"/>
      <c r="BK10" s="50" t="s">
        <v>70</v>
      </c>
      <c r="BL10" s="50">
        <f>+SUM(BL3:BL9)</f>
        <v>1</v>
      </c>
      <c r="BM10" s="50"/>
      <c r="BN10" s="50"/>
      <c r="BO10" s="51">
        <f>+SUM(BO3:BO9)</f>
        <v>37.619999999999997</v>
      </c>
      <c r="BP10" s="51"/>
      <c r="BR10" s="50" t="s">
        <v>70</v>
      </c>
      <c r="BS10" s="50">
        <f>+SUM(BS3:BS9)</f>
        <v>1</v>
      </c>
      <c r="BT10" s="50"/>
      <c r="BU10" s="50"/>
      <c r="BV10" s="51">
        <f>+SUM(BV3:BV9)</f>
        <v>37.779999999999994</v>
      </c>
      <c r="BW10" s="51"/>
      <c r="BY10" s="50" t="s">
        <v>70</v>
      </c>
      <c r="BZ10" s="50">
        <f>+SUM(BZ3:BZ9)</f>
        <v>1</v>
      </c>
      <c r="CA10" s="50"/>
      <c r="CB10" s="50"/>
      <c r="CC10" s="51">
        <f>+SUM(CC3:CC9)</f>
        <v>14.250000000000018</v>
      </c>
      <c r="CD10" s="51"/>
      <c r="CF10" s="50" t="s">
        <v>70</v>
      </c>
      <c r="CG10" s="50">
        <f>+SUM(CG3:CG9)</f>
        <v>1</v>
      </c>
      <c r="CH10" s="50"/>
      <c r="CI10" s="50"/>
      <c r="CJ10" s="51">
        <f>+SUM(CJ3:CJ9)</f>
        <v>70.25</v>
      </c>
      <c r="CK10" s="51"/>
      <c r="CM10" s="50" t="s">
        <v>70</v>
      </c>
      <c r="CN10" s="50">
        <f>+SUM(CN3:CN9)</f>
        <v>1</v>
      </c>
      <c r="CO10" s="50"/>
      <c r="CP10" s="50"/>
      <c r="CQ10" s="51">
        <f>+SUM(CQ3:CQ9)</f>
        <v>10.019999999999982</v>
      </c>
      <c r="CR10" s="51"/>
      <c r="CT10" s="50" t="s">
        <v>70</v>
      </c>
      <c r="CU10" s="50">
        <f>+SUM(CU3:CU9)</f>
        <v>1</v>
      </c>
      <c r="CV10" s="50"/>
      <c r="CW10" s="50"/>
      <c r="CX10" s="51">
        <f>+SUM(CX3:CX9)</f>
        <v>20.039999999999964</v>
      </c>
      <c r="CY10" s="51"/>
      <c r="DA10" s="50" t="s">
        <v>70</v>
      </c>
      <c r="DB10" s="50">
        <f>+SUM(DB3:DB9)</f>
        <v>1</v>
      </c>
      <c r="DC10" s="50"/>
      <c r="DD10" s="50"/>
      <c r="DE10" s="51">
        <f>+SUM(DE3:DE9)</f>
        <v>75.45</v>
      </c>
      <c r="DF10" s="51"/>
    </row>
    <row r="11" spans="1:110">
      <c r="A11" s="75" t="s">
        <v>135</v>
      </c>
      <c r="B11" s="75">
        <f t="shared" si="34"/>
        <v>0.29239766081871349</v>
      </c>
      <c r="C11" s="3">
        <v>0</v>
      </c>
      <c r="D11" s="64">
        <f>+BO10</f>
        <v>37.619999999999997</v>
      </c>
      <c r="E11" s="3">
        <v>11</v>
      </c>
    </row>
    <row r="12" spans="1:110">
      <c r="A12" s="75" t="s">
        <v>136</v>
      </c>
      <c r="B12" s="75">
        <f t="shared" si="34"/>
        <v>0.26469031233456858</v>
      </c>
      <c r="C12" s="3">
        <v>0</v>
      </c>
      <c r="D12" s="64">
        <f>+BV10</f>
        <v>37.779999999999994</v>
      </c>
      <c r="E12" s="3">
        <v>10</v>
      </c>
    </row>
    <row r="13" spans="1:110">
      <c r="A13" s="85" t="s">
        <v>164</v>
      </c>
      <c r="B13" s="58">
        <f>+E13/D13</f>
        <v>0.13073852295409205</v>
      </c>
      <c r="C13" s="3">
        <f>1/B13/Summary!$C$7</f>
        <v>7.6488549618320472E-3</v>
      </c>
      <c r="D13" s="86">
        <f>+CQ10</f>
        <v>10.019999999999982</v>
      </c>
      <c r="E13" s="3">
        <f>+E3*2</f>
        <v>1.31</v>
      </c>
    </row>
    <row r="14" spans="1:110">
      <c r="A14" s="85" t="s">
        <v>165</v>
      </c>
      <c r="B14" s="58">
        <f>+E14/D14</f>
        <v>6.5369261477046026E-2</v>
      </c>
      <c r="C14" s="3">
        <f>1/B14/Summary!$C$7</f>
        <v>1.5297709923664094E-2</v>
      </c>
      <c r="D14" s="86">
        <f>+CX10</f>
        <v>20.039999999999964</v>
      </c>
      <c r="E14" s="3">
        <f>+E13</f>
        <v>1.31</v>
      </c>
    </row>
    <row r="15" spans="1:110">
      <c r="A15" s="75" t="s">
        <v>163</v>
      </c>
      <c r="B15" s="58">
        <f>+E15/D15</f>
        <v>0.26507620941020543</v>
      </c>
      <c r="C15" s="3">
        <v>0</v>
      </c>
      <c r="D15" s="86">
        <f>+DE10</f>
        <v>75.45</v>
      </c>
      <c r="E15" s="3">
        <v>20</v>
      </c>
    </row>
    <row r="16" spans="1:110">
      <c r="A16" s="3" t="s">
        <v>116</v>
      </c>
      <c r="B16" s="58">
        <f>+E16/D16</f>
        <v>0.71174377224199292</v>
      </c>
      <c r="C16" s="3">
        <v>0</v>
      </c>
      <c r="D16" s="64">
        <f>+CJ10</f>
        <v>70.25</v>
      </c>
      <c r="E16" s="3">
        <v>50</v>
      </c>
    </row>
    <row r="17" spans="1:2">
      <c r="A17" s="3" t="s">
        <v>117</v>
      </c>
      <c r="B17" s="65" t="str">
        <f>+CONCATENATE("x",J3," - x",J9)</f>
        <v>x7 - x150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91" operator="lessThan">
      <formula>0</formula>
    </cfRule>
    <cfRule type="cellIs" priority="92" operator="greaterThan">
      <formula>1</formula>
    </cfRule>
  </conditionalFormatting>
  <conditionalFormatting sqref="AJ3:AJ9 AQ3:AQ9 AX3:AX9 BZ3:BZ9 BE3:BE9 BL3:BL9 BS3:BS9 H3:H9 O3:O9 V3:V9 AC3:AC9 CG3:CG9 CN3:CN9 CU3:CU9 DB3:DB9">
    <cfRule type="cellIs" priority="90" operator="equal">
      <formula>0</formula>
    </cfRule>
  </conditionalFormatting>
  <conditionalFormatting sqref="B3:B16">
    <cfRule type="cellIs" priority="88" operator="greaterThan">
      <formula>1</formula>
    </cfRule>
    <cfRule type="cellIs" priority="89"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5.xml><?xml version="1.0" encoding="utf-8"?>
<worksheet xmlns="http://schemas.openxmlformats.org/spreadsheetml/2006/main" xmlns:r="http://schemas.openxmlformats.org/officeDocument/2006/relationships">
  <sheetPr codeName="Hoja41"/>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121</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0.1</v>
      </c>
      <c r="W3" s="62">
        <f>+SUM($V3:V$3)</f>
        <v>0.1</v>
      </c>
      <c r="X3" s="58">
        <f t="shared" ref="X3:X9" si="3">+J3</f>
        <v>10</v>
      </c>
      <c r="Y3" s="58">
        <f t="shared" ref="Y3:Y9" si="4">+V3*X3</f>
        <v>1</v>
      </c>
      <c r="Z3" s="63">
        <v>0</v>
      </c>
      <c r="AB3" s="60">
        <v>1</v>
      </c>
      <c r="AC3" s="61">
        <v>0.01</v>
      </c>
      <c r="AD3" s="62">
        <f>+SUM($AC$3:AC3)</f>
        <v>0.01</v>
      </c>
      <c r="AE3" s="58">
        <f t="shared" ref="AE3:AE9" si="5">+J3</f>
        <v>10</v>
      </c>
      <c r="AF3" s="58">
        <f t="shared" ref="AF3:AF9" si="6">+AC3*AE3</f>
        <v>0.1</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0.01</v>
      </c>
      <c r="AY3" s="62">
        <f>+SUM($AX$3:AX3)</f>
        <v>0.01</v>
      </c>
      <c r="AZ3" s="58">
        <f t="shared" ref="AZ3:AZ9" si="10">+AE3</f>
        <v>10</v>
      </c>
      <c r="BA3" s="58">
        <f t="shared" ref="BA3:BA9" si="11">+AX3*AZ3</f>
        <v>0.1</v>
      </c>
      <c r="BB3" s="63">
        <v>0</v>
      </c>
      <c r="BD3" s="60">
        <v>1</v>
      </c>
      <c r="BE3" s="61">
        <v>0.06</v>
      </c>
      <c r="BF3" s="62">
        <f>+SUM($BE$3:BE3)</f>
        <v>0.06</v>
      </c>
      <c r="BG3" s="58">
        <f t="shared" ref="BG3:BG9" si="12">+AL3</f>
        <v>10</v>
      </c>
      <c r="BH3" s="58">
        <f t="shared" ref="BH3:BH9" si="13">+BE3*BG3</f>
        <v>0.6</v>
      </c>
      <c r="BI3" s="63">
        <v>0</v>
      </c>
      <c r="BK3" s="60">
        <v>1</v>
      </c>
      <c r="BL3" s="61">
        <v>0.06</v>
      </c>
      <c r="BM3" s="62">
        <f>+SUM($BL$3:BL3)</f>
        <v>0.06</v>
      </c>
      <c r="BN3" s="58">
        <f t="shared" ref="BN3:BN9" si="14">+AS3</f>
        <v>10</v>
      </c>
      <c r="BO3" s="58">
        <f t="shared" ref="BO3:BO9" si="15">+BL3*BN3</f>
        <v>0.6</v>
      </c>
      <c r="BP3" s="63">
        <v>0</v>
      </c>
      <c r="BR3" s="60">
        <v>1</v>
      </c>
      <c r="BS3" s="61">
        <v>0.09</v>
      </c>
      <c r="BT3" s="62">
        <f>+SUM($BS$3:BS3)</f>
        <v>0.09</v>
      </c>
      <c r="BU3" s="58">
        <f t="shared" ref="BU3:BU9" si="16">+AZ3</f>
        <v>10</v>
      </c>
      <c r="BV3" s="58">
        <f t="shared" ref="BV3:BV9" si="17">+BS3*BU3</f>
        <v>0.89999999999999991</v>
      </c>
      <c r="BW3" s="63">
        <v>0</v>
      </c>
      <c r="BY3" s="60">
        <v>1</v>
      </c>
      <c r="BZ3" s="61">
        <v>0.35</v>
      </c>
      <c r="CA3" s="62">
        <f>+SUM($BZ$3:BZ3)</f>
        <v>0.35</v>
      </c>
      <c r="CB3" s="58">
        <f t="shared" ref="CB3:CB9" si="18">+BG3</f>
        <v>10</v>
      </c>
      <c r="CC3" s="58">
        <f t="shared" ref="CC3:CC9" si="19">+BZ3*CB3</f>
        <v>3.5</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113</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0.25</v>
      </c>
      <c r="W4" s="62">
        <f>+SUM($V$3:V4)</f>
        <v>0.35</v>
      </c>
      <c r="X4" s="58">
        <f t="shared" si="3"/>
        <v>15</v>
      </c>
      <c r="Y4" s="58">
        <f t="shared" si="4"/>
        <v>3.75</v>
      </c>
      <c r="Z4" s="63">
        <v>0</v>
      </c>
      <c r="AB4" s="60">
        <v>2</v>
      </c>
      <c r="AC4" s="61">
        <v>0.05</v>
      </c>
      <c r="AD4" s="62">
        <f>+SUM($AC$3:AC4)</f>
        <v>6.0000000000000005E-2</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7.0000000000000007E-2</v>
      </c>
      <c r="AY4" s="62">
        <f>+SUM($AX$3:AX4)</f>
        <v>0.08</v>
      </c>
      <c r="AZ4" s="58">
        <f t="shared" si="10"/>
        <v>15</v>
      </c>
      <c r="BA4" s="58">
        <f t="shared" si="11"/>
        <v>1.05</v>
      </c>
      <c r="BB4" s="63">
        <v>0</v>
      </c>
      <c r="BD4" s="60">
        <v>2</v>
      </c>
      <c r="BE4" s="61">
        <v>0.1</v>
      </c>
      <c r="BF4" s="62">
        <f>+SUM($BE$3:BE4)</f>
        <v>0.16</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0.19</v>
      </c>
      <c r="BU4" s="58">
        <f t="shared" si="16"/>
        <v>15</v>
      </c>
      <c r="BV4" s="58">
        <f t="shared" si="17"/>
        <v>1.5</v>
      </c>
      <c r="BW4" s="63">
        <v>0</v>
      </c>
      <c r="BY4" s="60">
        <v>2</v>
      </c>
      <c r="BZ4" s="61">
        <v>0.3</v>
      </c>
      <c r="CA4" s="62">
        <f>+SUM($BZ$3:BZ4)</f>
        <v>0.64999999999999991</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114</v>
      </c>
      <c r="B5" s="58">
        <f>+E5/D5</f>
        <v>0.17297297297297293</v>
      </c>
      <c r="C5" s="3">
        <v>0</v>
      </c>
      <c r="D5" s="64">
        <f>+Y10</f>
        <v>46.250000000000014</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0.2</v>
      </c>
      <c r="W5" s="62">
        <f>+SUM($V$3:V5)</f>
        <v>0.55000000000000004</v>
      </c>
      <c r="X5" s="58">
        <f t="shared" si="3"/>
        <v>20</v>
      </c>
      <c r="Y5" s="58">
        <f t="shared" si="4"/>
        <v>4</v>
      </c>
      <c r="Z5" s="63">
        <v>0</v>
      </c>
      <c r="AB5" s="60">
        <v>3</v>
      </c>
      <c r="AC5" s="61">
        <v>0.16</v>
      </c>
      <c r="AD5" s="62">
        <f>+SUM($AC$3:AC5)</f>
        <v>0.22</v>
      </c>
      <c r="AE5" s="58">
        <f t="shared" si="5"/>
        <v>20</v>
      </c>
      <c r="AF5" s="58">
        <f t="shared" si="6"/>
        <v>3.2</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v>
      </c>
      <c r="BF5" s="62">
        <f>+SUM($BE$3:BE5)</f>
        <v>0.36</v>
      </c>
      <c r="BG5" s="58">
        <f t="shared" si="12"/>
        <v>20</v>
      </c>
      <c r="BH5" s="58">
        <f t="shared" si="13"/>
        <v>4</v>
      </c>
      <c r="BI5" s="63">
        <v>0</v>
      </c>
      <c r="BK5" s="60">
        <v>3</v>
      </c>
      <c r="BL5" s="61">
        <v>0.15</v>
      </c>
      <c r="BM5" s="62">
        <f>+SUM($BL$3:BL5)</f>
        <v>0.31</v>
      </c>
      <c r="BN5" s="58">
        <f t="shared" si="14"/>
        <v>20</v>
      </c>
      <c r="BO5" s="58">
        <f t="shared" si="15"/>
        <v>3</v>
      </c>
      <c r="BP5" s="63">
        <v>0</v>
      </c>
      <c r="BR5" s="60">
        <v>3</v>
      </c>
      <c r="BS5" s="61">
        <v>0.2</v>
      </c>
      <c r="BT5" s="62">
        <f>+SUM($BS$3:BS5)</f>
        <v>0.39</v>
      </c>
      <c r="BU5" s="58">
        <f t="shared" si="16"/>
        <v>20</v>
      </c>
      <c r="BV5" s="58">
        <f t="shared" si="17"/>
        <v>4</v>
      </c>
      <c r="BW5" s="63">
        <v>0</v>
      </c>
      <c r="BY5" s="60">
        <v>3</v>
      </c>
      <c r="BZ5" s="61">
        <v>0.2</v>
      </c>
      <c r="CA5" s="62">
        <f>+SUM($BZ$3:BZ5)</f>
        <v>0.84999999999999987</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115</v>
      </c>
      <c r="B6" s="75">
        <f>+E6/D6</f>
        <v>0.19342359767891681</v>
      </c>
      <c r="C6" s="3">
        <v>0</v>
      </c>
      <c r="D6" s="64">
        <f>+AF10</f>
        <v>51.7</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0.75</v>
      </c>
      <c r="X6" s="58">
        <f t="shared" si="3"/>
        <v>40</v>
      </c>
      <c r="Y6" s="58">
        <f t="shared" si="4"/>
        <v>8</v>
      </c>
      <c r="Z6" s="63">
        <v>0</v>
      </c>
      <c r="AB6" s="60">
        <v>4</v>
      </c>
      <c r="AC6" s="61">
        <v>0.36</v>
      </c>
      <c r="AD6" s="62">
        <f>+SUM($AC$3:AC6)</f>
        <v>0.57999999999999996</v>
      </c>
      <c r="AE6" s="58">
        <f t="shared" si="5"/>
        <v>40</v>
      </c>
      <c r="AF6" s="58">
        <f t="shared" si="6"/>
        <v>14.399999999999999</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v>
      </c>
      <c r="BF6" s="62">
        <f>+SUM($BE$3:BE6)</f>
        <v>0.56000000000000005</v>
      </c>
      <c r="BG6" s="58">
        <f t="shared" si="12"/>
        <v>40</v>
      </c>
      <c r="BH6" s="58">
        <f t="shared" si="13"/>
        <v>8</v>
      </c>
      <c r="BI6" s="63">
        <v>0</v>
      </c>
      <c r="BK6" s="60">
        <v>4</v>
      </c>
      <c r="BL6" s="61">
        <v>0.3</v>
      </c>
      <c r="BM6" s="62">
        <f>+SUM($BL$3:BL6)</f>
        <v>0.61</v>
      </c>
      <c r="BN6" s="58">
        <f t="shared" si="14"/>
        <v>40</v>
      </c>
      <c r="BO6" s="58">
        <f t="shared" si="15"/>
        <v>12</v>
      </c>
      <c r="BP6" s="63">
        <v>0</v>
      </c>
      <c r="BR6" s="60">
        <v>4</v>
      </c>
      <c r="BS6" s="61">
        <v>0.25</v>
      </c>
      <c r="BT6" s="62">
        <f>+SUM($BS$3:BS6)</f>
        <v>0.64</v>
      </c>
      <c r="BU6" s="58">
        <f t="shared" si="16"/>
        <v>40</v>
      </c>
      <c r="BV6" s="58">
        <f t="shared" si="17"/>
        <v>10</v>
      </c>
      <c r="BW6" s="63">
        <v>0</v>
      </c>
      <c r="BY6" s="60">
        <v>4</v>
      </c>
      <c r="BZ6" s="61">
        <v>0.1</v>
      </c>
      <c r="CA6" s="62">
        <f>+SUM($BZ$3:BZ6)</f>
        <v>0.94999999999999984</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131</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v>
      </c>
      <c r="W7" s="62">
        <f>+SUM($V$3:V7)</f>
        <v>0.85</v>
      </c>
      <c r="X7" s="58">
        <f t="shared" si="3"/>
        <v>75</v>
      </c>
      <c r="Y7" s="58">
        <f t="shared" si="4"/>
        <v>7.5</v>
      </c>
      <c r="Z7" s="63">
        <v>0</v>
      </c>
      <c r="AB7" s="60">
        <v>5</v>
      </c>
      <c r="AC7" s="61">
        <v>0.39</v>
      </c>
      <c r="AD7" s="62">
        <f>+SUM($AC$3:AC7)</f>
        <v>0.97</v>
      </c>
      <c r="AE7" s="58">
        <f t="shared" si="5"/>
        <v>75</v>
      </c>
      <c r="AF7" s="58">
        <f t="shared" si="6"/>
        <v>29.25</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0.77</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0.8</v>
      </c>
      <c r="BU7" s="58">
        <f t="shared" si="16"/>
        <v>75</v>
      </c>
      <c r="BV7" s="58">
        <f t="shared" si="17"/>
        <v>12</v>
      </c>
      <c r="BW7" s="63">
        <v>0</v>
      </c>
      <c r="BY7" s="60">
        <v>5</v>
      </c>
      <c r="BZ7" s="61">
        <v>0.02</v>
      </c>
      <c r="CA7" s="62">
        <f>+SUM($BZ$3:BZ7)</f>
        <v>0.96999999999999986</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132</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0.08</v>
      </c>
      <c r="W8" s="62">
        <f>+SUM($V$3:V8)</f>
        <v>0.92999999999999994</v>
      </c>
      <c r="X8" s="58">
        <f t="shared" si="3"/>
        <v>100</v>
      </c>
      <c r="Y8" s="58">
        <f t="shared" si="4"/>
        <v>8</v>
      </c>
      <c r="Z8" s="63">
        <v>0</v>
      </c>
      <c r="AB8" s="60">
        <v>6</v>
      </c>
      <c r="AC8" s="61">
        <v>0.02</v>
      </c>
      <c r="AD8" s="62">
        <f>+SUM($AC$3:AC8)</f>
        <v>0.99</v>
      </c>
      <c r="AE8" s="58">
        <f t="shared" si="5"/>
        <v>100</v>
      </c>
      <c r="AF8" s="58">
        <f t="shared" si="6"/>
        <v>2</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0.13</v>
      </c>
      <c r="BF8" s="62">
        <f>+SUM($BE$3:BE8)</f>
        <v>0.9</v>
      </c>
      <c r="BG8" s="58">
        <f t="shared" si="12"/>
        <v>100</v>
      </c>
      <c r="BH8" s="58">
        <f t="shared" si="13"/>
        <v>13</v>
      </c>
      <c r="BI8" s="63">
        <v>0</v>
      </c>
      <c r="BK8" s="60">
        <v>6</v>
      </c>
      <c r="BL8" s="61">
        <v>0.1</v>
      </c>
      <c r="BM8" s="62">
        <f>+SUM($BL$3:BL8)</f>
        <v>0.94</v>
      </c>
      <c r="BN8" s="58">
        <f t="shared" si="14"/>
        <v>100</v>
      </c>
      <c r="BO8" s="58">
        <f t="shared" si="15"/>
        <v>10</v>
      </c>
      <c r="BP8" s="63">
        <v>0</v>
      </c>
      <c r="BR8" s="60">
        <v>6</v>
      </c>
      <c r="BS8" s="61">
        <v>0.11</v>
      </c>
      <c r="BT8" s="62">
        <f>+SUM($BS$3:BS8)</f>
        <v>0.91</v>
      </c>
      <c r="BU8" s="58">
        <f t="shared" si="16"/>
        <v>100</v>
      </c>
      <c r="BV8" s="58">
        <f t="shared" si="17"/>
        <v>11</v>
      </c>
      <c r="BW8" s="63">
        <v>0</v>
      </c>
      <c r="BY8" s="60">
        <v>6</v>
      </c>
      <c r="BZ8" s="61">
        <v>0.02</v>
      </c>
      <c r="CA8" s="62">
        <f>+SUM($BZ$3:BZ8)</f>
        <v>0.98999999999999988</v>
      </c>
      <c r="CB8" s="58">
        <f t="shared" si="18"/>
        <v>100</v>
      </c>
      <c r="CC8" s="58">
        <f t="shared" si="19"/>
        <v>2</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133</v>
      </c>
      <c r="B9" s="75">
        <f t="shared" si="34"/>
        <v>0.19083969465648856</v>
      </c>
      <c r="C9" s="3">
        <v>0</v>
      </c>
      <c r="D9" s="64">
        <f>+BA10</f>
        <v>52.4</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7.0000000000000062E-2</v>
      </c>
      <c r="W9" s="62">
        <f>+SUM($V$3:V9)</f>
        <v>1</v>
      </c>
      <c r="X9" s="58">
        <f t="shared" si="3"/>
        <v>200</v>
      </c>
      <c r="Y9" s="58">
        <f t="shared" si="4"/>
        <v>14.000000000000012</v>
      </c>
      <c r="Z9" s="63">
        <v>0</v>
      </c>
      <c r="AB9" s="60">
        <v>7</v>
      </c>
      <c r="AC9" s="66">
        <f>1-SUM(AC3:AC8)</f>
        <v>1.0000000000000009E-2</v>
      </c>
      <c r="AD9" s="62">
        <f>+SUM($AC$3:AC9)</f>
        <v>1</v>
      </c>
      <c r="AE9" s="58">
        <f t="shared" si="5"/>
        <v>200</v>
      </c>
      <c r="AF9" s="58">
        <f t="shared" si="6"/>
        <v>2.0000000000000018</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9.9999999999999978E-2</v>
      </c>
      <c r="BF9" s="62">
        <f>+SUM($BE$3:BE9)</f>
        <v>1</v>
      </c>
      <c r="BG9" s="58">
        <f t="shared" si="12"/>
        <v>200</v>
      </c>
      <c r="BH9" s="58">
        <f t="shared" si="13"/>
        <v>19.999999999999996</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1.000000000000012E-2</v>
      </c>
      <c r="CA9" s="62">
        <f>+SUM($BZ$3:BZ9)</f>
        <v>1</v>
      </c>
      <c r="CB9" s="58">
        <f t="shared" si="18"/>
        <v>200</v>
      </c>
      <c r="CC9" s="58">
        <f t="shared" si="19"/>
        <v>2.000000000000024</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134</v>
      </c>
      <c r="B10" s="75">
        <f t="shared" si="34"/>
        <v>0.17501988862370726</v>
      </c>
      <c r="C10" s="3">
        <v>0</v>
      </c>
      <c r="D10" s="64">
        <f>+BH10</f>
        <v>62.849999999999994</v>
      </c>
      <c r="E10" s="3">
        <v>11</v>
      </c>
      <c r="G10" s="50" t="s">
        <v>70</v>
      </c>
      <c r="H10" s="50">
        <f>+SUM(H3:H9)</f>
        <v>1</v>
      </c>
      <c r="I10" s="50"/>
      <c r="J10" s="50"/>
      <c r="K10" s="51">
        <f>+SUM(K3:K9)</f>
        <v>15.224999999999978</v>
      </c>
      <c r="L10" s="51"/>
      <c r="N10" s="50" t="s">
        <v>70</v>
      </c>
      <c r="O10" s="50">
        <f>+SUM(O3:O9)</f>
        <v>1</v>
      </c>
      <c r="P10" s="50"/>
      <c r="Q10" s="50"/>
      <c r="R10" s="51">
        <f>+SUM(R3:R9)</f>
        <v>37.849999999999994</v>
      </c>
      <c r="S10" s="51"/>
      <c r="U10" s="50" t="s">
        <v>70</v>
      </c>
      <c r="V10" s="50">
        <f>+SUM(V3:V9)</f>
        <v>1</v>
      </c>
      <c r="W10" s="50"/>
      <c r="X10" s="50"/>
      <c r="Y10" s="51">
        <f>+SUM(Y3:Y9)</f>
        <v>46.250000000000014</v>
      </c>
      <c r="Z10" s="51"/>
      <c r="AB10" s="50" t="s">
        <v>70</v>
      </c>
      <c r="AC10" s="50">
        <f>+SUM(AC3:AC9)</f>
        <v>1</v>
      </c>
      <c r="AD10" s="50"/>
      <c r="AE10" s="50"/>
      <c r="AF10" s="51">
        <f>+SUM(AF3:AF9)</f>
        <v>51.7</v>
      </c>
      <c r="AG10" s="51"/>
      <c r="AI10" s="50" t="s">
        <v>70</v>
      </c>
      <c r="AJ10" s="50">
        <f>+SUM(AJ3:AJ9)</f>
        <v>1</v>
      </c>
      <c r="AK10" s="50"/>
      <c r="AL10" s="50"/>
      <c r="AM10" s="51">
        <f>+SUM(AM3:AM9)</f>
        <v>104.25</v>
      </c>
      <c r="AN10" s="51"/>
      <c r="AP10" s="50" t="s">
        <v>70</v>
      </c>
      <c r="AQ10" s="50">
        <f>+SUM(AQ3:AQ9)</f>
        <v>1</v>
      </c>
      <c r="AR10" s="50"/>
      <c r="AS10" s="50"/>
      <c r="AT10" s="51">
        <f>+SUM(AT3:AT9)</f>
        <v>21.25</v>
      </c>
      <c r="AU10" s="51"/>
      <c r="AW10" s="50" t="s">
        <v>70</v>
      </c>
      <c r="AX10" s="50">
        <f>+SUM(AX3:AX9)</f>
        <v>1</v>
      </c>
      <c r="AY10" s="50"/>
      <c r="AZ10" s="50"/>
      <c r="BA10" s="51">
        <f>+SUM(BA3:BA9)</f>
        <v>52.4</v>
      </c>
      <c r="BB10" s="51"/>
      <c r="BD10" s="50" t="s">
        <v>70</v>
      </c>
      <c r="BE10" s="50">
        <f>+SUM(BE3:BE9)</f>
        <v>1</v>
      </c>
      <c r="BF10" s="50"/>
      <c r="BG10" s="50"/>
      <c r="BH10" s="51">
        <f>+SUM(BH3:BH9)</f>
        <v>62.849999999999994</v>
      </c>
      <c r="BI10" s="51"/>
      <c r="BK10" s="50" t="s">
        <v>70</v>
      </c>
      <c r="BL10" s="50">
        <f>+SUM(BL3:BL9)</f>
        <v>1</v>
      </c>
      <c r="BM10" s="50"/>
      <c r="BN10" s="50"/>
      <c r="BO10" s="51">
        <f>+SUM(BO3:BO9)</f>
        <v>56.350000000000009</v>
      </c>
      <c r="BP10" s="51"/>
      <c r="BR10" s="50" t="s">
        <v>70</v>
      </c>
      <c r="BS10" s="50">
        <f>+SUM(BS3:BS9)</f>
        <v>1</v>
      </c>
      <c r="BT10" s="50"/>
      <c r="BU10" s="50"/>
      <c r="BV10" s="51">
        <f>+SUM(BV3:BV9)</f>
        <v>57.399999999999991</v>
      </c>
      <c r="BW10" s="51"/>
      <c r="BY10" s="50" t="s">
        <v>70</v>
      </c>
      <c r="BZ10" s="50">
        <f>+SUM(BZ3:BZ9)</f>
        <v>1</v>
      </c>
      <c r="CA10" s="50"/>
      <c r="CB10" s="50"/>
      <c r="CC10" s="51">
        <f>+SUM(CC3:CC9)</f>
        <v>21.500000000000025</v>
      </c>
      <c r="CD10" s="51"/>
      <c r="CF10" s="50" t="s">
        <v>70</v>
      </c>
      <c r="CG10" s="50">
        <f>+SUM(CG3:CG9)</f>
        <v>1</v>
      </c>
      <c r="CH10" s="50"/>
      <c r="CI10" s="50"/>
      <c r="CJ10" s="51">
        <f>+SUM(CJ3:CJ9)</f>
        <v>100</v>
      </c>
      <c r="CK10" s="51"/>
      <c r="CM10" s="50" t="s">
        <v>70</v>
      </c>
      <c r="CN10" s="50">
        <f>+SUM(CN3:CN9)</f>
        <v>1</v>
      </c>
      <c r="CO10" s="50"/>
      <c r="CP10" s="50"/>
      <c r="CQ10" s="51">
        <f>+SUM(CQ3:CQ9)</f>
        <v>15.224999999999978</v>
      </c>
      <c r="CR10" s="51"/>
      <c r="CT10" s="50" t="s">
        <v>70</v>
      </c>
      <c r="CU10" s="50">
        <f>+SUM(CU3:CU9)</f>
        <v>1</v>
      </c>
      <c r="CV10" s="50"/>
      <c r="CW10" s="50"/>
      <c r="CX10" s="51">
        <f>+SUM(CX3:CX9)</f>
        <v>30.449999999999957</v>
      </c>
      <c r="CY10" s="51"/>
      <c r="DA10" s="50" t="s">
        <v>70</v>
      </c>
      <c r="DB10" s="50">
        <f>+SUM(DB3:DB9)</f>
        <v>1</v>
      </c>
      <c r="DC10" s="50"/>
      <c r="DD10" s="50"/>
      <c r="DE10" s="51">
        <f>+SUM(DE3:DE9)</f>
        <v>116</v>
      </c>
      <c r="DF10" s="51"/>
    </row>
    <row r="11" spans="1:110">
      <c r="A11" s="75" t="s">
        <v>135</v>
      </c>
      <c r="B11" s="75">
        <f t="shared" si="34"/>
        <v>0.19520851818988463</v>
      </c>
      <c r="C11" s="3">
        <v>0</v>
      </c>
      <c r="D11" s="64">
        <f>+BO10</f>
        <v>56.350000000000009</v>
      </c>
      <c r="E11" s="3">
        <v>11</v>
      </c>
    </row>
    <row r="12" spans="1:110">
      <c r="A12" s="75" t="s">
        <v>136</v>
      </c>
      <c r="B12" s="75">
        <f t="shared" si="34"/>
        <v>0.1742160278745645</v>
      </c>
      <c r="C12" s="3">
        <v>0</v>
      </c>
      <c r="D12" s="64">
        <f>+BV10</f>
        <v>57.399999999999991</v>
      </c>
      <c r="E12" s="3">
        <v>10</v>
      </c>
    </row>
    <row r="13" spans="1:110">
      <c r="A13" s="85" t="s">
        <v>164</v>
      </c>
      <c r="B13" s="58">
        <f>+E13/D13</f>
        <v>8.6042692939244783E-2</v>
      </c>
      <c r="C13" s="3">
        <f>1/B13/Summary!$C$7</f>
        <v>1.1622137404580136E-2</v>
      </c>
      <c r="D13" s="86">
        <f>+CQ10</f>
        <v>15.224999999999978</v>
      </c>
      <c r="E13" s="3">
        <f>+E3*2</f>
        <v>1.31</v>
      </c>
    </row>
    <row r="14" spans="1:110">
      <c r="A14" s="85" t="s">
        <v>165</v>
      </c>
      <c r="B14" s="58">
        <f>+E14/D14</f>
        <v>4.3021346469622392E-2</v>
      </c>
      <c r="C14" s="3">
        <f>1/B14/Summary!$C$7</f>
        <v>2.3244274809160272E-2</v>
      </c>
      <c r="D14" s="86">
        <f>+CX10</f>
        <v>30.449999999999957</v>
      </c>
      <c r="E14" s="3">
        <f>+E13</f>
        <v>1.31</v>
      </c>
    </row>
    <row r="15" spans="1:110">
      <c r="A15" s="75" t="s">
        <v>163</v>
      </c>
      <c r="B15" s="58">
        <f>+E15/D15</f>
        <v>0.17241379310344829</v>
      </c>
      <c r="C15" s="3">
        <v>0</v>
      </c>
      <c r="D15" s="86">
        <f>+DE10</f>
        <v>116</v>
      </c>
      <c r="E15" s="3">
        <v>20</v>
      </c>
    </row>
    <row r="16" spans="1:110">
      <c r="A16" s="3" t="s">
        <v>116</v>
      </c>
      <c r="B16" s="58">
        <f>+E16/D16</f>
        <v>0.5</v>
      </c>
      <c r="C16" s="3">
        <v>0</v>
      </c>
      <c r="D16" s="64">
        <f>+CJ10</f>
        <v>100</v>
      </c>
      <c r="E16" s="3">
        <v>50</v>
      </c>
    </row>
    <row r="17" spans="1:2">
      <c r="A17" s="3" t="s">
        <v>117</v>
      </c>
      <c r="B17" s="65" t="str">
        <f>+CONCATENATE("x",J3," - x",J9)</f>
        <v>x10 - x200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02" operator="lessThan">
      <formula>0</formula>
    </cfRule>
    <cfRule type="cellIs" priority="103" operator="greaterThan">
      <formula>1</formula>
    </cfRule>
  </conditionalFormatting>
  <conditionalFormatting sqref="AJ3:AJ9 AQ3:AQ9 AX3:AX9 BZ3:BZ9 BE3:BE9 BL3:BL9 BS3:BS9 H3:H9 O3:O9 V3:V9 AC3:AC9 CG3:CG9 CN3:CN9 CU3:CU9 DB3:DB9">
    <cfRule type="cellIs" priority="101" operator="equal">
      <formula>0</formula>
    </cfRule>
  </conditionalFormatting>
  <conditionalFormatting sqref="B3:B16">
    <cfRule type="cellIs" priority="99" operator="greaterThan">
      <formula>1</formula>
    </cfRule>
    <cfRule type="cellIs" priority="100"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6.xml><?xml version="1.0" encoding="utf-8"?>
<worksheet xmlns="http://schemas.openxmlformats.org/spreadsheetml/2006/main" xmlns:r="http://schemas.openxmlformats.org/officeDocument/2006/relationships">
  <sheetPr codeName="Hoja42"/>
  <dimension ref="A1:DF19"/>
  <sheetViews>
    <sheetView workbookViewId="0">
      <pane xSplit="6" ySplit="1" topLeftCell="DA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122</v>
      </c>
      <c r="G1" s="103" t="s">
        <v>103</v>
      </c>
      <c r="H1" s="104"/>
      <c r="I1" s="104"/>
      <c r="J1" s="104"/>
      <c r="K1" s="104"/>
      <c r="L1" s="104"/>
      <c r="N1" s="103" t="s">
        <v>104</v>
      </c>
      <c r="O1" s="104"/>
      <c r="P1" s="104"/>
      <c r="Q1" s="104"/>
      <c r="R1" s="104"/>
      <c r="S1" s="104"/>
      <c r="U1" s="103" t="s">
        <v>105</v>
      </c>
      <c r="V1" s="104"/>
      <c r="W1" s="104"/>
      <c r="X1" s="104"/>
      <c r="Y1" s="104"/>
      <c r="Z1" s="104"/>
      <c r="AB1" s="103" t="s">
        <v>106</v>
      </c>
      <c r="AC1" s="104"/>
      <c r="AD1" s="104"/>
      <c r="AE1" s="104"/>
      <c r="AF1" s="104"/>
      <c r="AG1" s="104"/>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0.05</v>
      </c>
      <c r="W3" s="62">
        <f>+SUM($V3:V$3)</f>
        <v>0.05</v>
      </c>
      <c r="X3" s="58">
        <f t="shared" ref="X3:X9" si="3">+J3</f>
        <v>10</v>
      </c>
      <c r="Y3" s="58">
        <f t="shared" ref="Y3:Y9" si="4">+V3*X3</f>
        <v>0.5</v>
      </c>
      <c r="Z3" s="63">
        <v>0</v>
      </c>
      <c r="AB3" s="60">
        <v>1</v>
      </c>
      <c r="AC3" s="61">
        <v>0.03</v>
      </c>
      <c r="AD3" s="62">
        <f>+SUM($AC$3:AC3)</f>
        <v>0.03</v>
      </c>
      <c r="AE3" s="58">
        <f t="shared" ref="AE3:AE9" si="5">+J3</f>
        <v>10</v>
      </c>
      <c r="AF3" s="58">
        <f t="shared" ref="AF3:AF9" si="6">+AC3*AE3</f>
        <v>0.3</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0.02</v>
      </c>
      <c r="AY3" s="62">
        <f>+SUM($AX$3:AX3)</f>
        <v>0.02</v>
      </c>
      <c r="AZ3" s="58">
        <f t="shared" ref="AZ3:AZ9" si="10">+AE3</f>
        <v>10</v>
      </c>
      <c r="BA3" s="58">
        <f t="shared" ref="BA3:BA9" si="11">+AX3*AZ3</f>
        <v>0.2</v>
      </c>
      <c r="BB3" s="63">
        <v>0</v>
      </c>
      <c r="BD3" s="60">
        <v>1</v>
      </c>
      <c r="BE3" s="61">
        <v>0.03</v>
      </c>
      <c r="BF3" s="62">
        <f>+SUM($BE$3:BE3)</f>
        <v>0.03</v>
      </c>
      <c r="BG3" s="58">
        <f t="shared" ref="BG3:BG9" si="12">+AL3</f>
        <v>10</v>
      </c>
      <c r="BH3" s="58">
        <f t="shared" ref="BH3:BH9" si="13">+BE3*BG3</f>
        <v>0.3</v>
      </c>
      <c r="BI3" s="63">
        <v>0</v>
      </c>
      <c r="BK3" s="60">
        <v>1</v>
      </c>
      <c r="BL3" s="61">
        <v>0.06</v>
      </c>
      <c r="BM3" s="62">
        <f>+SUM($BL$3:BL3)</f>
        <v>0.06</v>
      </c>
      <c r="BN3" s="58">
        <f t="shared" ref="BN3:BN9" si="14">+AS3</f>
        <v>10</v>
      </c>
      <c r="BO3" s="58">
        <f t="shared" ref="BO3:BO9" si="15">+BL3*BN3</f>
        <v>0.6</v>
      </c>
      <c r="BP3" s="63">
        <v>0</v>
      </c>
      <c r="BR3" s="60">
        <v>1</v>
      </c>
      <c r="BS3" s="61">
        <v>0.08</v>
      </c>
      <c r="BT3" s="62">
        <f>+SUM($BS$3:BS3)</f>
        <v>0.08</v>
      </c>
      <c r="BU3" s="58">
        <f t="shared" ref="BU3:BU9" si="16">+AZ3</f>
        <v>10</v>
      </c>
      <c r="BV3" s="58">
        <f t="shared" ref="BV3:BV9" si="17">+BS3*BU3</f>
        <v>0.8</v>
      </c>
      <c r="BW3" s="63">
        <v>0</v>
      </c>
      <c r="BY3" s="60">
        <v>1</v>
      </c>
      <c r="BZ3" s="61">
        <v>0.34</v>
      </c>
      <c r="CA3" s="62">
        <f>+SUM($BZ$3:BZ3)</f>
        <v>0.34</v>
      </c>
      <c r="CB3" s="58">
        <f t="shared" ref="CB3:CB9" si="18">+BG3</f>
        <v>10</v>
      </c>
      <c r="CC3" s="58">
        <f t="shared" ref="CC3:CC9" si="19">+BZ3*CB3</f>
        <v>3.4000000000000004</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113</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0.3</v>
      </c>
      <c r="W4" s="62">
        <f>+SUM($V$3:V4)</f>
        <v>0.35</v>
      </c>
      <c r="X4" s="58">
        <f t="shared" si="3"/>
        <v>15</v>
      </c>
      <c r="Y4" s="58">
        <f t="shared" si="4"/>
        <v>4.5</v>
      </c>
      <c r="Z4" s="63">
        <v>0</v>
      </c>
      <c r="AB4" s="60">
        <v>2</v>
      </c>
      <c r="AC4" s="61">
        <v>0.05</v>
      </c>
      <c r="AD4" s="62">
        <f>+SUM($AC$3:AC4)</f>
        <v>0.08</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0.06</v>
      </c>
      <c r="AY4" s="62">
        <f>+SUM($AX$3:AX4)</f>
        <v>0.08</v>
      </c>
      <c r="AZ4" s="58">
        <f t="shared" si="10"/>
        <v>15</v>
      </c>
      <c r="BA4" s="58">
        <f t="shared" si="11"/>
        <v>0.89999999999999991</v>
      </c>
      <c r="BB4" s="63">
        <v>0</v>
      </c>
      <c r="BD4" s="60">
        <v>2</v>
      </c>
      <c r="BE4" s="61">
        <v>0.1</v>
      </c>
      <c r="BF4" s="62">
        <f>+SUM($BE$3:BE4)</f>
        <v>0.13</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0.18</v>
      </c>
      <c r="BU4" s="58">
        <f t="shared" si="16"/>
        <v>15</v>
      </c>
      <c r="BV4" s="58">
        <f t="shared" si="17"/>
        <v>1.5</v>
      </c>
      <c r="BW4" s="63">
        <v>0</v>
      </c>
      <c r="BY4" s="60">
        <v>2</v>
      </c>
      <c r="BZ4" s="61">
        <v>0.3</v>
      </c>
      <c r="CA4" s="62">
        <f>+SUM($BZ$3:BZ4)</f>
        <v>0.64</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114</v>
      </c>
      <c r="B5" s="58">
        <f>+E5/D5</f>
        <v>0.17167381974248924</v>
      </c>
      <c r="C5" s="3">
        <v>0</v>
      </c>
      <c r="D5" s="64">
        <f>+Y10</f>
        <v>46.600000000000009</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0.18</v>
      </c>
      <c r="W5" s="62">
        <f>+SUM($V$3:V5)</f>
        <v>0.53</v>
      </c>
      <c r="X5" s="58">
        <f t="shared" si="3"/>
        <v>20</v>
      </c>
      <c r="Y5" s="58">
        <f t="shared" si="4"/>
        <v>3.5999999999999996</v>
      </c>
      <c r="Z5" s="63">
        <v>0</v>
      </c>
      <c r="AB5" s="60">
        <v>3</v>
      </c>
      <c r="AC5" s="61">
        <v>0.23</v>
      </c>
      <c r="AD5" s="62">
        <f>+SUM($AC$3:AC5)</f>
        <v>0.31</v>
      </c>
      <c r="AE5" s="58">
        <f t="shared" si="5"/>
        <v>20</v>
      </c>
      <c r="AF5" s="58">
        <f t="shared" si="6"/>
        <v>4.6000000000000005</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0.21</v>
      </c>
      <c r="BF5" s="62">
        <f>+SUM($BE$3:BE5)</f>
        <v>0.33999999999999997</v>
      </c>
      <c r="BG5" s="58">
        <f t="shared" si="12"/>
        <v>20</v>
      </c>
      <c r="BH5" s="58">
        <f t="shared" si="13"/>
        <v>4.2</v>
      </c>
      <c r="BI5" s="63">
        <v>0</v>
      </c>
      <c r="BK5" s="60">
        <v>3</v>
      </c>
      <c r="BL5" s="61">
        <v>0.15</v>
      </c>
      <c r="BM5" s="62">
        <f>+SUM($BL$3:BL5)</f>
        <v>0.31</v>
      </c>
      <c r="BN5" s="58">
        <f t="shared" si="14"/>
        <v>20</v>
      </c>
      <c r="BO5" s="58">
        <f t="shared" si="15"/>
        <v>3</v>
      </c>
      <c r="BP5" s="63">
        <v>0</v>
      </c>
      <c r="BR5" s="60">
        <v>3</v>
      </c>
      <c r="BS5" s="61">
        <v>0.2</v>
      </c>
      <c r="BT5" s="62">
        <f>+SUM($BS$3:BS5)</f>
        <v>0.38</v>
      </c>
      <c r="BU5" s="58">
        <f t="shared" si="16"/>
        <v>20</v>
      </c>
      <c r="BV5" s="58">
        <f t="shared" si="17"/>
        <v>4</v>
      </c>
      <c r="BW5" s="63">
        <v>0</v>
      </c>
      <c r="BY5" s="60">
        <v>3</v>
      </c>
      <c r="BZ5" s="61">
        <v>0.2</v>
      </c>
      <c r="CA5" s="62">
        <f>+SUM($BZ$3:BZ5)</f>
        <v>0.84000000000000008</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115</v>
      </c>
      <c r="B6" s="75">
        <f>+E6/D6</f>
        <v>0.19286403085824502</v>
      </c>
      <c r="C6" s="3">
        <v>0</v>
      </c>
      <c r="D6" s="64">
        <f>+AF10</f>
        <v>51.84999999999998</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0.73</v>
      </c>
      <c r="X6" s="58">
        <f t="shared" si="3"/>
        <v>40</v>
      </c>
      <c r="Y6" s="58">
        <f t="shared" si="4"/>
        <v>8</v>
      </c>
      <c r="Z6" s="63">
        <v>0</v>
      </c>
      <c r="AB6" s="60">
        <v>4</v>
      </c>
      <c r="AC6" s="61">
        <v>0.23</v>
      </c>
      <c r="AD6" s="62">
        <f>+SUM($AC$3:AC6)</f>
        <v>0.54</v>
      </c>
      <c r="AE6" s="58">
        <f t="shared" si="5"/>
        <v>40</v>
      </c>
      <c r="AF6" s="58">
        <f t="shared" si="6"/>
        <v>9.2000000000000011</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0.21</v>
      </c>
      <c r="BF6" s="62">
        <f>+SUM($BE$3:BE6)</f>
        <v>0.54999999999999993</v>
      </c>
      <c r="BG6" s="58">
        <f t="shared" si="12"/>
        <v>40</v>
      </c>
      <c r="BH6" s="58">
        <f t="shared" si="13"/>
        <v>8.4</v>
      </c>
      <c r="BI6" s="63">
        <v>0</v>
      </c>
      <c r="BK6" s="60">
        <v>4</v>
      </c>
      <c r="BL6" s="61">
        <v>0.3</v>
      </c>
      <c r="BM6" s="62">
        <f>+SUM($BL$3:BL6)</f>
        <v>0.61</v>
      </c>
      <c r="BN6" s="58">
        <f t="shared" si="14"/>
        <v>40</v>
      </c>
      <c r="BO6" s="58">
        <f t="shared" si="15"/>
        <v>12</v>
      </c>
      <c r="BP6" s="63">
        <v>0</v>
      </c>
      <c r="BR6" s="60">
        <v>4</v>
      </c>
      <c r="BS6" s="61">
        <v>0.25</v>
      </c>
      <c r="BT6" s="62">
        <f>+SUM($BS$3:BS6)</f>
        <v>0.63</v>
      </c>
      <c r="BU6" s="58">
        <f t="shared" si="16"/>
        <v>40</v>
      </c>
      <c r="BV6" s="58">
        <f t="shared" si="17"/>
        <v>10</v>
      </c>
      <c r="BW6" s="63">
        <v>0</v>
      </c>
      <c r="BY6" s="60">
        <v>4</v>
      </c>
      <c r="BZ6" s="61">
        <v>0.1</v>
      </c>
      <c r="CA6" s="62">
        <f>+SUM($BZ$3:BZ6)</f>
        <v>0.94000000000000006</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131</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0.12</v>
      </c>
      <c r="W7" s="62">
        <f>+SUM($V$3:V7)</f>
        <v>0.85</v>
      </c>
      <c r="X7" s="58">
        <f t="shared" si="3"/>
        <v>75</v>
      </c>
      <c r="Y7" s="58">
        <f t="shared" si="4"/>
        <v>9</v>
      </c>
      <c r="Z7" s="63">
        <v>0</v>
      </c>
      <c r="AB7" s="60">
        <v>5</v>
      </c>
      <c r="AC7" s="61">
        <v>0.4</v>
      </c>
      <c r="AD7" s="62">
        <f>+SUM($AC$3:AC7)</f>
        <v>0.94000000000000006</v>
      </c>
      <c r="AE7" s="58">
        <f t="shared" si="5"/>
        <v>75</v>
      </c>
      <c r="AF7" s="58">
        <f t="shared" si="6"/>
        <v>30</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0.7599999999999999</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0.79</v>
      </c>
      <c r="BU7" s="58">
        <f t="shared" si="16"/>
        <v>75</v>
      </c>
      <c r="BV7" s="58">
        <f t="shared" si="17"/>
        <v>12</v>
      </c>
      <c r="BW7" s="63">
        <v>0</v>
      </c>
      <c r="BY7" s="60">
        <v>5</v>
      </c>
      <c r="BZ7" s="61">
        <v>0.02</v>
      </c>
      <c r="CA7" s="62">
        <f>+SUM($BZ$3:BZ7)</f>
        <v>0.96000000000000008</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132</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0.09</v>
      </c>
      <c r="W8" s="62">
        <f>+SUM($V$3:V8)</f>
        <v>0.94</v>
      </c>
      <c r="X8" s="58">
        <f t="shared" si="3"/>
        <v>100</v>
      </c>
      <c r="Y8" s="58">
        <f t="shared" si="4"/>
        <v>9</v>
      </c>
      <c r="Z8" s="63">
        <v>0</v>
      </c>
      <c r="AB8" s="60">
        <v>6</v>
      </c>
      <c r="AC8" s="61">
        <v>0.05</v>
      </c>
      <c r="AD8" s="62">
        <f>+SUM($AC$3:AC8)</f>
        <v>0.9900000000000001</v>
      </c>
      <c r="AE8" s="58">
        <f t="shared" si="5"/>
        <v>100</v>
      </c>
      <c r="AF8" s="58">
        <f t="shared" si="6"/>
        <v>5</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0.14000000000000001</v>
      </c>
      <c r="BF8" s="62">
        <f>+SUM($BE$3:BE8)</f>
        <v>0.89999999999999991</v>
      </c>
      <c r="BG8" s="58">
        <f t="shared" si="12"/>
        <v>100</v>
      </c>
      <c r="BH8" s="58">
        <f t="shared" si="13"/>
        <v>14.000000000000002</v>
      </c>
      <c r="BI8" s="63">
        <v>0</v>
      </c>
      <c r="BK8" s="60">
        <v>6</v>
      </c>
      <c r="BL8" s="61">
        <v>0.1</v>
      </c>
      <c r="BM8" s="62">
        <f>+SUM($BL$3:BL8)</f>
        <v>0.94</v>
      </c>
      <c r="BN8" s="58">
        <f t="shared" si="14"/>
        <v>100</v>
      </c>
      <c r="BO8" s="58">
        <f t="shared" si="15"/>
        <v>10</v>
      </c>
      <c r="BP8" s="63">
        <v>0</v>
      </c>
      <c r="BR8" s="60">
        <v>6</v>
      </c>
      <c r="BS8" s="61">
        <v>0.12</v>
      </c>
      <c r="BT8" s="62">
        <f>+SUM($BS$3:BS8)</f>
        <v>0.91</v>
      </c>
      <c r="BU8" s="58">
        <f t="shared" si="16"/>
        <v>100</v>
      </c>
      <c r="BV8" s="58">
        <f t="shared" si="17"/>
        <v>12</v>
      </c>
      <c r="BW8" s="63">
        <v>0</v>
      </c>
      <c r="BY8" s="60">
        <v>6</v>
      </c>
      <c r="BZ8" s="61">
        <v>0.03</v>
      </c>
      <c r="CA8" s="62">
        <f>+SUM($BZ$3:BZ8)</f>
        <v>0.9900000000000001</v>
      </c>
      <c r="CB8" s="58">
        <f t="shared" si="18"/>
        <v>100</v>
      </c>
      <c r="CC8" s="58">
        <f t="shared" si="19"/>
        <v>3</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133</v>
      </c>
      <c r="B9" s="75">
        <f t="shared" si="34"/>
        <v>0.19102196752626552</v>
      </c>
      <c r="C9" s="3">
        <v>0</v>
      </c>
      <c r="D9" s="64">
        <f>+BA10</f>
        <v>52.35</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6.0000000000000053E-2</v>
      </c>
      <c r="W9" s="62">
        <f>+SUM($V$3:V9)</f>
        <v>1</v>
      </c>
      <c r="X9" s="58">
        <f t="shared" si="3"/>
        <v>200</v>
      </c>
      <c r="Y9" s="58">
        <f t="shared" si="4"/>
        <v>12.000000000000011</v>
      </c>
      <c r="Z9" s="63">
        <v>0</v>
      </c>
      <c r="AB9" s="60">
        <v>7</v>
      </c>
      <c r="AC9" s="66">
        <f>1-SUM(AC3:AC8)</f>
        <v>9.9999999999998979E-3</v>
      </c>
      <c r="AD9" s="62">
        <f>+SUM($AC$3:AC9)</f>
        <v>1</v>
      </c>
      <c r="AE9" s="58">
        <f t="shared" si="5"/>
        <v>200</v>
      </c>
      <c r="AF9" s="58">
        <f t="shared" si="6"/>
        <v>1.9999999999999796</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0.10000000000000009</v>
      </c>
      <c r="BF9" s="62">
        <f>+SUM($BE$3:BE9)</f>
        <v>1</v>
      </c>
      <c r="BG9" s="58">
        <f t="shared" si="12"/>
        <v>200</v>
      </c>
      <c r="BH9" s="58">
        <f t="shared" si="13"/>
        <v>20.000000000000018</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9.9999999999998979E-3</v>
      </c>
      <c r="CA9" s="62">
        <f>+SUM($BZ$3:BZ9)</f>
        <v>1</v>
      </c>
      <c r="CB9" s="58">
        <f t="shared" si="18"/>
        <v>200</v>
      </c>
      <c r="CC9" s="58">
        <f t="shared" si="19"/>
        <v>1.9999999999999796</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134</v>
      </c>
      <c r="B10" s="75">
        <f t="shared" si="34"/>
        <v>0.17147310989867492</v>
      </c>
      <c r="C10" s="3">
        <v>0</v>
      </c>
      <c r="D10" s="64">
        <f>+BH10</f>
        <v>64.15000000000002</v>
      </c>
      <c r="E10" s="3">
        <v>11</v>
      </c>
      <c r="G10" s="50" t="s">
        <v>70</v>
      </c>
      <c r="H10" s="50">
        <f>+SUM(H3:H9)</f>
        <v>1</v>
      </c>
      <c r="I10" s="50"/>
      <c r="J10" s="50"/>
      <c r="K10" s="51">
        <f>+SUM(K3:K9)</f>
        <v>15.224999999999978</v>
      </c>
      <c r="L10" s="51"/>
      <c r="N10" s="50" t="s">
        <v>70</v>
      </c>
      <c r="O10" s="50">
        <f>+SUM(O3:O9)</f>
        <v>1</v>
      </c>
      <c r="P10" s="50"/>
      <c r="Q10" s="50"/>
      <c r="R10" s="51">
        <f>+SUM(R3:R9)</f>
        <v>37.849999999999994</v>
      </c>
      <c r="S10" s="51"/>
      <c r="U10" s="50" t="s">
        <v>70</v>
      </c>
      <c r="V10" s="50">
        <f>+SUM(V3:V9)</f>
        <v>1</v>
      </c>
      <c r="W10" s="50"/>
      <c r="X10" s="50"/>
      <c r="Y10" s="51">
        <f>+SUM(Y3:Y9)</f>
        <v>46.600000000000009</v>
      </c>
      <c r="Z10" s="51"/>
      <c r="AB10" s="50" t="s">
        <v>70</v>
      </c>
      <c r="AC10" s="50">
        <f>+SUM(AC3:AC9)</f>
        <v>1</v>
      </c>
      <c r="AD10" s="50"/>
      <c r="AE10" s="50"/>
      <c r="AF10" s="51">
        <f>+SUM(AF3:AF9)</f>
        <v>51.84999999999998</v>
      </c>
      <c r="AG10" s="51"/>
      <c r="AI10" s="50" t="s">
        <v>70</v>
      </c>
      <c r="AJ10" s="50">
        <f>+SUM(AJ3:AJ9)</f>
        <v>1</v>
      </c>
      <c r="AK10" s="50"/>
      <c r="AL10" s="50"/>
      <c r="AM10" s="51">
        <f>+SUM(AM3:AM9)</f>
        <v>104.25</v>
      </c>
      <c r="AN10" s="51"/>
      <c r="AP10" s="50" t="s">
        <v>70</v>
      </c>
      <c r="AQ10" s="50">
        <f>+SUM(AQ3:AQ9)</f>
        <v>1</v>
      </c>
      <c r="AR10" s="50"/>
      <c r="AS10" s="50"/>
      <c r="AT10" s="51">
        <f>+SUM(AT3:AT9)</f>
        <v>21.25</v>
      </c>
      <c r="AU10" s="51"/>
      <c r="AW10" s="50" t="s">
        <v>70</v>
      </c>
      <c r="AX10" s="50">
        <f>+SUM(AX3:AX9)</f>
        <v>1</v>
      </c>
      <c r="AY10" s="50"/>
      <c r="AZ10" s="50"/>
      <c r="BA10" s="51">
        <f>+SUM(BA3:BA9)</f>
        <v>52.35</v>
      </c>
      <c r="BB10" s="51"/>
      <c r="BD10" s="50" t="s">
        <v>70</v>
      </c>
      <c r="BE10" s="50">
        <f>+SUM(BE3:BE9)</f>
        <v>1</v>
      </c>
      <c r="BF10" s="50"/>
      <c r="BG10" s="50"/>
      <c r="BH10" s="51">
        <f>+SUM(BH3:BH9)</f>
        <v>64.15000000000002</v>
      </c>
      <c r="BI10" s="51"/>
      <c r="BK10" s="50" t="s">
        <v>70</v>
      </c>
      <c r="BL10" s="50">
        <f>+SUM(BL3:BL9)</f>
        <v>1</v>
      </c>
      <c r="BM10" s="50"/>
      <c r="BN10" s="50"/>
      <c r="BO10" s="51">
        <f>+SUM(BO3:BO9)</f>
        <v>56.350000000000009</v>
      </c>
      <c r="BP10" s="51"/>
      <c r="BR10" s="50" t="s">
        <v>70</v>
      </c>
      <c r="BS10" s="50">
        <f>+SUM(BS3:BS9)</f>
        <v>1</v>
      </c>
      <c r="BT10" s="50"/>
      <c r="BU10" s="50"/>
      <c r="BV10" s="51">
        <f>+SUM(BV3:BV9)</f>
        <v>58.29999999999999</v>
      </c>
      <c r="BW10" s="51"/>
      <c r="BY10" s="50" t="s">
        <v>70</v>
      </c>
      <c r="BZ10" s="50">
        <f>+SUM(BZ3:BZ9)</f>
        <v>1</v>
      </c>
      <c r="CA10" s="50"/>
      <c r="CB10" s="50"/>
      <c r="CC10" s="51">
        <f>+SUM(CC3:CC9)</f>
        <v>22.399999999999977</v>
      </c>
      <c r="CD10" s="51"/>
      <c r="CF10" s="50" t="s">
        <v>70</v>
      </c>
      <c r="CG10" s="50">
        <f>+SUM(CG3:CG9)</f>
        <v>1</v>
      </c>
      <c r="CH10" s="50"/>
      <c r="CI10" s="50"/>
      <c r="CJ10" s="51">
        <f>+SUM(CJ3:CJ9)</f>
        <v>100</v>
      </c>
      <c r="CK10" s="51"/>
      <c r="CM10" s="50" t="s">
        <v>70</v>
      </c>
      <c r="CN10" s="50">
        <f>+SUM(CN3:CN9)</f>
        <v>1</v>
      </c>
      <c r="CO10" s="50"/>
      <c r="CP10" s="50"/>
      <c r="CQ10" s="51">
        <f>+SUM(CQ3:CQ9)</f>
        <v>15.224999999999978</v>
      </c>
      <c r="CR10" s="51"/>
      <c r="CT10" s="50" t="s">
        <v>70</v>
      </c>
      <c r="CU10" s="50">
        <f>+SUM(CU3:CU9)</f>
        <v>1</v>
      </c>
      <c r="CV10" s="50"/>
      <c r="CW10" s="50"/>
      <c r="CX10" s="51">
        <f>+SUM(CX3:CX9)</f>
        <v>30.449999999999957</v>
      </c>
      <c r="CY10" s="51"/>
      <c r="DA10" s="50" t="s">
        <v>70</v>
      </c>
      <c r="DB10" s="50">
        <f>+SUM(DB3:DB9)</f>
        <v>1</v>
      </c>
      <c r="DC10" s="50"/>
      <c r="DD10" s="50"/>
      <c r="DE10" s="51">
        <f>+SUM(DE3:DE9)</f>
        <v>116</v>
      </c>
      <c r="DF10" s="51"/>
    </row>
    <row r="11" spans="1:110">
      <c r="A11" s="75" t="s">
        <v>135</v>
      </c>
      <c r="B11" s="75">
        <f t="shared" si="34"/>
        <v>0.19520851818988463</v>
      </c>
      <c r="C11" s="3">
        <v>0</v>
      </c>
      <c r="D11" s="64">
        <f>+BO10</f>
        <v>56.350000000000009</v>
      </c>
      <c r="E11" s="3">
        <v>11</v>
      </c>
    </row>
    <row r="12" spans="1:110">
      <c r="A12" s="75" t="s">
        <v>136</v>
      </c>
      <c r="B12" s="75">
        <f t="shared" si="34"/>
        <v>0.17152658662092626</v>
      </c>
      <c r="C12" s="3">
        <v>0</v>
      </c>
      <c r="D12" s="64">
        <f>+BV10</f>
        <v>58.29999999999999</v>
      </c>
      <c r="E12" s="3">
        <v>10</v>
      </c>
    </row>
    <row r="13" spans="1:110">
      <c r="A13" s="85" t="s">
        <v>164</v>
      </c>
      <c r="B13" s="58">
        <f>+E13/D13</f>
        <v>8.6042692939244783E-2</v>
      </c>
      <c r="C13" s="3">
        <f>1/B13/Summary!$C$7</f>
        <v>1.1622137404580136E-2</v>
      </c>
      <c r="D13" s="86">
        <f>+CQ10</f>
        <v>15.224999999999978</v>
      </c>
      <c r="E13" s="3">
        <f>+E3*2</f>
        <v>1.31</v>
      </c>
    </row>
    <row r="14" spans="1:110">
      <c r="A14" s="85" t="s">
        <v>165</v>
      </c>
      <c r="B14" s="58">
        <f>+E14/D14</f>
        <v>4.3021346469622392E-2</v>
      </c>
      <c r="C14" s="3">
        <f>1/B14/Summary!$C$7</f>
        <v>2.3244274809160272E-2</v>
      </c>
      <c r="D14" s="86">
        <f>+CX10</f>
        <v>30.449999999999957</v>
      </c>
      <c r="E14" s="3">
        <f>+E13</f>
        <v>1.31</v>
      </c>
    </row>
    <row r="15" spans="1:110">
      <c r="A15" s="75" t="s">
        <v>163</v>
      </c>
      <c r="B15" s="58">
        <f>+E15/D15</f>
        <v>0.17241379310344829</v>
      </c>
      <c r="C15" s="3">
        <v>0</v>
      </c>
      <c r="D15" s="86">
        <f>+DE10</f>
        <v>116</v>
      </c>
      <c r="E15" s="3">
        <v>20</v>
      </c>
    </row>
    <row r="16" spans="1:110">
      <c r="A16" s="3" t="s">
        <v>116</v>
      </c>
      <c r="B16" s="58">
        <f>+E16/D16</f>
        <v>0.5</v>
      </c>
      <c r="C16" s="3">
        <v>0</v>
      </c>
      <c r="D16" s="64">
        <f>+CJ10</f>
        <v>100</v>
      </c>
      <c r="E16" s="3">
        <v>50</v>
      </c>
    </row>
    <row r="17" spans="1:2">
      <c r="A17" s="3" t="s">
        <v>117</v>
      </c>
      <c r="B17" s="65" t="str">
        <f>+CONCATENATE("x",J3," - x",J9)</f>
        <v>x10 - x200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116" operator="lessThan">
      <formula>0</formula>
    </cfRule>
    <cfRule type="cellIs" priority="117" operator="greaterThan">
      <formula>1</formula>
    </cfRule>
  </conditionalFormatting>
  <conditionalFormatting sqref="AX3:AX9 BZ3:BZ9 BE3:BE9 BL3:BL9 BS3:BS9 H3:H9 O3:O9 V3:V9 AC3:AC9 CG3:CG9 AQ3:AQ9 AJ3:AJ9 CN3:CN9 CU3:CU9 DB3:DB9">
    <cfRule type="cellIs" priority="115" operator="equal">
      <formula>0</formula>
    </cfRule>
  </conditionalFormatting>
  <conditionalFormatting sqref="B3:B16">
    <cfRule type="cellIs" priority="113" operator="greaterThan">
      <formula>1</formula>
    </cfRule>
    <cfRule type="cellIs" priority="114"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7.xml><?xml version="1.0" encoding="utf-8"?>
<worksheet xmlns="http://schemas.openxmlformats.org/spreadsheetml/2006/main" xmlns:r="http://schemas.openxmlformats.org/officeDocument/2006/relationships">
  <sheetPr codeName="Hoja43"/>
  <dimension ref="A1:DF22"/>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123</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3.9696969696969694E-3</v>
      </c>
      <c r="C3" s="3">
        <f>1/B3/Summary!$C$7</f>
        <v>0.25190839694656492</v>
      </c>
      <c r="D3" s="59">
        <f>+K10</f>
        <v>165.00000000000003</v>
      </c>
      <c r="E3" s="3">
        <v>0.65500000000000003</v>
      </c>
      <c r="G3" s="60">
        <v>1</v>
      </c>
      <c r="H3" s="61">
        <v>0.3</v>
      </c>
      <c r="I3" s="62">
        <f>+SUM($H3:H3)</f>
        <v>0.3</v>
      </c>
      <c r="J3" s="50">
        <v>50</v>
      </c>
      <c r="K3" s="58">
        <f t="shared" ref="K3:K9" si="0">+H3*J3</f>
        <v>15</v>
      </c>
      <c r="L3" s="63">
        <v>0</v>
      </c>
      <c r="N3" s="60">
        <v>1</v>
      </c>
      <c r="O3" s="61">
        <v>0.04</v>
      </c>
      <c r="P3" s="62">
        <f>+SUM($O3:O$3)</f>
        <v>0.04</v>
      </c>
      <c r="Q3" s="58">
        <f t="shared" ref="Q3:Q9" si="1">+J3</f>
        <v>50</v>
      </c>
      <c r="R3" s="58">
        <f t="shared" ref="R3:R9" si="2">+O3*Q3</f>
        <v>2</v>
      </c>
      <c r="S3" s="63">
        <v>0</v>
      </c>
      <c r="U3" s="60">
        <v>1</v>
      </c>
      <c r="V3" s="61">
        <v>0.04</v>
      </c>
      <c r="W3" s="62">
        <f>+SUM($V3:V$3)</f>
        <v>0.04</v>
      </c>
      <c r="X3" s="58">
        <f t="shared" ref="X3:X9" si="3">+J3</f>
        <v>50</v>
      </c>
      <c r="Y3" s="58">
        <f t="shared" ref="Y3:Y9" si="4">+V3*X3</f>
        <v>2</v>
      </c>
      <c r="Z3" s="63">
        <v>0</v>
      </c>
      <c r="AB3" s="60">
        <v>1</v>
      </c>
      <c r="AC3" s="61">
        <v>0</v>
      </c>
      <c r="AD3" s="62">
        <f>+SUM($AC$3:AC3)</f>
        <v>0</v>
      </c>
      <c r="AE3" s="58">
        <f t="shared" ref="AE3:AE9" si="5">+J3</f>
        <v>50</v>
      </c>
      <c r="AF3" s="58">
        <f t="shared" ref="AF3:AF9" si="6">+AC3*AE3</f>
        <v>0</v>
      </c>
      <c r="AG3" s="63">
        <v>0</v>
      </c>
      <c r="AI3" s="60">
        <v>1</v>
      </c>
      <c r="AJ3" s="61">
        <v>0</v>
      </c>
      <c r="AK3" s="62">
        <f>+SUM(AJ3:$AJ3)</f>
        <v>0</v>
      </c>
      <c r="AL3" s="58">
        <f t="shared" ref="AL3:AL9" si="7">+Q3</f>
        <v>50</v>
      </c>
      <c r="AM3" s="58">
        <f t="shared" ref="AM3:AM9" si="8">+AJ3*AL3</f>
        <v>0</v>
      </c>
      <c r="AN3" s="63">
        <v>0</v>
      </c>
      <c r="AP3" s="60">
        <v>1</v>
      </c>
      <c r="AQ3" s="61">
        <v>0.3</v>
      </c>
      <c r="AR3" s="62">
        <f>+SUM($AQ$3:AQ3)</f>
        <v>0.3</v>
      </c>
      <c r="AS3" s="58">
        <f t="shared" ref="AS3:AS9" si="9">+X3</f>
        <v>50</v>
      </c>
      <c r="AT3" s="58">
        <f>+AQ3*AS3</f>
        <v>15</v>
      </c>
      <c r="AU3" s="63">
        <v>0</v>
      </c>
      <c r="AW3" s="60">
        <v>1</v>
      </c>
      <c r="AX3" s="61">
        <v>0.05</v>
      </c>
      <c r="AY3" s="62">
        <f>+SUM($AX$3:AX3)</f>
        <v>0.05</v>
      </c>
      <c r="AZ3" s="58">
        <f t="shared" ref="AZ3:AZ9" si="10">+AE3</f>
        <v>50</v>
      </c>
      <c r="BA3" s="58">
        <f t="shared" ref="BA3:BA9" si="11">+AX3*AZ3</f>
        <v>2.5</v>
      </c>
      <c r="BB3" s="63">
        <v>0</v>
      </c>
      <c r="BD3" s="60">
        <v>1</v>
      </c>
      <c r="BE3" s="61">
        <v>0.11</v>
      </c>
      <c r="BF3" s="62">
        <f>+SUM($BE$3:BE3)</f>
        <v>0.11</v>
      </c>
      <c r="BG3" s="58">
        <f t="shared" ref="BG3:BG9" si="12">+AL3</f>
        <v>50</v>
      </c>
      <c r="BH3" s="58">
        <f t="shared" ref="BH3:BH9" si="13">+BE3*BG3</f>
        <v>5.5</v>
      </c>
      <c r="BI3" s="63">
        <v>0</v>
      </c>
      <c r="BK3" s="60">
        <v>1</v>
      </c>
      <c r="BL3" s="61">
        <v>0.2</v>
      </c>
      <c r="BM3" s="62">
        <f>+SUM($BL$3:BL3)</f>
        <v>0.2</v>
      </c>
      <c r="BN3" s="58">
        <f t="shared" ref="BN3:BN9" si="14">+AS3</f>
        <v>50</v>
      </c>
      <c r="BO3" s="58">
        <f t="shared" ref="BO3:BO9" si="15">+BL3*BN3</f>
        <v>10</v>
      </c>
      <c r="BP3" s="63">
        <v>0</v>
      </c>
      <c r="BR3" s="60">
        <v>1</v>
      </c>
      <c r="BS3" s="61">
        <v>0.2</v>
      </c>
      <c r="BT3" s="62">
        <f>+SUM($BS$3:BS3)</f>
        <v>0.2</v>
      </c>
      <c r="BU3" s="58">
        <f t="shared" ref="BU3:BU9" si="16">+AZ3</f>
        <v>50</v>
      </c>
      <c r="BV3" s="58">
        <f t="shared" ref="BV3:BV9" si="17">+BS3*BU3</f>
        <v>10</v>
      </c>
      <c r="BW3" s="63">
        <v>0</v>
      </c>
      <c r="BY3" s="60">
        <v>1</v>
      </c>
      <c r="BZ3" s="61">
        <v>0.34</v>
      </c>
      <c r="CA3" s="62">
        <f>+SUM($BZ$3:BZ3)</f>
        <v>0.34</v>
      </c>
      <c r="CB3" s="58">
        <f t="shared" ref="CB3:CB9" si="18">+BG3</f>
        <v>50</v>
      </c>
      <c r="CC3" s="58">
        <f t="shared" ref="CC3:CC9" si="19">+BZ3*CB3</f>
        <v>17</v>
      </c>
      <c r="CD3" s="63">
        <v>0</v>
      </c>
      <c r="CF3" s="60">
        <v>1</v>
      </c>
      <c r="CG3" s="61">
        <v>0</v>
      </c>
      <c r="CH3" s="62">
        <f>+SUM($CG$3:CG3)</f>
        <v>0</v>
      </c>
      <c r="CI3" s="58">
        <f t="shared" ref="CI3:CI9" si="20">+BG3</f>
        <v>50</v>
      </c>
      <c r="CJ3" s="58">
        <f t="shared" ref="CJ3:CJ9" si="21">+CG3*CI3</f>
        <v>0</v>
      </c>
      <c r="CK3" s="63">
        <v>0</v>
      </c>
      <c r="CM3" s="60">
        <v>1</v>
      </c>
      <c r="CN3" s="61">
        <f>+H3</f>
        <v>0.3</v>
      </c>
      <c r="CO3" s="62">
        <f>+SUM($CN$3:CN3)</f>
        <v>0.3</v>
      </c>
      <c r="CP3" s="83">
        <f>+J3</f>
        <v>50</v>
      </c>
      <c r="CQ3" s="58">
        <f t="shared" ref="CQ3" si="22">+CN3*CP3</f>
        <v>15</v>
      </c>
      <c r="CR3" s="63">
        <v>0</v>
      </c>
      <c r="CT3" s="60">
        <v>1</v>
      </c>
      <c r="CU3" s="61">
        <f>+H3</f>
        <v>0.3</v>
      </c>
      <c r="CV3" s="62">
        <f>+SUM($CU$3:CU3)</f>
        <v>0.3</v>
      </c>
      <c r="CW3" s="84">
        <f>+J3*2</f>
        <v>100</v>
      </c>
      <c r="CX3" s="58">
        <f t="shared" ref="CX3" si="23">+CU3*CW3</f>
        <v>30</v>
      </c>
      <c r="CY3" s="63">
        <v>0</v>
      </c>
      <c r="DA3" s="60">
        <v>1</v>
      </c>
      <c r="DB3" s="61">
        <v>0</v>
      </c>
      <c r="DC3" s="62">
        <f>+SUM($DB$3:DB3)</f>
        <v>0</v>
      </c>
      <c r="DD3" s="83">
        <f>+J3</f>
        <v>50</v>
      </c>
      <c r="DE3" s="58">
        <f t="shared" ref="DE3" si="24">+DB3*DD3</f>
        <v>0</v>
      </c>
      <c r="DF3" s="63">
        <v>0</v>
      </c>
    </row>
    <row r="4" spans="1:110">
      <c r="A4" s="3" t="s">
        <v>113</v>
      </c>
      <c r="B4" s="58">
        <f>+E4/D4</f>
        <v>1.7574692442882248E-2</v>
      </c>
      <c r="C4" s="3">
        <v>0</v>
      </c>
      <c r="D4" s="64">
        <f>+R10</f>
        <v>284.50000000000006</v>
      </c>
      <c r="E4" s="3">
        <v>5</v>
      </c>
      <c r="G4" s="60">
        <v>2</v>
      </c>
      <c r="H4" s="61">
        <v>0.45</v>
      </c>
      <c r="I4" s="62">
        <f>+SUM($H$3:H4)</f>
        <v>0.75</v>
      </c>
      <c r="J4" s="50">
        <v>100</v>
      </c>
      <c r="K4" s="58">
        <f t="shared" si="0"/>
        <v>45</v>
      </c>
      <c r="L4" s="63">
        <v>0</v>
      </c>
      <c r="N4" s="60">
        <v>2</v>
      </c>
      <c r="O4" s="61">
        <v>0.3</v>
      </c>
      <c r="P4" s="62">
        <f>+SUM($O$3:O4)</f>
        <v>0.33999999999999997</v>
      </c>
      <c r="Q4" s="58">
        <f t="shared" si="1"/>
        <v>100</v>
      </c>
      <c r="R4" s="58">
        <f t="shared" si="2"/>
        <v>30</v>
      </c>
      <c r="S4" s="63">
        <v>0</v>
      </c>
      <c r="U4" s="60">
        <v>2</v>
      </c>
      <c r="V4" s="61">
        <v>0.2</v>
      </c>
      <c r="W4" s="62">
        <f>+SUM($V$3:V4)</f>
        <v>0.24000000000000002</v>
      </c>
      <c r="X4" s="58">
        <f t="shared" si="3"/>
        <v>100</v>
      </c>
      <c r="Y4" s="58">
        <f t="shared" si="4"/>
        <v>20</v>
      </c>
      <c r="Z4" s="63">
        <v>0</v>
      </c>
      <c r="AB4" s="60">
        <v>2</v>
      </c>
      <c r="AC4" s="61">
        <v>0.15</v>
      </c>
      <c r="AD4" s="62">
        <f>+SUM($AC$3:AC4)</f>
        <v>0.15</v>
      </c>
      <c r="AE4" s="58">
        <f t="shared" si="5"/>
        <v>100</v>
      </c>
      <c r="AF4" s="58">
        <f t="shared" si="6"/>
        <v>15</v>
      </c>
      <c r="AG4" s="63">
        <v>0</v>
      </c>
      <c r="AI4" s="60">
        <v>2</v>
      </c>
      <c r="AJ4" s="61">
        <v>0</v>
      </c>
      <c r="AK4" s="62">
        <f>+SUM($AJ$3:AJ4)</f>
        <v>0</v>
      </c>
      <c r="AL4" s="58">
        <f t="shared" si="7"/>
        <v>100</v>
      </c>
      <c r="AM4" s="58">
        <f t="shared" si="8"/>
        <v>0</v>
      </c>
      <c r="AN4" s="63">
        <v>0</v>
      </c>
      <c r="AP4" s="60">
        <v>2</v>
      </c>
      <c r="AQ4" s="61">
        <v>0.25</v>
      </c>
      <c r="AR4" s="62">
        <f>+SUM($AQ$3:AQ4)</f>
        <v>0.55000000000000004</v>
      </c>
      <c r="AS4" s="58">
        <f t="shared" si="9"/>
        <v>100</v>
      </c>
      <c r="AT4" s="58">
        <f t="shared" ref="AT4:AT9" si="25">+AQ4*AS4</f>
        <v>25</v>
      </c>
      <c r="AU4" s="63">
        <v>0</v>
      </c>
      <c r="AW4" s="60">
        <v>2</v>
      </c>
      <c r="AX4" s="61">
        <v>0.15</v>
      </c>
      <c r="AY4" s="62">
        <f>+SUM($AX$3:AX4)</f>
        <v>0.2</v>
      </c>
      <c r="AZ4" s="58">
        <f t="shared" si="10"/>
        <v>100</v>
      </c>
      <c r="BA4" s="58">
        <f t="shared" si="11"/>
        <v>15</v>
      </c>
      <c r="BB4" s="63">
        <v>0</v>
      </c>
      <c r="BD4" s="60">
        <v>2</v>
      </c>
      <c r="BE4" s="61">
        <v>0.12</v>
      </c>
      <c r="BF4" s="62">
        <f>+SUM($BE$3:BE4)</f>
        <v>0.22999999999999998</v>
      </c>
      <c r="BG4" s="58">
        <f t="shared" si="12"/>
        <v>100</v>
      </c>
      <c r="BH4" s="58">
        <f t="shared" si="13"/>
        <v>12</v>
      </c>
      <c r="BI4" s="63">
        <v>0</v>
      </c>
      <c r="BK4" s="60">
        <v>2</v>
      </c>
      <c r="BL4" s="61">
        <v>0.2</v>
      </c>
      <c r="BM4" s="62">
        <f>+SUM($BL$3:BL4)</f>
        <v>0.4</v>
      </c>
      <c r="BN4" s="58">
        <f t="shared" si="14"/>
        <v>100</v>
      </c>
      <c r="BO4" s="58">
        <f t="shared" si="15"/>
        <v>20</v>
      </c>
      <c r="BP4" s="63">
        <v>0</v>
      </c>
      <c r="BR4" s="60">
        <v>2</v>
      </c>
      <c r="BS4" s="61">
        <v>0.25</v>
      </c>
      <c r="BT4" s="62">
        <f>+SUM($BS$3:BS4)</f>
        <v>0.45</v>
      </c>
      <c r="BU4" s="58">
        <f t="shared" si="16"/>
        <v>100</v>
      </c>
      <c r="BV4" s="58">
        <f t="shared" si="17"/>
        <v>25</v>
      </c>
      <c r="BW4" s="63">
        <v>0</v>
      </c>
      <c r="BY4" s="60">
        <v>2</v>
      </c>
      <c r="BZ4" s="61">
        <v>0.3</v>
      </c>
      <c r="CA4" s="62">
        <f>+SUM($BZ$3:BZ4)</f>
        <v>0.64</v>
      </c>
      <c r="CB4" s="58">
        <f t="shared" si="18"/>
        <v>100</v>
      </c>
      <c r="CC4" s="58">
        <f t="shared" si="19"/>
        <v>30</v>
      </c>
      <c r="CD4" s="63">
        <v>0</v>
      </c>
      <c r="CF4" s="60">
        <v>2</v>
      </c>
      <c r="CG4" s="61">
        <v>0.1</v>
      </c>
      <c r="CH4" s="62">
        <f>+SUM($CG$3:CG4)</f>
        <v>0.1</v>
      </c>
      <c r="CI4" s="58">
        <f t="shared" si="20"/>
        <v>100</v>
      </c>
      <c r="CJ4" s="58">
        <f t="shared" si="21"/>
        <v>10</v>
      </c>
      <c r="CK4" s="63">
        <v>0</v>
      </c>
      <c r="CM4" s="60">
        <v>2</v>
      </c>
      <c r="CN4" s="61">
        <f t="shared" ref="CN4:CN8" si="26">+H4</f>
        <v>0.45</v>
      </c>
      <c r="CO4" s="62">
        <f>+SUM($CN$3:CN4)</f>
        <v>0.75</v>
      </c>
      <c r="CP4" s="83">
        <f t="shared" ref="CP4:CP9" si="27">+J4</f>
        <v>100</v>
      </c>
      <c r="CQ4" s="58">
        <f>+CN4*CP4</f>
        <v>45</v>
      </c>
      <c r="CR4" s="63">
        <v>0</v>
      </c>
      <c r="CT4" s="60">
        <v>2</v>
      </c>
      <c r="CU4" s="61">
        <f t="shared" ref="CU4:CU8" si="28">+H4</f>
        <v>0.45</v>
      </c>
      <c r="CV4" s="62">
        <f>+SUM($CU$3:CU4)</f>
        <v>0.75</v>
      </c>
      <c r="CW4" s="84">
        <f t="shared" ref="CW4:CW9" si="29">+J4*2</f>
        <v>200</v>
      </c>
      <c r="CX4" s="58">
        <f>+CU4*CW4</f>
        <v>90</v>
      </c>
      <c r="CY4" s="63">
        <v>0</v>
      </c>
      <c r="DA4" s="60">
        <v>2</v>
      </c>
      <c r="DB4" s="61">
        <v>0</v>
      </c>
      <c r="DC4" s="62">
        <f>+SUM($DB$3:DB4)</f>
        <v>0</v>
      </c>
      <c r="DD4" s="83">
        <f t="shared" ref="DD4:DD9" si="30">+J4</f>
        <v>100</v>
      </c>
      <c r="DE4" s="58">
        <f>+DB4*DD4</f>
        <v>0</v>
      </c>
      <c r="DF4" s="63">
        <v>0</v>
      </c>
    </row>
    <row r="5" spans="1:110">
      <c r="A5" s="3" t="s">
        <v>114</v>
      </c>
      <c r="B5" s="58">
        <f>+E5/D5</f>
        <v>2.3564064801178199E-2</v>
      </c>
      <c r="C5" s="3">
        <v>0</v>
      </c>
      <c r="D5" s="64">
        <f>+Y10</f>
        <v>339.50000000000006</v>
      </c>
      <c r="E5" s="3">
        <v>8</v>
      </c>
      <c r="G5" s="60">
        <v>3</v>
      </c>
      <c r="H5" s="61">
        <v>0.15</v>
      </c>
      <c r="I5" s="62">
        <f>+SUM($H$3:H5)</f>
        <v>0.9</v>
      </c>
      <c r="J5" s="50">
        <v>200</v>
      </c>
      <c r="K5" s="58">
        <f t="shared" si="0"/>
        <v>30</v>
      </c>
      <c r="L5" s="63">
        <v>0</v>
      </c>
      <c r="N5" s="60">
        <v>3</v>
      </c>
      <c r="O5" s="61">
        <v>0.45</v>
      </c>
      <c r="P5" s="62">
        <f>+SUM($O$3:O5)</f>
        <v>0.79</v>
      </c>
      <c r="Q5" s="58">
        <f t="shared" si="1"/>
        <v>200</v>
      </c>
      <c r="R5" s="58">
        <f t="shared" si="2"/>
        <v>90</v>
      </c>
      <c r="S5" s="63">
        <v>0</v>
      </c>
      <c r="U5" s="60">
        <v>3</v>
      </c>
      <c r="V5" s="61">
        <v>0.4</v>
      </c>
      <c r="W5" s="62">
        <f>+SUM($V$3:V5)</f>
        <v>0.64</v>
      </c>
      <c r="X5" s="58">
        <f t="shared" si="3"/>
        <v>200</v>
      </c>
      <c r="Y5" s="58">
        <f t="shared" si="4"/>
        <v>80</v>
      </c>
      <c r="Z5" s="63">
        <v>0</v>
      </c>
      <c r="AB5" s="60">
        <v>3</v>
      </c>
      <c r="AC5" s="61">
        <v>0.4</v>
      </c>
      <c r="AD5" s="62">
        <f>+SUM($AC$3:AC5)</f>
        <v>0.55000000000000004</v>
      </c>
      <c r="AE5" s="58">
        <f t="shared" si="5"/>
        <v>200</v>
      </c>
      <c r="AF5" s="58">
        <f t="shared" si="6"/>
        <v>80</v>
      </c>
      <c r="AG5" s="63">
        <v>0</v>
      </c>
      <c r="AI5" s="60">
        <v>3</v>
      </c>
      <c r="AJ5" s="61">
        <v>0</v>
      </c>
      <c r="AK5" s="62">
        <f>+SUM($AJ$3:AJ5)</f>
        <v>0</v>
      </c>
      <c r="AL5" s="58">
        <f t="shared" si="7"/>
        <v>200</v>
      </c>
      <c r="AM5" s="58">
        <f t="shared" si="8"/>
        <v>0</v>
      </c>
      <c r="AN5" s="63">
        <v>0</v>
      </c>
      <c r="AP5" s="60">
        <v>3</v>
      </c>
      <c r="AQ5" s="61">
        <v>0.25</v>
      </c>
      <c r="AR5" s="62">
        <f>+SUM($AQ$3:AQ5)</f>
        <v>0.8</v>
      </c>
      <c r="AS5" s="58">
        <f t="shared" si="9"/>
        <v>200</v>
      </c>
      <c r="AT5" s="58">
        <f t="shared" si="25"/>
        <v>50</v>
      </c>
      <c r="AU5" s="63">
        <v>0</v>
      </c>
      <c r="AW5" s="60">
        <v>3</v>
      </c>
      <c r="AX5" s="61">
        <v>0.3</v>
      </c>
      <c r="AY5" s="62">
        <f>+SUM($AX$3:AX5)</f>
        <v>0.5</v>
      </c>
      <c r="AZ5" s="58">
        <f t="shared" si="10"/>
        <v>200</v>
      </c>
      <c r="BA5" s="58">
        <f t="shared" si="11"/>
        <v>60</v>
      </c>
      <c r="BB5" s="63">
        <v>0</v>
      </c>
      <c r="BD5" s="60">
        <v>3</v>
      </c>
      <c r="BE5" s="61">
        <v>0.22</v>
      </c>
      <c r="BF5" s="62">
        <f>+SUM($BE$3:BE5)</f>
        <v>0.44999999999999996</v>
      </c>
      <c r="BG5" s="58">
        <f t="shared" si="12"/>
        <v>200</v>
      </c>
      <c r="BH5" s="58">
        <f t="shared" si="13"/>
        <v>44</v>
      </c>
      <c r="BI5" s="63">
        <v>0</v>
      </c>
      <c r="BK5" s="60">
        <v>3</v>
      </c>
      <c r="BL5" s="61">
        <v>0.15</v>
      </c>
      <c r="BM5" s="62">
        <f>+SUM($BL$3:BL5)</f>
        <v>0.55000000000000004</v>
      </c>
      <c r="BN5" s="58">
        <f t="shared" si="14"/>
        <v>200</v>
      </c>
      <c r="BO5" s="58">
        <f t="shared" si="15"/>
        <v>30</v>
      </c>
      <c r="BP5" s="63">
        <v>0</v>
      </c>
      <c r="BR5" s="60">
        <v>3</v>
      </c>
      <c r="BS5" s="61">
        <v>0.16</v>
      </c>
      <c r="BT5" s="62">
        <f>+SUM($BS$3:BS5)</f>
        <v>0.61</v>
      </c>
      <c r="BU5" s="58">
        <f t="shared" si="16"/>
        <v>200</v>
      </c>
      <c r="BV5" s="58">
        <f t="shared" si="17"/>
        <v>32</v>
      </c>
      <c r="BW5" s="63">
        <v>0</v>
      </c>
      <c r="BY5" s="60">
        <v>3</v>
      </c>
      <c r="BZ5" s="61">
        <v>0.2</v>
      </c>
      <c r="CA5" s="62">
        <f>+SUM($BZ$3:BZ5)</f>
        <v>0.84000000000000008</v>
      </c>
      <c r="CB5" s="58">
        <f t="shared" si="18"/>
        <v>200</v>
      </c>
      <c r="CC5" s="58">
        <f t="shared" si="19"/>
        <v>40</v>
      </c>
      <c r="CD5" s="63">
        <v>0</v>
      </c>
      <c r="CF5" s="60">
        <v>3</v>
      </c>
      <c r="CG5" s="61">
        <v>0.4</v>
      </c>
      <c r="CH5" s="62">
        <f>+SUM($CG$3:CG5)</f>
        <v>0.5</v>
      </c>
      <c r="CI5" s="58">
        <f t="shared" si="20"/>
        <v>200</v>
      </c>
      <c r="CJ5" s="58">
        <f t="shared" si="21"/>
        <v>80</v>
      </c>
      <c r="CK5" s="63">
        <v>0</v>
      </c>
      <c r="CM5" s="60">
        <v>3</v>
      </c>
      <c r="CN5" s="61">
        <f t="shared" si="26"/>
        <v>0.15</v>
      </c>
      <c r="CO5" s="62">
        <f>+SUM($CN$3:CN5)</f>
        <v>0.9</v>
      </c>
      <c r="CP5" s="83">
        <f t="shared" si="27"/>
        <v>200</v>
      </c>
      <c r="CQ5" s="58">
        <f t="shared" ref="CQ5:CQ9" si="31">+CN5*CP5</f>
        <v>30</v>
      </c>
      <c r="CR5" s="63">
        <v>0</v>
      </c>
      <c r="CT5" s="60">
        <v>3</v>
      </c>
      <c r="CU5" s="61">
        <f t="shared" si="28"/>
        <v>0.15</v>
      </c>
      <c r="CV5" s="62">
        <f>+SUM($CU$3:CU5)</f>
        <v>0.9</v>
      </c>
      <c r="CW5" s="84">
        <f t="shared" si="29"/>
        <v>400</v>
      </c>
      <c r="CX5" s="58">
        <f t="shared" ref="CX5:CX9" si="32">+CU5*CW5</f>
        <v>60</v>
      </c>
      <c r="CY5" s="63">
        <v>0</v>
      </c>
      <c r="DA5" s="60">
        <v>3</v>
      </c>
      <c r="DB5" s="61">
        <v>0</v>
      </c>
      <c r="DC5" s="62">
        <f>+SUM($DB$3:DB5)</f>
        <v>0</v>
      </c>
      <c r="DD5" s="83">
        <f t="shared" si="30"/>
        <v>200</v>
      </c>
      <c r="DE5" s="58">
        <f t="shared" ref="DE5:DE9" si="33">+DB5*DD5</f>
        <v>0</v>
      </c>
      <c r="DF5" s="63">
        <v>0</v>
      </c>
    </row>
    <row r="6" spans="1:110">
      <c r="A6" s="80" t="s">
        <v>115</v>
      </c>
      <c r="B6" s="75">
        <f>+E6/D6</f>
        <v>2.5641025641025651E-2</v>
      </c>
      <c r="C6" s="3">
        <v>0</v>
      </c>
      <c r="D6" s="64">
        <f>+AF10</f>
        <v>389.99999999999983</v>
      </c>
      <c r="E6" s="3">
        <v>10</v>
      </c>
      <c r="G6" s="60">
        <v>4</v>
      </c>
      <c r="H6" s="61">
        <v>0.06</v>
      </c>
      <c r="I6" s="62">
        <f>+SUM($H$3:H6)</f>
        <v>0.96</v>
      </c>
      <c r="J6" s="50">
        <v>500</v>
      </c>
      <c r="K6" s="58">
        <f t="shared" si="0"/>
        <v>30</v>
      </c>
      <c r="L6" s="63">
        <v>0</v>
      </c>
      <c r="N6" s="60">
        <v>4</v>
      </c>
      <c r="O6" s="61">
        <v>0.1</v>
      </c>
      <c r="P6" s="62">
        <f>+SUM($O$3:O6)</f>
        <v>0.89</v>
      </c>
      <c r="Q6" s="58">
        <f t="shared" si="1"/>
        <v>500</v>
      </c>
      <c r="R6" s="58">
        <f t="shared" si="2"/>
        <v>50</v>
      </c>
      <c r="S6" s="63">
        <v>0</v>
      </c>
      <c r="U6" s="60">
        <v>4</v>
      </c>
      <c r="V6" s="61">
        <v>0.25</v>
      </c>
      <c r="W6" s="62">
        <f>+SUM($V$3:V6)</f>
        <v>0.89</v>
      </c>
      <c r="X6" s="58">
        <f t="shared" si="3"/>
        <v>500</v>
      </c>
      <c r="Y6" s="58">
        <f t="shared" si="4"/>
        <v>125</v>
      </c>
      <c r="Z6" s="63">
        <v>0</v>
      </c>
      <c r="AB6" s="60">
        <v>4</v>
      </c>
      <c r="AC6" s="61">
        <v>0.3</v>
      </c>
      <c r="AD6" s="62">
        <f>+SUM($AC$3:AC6)</f>
        <v>0.85000000000000009</v>
      </c>
      <c r="AE6" s="58">
        <f t="shared" si="5"/>
        <v>500</v>
      </c>
      <c r="AF6" s="58">
        <f t="shared" si="6"/>
        <v>150</v>
      </c>
      <c r="AG6" s="63">
        <v>0</v>
      </c>
      <c r="AI6" s="60">
        <v>4</v>
      </c>
      <c r="AJ6" s="61">
        <v>0</v>
      </c>
      <c r="AK6" s="62">
        <f>+SUM($AJ$3:AJ6)</f>
        <v>0</v>
      </c>
      <c r="AL6" s="58">
        <f t="shared" si="7"/>
        <v>500</v>
      </c>
      <c r="AM6" s="58">
        <f t="shared" si="8"/>
        <v>0</v>
      </c>
      <c r="AN6" s="63">
        <v>0</v>
      </c>
      <c r="AP6" s="60">
        <v>4</v>
      </c>
      <c r="AQ6" s="61">
        <f>1-SUM(AQ3:AQ5)</f>
        <v>0.19999999999999996</v>
      </c>
      <c r="AR6" s="62">
        <f>+SUM($AQ$3:AQ6)</f>
        <v>1</v>
      </c>
      <c r="AS6" s="58">
        <f t="shared" si="9"/>
        <v>500</v>
      </c>
      <c r="AT6" s="58">
        <f t="shared" si="25"/>
        <v>99.999999999999972</v>
      </c>
      <c r="AU6" s="63">
        <v>0</v>
      </c>
      <c r="AW6" s="60">
        <v>4</v>
      </c>
      <c r="AX6" s="61">
        <v>0.3</v>
      </c>
      <c r="AY6" s="62">
        <f>+SUM($AX$3:AX6)</f>
        <v>0.8</v>
      </c>
      <c r="AZ6" s="58">
        <f t="shared" si="10"/>
        <v>500</v>
      </c>
      <c r="BA6" s="58">
        <f t="shared" si="11"/>
        <v>150</v>
      </c>
      <c r="BB6" s="63">
        <v>0</v>
      </c>
      <c r="BD6" s="60">
        <v>4</v>
      </c>
      <c r="BE6" s="61">
        <v>0.2</v>
      </c>
      <c r="BF6" s="62">
        <f>+SUM($BE$3:BE6)</f>
        <v>0.64999999999999991</v>
      </c>
      <c r="BG6" s="58">
        <f t="shared" si="12"/>
        <v>500</v>
      </c>
      <c r="BH6" s="58">
        <f t="shared" si="13"/>
        <v>100</v>
      </c>
      <c r="BI6" s="63">
        <v>0</v>
      </c>
      <c r="BK6" s="60">
        <v>4</v>
      </c>
      <c r="BL6" s="61">
        <v>0.15</v>
      </c>
      <c r="BM6" s="62">
        <f>+SUM($BL$3:BL6)</f>
        <v>0.70000000000000007</v>
      </c>
      <c r="BN6" s="58">
        <f t="shared" si="14"/>
        <v>500</v>
      </c>
      <c r="BO6" s="58">
        <f t="shared" si="15"/>
        <v>75</v>
      </c>
      <c r="BP6" s="63">
        <v>0</v>
      </c>
      <c r="BR6" s="60">
        <v>4</v>
      </c>
      <c r="BS6" s="61">
        <v>0.12</v>
      </c>
      <c r="BT6" s="62">
        <f>+SUM($BS$3:BS6)</f>
        <v>0.73</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0.06</v>
      </c>
      <c r="CO6" s="62">
        <f>+SUM($CN$3:CN6)</f>
        <v>0.96</v>
      </c>
      <c r="CP6" s="83">
        <f t="shared" si="27"/>
        <v>500</v>
      </c>
      <c r="CQ6" s="58">
        <f t="shared" si="31"/>
        <v>30</v>
      </c>
      <c r="CR6" s="63">
        <v>0</v>
      </c>
      <c r="CT6" s="60">
        <v>4</v>
      </c>
      <c r="CU6" s="61">
        <f t="shared" si="28"/>
        <v>0.06</v>
      </c>
      <c r="CV6" s="62">
        <f>+SUM($CU$3:CU6)</f>
        <v>0.96</v>
      </c>
      <c r="CW6" s="84">
        <f t="shared" si="29"/>
        <v>1000</v>
      </c>
      <c r="CX6" s="58">
        <f t="shared" si="32"/>
        <v>60</v>
      </c>
      <c r="CY6" s="63">
        <v>0</v>
      </c>
      <c r="DA6" s="60">
        <v>4</v>
      </c>
      <c r="DB6" s="61">
        <v>0.2</v>
      </c>
      <c r="DC6" s="62">
        <f>+SUM($DB$3:DB6)</f>
        <v>0.2</v>
      </c>
      <c r="DD6" s="83">
        <f t="shared" si="30"/>
        <v>500</v>
      </c>
      <c r="DE6" s="58">
        <f t="shared" si="33"/>
        <v>100</v>
      </c>
      <c r="DF6" s="63">
        <v>0</v>
      </c>
    </row>
    <row r="7" spans="1:110">
      <c r="A7" s="75" t="s">
        <v>131</v>
      </c>
      <c r="B7" s="75">
        <f t="shared" ref="B7:B12" si="34">+E7/D7</f>
        <v>2.0779220779220779E-2</v>
      </c>
      <c r="C7" s="3">
        <v>0</v>
      </c>
      <c r="D7" s="64">
        <f>+AM10</f>
        <v>962.5</v>
      </c>
      <c r="E7" s="3">
        <v>20</v>
      </c>
      <c r="G7" s="60">
        <v>5</v>
      </c>
      <c r="H7" s="61">
        <v>0.02</v>
      </c>
      <c r="I7" s="62">
        <f>+SUM($H$3:H7)</f>
        <v>0.98</v>
      </c>
      <c r="J7" s="50">
        <v>750</v>
      </c>
      <c r="K7" s="58">
        <f t="shared" si="0"/>
        <v>15</v>
      </c>
      <c r="L7" s="63">
        <v>0</v>
      </c>
      <c r="N7" s="60">
        <v>5</v>
      </c>
      <c r="O7" s="61">
        <v>7.0000000000000007E-2</v>
      </c>
      <c r="P7" s="62">
        <f>+SUM($O$3:O7)</f>
        <v>0.96</v>
      </c>
      <c r="Q7" s="58">
        <f t="shared" si="1"/>
        <v>750</v>
      </c>
      <c r="R7" s="58">
        <f t="shared" si="2"/>
        <v>52.500000000000007</v>
      </c>
      <c r="S7" s="63">
        <v>0</v>
      </c>
      <c r="U7" s="60">
        <v>5</v>
      </c>
      <c r="V7" s="61">
        <v>7.0000000000000007E-2</v>
      </c>
      <c r="W7" s="62">
        <f>+SUM($V$3:V7)</f>
        <v>0.96</v>
      </c>
      <c r="X7" s="58">
        <f t="shared" si="3"/>
        <v>750</v>
      </c>
      <c r="Y7" s="58">
        <f t="shared" si="4"/>
        <v>52.500000000000007</v>
      </c>
      <c r="Z7" s="63">
        <v>0</v>
      </c>
      <c r="AB7" s="60">
        <v>5</v>
      </c>
      <c r="AC7" s="61">
        <v>0.1</v>
      </c>
      <c r="AD7" s="62">
        <f>+SUM($AC$3:AC7)</f>
        <v>0.95000000000000007</v>
      </c>
      <c r="AE7" s="58">
        <f t="shared" si="5"/>
        <v>750</v>
      </c>
      <c r="AF7" s="58">
        <f t="shared" si="6"/>
        <v>75</v>
      </c>
      <c r="AG7" s="63">
        <v>0</v>
      </c>
      <c r="AI7" s="60">
        <v>5</v>
      </c>
      <c r="AJ7" s="61">
        <v>0.55000000000000004</v>
      </c>
      <c r="AK7" s="62">
        <f>+SUM($AJ$3:AJ7)</f>
        <v>0.55000000000000004</v>
      </c>
      <c r="AL7" s="58">
        <f t="shared" si="7"/>
        <v>750</v>
      </c>
      <c r="AM7" s="58">
        <f t="shared" si="8"/>
        <v>412.50000000000006</v>
      </c>
      <c r="AN7" s="63">
        <v>0</v>
      </c>
      <c r="AP7" s="60">
        <v>5</v>
      </c>
      <c r="AQ7" s="61">
        <v>0</v>
      </c>
      <c r="AR7" s="62">
        <f>+SUM($AQ$3:AQ7)</f>
        <v>1</v>
      </c>
      <c r="AS7" s="58">
        <f t="shared" si="9"/>
        <v>750</v>
      </c>
      <c r="AT7" s="58">
        <f t="shared" si="25"/>
        <v>0</v>
      </c>
      <c r="AU7" s="63">
        <v>0</v>
      </c>
      <c r="AW7" s="60">
        <v>5</v>
      </c>
      <c r="AX7" s="61">
        <v>0.15</v>
      </c>
      <c r="AY7" s="62">
        <f>+SUM($AX$3:AX7)</f>
        <v>0.95000000000000007</v>
      </c>
      <c r="AZ7" s="58">
        <f t="shared" si="10"/>
        <v>750</v>
      </c>
      <c r="BA7" s="58">
        <f t="shared" si="11"/>
        <v>112.5</v>
      </c>
      <c r="BB7" s="63">
        <v>0</v>
      </c>
      <c r="BD7" s="60">
        <v>5</v>
      </c>
      <c r="BE7" s="61">
        <v>0.18</v>
      </c>
      <c r="BF7" s="62">
        <f>+SUM($BE$3:BE7)</f>
        <v>0.82999999999999985</v>
      </c>
      <c r="BG7" s="58">
        <f t="shared" si="12"/>
        <v>750</v>
      </c>
      <c r="BH7" s="58">
        <f t="shared" si="13"/>
        <v>135</v>
      </c>
      <c r="BI7" s="63">
        <v>0</v>
      </c>
      <c r="BK7" s="60">
        <v>5</v>
      </c>
      <c r="BL7" s="61">
        <v>0.15</v>
      </c>
      <c r="BM7" s="62">
        <f>+SUM($BL$3:BL7)</f>
        <v>0.85000000000000009</v>
      </c>
      <c r="BN7" s="58">
        <f t="shared" si="14"/>
        <v>750</v>
      </c>
      <c r="BO7" s="58">
        <f t="shared" si="15"/>
        <v>112.5</v>
      </c>
      <c r="BP7" s="63">
        <v>0</v>
      </c>
      <c r="BR7" s="60">
        <v>5</v>
      </c>
      <c r="BS7" s="61">
        <v>0.1</v>
      </c>
      <c r="BT7" s="62">
        <f>+SUM($BS$3:BS7)</f>
        <v>0.83</v>
      </c>
      <c r="BU7" s="58">
        <f t="shared" si="16"/>
        <v>750</v>
      </c>
      <c r="BV7" s="58">
        <f t="shared" si="17"/>
        <v>75</v>
      </c>
      <c r="BW7" s="63">
        <v>0</v>
      </c>
      <c r="BY7" s="60">
        <v>5</v>
      </c>
      <c r="BZ7" s="61">
        <v>0.02</v>
      </c>
      <c r="CA7" s="62">
        <f>+SUM($BZ$3:BZ7)</f>
        <v>0.96000000000000008</v>
      </c>
      <c r="CB7" s="58">
        <f t="shared" si="18"/>
        <v>750</v>
      </c>
      <c r="CC7" s="58">
        <f t="shared" si="19"/>
        <v>15</v>
      </c>
      <c r="CD7" s="63">
        <v>0</v>
      </c>
      <c r="CF7" s="60">
        <v>5</v>
      </c>
      <c r="CG7" s="61">
        <v>0.1</v>
      </c>
      <c r="CH7" s="62">
        <f>+SUM($CG$3:CG7)</f>
        <v>0.95</v>
      </c>
      <c r="CI7" s="58">
        <f t="shared" si="20"/>
        <v>750</v>
      </c>
      <c r="CJ7" s="58">
        <f t="shared" si="21"/>
        <v>75</v>
      </c>
      <c r="CK7" s="63">
        <v>0</v>
      </c>
      <c r="CM7" s="60">
        <v>5</v>
      </c>
      <c r="CN7" s="61">
        <f t="shared" si="26"/>
        <v>0.02</v>
      </c>
      <c r="CO7" s="62">
        <f>+SUM($CN$3:CN7)</f>
        <v>0.98</v>
      </c>
      <c r="CP7" s="83">
        <f t="shared" si="27"/>
        <v>750</v>
      </c>
      <c r="CQ7" s="58">
        <f t="shared" si="31"/>
        <v>15</v>
      </c>
      <c r="CR7" s="63">
        <v>0</v>
      </c>
      <c r="CT7" s="60">
        <v>5</v>
      </c>
      <c r="CU7" s="61">
        <f t="shared" si="28"/>
        <v>0.02</v>
      </c>
      <c r="CV7" s="62">
        <f>+SUM($CU$3:CU7)</f>
        <v>0.98</v>
      </c>
      <c r="CW7" s="84">
        <f t="shared" si="29"/>
        <v>1500</v>
      </c>
      <c r="CX7" s="58">
        <f t="shared" si="32"/>
        <v>30</v>
      </c>
      <c r="CY7" s="63">
        <v>0</v>
      </c>
      <c r="DA7" s="60">
        <v>5</v>
      </c>
      <c r="DB7" s="61">
        <v>0.3</v>
      </c>
      <c r="DC7" s="62">
        <f>+SUM($DB$3:DB7)</f>
        <v>0.5</v>
      </c>
      <c r="DD7" s="83">
        <f t="shared" si="30"/>
        <v>750</v>
      </c>
      <c r="DE7" s="58">
        <f t="shared" si="33"/>
        <v>225</v>
      </c>
      <c r="DF7" s="63">
        <v>0</v>
      </c>
    </row>
    <row r="8" spans="1:110">
      <c r="A8" s="75" t="s">
        <v>132</v>
      </c>
      <c r="B8" s="75">
        <f>+E8/D8</f>
        <v>1.0526315789473686E-2</v>
      </c>
      <c r="C8" s="3">
        <v>0</v>
      </c>
      <c r="D8" s="64">
        <f>+AT10</f>
        <v>189.99999999999997</v>
      </c>
      <c r="E8" s="3">
        <v>2</v>
      </c>
      <c r="G8" s="60">
        <v>6</v>
      </c>
      <c r="H8" s="61">
        <v>0.01</v>
      </c>
      <c r="I8" s="62">
        <f>+SUM($H$3:H8)</f>
        <v>0.99</v>
      </c>
      <c r="J8" s="50">
        <v>1000</v>
      </c>
      <c r="K8" s="58">
        <f t="shared" si="0"/>
        <v>10</v>
      </c>
      <c r="L8" s="63">
        <v>0</v>
      </c>
      <c r="N8" s="60">
        <v>6</v>
      </c>
      <c r="O8" s="61">
        <v>0.02</v>
      </c>
      <c r="P8" s="62">
        <f>+SUM($O$3:O8)</f>
        <v>0.98</v>
      </c>
      <c r="Q8" s="58">
        <f t="shared" si="1"/>
        <v>1000</v>
      </c>
      <c r="R8" s="58">
        <f t="shared" si="2"/>
        <v>20</v>
      </c>
      <c r="S8" s="63">
        <v>0</v>
      </c>
      <c r="U8" s="60">
        <v>6</v>
      </c>
      <c r="V8" s="61">
        <v>0.02</v>
      </c>
      <c r="W8" s="62">
        <f>+SUM($V$3:V8)</f>
        <v>0.98</v>
      </c>
      <c r="X8" s="58">
        <f t="shared" si="3"/>
        <v>1000</v>
      </c>
      <c r="Y8" s="58">
        <f t="shared" si="4"/>
        <v>20</v>
      </c>
      <c r="Z8" s="63">
        <v>0</v>
      </c>
      <c r="AB8" s="60">
        <v>6</v>
      </c>
      <c r="AC8" s="61">
        <v>0.03</v>
      </c>
      <c r="AD8" s="62">
        <f>+SUM($AC$3:AC8)</f>
        <v>0.98000000000000009</v>
      </c>
      <c r="AE8" s="58">
        <f t="shared" si="5"/>
        <v>1000</v>
      </c>
      <c r="AF8" s="58">
        <f t="shared" si="6"/>
        <v>30</v>
      </c>
      <c r="AG8" s="63">
        <v>0</v>
      </c>
      <c r="AI8" s="60">
        <v>6</v>
      </c>
      <c r="AJ8" s="61">
        <v>0.35</v>
      </c>
      <c r="AK8" s="62">
        <f>+SUM($AJ$3:AJ8)</f>
        <v>0.9</v>
      </c>
      <c r="AL8" s="58">
        <f t="shared" si="7"/>
        <v>1000</v>
      </c>
      <c r="AM8" s="58">
        <f t="shared" si="8"/>
        <v>350</v>
      </c>
      <c r="AN8" s="63">
        <v>0</v>
      </c>
      <c r="AP8" s="60">
        <v>6</v>
      </c>
      <c r="AQ8" s="61">
        <v>0</v>
      </c>
      <c r="AR8" s="62">
        <f>+SUM($AQ$3:AQ8)</f>
        <v>1</v>
      </c>
      <c r="AS8" s="58">
        <f t="shared" si="9"/>
        <v>1000</v>
      </c>
      <c r="AT8" s="58">
        <f t="shared" si="25"/>
        <v>0</v>
      </c>
      <c r="AU8" s="63">
        <v>0</v>
      </c>
      <c r="AW8" s="60">
        <v>6</v>
      </c>
      <c r="AX8" s="61">
        <v>0.03</v>
      </c>
      <c r="AY8" s="62">
        <f>+SUM($AX$3:AX8)</f>
        <v>0.98000000000000009</v>
      </c>
      <c r="AZ8" s="58">
        <f t="shared" si="10"/>
        <v>1000</v>
      </c>
      <c r="BA8" s="58">
        <f t="shared" si="11"/>
        <v>30</v>
      </c>
      <c r="BB8" s="63">
        <v>0</v>
      </c>
      <c r="BD8" s="60">
        <v>6</v>
      </c>
      <c r="BE8" s="61">
        <v>0.14000000000000001</v>
      </c>
      <c r="BF8" s="62">
        <f>+SUM($BE$3:BE8)</f>
        <v>0.96999999999999986</v>
      </c>
      <c r="BG8" s="58">
        <f t="shared" si="12"/>
        <v>1000</v>
      </c>
      <c r="BH8" s="58">
        <f t="shared" si="13"/>
        <v>140</v>
      </c>
      <c r="BI8" s="63">
        <v>0</v>
      </c>
      <c r="BK8" s="60">
        <v>6</v>
      </c>
      <c r="BL8" s="61">
        <v>0.1</v>
      </c>
      <c r="BM8" s="62">
        <f>+SUM($BL$3:BL8)</f>
        <v>0.95000000000000007</v>
      </c>
      <c r="BN8" s="58">
        <f t="shared" si="14"/>
        <v>1000</v>
      </c>
      <c r="BO8" s="58">
        <f t="shared" si="15"/>
        <v>100</v>
      </c>
      <c r="BP8" s="63">
        <v>0</v>
      </c>
      <c r="BR8" s="60">
        <v>6</v>
      </c>
      <c r="BS8" s="61">
        <v>0.1</v>
      </c>
      <c r="BT8" s="62">
        <f>+SUM($BS$3:BS8)</f>
        <v>0.92999999999999994</v>
      </c>
      <c r="BU8" s="58">
        <f t="shared" si="16"/>
        <v>1000</v>
      </c>
      <c r="BV8" s="58">
        <f t="shared" si="17"/>
        <v>100</v>
      </c>
      <c r="BW8" s="63">
        <v>0</v>
      </c>
      <c r="BY8" s="60">
        <v>6</v>
      </c>
      <c r="BZ8" s="61">
        <v>0.03</v>
      </c>
      <c r="CA8" s="62">
        <f>+SUM($BZ$3:BZ8)</f>
        <v>0.9900000000000001</v>
      </c>
      <c r="CB8" s="58">
        <f t="shared" si="18"/>
        <v>1000</v>
      </c>
      <c r="CC8" s="58">
        <f t="shared" si="19"/>
        <v>30</v>
      </c>
      <c r="CD8" s="63">
        <v>0</v>
      </c>
      <c r="CF8" s="60">
        <v>6</v>
      </c>
      <c r="CG8" s="61">
        <v>0.03</v>
      </c>
      <c r="CH8" s="62">
        <f>+SUM($CG$3:CG8)</f>
        <v>0.98</v>
      </c>
      <c r="CI8" s="58">
        <f t="shared" si="20"/>
        <v>1000</v>
      </c>
      <c r="CJ8" s="58">
        <f t="shared" si="21"/>
        <v>30</v>
      </c>
      <c r="CK8" s="63">
        <v>0</v>
      </c>
      <c r="CM8" s="60">
        <v>6</v>
      </c>
      <c r="CN8" s="61">
        <f t="shared" si="26"/>
        <v>0.01</v>
      </c>
      <c r="CO8" s="62">
        <f>+SUM($CN$3:CN8)</f>
        <v>0.99</v>
      </c>
      <c r="CP8" s="83">
        <f t="shared" si="27"/>
        <v>1000</v>
      </c>
      <c r="CQ8" s="58">
        <f t="shared" si="31"/>
        <v>10</v>
      </c>
      <c r="CR8" s="63">
        <v>0</v>
      </c>
      <c r="CT8" s="60">
        <v>6</v>
      </c>
      <c r="CU8" s="61">
        <f t="shared" si="28"/>
        <v>0.01</v>
      </c>
      <c r="CV8" s="62">
        <f>+SUM($CU$3:CU8)</f>
        <v>0.99</v>
      </c>
      <c r="CW8" s="84">
        <f t="shared" si="29"/>
        <v>2000</v>
      </c>
      <c r="CX8" s="58">
        <f t="shared" si="32"/>
        <v>20</v>
      </c>
      <c r="CY8" s="63">
        <v>0</v>
      </c>
      <c r="DA8" s="60">
        <v>6</v>
      </c>
      <c r="DB8" s="61">
        <v>0.4</v>
      </c>
      <c r="DC8" s="62">
        <f>+SUM($DB$3:DB8)</f>
        <v>0.9</v>
      </c>
      <c r="DD8" s="83">
        <f t="shared" si="30"/>
        <v>1000</v>
      </c>
      <c r="DE8" s="58">
        <f t="shared" si="33"/>
        <v>400</v>
      </c>
      <c r="DF8" s="63">
        <v>0</v>
      </c>
    </row>
    <row r="9" spans="1:110">
      <c r="A9" s="75" t="s">
        <v>133</v>
      </c>
      <c r="B9" s="75">
        <f t="shared" si="34"/>
        <v>2.4390243902439036E-2</v>
      </c>
      <c r="C9" s="3">
        <v>0</v>
      </c>
      <c r="D9" s="64">
        <f>+BA10</f>
        <v>409.99999999999983</v>
      </c>
      <c r="E9" s="3">
        <v>10</v>
      </c>
      <c r="G9" s="60">
        <v>7</v>
      </c>
      <c r="H9" s="66">
        <f>1-SUM(H3:H8)</f>
        <v>1.0000000000000009E-2</v>
      </c>
      <c r="I9" s="62">
        <f>+SUM($H$3:H9)</f>
        <v>1</v>
      </c>
      <c r="J9" s="50">
        <v>2000</v>
      </c>
      <c r="K9" s="58">
        <f t="shared" si="0"/>
        <v>20.000000000000018</v>
      </c>
      <c r="L9" s="63">
        <v>0</v>
      </c>
      <c r="N9" s="60">
        <v>7</v>
      </c>
      <c r="O9" s="66">
        <f>1-SUM(O3:O8)</f>
        <v>2.0000000000000018E-2</v>
      </c>
      <c r="P9" s="62">
        <f>+SUM($O$3:O9)</f>
        <v>1</v>
      </c>
      <c r="Q9" s="58">
        <f t="shared" si="1"/>
        <v>2000</v>
      </c>
      <c r="R9" s="58">
        <f t="shared" si="2"/>
        <v>40.000000000000036</v>
      </c>
      <c r="S9" s="63">
        <v>0</v>
      </c>
      <c r="U9" s="60">
        <v>7</v>
      </c>
      <c r="V9" s="66">
        <f>1-SUM(V3:V8)</f>
        <v>2.0000000000000018E-2</v>
      </c>
      <c r="W9" s="62">
        <f>+SUM($V$3:V9)</f>
        <v>1</v>
      </c>
      <c r="X9" s="58">
        <f t="shared" si="3"/>
        <v>2000</v>
      </c>
      <c r="Y9" s="58">
        <f t="shared" si="4"/>
        <v>40.000000000000036</v>
      </c>
      <c r="Z9" s="63">
        <v>0</v>
      </c>
      <c r="AB9" s="60">
        <v>7</v>
      </c>
      <c r="AC9" s="66">
        <f>1-SUM(AC3:AC8)</f>
        <v>1.9999999999999907E-2</v>
      </c>
      <c r="AD9" s="62">
        <f>+SUM($AC$3:AC9)</f>
        <v>1</v>
      </c>
      <c r="AE9" s="58">
        <f t="shared" si="5"/>
        <v>2000</v>
      </c>
      <c r="AF9" s="58">
        <f t="shared" si="6"/>
        <v>39.999999999999815</v>
      </c>
      <c r="AG9" s="63">
        <v>0</v>
      </c>
      <c r="AI9" s="60">
        <v>7</v>
      </c>
      <c r="AJ9" s="66">
        <f>1-SUM(AJ3:AJ8)</f>
        <v>9.9999999999999978E-2</v>
      </c>
      <c r="AK9" s="62">
        <f>+SUM($AJ$3:AJ9)</f>
        <v>1</v>
      </c>
      <c r="AL9" s="58">
        <f t="shared" si="7"/>
        <v>2000</v>
      </c>
      <c r="AM9" s="58">
        <f t="shared" si="8"/>
        <v>199.99999999999994</v>
      </c>
      <c r="AN9" s="63">
        <v>0</v>
      </c>
      <c r="AP9" s="60">
        <v>7</v>
      </c>
      <c r="AQ9" s="66">
        <v>0</v>
      </c>
      <c r="AR9" s="62">
        <f>+SUM($AQ$3:AQ9)</f>
        <v>1</v>
      </c>
      <c r="AS9" s="58">
        <f t="shared" si="9"/>
        <v>2000</v>
      </c>
      <c r="AT9" s="58">
        <f t="shared" si="25"/>
        <v>0</v>
      </c>
      <c r="AU9" s="63">
        <v>0</v>
      </c>
      <c r="AW9" s="60">
        <v>7</v>
      </c>
      <c r="AX9" s="66">
        <f>1-SUM(AX3:AX8)</f>
        <v>1.9999999999999907E-2</v>
      </c>
      <c r="AY9" s="62">
        <f>+SUM($AX$3:AX9)</f>
        <v>1</v>
      </c>
      <c r="AZ9" s="58">
        <f t="shared" si="10"/>
        <v>2000</v>
      </c>
      <c r="BA9" s="58">
        <f t="shared" si="11"/>
        <v>39.999999999999815</v>
      </c>
      <c r="BB9" s="63">
        <v>0</v>
      </c>
      <c r="BD9" s="60">
        <v>7</v>
      </c>
      <c r="BE9" s="66">
        <f>1-SUM(BE3:BE8)</f>
        <v>3.0000000000000138E-2</v>
      </c>
      <c r="BF9" s="62">
        <f>+SUM($BE$3:BE9)</f>
        <v>1</v>
      </c>
      <c r="BG9" s="58">
        <f t="shared" si="12"/>
        <v>2000</v>
      </c>
      <c r="BH9" s="58">
        <f t="shared" si="13"/>
        <v>60.000000000000277</v>
      </c>
      <c r="BI9" s="63">
        <v>0</v>
      </c>
      <c r="BK9" s="60">
        <v>7</v>
      </c>
      <c r="BL9" s="66">
        <f>1-SUM(BL3:BL8)</f>
        <v>4.9999999999999933E-2</v>
      </c>
      <c r="BM9" s="62">
        <f>+SUM($BL$3:BL9)</f>
        <v>1</v>
      </c>
      <c r="BN9" s="58">
        <f t="shared" si="14"/>
        <v>2000</v>
      </c>
      <c r="BO9" s="58">
        <f t="shared" si="15"/>
        <v>99.999999999999872</v>
      </c>
      <c r="BP9" s="63">
        <v>0</v>
      </c>
      <c r="BR9" s="60">
        <v>7</v>
      </c>
      <c r="BS9" s="66">
        <f>1-SUM(BS3:BS8)</f>
        <v>7.0000000000000062E-2</v>
      </c>
      <c r="BT9" s="62">
        <f>+SUM($BS$3:BS9)</f>
        <v>1</v>
      </c>
      <c r="BU9" s="58">
        <f t="shared" si="16"/>
        <v>2000</v>
      </c>
      <c r="BV9" s="58">
        <f t="shared" si="17"/>
        <v>140.00000000000011</v>
      </c>
      <c r="BW9" s="63">
        <v>0</v>
      </c>
      <c r="BY9" s="60">
        <v>7</v>
      </c>
      <c r="BZ9" s="66">
        <f>1-SUM(BZ3:BZ8)</f>
        <v>9.9999999999998979E-3</v>
      </c>
      <c r="CA9" s="62">
        <f>+SUM($BZ$3:BZ9)</f>
        <v>1</v>
      </c>
      <c r="CB9" s="58">
        <f t="shared" si="18"/>
        <v>2000</v>
      </c>
      <c r="CC9" s="58">
        <f t="shared" si="19"/>
        <v>19.999999999999794</v>
      </c>
      <c r="CD9" s="63">
        <v>0</v>
      </c>
      <c r="CF9" s="60">
        <v>7</v>
      </c>
      <c r="CG9" s="66">
        <f>1-SUM(CG3:CG8)</f>
        <v>2.0000000000000018E-2</v>
      </c>
      <c r="CH9" s="62">
        <f>+SUM($CG$3:CG9)</f>
        <v>1</v>
      </c>
      <c r="CI9" s="58">
        <f t="shared" si="20"/>
        <v>2000</v>
      </c>
      <c r="CJ9" s="58">
        <f t="shared" si="21"/>
        <v>40.000000000000036</v>
      </c>
      <c r="CK9" s="63">
        <v>0</v>
      </c>
      <c r="CM9" s="60">
        <v>7</v>
      </c>
      <c r="CN9" s="66">
        <f>1-SUM(CN3:CN8)</f>
        <v>1.0000000000000009E-2</v>
      </c>
      <c r="CO9" s="62">
        <f>+SUM($CN$3:CN9)</f>
        <v>1</v>
      </c>
      <c r="CP9" s="83">
        <f t="shared" si="27"/>
        <v>2000</v>
      </c>
      <c r="CQ9" s="58">
        <f t="shared" si="31"/>
        <v>20.000000000000018</v>
      </c>
      <c r="CR9" s="63">
        <v>0</v>
      </c>
      <c r="CT9" s="60">
        <v>7</v>
      </c>
      <c r="CU9" s="66">
        <f>1-SUM(CU3:CU8)</f>
        <v>1.0000000000000009E-2</v>
      </c>
      <c r="CV9" s="62">
        <f>+SUM($CU$3:CU9)</f>
        <v>1</v>
      </c>
      <c r="CW9" s="84">
        <f t="shared" si="29"/>
        <v>4000</v>
      </c>
      <c r="CX9" s="58">
        <f t="shared" si="32"/>
        <v>40.000000000000036</v>
      </c>
      <c r="CY9" s="63">
        <v>0</v>
      </c>
      <c r="DA9" s="60">
        <v>7</v>
      </c>
      <c r="DB9" s="66">
        <f>1-SUM(DB3:DB8)</f>
        <v>9.9999999999999978E-2</v>
      </c>
      <c r="DC9" s="62">
        <f>+SUM($DB$3:DB9)</f>
        <v>1</v>
      </c>
      <c r="DD9" s="83">
        <f t="shared" si="30"/>
        <v>2000</v>
      </c>
      <c r="DE9" s="58">
        <f t="shared" si="33"/>
        <v>199.99999999999994</v>
      </c>
      <c r="DF9" s="63">
        <v>0</v>
      </c>
    </row>
    <row r="10" spans="1:110">
      <c r="A10" s="75" t="s">
        <v>134</v>
      </c>
      <c r="B10" s="75">
        <f t="shared" si="34"/>
        <v>2.2155085599194348E-2</v>
      </c>
      <c r="C10" s="3">
        <v>0</v>
      </c>
      <c r="D10" s="64">
        <f>+BH10</f>
        <v>496.50000000000028</v>
      </c>
      <c r="E10" s="3">
        <v>11</v>
      </c>
      <c r="G10" s="50" t="s">
        <v>70</v>
      </c>
      <c r="H10" s="50">
        <f>+SUM(H3:H9)</f>
        <v>1</v>
      </c>
      <c r="I10" s="50"/>
      <c r="J10" s="50"/>
      <c r="K10" s="51">
        <f>+SUM(K3:K9)</f>
        <v>165.00000000000003</v>
      </c>
      <c r="L10" s="51"/>
      <c r="N10" s="50" t="s">
        <v>70</v>
      </c>
      <c r="O10" s="50">
        <f>+SUM(O3:O9)</f>
        <v>1</v>
      </c>
      <c r="P10" s="50"/>
      <c r="Q10" s="50"/>
      <c r="R10" s="51">
        <f>+SUM(R3:R9)</f>
        <v>284.50000000000006</v>
      </c>
      <c r="S10" s="51"/>
      <c r="U10" s="50" t="s">
        <v>70</v>
      </c>
      <c r="V10" s="50">
        <f>+SUM(V3:V9)</f>
        <v>1</v>
      </c>
      <c r="W10" s="50"/>
      <c r="X10" s="50"/>
      <c r="Y10" s="51">
        <f>+SUM(Y3:Y9)</f>
        <v>339.50000000000006</v>
      </c>
      <c r="Z10" s="51"/>
      <c r="AB10" s="50" t="s">
        <v>70</v>
      </c>
      <c r="AC10" s="50">
        <f>+SUM(AC3:AC9)</f>
        <v>1</v>
      </c>
      <c r="AD10" s="50"/>
      <c r="AE10" s="50"/>
      <c r="AF10" s="51">
        <f>+SUM(AF3:AF9)</f>
        <v>389.99999999999983</v>
      </c>
      <c r="AG10" s="51"/>
      <c r="AI10" s="50" t="s">
        <v>70</v>
      </c>
      <c r="AJ10" s="50">
        <f>+SUM(AJ3:AJ9)</f>
        <v>1</v>
      </c>
      <c r="AK10" s="50"/>
      <c r="AL10" s="50"/>
      <c r="AM10" s="51">
        <f>+SUM(AM3:AM9)</f>
        <v>962.5</v>
      </c>
      <c r="AN10" s="51"/>
      <c r="AP10" s="50" t="s">
        <v>70</v>
      </c>
      <c r="AQ10" s="50">
        <f>+SUM(AQ3:AQ9)</f>
        <v>1</v>
      </c>
      <c r="AR10" s="50"/>
      <c r="AS10" s="50"/>
      <c r="AT10" s="51">
        <f>+SUM(AT3:AT9)</f>
        <v>189.99999999999997</v>
      </c>
      <c r="AU10" s="51"/>
      <c r="AW10" s="50" t="s">
        <v>70</v>
      </c>
      <c r="AX10" s="50">
        <f>+SUM(AX3:AX9)</f>
        <v>1</v>
      </c>
      <c r="AY10" s="50"/>
      <c r="AZ10" s="50"/>
      <c r="BA10" s="51">
        <f>+SUM(BA3:BA9)</f>
        <v>409.99999999999983</v>
      </c>
      <c r="BB10" s="51"/>
      <c r="BD10" s="50" t="s">
        <v>70</v>
      </c>
      <c r="BE10" s="50">
        <f>+SUM(BE3:BE9)</f>
        <v>1</v>
      </c>
      <c r="BF10" s="50"/>
      <c r="BG10" s="50"/>
      <c r="BH10" s="51">
        <f>+SUM(BH3:BH9)</f>
        <v>496.50000000000028</v>
      </c>
      <c r="BI10" s="51"/>
      <c r="BK10" s="50" t="s">
        <v>70</v>
      </c>
      <c r="BL10" s="50">
        <f>+SUM(BL3:BL9)</f>
        <v>1</v>
      </c>
      <c r="BM10" s="50"/>
      <c r="BN10" s="50"/>
      <c r="BO10" s="51">
        <f>+SUM(BO3:BO9)</f>
        <v>447.49999999999989</v>
      </c>
      <c r="BP10" s="51"/>
      <c r="BR10" s="50" t="s">
        <v>70</v>
      </c>
      <c r="BS10" s="50">
        <f>+SUM(BS3:BS9)</f>
        <v>1</v>
      </c>
      <c r="BT10" s="50"/>
      <c r="BU10" s="50"/>
      <c r="BV10" s="51">
        <f>+SUM(BV3:BV9)</f>
        <v>442.00000000000011</v>
      </c>
      <c r="BW10" s="51"/>
      <c r="BY10" s="50" t="s">
        <v>70</v>
      </c>
      <c r="BZ10" s="50">
        <f>+SUM(BZ3:BZ9)</f>
        <v>1</v>
      </c>
      <c r="CA10" s="50"/>
      <c r="CB10" s="50"/>
      <c r="CC10" s="51">
        <f>+SUM(CC3:CC9)</f>
        <v>201.9999999999998</v>
      </c>
      <c r="CD10" s="51"/>
      <c r="CF10" s="50" t="s">
        <v>70</v>
      </c>
      <c r="CG10" s="50">
        <f>+SUM(CG3:CG9)</f>
        <v>1</v>
      </c>
      <c r="CH10" s="50"/>
      <c r="CI10" s="50"/>
      <c r="CJ10" s="51">
        <f>+SUM(CJ3:CJ9)</f>
        <v>410.00000000000006</v>
      </c>
      <c r="CK10" s="51"/>
      <c r="CM10" s="50" t="s">
        <v>70</v>
      </c>
      <c r="CN10" s="50">
        <f>+SUM(CN3:CN9)</f>
        <v>1</v>
      </c>
      <c r="CO10" s="50"/>
      <c r="CP10" s="50"/>
      <c r="CQ10" s="51">
        <f>+SUM(CQ3:CQ9)</f>
        <v>165.00000000000003</v>
      </c>
      <c r="CR10" s="51"/>
      <c r="CT10" s="50" t="s">
        <v>70</v>
      </c>
      <c r="CU10" s="50">
        <f>+SUM(CU3:CU9)</f>
        <v>1</v>
      </c>
      <c r="CV10" s="50"/>
      <c r="CW10" s="50"/>
      <c r="CX10" s="51">
        <f>+SUM(CX3:CX9)</f>
        <v>330.00000000000006</v>
      </c>
      <c r="CY10" s="51"/>
      <c r="DA10" s="50" t="s">
        <v>70</v>
      </c>
      <c r="DB10" s="50">
        <f>+SUM(DB3:DB9)</f>
        <v>1</v>
      </c>
      <c r="DC10" s="50"/>
      <c r="DD10" s="50"/>
      <c r="DE10" s="51">
        <f>+SUM(DE3:DE9)</f>
        <v>925</v>
      </c>
      <c r="DF10" s="51"/>
    </row>
    <row r="11" spans="1:110">
      <c r="A11" s="75" t="s">
        <v>135</v>
      </c>
      <c r="B11" s="75">
        <f t="shared" si="34"/>
        <v>2.4581005586592184E-2</v>
      </c>
      <c r="C11" s="3">
        <v>0</v>
      </c>
      <c r="D11" s="64">
        <f>+BO10</f>
        <v>447.49999999999989</v>
      </c>
      <c r="E11" s="3">
        <v>11</v>
      </c>
    </row>
    <row r="12" spans="1:110">
      <c r="A12" s="75" t="s">
        <v>136</v>
      </c>
      <c r="B12" s="75">
        <f t="shared" si="34"/>
        <v>2.2624434389140264E-2</v>
      </c>
      <c r="C12" s="3">
        <v>0</v>
      </c>
      <c r="D12" s="64">
        <f>+BV10</f>
        <v>442.00000000000011</v>
      </c>
      <c r="E12" s="3">
        <v>10</v>
      </c>
    </row>
    <row r="13" spans="1:110">
      <c r="A13" s="85" t="s">
        <v>164</v>
      </c>
      <c r="B13" s="58">
        <f>+E13/D13</f>
        <v>7.9393939393939388E-3</v>
      </c>
      <c r="C13" s="3">
        <f>1/B13/Summary!$C$7</f>
        <v>0.12595419847328246</v>
      </c>
      <c r="D13" s="86">
        <f>+CQ10</f>
        <v>165.00000000000003</v>
      </c>
      <c r="E13" s="3">
        <f>+E3*2</f>
        <v>1.31</v>
      </c>
    </row>
    <row r="14" spans="1:110">
      <c r="A14" s="85" t="s">
        <v>165</v>
      </c>
      <c r="B14" s="58">
        <f>+E14/D14</f>
        <v>3.9696969696969694E-3</v>
      </c>
      <c r="C14" s="3">
        <f>1/B14/Summary!$C$7</f>
        <v>0.25190839694656492</v>
      </c>
      <c r="D14" s="86">
        <f>+CX10</f>
        <v>330.00000000000006</v>
      </c>
      <c r="E14" s="3">
        <f>+E13</f>
        <v>1.31</v>
      </c>
    </row>
    <row r="15" spans="1:110">
      <c r="A15" s="75" t="s">
        <v>163</v>
      </c>
      <c r="B15" s="58">
        <f>+E15/D15</f>
        <v>2.1621621621621623E-2</v>
      </c>
      <c r="C15" s="3">
        <v>0</v>
      </c>
      <c r="D15" s="86">
        <f>+DE10</f>
        <v>925</v>
      </c>
      <c r="E15" s="3">
        <v>20</v>
      </c>
    </row>
    <row r="16" spans="1:110">
      <c r="A16" s="3" t="s">
        <v>116</v>
      </c>
      <c r="B16" s="58">
        <f>+E16/D16</f>
        <v>0.12195121951219511</v>
      </c>
      <c r="C16" s="3">
        <v>0</v>
      </c>
      <c r="D16" s="64">
        <f>+CJ10</f>
        <v>410.00000000000006</v>
      </c>
      <c r="E16" s="3">
        <v>50</v>
      </c>
    </row>
    <row r="17" spans="1:3">
      <c r="A17" s="3" t="s">
        <v>117</v>
      </c>
      <c r="B17" s="65" t="str">
        <f>+CONCATENATE("x",J3," - x",J9)</f>
        <v>x50 - x2000</v>
      </c>
    </row>
    <row r="19" spans="1:3">
      <c r="A19" t="s">
        <v>169</v>
      </c>
    </row>
    <row r="22" spans="1:3">
      <c r="C22" s="92"/>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36" operator="lessThan">
      <formula>0</formula>
    </cfRule>
    <cfRule type="cellIs" priority="137" operator="greaterThan">
      <formula>1</formula>
    </cfRule>
  </conditionalFormatting>
  <conditionalFormatting sqref="AJ3:AJ9 AQ3:AQ9 AX3:AX9 BZ3:BZ9 BE3:BE9 BL3:BL9 BS3:BS9 H3:H9 O3:O9 V3:V9 AC3:AC9 CG3:CG9 CN3:CN9 CU3:CU9 DB3:DB9">
    <cfRule type="cellIs" priority="135" operator="equal">
      <formula>0</formula>
    </cfRule>
  </conditionalFormatting>
  <conditionalFormatting sqref="B3:B16">
    <cfRule type="cellIs" priority="133" operator="greaterThan">
      <formula>1</formula>
    </cfRule>
    <cfRule type="cellIs" priority="134"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8.xml><?xml version="1.0" encoding="utf-8"?>
<worksheet xmlns="http://schemas.openxmlformats.org/spreadsheetml/2006/main" xmlns:r="http://schemas.openxmlformats.org/officeDocument/2006/relationships">
  <sheetPr codeName="Hoja44"/>
  <dimension ref="A1:DF19"/>
  <sheetViews>
    <sheetView workbookViewId="0">
      <pane xSplit="6" ySplit="1" topLeftCell="CW2" activePane="bottomRight" state="frozen"/>
      <selection pane="topRight" activeCell="G1" sqref="G1"/>
      <selection pane="bottomLeft" activeCell="A2" sqref="A2"/>
      <selection pane="bottomRight" activeCell="E7" sqref="E7"/>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38" width="11.5546875" customWidth="1"/>
    <col min="39" max="39" width="11.77734375" customWidth="1"/>
    <col min="40"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124</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2.5889328063241103E-3</v>
      </c>
      <c r="C3" s="3">
        <f>1/B3/Summary!$C$7</f>
        <v>0.38625954198473289</v>
      </c>
      <c r="D3" s="59">
        <f>+K10</f>
        <v>253.00000000000003</v>
      </c>
      <c r="E3" s="3">
        <v>0.65500000000000003</v>
      </c>
      <c r="G3" s="60">
        <v>1</v>
      </c>
      <c r="H3" s="61">
        <v>0.2</v>
      </c>
      <c r="I3" s="62">
        <f>+SUM($H3:H3)</f>
        <v>0.2</v>
      </c>
      <c r="J3" s="50">
        <v>75</v>
      </c>
      <c r="K3" s="58">
        <f t="shared" ref="K3:K9" si="0">+H3*J3</f>
        <v>15</v>
      </c>
      <c r="L3" s="63">
        <v>0</v>
      </c>
      <c r="N3" s="60">
        <v>1</v>
      </c>
      <c r="O3" s="61">
        <v>0.1</v>
      </c>
      <c r="P3" s="62">
        <f>+SUM($O3:O$3)</f>
        <v>0.1</v>
      </c>
      <c r="Q3" s="58">
        <f t="shared" ref="Q3:Q9" si="1">+J3</f>
        <v>75</v>
      </c>
      <c r="R3" s="58">
        <f t="shared" ref="R3:R9" si="2">+O3*Q3</f>
        <v>7.5</v>
      </c>
      <c r="S3" s="63">
        <v>0</v>
      </c>
      <c r="U3" s="60">
        <v>1</v>
      </c>
      <c r="V3" s="61">
        <v>0.19</v>
      </c>
      <c r="W3" s="62">
        <f>+SUM($V3:V$3)</f>
        <v>0.19</v>
      </c>
      <c r="X3" s="58">
        <f t="shared" ref="X3:X9" si="3">+J3</f>
        <v>75</v>
      </c>
      <c r="Y3" s="58">
        <f t="shared" ref="Y3:Y9" si="4">+V3*X3</f>
        <v>14.25</v>
      </c>
      <c r="Z3" s="63">
        <v>0</v>
      </c>
      <c r="AB3" s="60">
        <v>1</v>
      </c>
      <c r="AC3" s="61">
        <v>0.05</v>
      </c>
      <c r="AD3" s="62">
        <f>+SUM($AC$3:AC3)</f>
        <v>0.05</v>
      </c>
      <c r="AE3" s="58">
        <f t="shared" ref="AE3:AE9" si="5">+J3</f>
        <v>75</v>
      </c>
      <c r="AF3" s="58">
        <f t="shared" ref="AF3:AF9" si="6">+AC3*AE3</f>
        <v>3.75</v>
      </c>
      <c r="AG3" s="63">
        <v>0</v>
      </c>
      <c r="AI3" s="60">
        <v>1</v>
      </c>
      <c r="AJ3" s="61">
        <v>0</v>
      </c>
      <c r="AK3" s="62">
        <f>+SUM(AJ3:$AJ3)</f>
        <v>0</v>
      </c>
      <c r="AL3" s="58">
        <f t="shared" ref="AL3:AL9" si="7">+Q3</f>
        <v>75</v>
      </c>
      <c r="AM3" s="58">
        <f t="shared" ref="AM3:AM9" si="8">+AJ3*AL3</f>
        <v>0</v>
      </c>
      <c r="AN3" s="63">
        <v>0</v>
      </c>
      <c r="AP3" s="60">
        <v>1</v>
      </c>
      <c r="AQ3" s="61">
        <v>0.3</v>
      </c>
      <c r="AR3" s="62">
        <f>+SUM($AQ$3:AQ3)</f>
        <v>0.3</v>
      </c>
      <c r="AS3" s="58">
        <f t="shared" ref="AS3:AS9" si="9">+X3</f>
        <v>75</v>
      </c>
      <c r="AT3" s="58">
        <f>+AQ3*AS3</f>
        <v>22.5</v>
      </c>
      <c r="AU3" s="63">
        <v>0</v>
      </c>
      <c r="AW3" s="60">
        <v>1</v>
      </c>
      <c r="AX3" s="61">
        <v>0.05</v>
      </c>
      <c r="AY3" s="62">
        <f>+SUM($AX$3:AX3)</f>
        <v>0.05</v>
      </c>
      <c r="AZ3" s="58">
        <f t="shared" ref="AZ3:AZ9" si="10">+AE3</f>
        <v>75</v>
      </c>
      <c r="BA3" s="58">
        <f t="shared" ref="BA3:BA9" si="11">+AX3*AZ3</f>
        <v>3.75</v>
      </c>
      <c r="BB3" s="63">
        <v>0</v>
      </c>
      <c r="BD3" s="60">
        <v>1</v>
      </c>
      <c r="BE3" s="61">
        <v>0.12</v>
      </c>
      <c r="BF3" s="62">
        <f>+SUM($BE$3:BE3)</f>
        <v>0.12</v>
      </c>
      <c r="BG3" s="58">
        <f t="shared" ref="BG3:BG9" si="12">+AL3</f>
        <v>75</v>
      </c>
      <c r="BH3" s="58">
        <f t="shared" ref="BH3:BH9" si="13">+BE3*BG3</f>
        <v>9</v>
      </c>
      <c r="BI3" s="63">
        <v>0</v>
      </c>
      <c r="BK3" s="60">
        <v>1</v>
      </c>
      <c r="BL3" s="61">
        <v>0.25</v>
      </c>
      <c r="BM3" s="62">
        <f>+SUM($BL$3:BL3)</f>
        <v>0.25</v>
      </c>
      <c r="BN3" s="58">
        <f t="shared" ref="BN3:BN9" si="14">+AS3</f>
        <v>75</v>
      </c>
      <c r="BO3" s="58">
        <f t="shared" ref="BO3:BO9" si="15">+BL3*BN3</f>
        <v>18.75</v>
      </c>
      <c r="BP3" s="63">
        <v>0</v>
      </c>
      <c r="BR3" s="60">
        <v>1</v>
      </c>
      <c r="BS3" s="61">
        <v>0.3</v>
      </c>
      <c r="BT3" s="62">
        <f>+SUM($BS$3:BS3)</f>
        <v>0.3</v>
      </c>
      <c r="BU3" s="58">
        <f t="shared" ref="BU3:BU9" si="16">+AZ3</f>
        <v>75</v>
      </c>
      <c r="BV3" s="58">
        <f t="shared" ref="BV3:BV9" si="17">+BS3*BU3</f>
        <v>22.5</v>
      </c>
      <c r="BW3" s="63">
        <v>0</v>
      </c>
      <c r="BY3" s="60">
        <v>1</v>
      </c>
      <c r="BZ3" s="61">
        <v>0.34</v>
      </c>
      <c r="CA3" s="62">
        <f>+SUM($BZ$3:BZ3)</f>
        <v>0.34</v>
      </c>
      <c r="CB3" s="58">
        <f t="shared" ref="CB3:CB9" si="18">+BG3</f>
        <v>75</v>
      </c>
      <c r="CC3" s="58">
        <f t="shared" ref="CC3:CC9" si="19">+BZ3*CB3</f>
        <v>25.500000000000004</v>
      </c>
      <c r="CD3" s="63">
        <v>0</v>
      </c>
      <c r="CF3" s="60">
        <v>1</v>
      </c>
      <c r="CG3" s="61">
        <v>0</v>
      </c>
      <c r="CH3" s="62">
        <f>+SUM($CG$3:CG3)</f>
        <v>0</v>
      </c>
      <c r="CI3" s="58">
        <f t="shared" ref="CI3:CI9" si="20">+BG3</f>
        <v>75</v>
      </c>
      <c r="CJ3" s="58">
        <f t="shared" ref="CJ3:CJ9" si="21">+CG3*CI3</f>
        <v>0</v>
      </c>
      <c r="CK3" s="63">
        <v>0</v>
      </c>
      <c r="CM3" s="60">
        <v>1</v>
      </c>
      <c r="CN3" s="61">
        <f>+H3</f>
        <v>0.2</v>
      </c>
      <c r="CO3" s="62">
        <f>+SUM($CN$3:CN3)</f>
        <v>0.2</v>
      </c>
      <c r="CP3" s="83">
        <f>+J3</f>
        <v>75</v>
      </c>
      <c r="CQ3" s="58">
        <f t="shared" ref="CQ3" si="22">+CN3*CP3</f>
        <v>15</v>
      </c>
      <c r="CR3" s="63">
        <v>0</v>
      </c>
      <c r="CT3" s="60">
        <v>1</v>
      </c>
      <c r="CU3" s="61">
        <f>+H3</f>
        <v>0.2</v>
      </c>
      <c r="CV3" s="62">
        <f>+SUM($CU$3:CU3)</f>
        <v>0.2</v>
      </c>
      <c r="CW3" s="84">
        <f>+J3*2</f>
        <v>150</v>
      </c>
      <c r="CX3" s="58">
        <f t="shared" ref="CX3" si="23">+CU3*CW3</f>
        <v>30</v>
      </c>
      <c r="CY3" s="63">
        <v>0</v>
      </c>
      <c r="DA3" s="60">
        <v>1</v>
      </c>
      <c r="DB3" s="61">
        <v>0</v>
      </c>
      <c r="DC3" s="62">
        <f>+SUM($DB$3:DB3)</f>
        <v>0</v>
      </c>
      <c r="DD3" s="83">
        <f>+J3</f>
        <v>75</v>
      </c>
      <c r="DE3" s="58">
        <f t="shared" ref="DE3" si="24">+DB3*DD3</f>
        <v>0</v>
      </c>
      <c r="DF3" s="63">
        <v>0</v>
      </c>
    </row>
    <row r="4" spans="1:110">
      <c r="A4" s="3" t="s">
        <v>113</v>
      </c>
      <c r="B4" s="58">
        <f>+E4/D4</f>
        <v>1.1627906976744184E-2</v>
      </c>
      <c r="C4" s="3">
        <v>0</v>
      </c>
      <c r="D4" s="64">
        <f>+R10</f>
        <v>430.00000000000006</v>
      </c>
      <c r="E4" s="3">
        <v>5</v>
      </c>
      <c r="G4" s="60">
        <v>2</v>
      </c>
      <c r="H4" s="61">
        <v>0.32</v>
      </c>
      <c r="I4" s="62">
        <f>+SUM($H$3:H4)</f>
        <v>0.52</v>
      </c>
      <c r="J4" s="50">
        <v>150</v>
      </c>
      <c r="K4" s="58">
        <f t="shared" si="0"/>
        <v>48</v>
      </c>
      <c r="L4" s="63">
        <v>0</v>
      </c>
      <c r="N4" s="60">
        <v>2</v>
      </c>
      <c r="O4" s="61">
        <v>0.25</v>
      </c>
      <c r="P4" s="62">
        <f>+SUM($O$3:O4)</f>
        <v>0.35</v>
      </c>
      <c r="Q4" s="58">
        <f t="shared" si="1"/>
        <v>150</v>
      </c>
      <c r="R4" s="58">
        <f t="shared" si="2"/>
        <v>37.5</v>
      </c>
      <c r="S4" s="63">
        <v>0</v>
      </c>
      <c r="U4" s="60">
        <v>2</v>
      </c>
      <c r="V4" s="61">
        <v>0.24</v>
      </c>
      <c r="W4" s="62">
        <f>+SUM($V$3:V4)</f>
        <v>0.43</v>
      </c>
      <c r="X4" s="58">
        <f t="shared" si="3"/>
        <v>150</v>
      </c>
      <c r="Y4" s="58">
        <f t="shared" si="4"/>
        <v>36</v>
      </c>
      <c r="Z4" s="63">
        <v>0</v>
      </c>
      <c r="AB4" s="60">
        <v>2</v>
      </c>
      <c r="AC4" s="61">
        <v>0.25</v>
      </c>
      <c r="AD4" s="62">
        <f>+SUM($AC$3:AC4)</f>
        <v>0.3</v>
      </c>
      <c r="AE4" s="58">
        <f t="shared" si="5"/>
        <v>150</v>
      </c>
      <c r="AF4" s="58">
        <f t="shared" si="6"/>
        <v>37.5</v>
      </c>
      <c r="AG4" s="63">
        <v>0</v>
      </c>
      <c r="AI4" s="60">
        <v>2</v>
      </c>
      <c r="AJ4" s="61">
        <v>0</v>
      </c>
      <c r="AK4" s="62">
        <f>+SUM($AJ$3:AJ4)</f>
        <v>0</v>
      </c>
      <c r="AL4" s="58">
        <f t="shared" si="7"/>
        <v>150</v>
      </c>
      <c r="AM4" s="58">
        <f t="shared" si="8"/>
        <v>0</v>
      </c>
      <c r="AN4" s="63">
        <v>0</v>
      </c>
      <c r="AP4" s="60">
        <v>2</v>
      </c>
      <c r="AQ4" s="61">
        <v>0.2</v>
      </c>
      <c r="AR4" s="62">
        <f>+SUM($AQ$3:AQ4)</f>
        <v>0.5</v>
      </c>
      <c r="AS4" s="58">
        <f t="shared" si="9"/>
        <v>150</v>
      </c>
      <c r="AT4" s="58">
        <f t="shared" ref="AT4:AT9" si="25">+AQ4*AS4</f>
        <v>30</v>
      </c>
      <c r="AU4" s="63">
        <v>0</v>
      </c>
      <c r="AW4" s="60">
        <v>2</v>
      </c>
      <c r="AX4" s="61">
        <v>0.2</v>
      </c>
      <c r="AY4" s="62">
        <f>+SUM($AX$3:AX4)</f>
        <v>0.25</v>
      </c>
      <c r="AZ4" s="58">
        <f t="shared" si="10"/>
        <v>150</v>
      </c>
      <c r="BA4" s="58">
        <f t="shared" si="11"/>
        <v>30</v>
      </c>
      <c r="BB4" s="63">
        <v>0</v>
      </c>
      <c r="BD4" s="60">
        <v>2</v>
      </c>
      <c r="BE4" s="61">
        <v>0.2</v>
      </c>
      <c r="BF4" s="62">
        <f>+SUM($BE$3:BE4)</f>
        <v>0.32</v>
      </c>
      <c r="BG4" s="58">
        <f t="shared" si="12"/>
        <v>150</v>
      </c>
      <c r="BH4" s="58">
        <f t="shared" si="13"/>
        <v>30</v>
      </c>
      <c r="BI4" s="63">
        <v>0</v>
      </c>
      <c r="BK4" s="60">
        <v>2</v>
      </c>
      <c r="BL4" s="61">
        <v>0.25</v>
      </c>
      <c r="BM4" s="62">
        <f>+SUM($BL$3:BL4)</f>
        <v>0.5</v>
      </c>
      <c r="BN4" s="58">
        <f t="shared" si="14"/>
        <v>150</v>
      </c>
      <c r="BO4" s="58">
        <f t="shared" si="15"/>
        <v>37.5</v>
      </c>
      <c r="BP4" s="63">
        <v>0</v>
      </c>
      <c r="BR4" s="60">
        <v>2</v>
      </c>
      <c r="BS4" s="61">
        <v>0.2</v>
      </c>
      <c r="BT4" s="62">
        <f>+SUM($BS$3:BS4)</f>
        <v>0.5</v>
      </c>
      <c r="BU4" s="58">
        <f t="shared" si="16"/>
        <v>150</v>
      </c>
      <c r="BV4" s="58">
        <f t="shared" si="17"/>
        <v>30</v>
      </c>
      <c r="BW4" s="63">
        <v>0</v>
      </c>
      <c r="BY4" s="60">
        <v>2</v>
      </c>
      <c r="BZ4" s="61">
        <v>0.3</v>
      </c>
      <c r="CA4" s="62">
        <f>+SUM($BZ$3:BZ4)</f>
        <v>0.64</v>
      </c>
      <c r="CB4" s="58">
        <f t="shared" si="18"/>
        <v>150</v>
      </c>
      <c r="CC4" s="58">
        <f t="shared" si="19"/>
        <v>45</v>
      </c>
      <c r="CD4" s="63">
        <v>0</v>
      </c>
      <c r="CF4" s="60">
        <v>2</v>
      </c>
      <c r="CG4" s="61">
        <v>0.1</v>
      </c>
      <c r="CH4" s="62">
        <f>+SUM($CG$3:CG4)</f>
        <v>0.1</v>
      </c>
      <c r="CI4" s="58">
        <f t="shared" si="20"/>
        <v>150</v>
      </c>
      <c r="CJ4" s="58">
        <f t="shared" si="21"/>
        <v>15</v>
      </c>
      <c r="CK4" s="63">
        <v>0</v>
      </c>
      <c r="CM4" s="60">
        <v>2</v>
      </c>
      <c r="CN4" s="61">
        <f t="shared" ref="CN4:CN8" si="26">+H4</f>
        <v>0.32</v>
      </c>
      <c r="CO4" s="62">
        <f>+SUM($CN$3:CN4)</f>
        <v>0.52</v>
      </c>
      <c r="CP4" s="83">
        <f t="shared" ref="CP4:CP9" si="27">+J4</f>
        <v>150</v>
      </c>
      <c r="CQ4" s="58">
        <f>+CN4*CP4</f>
        <v>48</v>
      </c>
      <c r="CR4" s="63">
        <v>0</v>
      </c>
      <c r="CT4" s="60">
        <v>2</v>
      </c>
      <c r="CU4" s="61">
        <f t="shared" ref="CU4:CU8" si="28">+H4</f>
        <v>0.32</v>
      </c>
      <c r="CV4" s="62">
        <f>+SUM($CU$3:CU4)</f>
        <v>0.52</v>
      </c>
      <c r="CW4" s="84">
        <f t="shared" ref="CW4:CW9" si="29">+J4*2</f>
        <v>300</v>
      </c>
      <c r="CX4" s="58">
        <f>+CU4*CW4</f>
        <v>96</v>
      </c>
      <c r="CY4" s="63">
        <v>0</v>
      </c>
      <c r="DA4" s="60">
        <v>2</v>
      </c>
      <c r="DB4" s="61">
        <v>0</v>
      </c>
      <c r="DC4" s="62">
        <f>+SUM($DB$3:DB4)</f>
        <v>0</v>
      </c>
      <c r="DD4" s="83">
        <f t="shared" ref="DD4:DD9" si="30">+J4</f>
        <v>150</v>
      </c>
      <c r="DE4" s="58">
        <f>+DB4*DD4</f>
        <v>0</v>
      </c>
      <c r="DF4" s="63">
        <v>0</v>
      </c>
    </row>
    <row r="5" spans="1:110">
      <c r="A5" s="3" t="s">
        <v>114</v>
      </c>
      <c r="B5" s="58">
        <f>+E5/D5</f>
        <v>1.5377222489187888E-2</v>
      </c>
      <c r="C5" s="3">
        <v>0</v>
      </c>
      <c r="D5" s="64">
        <f>+Y10</f>
        <v>520.25000000000011</v>
      </c>
      <c r="E5" s="3">
        <v>8</v>
      </c>
      <c r="G5" s="60">
        <v>3</v>
      </c>
      <c r="H5" s="61">
        <v>0.4</v>
      </c>
      <c r="I5" s="62">
        <f>+SUM($H$3:H5)</f>
        <v>0.92</v>
      </c>
      <c r="J5" s="50">
        <v>300</v>
      </c>
      <c r="K5" s="58">
        <f t="shared" si="0"/>
        <v>120</v>
      </c>
      <c r="L5" s="63">
        <v>0</v>
      </c>
      <c r="N5" s="60">
        <v>3</v>
      </c>
      <c r="O5" s="61">
        <v>0.4</v>
      </c>
      <c r="P5" s="62">
        <f>+SUM($O$3:O5)</f>
        <v>0.75</v>
      </c>
      <c r="Q5" s="58">
        <f t="shared" si="1"/>
        <v>300</v>
      </c>
      <c r="R5" s="58">
        <f t="shared" si="2"/>
        <v>120</v>
      </c>
      <c r="S5" s="63">
        <v>0</v>
      </c>
      <c r="U5" s="60">
        <v>3</v>
      </c>
      <c r="V5" s="61">
        <v>0.2</v>
      </c>
      <c r="W5" s="62">
        <f>+SUM($V$3:V5)</f>
        <v>0.63</v>
      </c>
      <c r="X5" s="58">
        <f t="shared" si="3"/>
        <v>300</v>
      </c>
      <c r="Y5" s="58">
        <f t="shared" si="4"/>
        <v>60</v>
      </c>
      <c r="Z5" s="63">
        <v>0</v>
      </c>
      <c r="AB5" s="60">
        <v>3</v>
      </c>
      <c r="AC5" s="61">
        <v>0.3</v>
      </c>
      <c r="AD5" s="62">
        <f>+SUM($AC$3:AC5)</f>
        <v>0.6</v>
      </c>
      <c r="AE5" s="58">
        <f t="shared" si="5"/>
        <v>300</v>
      </c>
      <c r="AF5" s="58">
        <f t="shared" si="6"/>
        <v>90</v>
      </c>
      <c r="AG5" s="63">
        <v>0</v>
      </c>
      <c r="AI5" s="60">
        <v>3</v>
      </c>
      <c r="AJ5" s="61">
        <v>0</v>
      </c>
      <c r="AK5" s="62">
        <f>+SUM($AJ$3:AJ5)</f>
        <v>0</v>
      </c>
      <c r="AL5" s="58">
        <f t="shared" si="7"/>
        <v>300</v>
      </c>
      <c r="AM5" s="58">
        <f t="shared" si="8"/>
        <v>0</v>
      </c>
      <c r="AN5" s="63">
        <v>0</v>
      </c>
      <c r="AP5" s="60">
        <v>3</v>
      </c>
      <c r="AQ5" s="61">
        <v>0.25</v>
      </c>
      <c r="AR5" s="62">
        <f>+SUM($AQ$3:AQ5)</f>
        <v>0.75</v>
      </c>
      <c r="AS5" s="58">
        <f t="shared" si="9"/>
        <v>300</v>
      </c>
      <c r="AT5" s="58">
        <f t="shared" si="25"/>
        <v>75</v>
      </c>
      <c r="AU5" s="63">
        <v>0</v>
      </c>
      <c r="AW5" s="60">
        <v>3</v>
      </c>
      <c r="AX5" s="61">
        <v>0.3</v>
      </c>
      <c r="AY5" s="62">
        <f>+SUM($AX$3:AX5)</f>
        <v>0.55000000000000004</v>
      </c>
      <c r="AZ5" s="58">
        <f t="shared" si="10"/>
        <v>300</v>
      </c>
      <c r="BA5" s="58">
        <f t="shared" si="11"/>
        <v>90</v>
      </c>
      <c r="BB5" s="63">
        <v>0</v>
      </c>
      <c r="BD5" s="60">
        <v>3</v>
      </c>
      <c r="BE5" s="61">
        <v>0.23</v>
      </c>
      <c r="BF5" s="62">
        <f>+SUM($BE$3:BE5)</f>
        <v>0.55000000000000004</v>
      </c>
      <c r="BG5" s="58">
        <f t="shared" si="12"/>
        <v>300</v>
      </c>
      <c r="BH5" s="58">
        <f t="shared" si="13"/>
        <v>69</v>
      </c>
      <c r="BI5" s="63">
        <v>0</v>
      </c>
      <c r="BK5" s="60">
        <v>3</v>
      </c>
      <c r="BL5" s="61">
        <v>0.17</v>
      </c>
      <c r="BM5" s="62">
        <f>+SUM($BL$3:BL5)</f>
        <v>0.67</v>
      </c>
      <c r="BN5" s="58">
        <f t="shared" si="14"/>
        <v>300</v>
      </c>
      <c r="BO5" s="58">
        <f t="shared" si="15"/>
        <v>51.000000000000007</v>
      </c>
      <c r="BP5" s="63">
        <v>0</v>
      </c>
      <c r="BR5" s="60">
        <v>3</v>
      </c>
      <c r="BS5" s="61">
        <v>0.2</v>
      </c>
      <c r="BT5" s="62">
        <f>+SUM($BS$3:BS5)</f>
        <v>0.7</v>
      </c>
      <c r="BU5" s="58">
        <f t="shared" si="16"/>
        <v>300</v>
      </c>
      <c r="BV5" s="58">
        <f t="shared" si="17"/>
        <v>60</v>
      </c>
      <c r="BW5" s="63">
        <v>0</v>
      </c>
      <c r="BY5" s="60">
        <v>3</v>
      </c>
      <c r="BZ5" s="61">
        <v>0.2</v>
      </c>
      <c r="CA5" s="62">
        <f>+SUM($BZ$3:BZ5)</f>
        <v>0.84000000000000008</v>
      </c>
      <c r="CB5" s="58">
        <f t="shared" si="18"/>
        <v>300</v>
      </c>
      <c r="CC5" s="58">
        <f t="shared" si="19"/>
        <v>60</v>
      </c>
      <c r="CD5" s="63">
        <v>0</v>
      </c>
      <c r="CF5" s="60">
        <v>3</v>
      </c>
      <c r="CG5" s="61">
        <v>0.4</v>
      </c>
      <c r="CH5" s="62">
        <f>+SUM($CG$3:CG5)</f>
        <v>0.5</v>
      </c>
      <c r="CI5" s="58">
        <f t="shared" si="20"/>
        <v>300</v>
      </c>
      <c r="CJ5" s="58">
        <f t="shared" si="21"/>
        <v>120</v>
      </c>
      <c r="CK5" s="63">
        <v>0</v>
      </c>
      <c r="CM5" s="60">
        <v>3</v>
      </c>
      <c r="CN5" s="61">
        <f t="shared" si="26"/>
        <v>0.4</v>
      </c>
      <c r="CO5" s="62">
        <f>+SUM($CN$3:CN5)</f>
        <v>0.92</v>
      </c>
      <c r="CP5" s="83">
        <f t="shared" si="27"/>
        <v>300</v>
      </c>
      <c r="CQ5" s="58">
        <f t="shared" ref="CQ5:CQ9" si="31">+CN5*CP5</f>
        <v>120</v>
      </c>
      <c r="CR5" s="63">
        <v>0</v>
      </c>
      <c r="CT5" s="60">
        <v>3</v>
      </c>
      <c r="CU5" s="61">
        <f t="shared" si="28"/>
        <v>0.4</v>
      </c>
      <c r="CV5" s="62">
        <f>+SUM($CU$3:CU5)</f>
        <v>0.92</v>
      </c>
      <c r="CW5" s="84">
        <f t="shared" si="29"/>
        <v>600</v>
      </c>
      <c r="CX5" s="58">
        <f t="shared" ref="CX5:CX9" si="32">+CU5*CW5</f>
        <v>240</v>
      </c>
      <c r="CY5" s="63">
        <v>0</v>
      </c>
      <c r="DA5" s="60">
        <v>3</v>
      </c>
      <c r="DB5" s="61">
        <v>0.1</v>
      </c>
      <c r="DC5" s="62">
        <f>+SUM($DB$3:DB5)</f>
        <v>0.1</v>
      </c>
      <c r="DD5" s="83">
        <f t="shared" si="30"/>
        <v>300</v>
      </c>
      <c r="DE5" s="58">
        <f t="shared" ref="DE5:DE9" si="33">+DB5*DD5</f>
        <v>30</v>
      </c>
      <c r="DF5" s="63">
        <v>0</v>
      </c>
    </row>
    <row r="6" spans="1:110">
      <c r="A6" s="80" t="s">
        <v>115</v>
      </c>
      <c r="B6" s="75">
        <f>+E6/D6</f>
        <v>1.8306636155606404E-2</v>
      </c>
      <c r="C6" s="3">
        <v>0</v>
      </c>
      <c r="D6" s="64">
        <f>+AF10</f>
        <v>546.25000000000011</v>
      </c>
      <c r="E6" s="3">
        <v>10</v>
      </c>
      <c r="G6" s="60">
        <v>4</v>
      </c>
      <c r="H6" s="61">
        <v>7.0000000000000007E-2</v>
      </c>
      <c r="I6" s="62">
        <f>+SUM($H$3:H6)</f>
        <v>0.99</v>
      </c>
      <c r="J6" s="50">
        <v>500</v>
      </c>
      <c r="K6" s="58">
        <f t="shared" si="0"/>
        <v>35</v>
      </c>
      <c r="L6" s="63">
        <v>0</v>
      </c>
      <c r="N6" s="60">
        <v>4</v>
      </c>
      <c r="O6" s="61">
        <v>0.13</v>
      </c>
      <c r="P6" s="62">
        <f>+SUM($O$3:O6)</f>
        <v>0.88</v>
      </c>
      <c r="Q6" s="58">
        <f t="shared" si="1"/>
        <v>500</v>
      </c>
      <c r="R6" s="58">
        <f t="shared" si="2"/>
        <v>65</v>
      </c>
      <c r="S6" s="63">
        <v>0</v>
      </c>
      <c r="U6" s="60">
        <v>4</v>
      </c>
      <c r="V6" s="61">
        <v>0.2</v>
      </c>
      <c r="W6" s="62">
        <f>+SUM($V$3:V6)</f>
        <v>0.83000000000000007</v>
      </c>
      <c r="X6" s="58">
        <f t="shared" si="3"/>
        <v>500</v>
      </c>
      <c r="Y6" s="58">
        <f t="shared" si="4"/>
        <v>100</v>
      </c>
      <c r="Z6" s="63">
        <v>0</v>
      </c>
      <c r="AB6" s="60">
        <v>4</v>
      </c>
      <c r="AC6" s="61">
        <v>0.23</v>
      </c>
      <c r="AD6" s="62">
        <f>+SUM($AC$3:AC6)</f>
        <v>0.83</v>
      </c>
      <c r="AE6" s="58">
        <f t="shared" si="5"/>
        <v>500</v>
      </c>
      <c r="AF6" s="58">
        <f t="shared" si="6"/>
        <v>115</v>
      </c>
      <c r="AG6" s="63">
        <v>0</v>
      </c>
      <c r="AI6" s="60">
        <v>4</v>
      </c>
      <c r="AJ6" s="61">
        <v>0</v>
      </c>
      <c r="AK6" s="62">
        <f>+SUM($AJ$3:AJ6)</f>
        <v>0</v>
      </c>
      <c r="AL6" s="58">
        <f t="shared" si="7"/>
        <v>500</v>
      </c>
      <c r="AM6" s="58">
        <f t="shared" si="8"/>
        <v>0</v>
      </c>
      <c r="AN6" s="63">
        <v>0</v>
      </c>
      <c r="AP6" s="60">
        <v>4</v>
      </c>
      <c r="AQ6" s="61">
        <f>1-SUM(AQ3:AQ5)</f>
        <v>0.25</v>
      </c>
      <c r="AR6" s="62">
        <f>+SUM($AQ$3:AQ6)</f>
        <v>1</v>
      </c>
      <c r="AS6" s="58">
        <f t="shared" si="9"/>
        <v>500</v>
      </c>
      <c r="AT6" s="58">
        <f t="shared" si="25"/>
        <v>125</v>
      </c>
      <c r="AU6" s="63">
        <v>0</v>
      </c>
      <c r="AW6" s="60">
        <v>4</v>
      </c>
      <c r="AX6" s="61">
        <v>0.3</v>
      </c>
      <c r="AY6" s="62">
        <f>+SUM($AX$3:AX6)</f>
        <v>0.85000000000000009</v>
      </c>
      <c r="AZ6" s="58">
        <f t="shared" si="10"/>
        <v>500</v>
      </c>
      <c r="BA6" s="58">
        <f t="shared" si="11"/>
        <v>150</v>
      </c>
      <c r="BB6" s="63">
        <v>0</v>
      </c>
      <c r="BD6" s="60">
        <v>4</v>
      </c>
      <c r="BE6" s="61">
        <v>0.18</v>
      </c>
      <c r="BF6" s="62">
        <f>+SUM($BE$3:BE6)</f>
        <v>0.73</v>
      </c>
      <c r="BG6" s="58">
        <f t="shared" si="12"/>
        <v>500</v>
      </c>
      <c r="BH6" s="58">
        <f t="shared" si="13"/>
        <v>90</v>
      </c>
      <c r="BI6" s="63">
        <v>0</v>
      </c>
      <c r="BK6" s="60">
        <v>4</v>
      </c>
      <c r="BL6" s="61">
        <v>0.15</v>
      </c>
      <c r="BM6" s="62">
        <f>+SUM($BL$3:BL6)</f>
        <v>0.82000000000000006</v>
      </c>
      <c r="BN6" s="58">
        <f t="shared" si="14"/>
        <v>500</v>
      </c>
      <c r="BO6" s="58">
        <f t="shared" si="15"/>
        <v>75</v>
      </c>
      <c r="BP6" s="63">
        <v>0</v>
      </c>
      <c r="BR6" s="60">
        <v>4</v>
      </c>
      <c r="BS6" s="61">
        <v>0.12</v>
      </c>
      <c r="BT6" s="62">
        <f>+SUM($BS$3:BS6)</f>
        <v>0.82</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7.0000000000000007E-2</v>
      </c>
      <c r="CO6" s="62">
        <f>+SUM($CN$3:CN6)</f>
        <v>0.99</v>
      </c>
      <c r="CP6" s="83">
        <f t="shared" si="27"/>
        <v>500</v>
      </c>
      <c r="CQ6" s="58">
        <f t="shared" si="31"/>
        <v>35</v>
      </c>
      <c r="CR6" s="63">
        <v>0</v>
      </c>
      <c r="CT6" s="60">
        <v>4</v>
      </c>
      <c r="CU6" s="61">
        <f t="shared" si="28"/>
        <v>7.0000000000000007E-2</v>
      </c>
      <c r="CV6" s="62">
        <f>+SUM($CU$3:CU6)</f>
        <v>0.99</v>
      </c>
      <c r="CW6" s="84">
        <f t="shared" si="29"/>
        <v>1000</v>
      </c>
      <c r="CX6" s="58">
        <f t="shared" si="32"/>
        <v>70</v>
      </c>
      <c r="CY6" s="63">
        <v>0</v>
      </c>
      <c r="DA6" s="60">
        <v>4</v>
      </c>
      <c r="DB6" s="61">
        <v>0.1</v>
      </c>
      <c r="DC6" s="62">
        <f>+SUM($DB$3:DB6)</f>
        <v>0.2</v>
      </c>
      <c r="DD6" s="83">
        <f t="shared" si="30"/>
        <v>500</v>
      </c>
      <c r="DE6" s="58">
        <f t="shared" si="33"/>
        <v>50</v>
      </c>
      <c r="DF6" s="63">
        <v>0</v>
      </c>
    </row>
    <row r="7" spans="1:110">
      <c r="A7" s="75" t="s">
        <v>131</v>
      </c>
      <c r="B7" s="75">
        <f t="shared" ref="B7:B12" si="34">+E7/D7</f>
        <v>1.4814814814814821E-2</v>
      </c>
      <c r="C7" s="3">
        <v>0</v>
      </c>
      <c r="D7" s="64">
        <f>+AM10</f>
        <v>1349.9999999999995</v>
      </c>
      <c r="E7" s="3">
        <v>20</v>
      </c>
      <c r="G7" s="60">
        <v>5</v>
      </c>
      <c r="H7" s="61">
        <v>3.0000000000000001E-3</v>
      </c>
      <c r="I7" s="62">
        <f>+SUM($H$3:H7)</f>
        <v>0.99299999999999999</v>
      </c>
      <c r="J7" s="50">
        <v>1000</v>
      </c>
      <c r="K7" s="58">
        <f t="shared" si="0"/>
        <v>3</v>
      </c>
      <c r="L7" s="63">
        <v>0</v>
      </c>
      <c r="N7" s="60">
        <v>5</v>
      </c>
      <c r="O7" s="61">
        <v>7.0000000000000007E-2</v>
      </c>
      <c r="P7" s="62">
        <f>+SUM($O$3:O7)</f>
        <v>0.95</v>
      </c>
      <c r="Q7" s="58">
        <f t="shared" si="1"/>
        <v>1000</v>
      </c>
      <c r="R7" s="58">
        <f t="shared" si="2"/>
        <v>70</v>
      </c>
      <c r="S7" s="63">
        <v>0</v>
      </c>
      <c r="U7" s="60">
        <v>5</v>
      </c>
      <c r="V7" s="61">
        <v>0.09</v>
      </c>
      <c r="W7" s="62">
        <f>+SUM($V$3:V7)</f>
        <v>0.92</v>
      </c>
      <c r="X7" s="58">
        <f t="shared" si="3"/>
        <v>1000</v>
      </c>
      <c r="Y7" s="58">
        <f t="shared" si="4"/>
        <v>90</v>
      </c>
      <c r="Z7" s="63">
        <v>0</v>
      </c>
      <c r="AB7" s="60">
        <v>5</v>
      </c>
      <c r="AC7" s="61">
        <v>0.1</v>
      </c>
      <c r="AD7" s="62">
        <f>+SUM($AC$3:AC7)</f>
        <v>0.92999999999999994</v>
      </c>
      <c r="AE7" s="58">
        <f t="shared" si="5"/>
        <v>1000</v>
      </c>
      <c r="AF7" s="58">
        <f t="shared" si="6"/>
        <v>100</v>
      </c>
      <c r="AG7" s="63">
        <v>0</v>
      </c>
      <c r="AI7" s="60">
        <v>5</v>
      </c>
      <c r="AJ7" s="61">
        <v>0.8</v>
      </c>
      <c r="AK7" s="62">
        <f>+SUM($AJ$3:AJ7)</f>
        <v>0.8</v>
      </c>
      <c r="AL7" s="58">
        <f t="shared" si="7"/>
        <v>1000</v>
      </c>
      <c r="AM7" s="58">
        <f t="shared" si="8"/>
        <v>800</v>
      </c>
      <c r="AN7" s="63">
        <v>0</v>
      </c>
      <c r="AP7" s="60">
        <v>5</v>
      </c>
      <c r="AQ7" s="61">
        <v>0</v>
      </c>
      <c r="AR7" s="62">
        <f>+SUM($AQ$3:AQ7)</f>
        <v>1</v>
      </c>
      <c r="AS7" s="58">
        <f t="shared" si="9"/>
        <v>1000</v>
      </c>
      <c r="AT7" s="58">
        <f t="shared" si="25"/>
        <v>0</v>
      </c>
      <c r="AU7" s="63">
        <v>0</v>
      </c>
      <c r="AW7" s="60">
        <v>5</v>
      </c>
      <c r="AX7" s="61">
        <v>0.1</v>
      </c>
      <c r="AY7" s="62">
        <f>+SUM($AX$3:AX7)</f>
        <v>0.95000000000000007</v>
      </c>
      <c r="AZ7" s="58">
        <f t="shared" si="10"/>
        <v>1000</v>
      </c>
      <c r="BA7" s="58">
        <f t="shared" si="11"/>
        <v>100</v>
      </c>
      <c r="BB7" s="63">
        <v>0</v>
      </c>
      <c r="BD7" s="60">
        <v>5</v>
      </c>
      <c r="BE7" s="61">
        <v>0.15</v>
      </c>
      <c r="BF7" s="62">
        <f>+SUM($BE$3:BE7)</f>
        <v>0.88</v>
      </c>
      <c r="BG7" s="58">
        <f t="shared" si="12"/>
        <v>1000</v>
      </c>
      <c r="BH7" s="58">
        <f t="shared" si="13"/>
        <v>150</v>
      </c>
      <c r="BI7" s="63">
        <v>0</v>
      </c>
      <c r="BK7" s="60">
        <v>5</v>
      </c>
      <c r="BL7" s="61">
        <v>0.08</v>
      </c>
      <c r="BM7" s="62">
        <f>+SUM($BL$3:BL7)</f>
        <v>0.9</v>
      </c>
      <c r="BN7" s="58">
        <f t="shared" si="14"/>
        <v>1000</v>
      </c>
      <c r="BO7" s="58">
        <f t="shared" si="15"/>
        <v>80</v>
      </c>
      <c r="BP7" s="63">
        <v>0</v>
      </c>
      <c r="BR7" s="60">
        <v>5</v>
      </c>
      <c r="BS7" s="61">
        <v>7.0000000000000007E-2</v>
      </c>
      <c r="BT7" s="62">
        <f>+SUM($BS$3:BS7)</f>
        <v>0.8899999999999999</v>
      </c>
      <c r="BU7" s="58">
        <f t="shared" si="16"/>
        <v>1000</v>
      </c>
      <c r="BV7" s="58">
        <f t="shared" si="17"/>
        <v>70</v>
      </c>
      <c r="BW7" s="63">
        <v>0</v>
      </c>
      <c r="BY7" s="60">
        <v>5</v>
      </c>
      <c r="BZ7" s="61">
        <v>0.02</v>
      </c>
      <c r="CA7" s="62">
        <f>+SUM($BZ$3:BZ7)</f>
        <v>0.96000000000000008</v>
      </c>
      <c r="CB7" s="58">
        <f t="shared" si="18"/>
        <v>1000</v>
      </c>
      <c r="CC7" s="58">
        <f t="shared" si="19"/>
        <v>20</v>
      </c>
      <c r="CD7" s="63">
        <v>0</v>
      </c>
      <c r="CF7" s="60">
        <v>5</v>
      </c>
      <c r="CG7" s="61">
        <v>0.1</v>
      </c>
      <c r="CH7" s="62">
        <f>+SUM($CG$3:CG7)</f>
        <v>0.95</v>
      </c>
      <c r="CI7" s="58">
        <f t="shared" si="20"/>
        <v>1000</v>
      </c>
      <c r="CJ7" s="58">
        <f t="shared" si="21"/>
        <v>100</v>
      </c>
      <c r="CK7" s="63">
        <v>0</v>
      </c>
      <c r="CM7" s="60">
        <v>5</v>
      </c>
      <c r="CN7" s="61">
        <f t="shared" si="26"/>
        <v>3.0000000000000001E-3</v>
      </c>
      <c r="CO7" s="62">
        <f>+SUM($CN$3:CN7)</f>
        <v>0.99299999999999999</v>
      </c>
      <c r="CP7" s="83">
        <f t="shared" si="27"/>
        <v>1000</v>
      </c>
      <c r="CQ7" s="58">
        <f t="shared" si="31"/>
        <v>3</v>
      </c>
      <c r="CR7" s="63">
        <v>0</v>
      </c>
      <c r="CT7" s="60">
        <v>5</v>
      </c>
      <c r="CU7" s="61">
        <f t="shared" si="28"/>
        <v>3.0000000000000001E-3</v>
      </c>
      <c r="CV7" s="62">
        <f>+SUM($CU$3:CU7)</f>
        <v>0.99299999999999999</v>
      </c>
      <c r="CW7" s="84">
        <f t="shared" si="29"/>
        <v>2000</v>
      </c>
      <c r="CX7" s="58">
        <f t="shared" si="32"/>
        <v>6</v>
      </c>
      <c r="CY7" s="63">
        <v>0</v>
      </c>
      <c r="DA7" s="60">
        <v>5</v>
      </c>
      <c r="DB7" s="61">
        <v>0.35</v>
      </c>
      <c r="DC7" s="62">
        <f>+SUM($DB$3:DB7)</f>
        <v>0.55000000000000004</v>
      </c>
      <c r="DD7" s="83">
        <f t="shared" si="30"/>
        <v>1000</v>
      </c>
      <c r="DE7" s="58">
        <f t="shared" si="33"/>
        <v>350</v>
      </c>
      <c r="DF7" s="63">
        <v>0</v>
      </c>
    </row>
    <row r="8" spans="1:110">
      <c r="A8" s="75" t="s">
        <v>132</v>
      </c>
      <c r="B8" s="75">
        <f>+E8/D8</f>
        <v>7.9207920792079209E-3</v>
      </c>
      <c r="C8" s="3">
        <v>0</v>
      </c>
      <c r="D8" s="64">
        <f>+AT10</f>
        <v>252.5</v>
      </c>
      <c r="E8" s="3">
        <v>2</v>
      </c>
      <c r="G8" s="60">
        <v>6</v>
      </c>
      <c r="H8" s="61">
        <v>1E-3</v>
      </c>
      <c r="I8" s="62">
        <f>+SUM($H$3:H8)</f>
        <v>0.99399999999999999</v>
      </c>
      <c r="J8" s="50">
        <v>2000</v>
      </c>
      <c r="K8" s="58">
        <f t="shared" si="0"/>
        <v>2</v>
      </c>
      <c r="L8" s="63">
        <v>0</v>
      </c>
      <c r="N8" s="60">
        <v>6</v>
      </c>
      <c r="O8" s="61">
        <v>0.04</v>
      </c>
      <c r="P8" s="62">
        <f>+SUM($O$3:O8)</f>
        <v>0.99</v>
      </c>
      <c r="Q8" s="58">
        <f t="shared" si="1"/>
        <v>2000</v>
      </c>
      <c r="R8" s="58">
        <f t="shared" si="2"/>
        <v>80</v>
      </c>
      <c r="S8" s="63">
        <v>0</v>
      </c>
      <c r="U8" s="60">
        <v>6</v>
      </c>
      <c r="V8" s="61">
        <v>0.06</v>
      </c>
      <c r="W8" s="62">
        <f>+SUM($V$3:V8)</f>
        <v>0.98</v>
      </c>
      <c r="X8" s="58">
        <f t="shared" si="3"/>
        <v>2000</v>
      </c>
      <c r="Y8" s="58">
        <f t="shared" si="4"/>
        <v>120</v>
      </c>
      <c r="Z8" s="63">
        <v>0</v>
      </c>
      <c r="AB8" s="60">
        <v>6</v>
      </c>
      <c r="AC8" s="61">
        <v>0.05</v>
      </c>
      <c r="AD8" s="62">
        <f>+SUM($AC$3:AC8)</f>
        <v>0.98</v>
      </c>
      <c r="AE8" s="58">
        <f t="shared" si="5"/>
        <v>2000</v>
      </c>
      <c r="AF8" s="58">
        <f t="shared" si="6"/>
        <v>100</v>
      </c>
      <c r="AG8" s="63">
        <v>0</v>
      </c>
      <c r="AI8" s="60">
        <v>6</v>
      </c>
      <c r="AJ8" s="61">
        <v>0.15</v>
      </c>
      <c r="AK8" s="62">
        <f>+SUM($AJ$3:AJ8)</f>
        <v>0.95000000000000007</v>
      </c>
      <c r="AL8" s="58">
        <f t="shared" si="7"/>
        <v>2000</v>
      </c>
      <c r="AM8" s="58">
        <f t="shared" si="8"/>
        <v>300</v>
      </c>
      <c r="AN8" s="63">
        <v>0</v>
      </c>
      <c r="AP8" s="60">
        <v>6</v>
      </c>
      <c r="AQ8" s="61">
        <v>0</v>
      </c>
      <c r="AR8" s="62">
        <f>+SUM($AQ$3:AQ8)</f>
        <v>1</v>
      </c>
      <c r="AS8" s="58">
        <f t="shared" si="9"/>
        <v>2000</v>
      </c>
      <c r="AT8" s="58">
        <f t="shared" si="25"/>
        <v>0</v>
      </c>
      <c r="AU8" s="63">
        <v>0</v>
      </c>
      <c r="AW8" s="60">
        <v>6</v>
      </c>
      <c r="AX8" s="61">
        <v>0.03</v>
      </c>
      <c r="AY8" s="62">
        <f>+SUM($AX$3:AX8)</f>
        <v>0.98000000000000009</v>
      </c>
      <c r="AZ8" s="58">
        <f t="shared" si="10"/>
        <v>2000</v>
      </c>
      <c r="BA8" s="58">
        <f t="shared" si="11"/>
        <v>60</v>
      </c>
      <c r="BB8" s="63">
        <v>0</v>
      </c>
      <c r="BD8" s="60">
        <v>6</v>
      </c>
      <c r="BE8" s="61">
        <v>0.08</v>
      </c>
      <c r="BF8" s="62">
        <f>+SUM($BE$3:BE8)</f>
        <v>0.96</v>
      </c>
      <c r="BG8" s="58">
        <f t="shared" si="12"/>
        <v>2000</v>
      </c>
      <c r="BH8" s="58">
        <f t="shared" si="13"/>
        <v>160</v>
      </c>
      <c r="BI8" s="63">
        <v>0</v>
      </c>
      <c r="BK8" s="60">
        <v>6</v>
      </c>
      <c r="BL8" s="61">
        <v>0.05</v>
      </c>
      <c r="BM8" s="62">
        <f>+SUM($BL$3:BL8)</f>
        <v>0.95000000000000007</v>
      </c>
      <c r="BN8" s="58">
        <f t="shared" si="14"/>
        <v>2000</v>
      </c>
      <c r="BO8" s="58">
        <f t="shared" si="15"/>
        <v>100</v>
      </c>
      <c r="BP8" s="63">
        <v>0</v>
      </c>
      <c r="BR8" s="60">
        <v>6</v>
      </c>
      <c r="BS8" s="61">
        <v>0.06</v>
      </c>
      <c r="BT8" s="62">
        <f>+SUM($BS$3:BS8)</f>
        <v>0.95</v>
      </c>
      <c r="BU8" s="58">
        <f t="shared" si="16"/>
        <v>2000</v>
      </c>
      <c r="BV8" s="58">
        <f t="shared" si="17"/>
        <v>120</v>
      </c>
      <c r="BW8" s="63">
        <v>0</v>
      </c>
      <c r="BY8" s="60">
        <v>6</v>
      </c>
      <c r="BZ8" s="61">
        <v>0.03</v>
      </c>
      <c r="CA8" s="62">
        <f>+SUM($BZ$3:BZ8)</f>
        <v>0.9900000000000001</v>
      </c>
      <c r="CB8" s="58">
        <f t="shared" si="18"/>
        <v>2000</v>
      </c>
      <c r="CC8" s="58">
        <f t="shared" si="19"/>
        <v>60</v>
      </c>
      <c r="CD8" s="63">
        <v>0</v>
      </c>
      <c r="CF8" s="60">
        <v>6</v>
      </c>
      <c r="CG8" s="61">
        <v>0.03</v>
      </c>
      <c r="CH8" s="62">
        <f>+SUM($CG$3:CG8)</f>
        <v>0.98</v>
      </c>
      <c r="CI8" s="58">
        <f t="shared" si="20"/>
        <v>2000</v>
      </c>
      <c r="CJ8" s="58">
        <f t="shared" si="21"/>
        <v>60</v>
      </c>
      <c r="CK8" s="63">
        <v>0</v>
      </c>
      <c r="CM8" s="60">
        <v>6</v>
      </c>
      <c r="CN8" s="61">
        <f t="shared" si="26"/>
        <v>1E-3</v>
      </c>
      <c r="CO8" s="62">
        <f>+SUM($CN$3:CN8)</f>
        <v>0.99399999999999999</v>
      </c>
      <c r="CP8" s="83">
        <f t="shared" si="27"/>
        <v>2000</v>
      </c>
      <c r="CQ8" s="58">
        <f t="shared" si="31"/>
        <v>2</v>
      </c>
      <c r="CR8" s="63">
        <v>0</v>
      </c>
      <c r="CT8" s="60">
        <v>6</v>
      </c>
      <c r="CU8" s="61">
        <f t="shared" si="28"/>
        <v>1E-3</v>
      </c>
      <c r="CV8" s="62">
        <f>+SUM($CU$3:CU8)</f>
        <v>0.99399999999999999</v>
      </c>
      <c r="CW8" s="84">
        <f t="shared" si="29"/>
        <v>4000</v>
      </c>
      <c r="CX8" s="58">
        <f t="shared" si="32"/>
        <v>4</v>
      </c>
      <c r="CY8" s="63">
        <v>0</v>
      </c>
      <c r="DA8" s="60">
        <v>6</v>
      </c>
      <c r="DB8" s="61">
        <v>0.4</v>
      </c>
      <c r="DC8" s="62">
        <f>+SUM($DB$3:DB8)</f>
        <v>0.95000000000000007</v>
      </c>
      <c r="DD8" s="83">
        <f t="shared" si="30"/>
        <v>2000</v>
      </c>
      <c r="DE8" s="58">
        <f t="shared" si="33"/>
        <v>800</v>
      </c>
      <c r="DF8" s="63">
        <v>0</v>
      </c>
    </row>
    <row r="9" spans="1:110">
      <c r="A9" s="75" t="s">
        <v>133</v>
      </c>
      <c r="B9" s="75">
        <f t="shared" si="34"/>
        <v>1.8735362997658097E-2</v>
      </c>
      <c r="C9" s="3">
        <v>0</v>
      </c>
      <c r="D9" s="64">
        <f>+BA10</f>
        <v>533.74999999999955</v>
      </c>
      <c r="E9" s="3">
        <v>10</v>
      </c>
      <c r="G9" s="60">
        <v>7</v>
      </c>
      <c r="H9" s="66">
        <f>1-SUM(H3:H8)</f>
        <v>6.0000000000000053E-3</v>
      </c>
      <c r="I9" s="62">
        <f>+SUM($H$3:H9)</f>
        <v>1</v>
      </c>
      <c r="J9" s="50">
        <v>5000</v>
      </c>
      <c r="K9" s="58">
        <f t="shared" si="0"/>
        <v>30.000000000000028</v>
      </c>
      <c r="L9" s="63">
        <v>0</v>
      </c>
      <c r="N9" s="60">
        <v>7</v>
      </c>
      <c r="O9" s="66">
        <f>1-SUM(O3:O8)</f>
        <v>1.0000000000000009E-2</v>
      </c>
      <c r="P9" s="62">
        <f>+SUM($O$3:O9)</f>
        <v>1</v>
      </c>
      <c r="Q9" s="58">
        <f t="shared" si="1"/>
        <v>5000</v>
      </c>
      <c r="R9" s="58">
        <f t="shared" si="2"/>
        <v>50.000000000000043</v>
      </c>
      <c r="S9" s="63">
        <v>0</v>
      </c>
      <c r="U9" s="60">
        <v>7</v>
      </c>
      <c r="V9" s="66">
        <f>1-SUM(V3:V8)</f>
        <v>2.0000000000000018E-2</v>
      </c>
      <c r="W9" s="62">
        <f>+SUM($V$3:V9)</f>
        <v>1</v>
      </c>
      <c r="X9" s="58">
        <f t="shared" si="3"/>
        <v>5000</v>
      </c>
      <c r="Y9" s="58">
        <f t="shared" si="4"/>
        <v>100.00000000000009</v>
      </c>
      <c r="Z9" s="63">
        <v>0</v>
      </c>
      <c r="AB9" s="60">
        <v>7</v>
      </c>
      <c r="AC9" s="66">
        <f>1-SUM(AC3:AC8)</f>
        <v>2.0000000000000018E-2</v>
      </c>
      <c r="AD9" s="62">
        <f>+SUM($AC$3:AC9)</f>
        <v>1</v>
      </c>
      <c r="AE9" s="58">
        <f t="shared" si="5"/>
        <v>5000</v>
      </c>
      <c r="AF9" s="58">
        <f t="shared" si="6"/>
        <v>100.00000000000009</v>
      </c>
      <c r="AG9" s="63">
        <v>0</v>
      </c>
      <c r="AI9" s="60">
        <v>7</v>
      </c>
      <c r="AJ9" s="66">
        <f>1-SUM(AJ3:AJ8)</f>
        <v>4.9999999999999933E-2</v>
      </c>
      <c r="AK9" s="62">
        <f>+SUM($AJ$3:AJ9)</f>
        <v>1</v>
      </c>
      <c r="AL9" s="58">
        <f t="shared" si="7"/>
        <v>5000</v>
      </c>
      <c r="AM9" s="58">
        <f t="shared" si="8"/>
        <v>249.99999999999966</v>
      </c>
      <c r="AN9" s="63">
        <v>0</v>
      </c>
      <c r="AP9" s="60">
        <v>7</v>
      </c>
      <c r="AQ9" s="66">
        <v>0</v>
      </c>
      <c r="AR9" s="62">
        <f>+SUM($AQ$3:AQ9)</f>
        <v>1</v>
      </c>
      <c r="AS9" s="58">
        <f t="shared" si="9"/>
        <v>5000</v>
      </c>
      <c r="AT9" s="58">
        <f t="shared" si="25"/>
        <v>0</v>
      </c>
      <c r="AU9" s="63">
        <v>0</v>
      </c>
      <c r="AW9" s="60">
        <v>7</v>
      </c>
      <c r="AX9" s="66">
        <f>1-SUM(AX3:AX8)</f>
        <v>1.9999999999999907E-2</v>
      </c>
      <c r="AY9" s="62">
        <f>+SUM($AX$3:AX9)</f>
        <v>1</v>
      </c>
      <c r="AZ9" s="58">
        <f t="shared" si="10"/>
        <v>5000</v>
      </c>
      <c r="BA9" s="58">
        <f t="shared" si="11"/>
        <v>99.999999999999531</v>
      </c>
      <c r="BB9" s="63">
        <v>0</v>
      </c>
      <c r="BD9" s="60">
        <v>7</v>
      </c>
      <c r="BE9" s="66">
        <f>1-SUM(BE3:BE8)</f>
        <v>4.0000000000000036E-2</v>
      </c>
      <c r="BF9" s="62">
        <f>+SUM($BE$3:BE9)</f>
        <v>1</v>
      </c>
      <c r="BG9" s="58">
        <f t="shared" si="12"/>
        <v>5000</v>
      </c>
      <c r="BH9" s="58">
        <f t="shared" si="13"/>
        <v>200.00000000000017</v>
      </c>
      <c r="BI9" s="63">
        <v>0</v>
      </c>
      <c r="BK9" s="60">
        <v>7</v>
      </c>
      <c r="BL9" s="66">
        <f>1-SUM(BL3:BL8)</f>
        <v>4.9999999999999933E-2</v>
      </c>
      <c r="BM9" s="62">
        <f>+SUM($BL$3:BL9)</f>
        <v>1</v>
      </c>
      <c r="BN9" s="58">
        <f t="shared" si="14"/>
        <v>5000</v>
      </c>
      <c r="BO9" s="58">
        <f t="shared" si="15"/>
        <v>249.99999999999966</v>
      </c>
      <c r="BP9" s="63">
        <v>0</v>
      </c>
      <c r="BR9" s="60">
        <v>7</v>
      </c>
      <c r="BS9" s="66">
        <f>1-SUM(BS3:BS8)</f>
        <v>5.0000000000000044E-2</v>
      </c>
      <c r="BT9" s="62">
        <f>+SUM($BS$3:BS9)</f>
        <v>1</v>
      </c>
      <c r="BU9" s="58">
        <f t="shared" si="16"/>
        <v>5000</v>
      </c>
      <c r="BV9" s="58">
        <f t="shared" si="17"/>
        <v>250.00000000000023</v>
      </c>
      <c r="BW9" s="63">
        <v>0</v>
      </c>
      <c r="BY9" s="60">
        <v>7</v>
      </c>
      <c r="BZ9" s="66">
        <f>1-SUM(BZ3:BZ8)</f>
        <v>9.9999999999998979E-3</v>
      </c>
      <c r="CA9" s="62">
        <f>+SUM($BZ$3:BZ9)</f>
        <v>1</v>
      </c>
      <c r="CB9" s="58">
        <f t="shared" si="18"/>
        <v>5000</v>
      </c>
      <c r="CC9" s="58">
        <f t="shared" si="19"/>
        <v>49.999999999999488</v>
      </c>
      <c r="CD9" s="63">
        <v>0</v>
      </c>
      <c r="CF9" s="60">
        <v>7</v>
      </c>
      <c r="CG9" s="66">
        <f>1-SUM(CG3:CG8)</f>
        <v>2.0000000000000018E-2</v>
      </c>
      <c r="CH9" s="62">
        <f>+SUM($CG$3:CG9)</f>
        <v>1</v>
      </c>
      <c r="CI9" s="58">
        <f t="shared" si="20"/>
        <v>5000</v>
      </c>
      <c r="CJ9" s="58">
        <f t="shared" si="21"/>
        <v>100.00000000000009</v>
      </c>
      <c r="CK9" s="63">
        <v>0</v>
      </c>
      <c r="CM9" s="60">
        <v>7</v>
      </c>
      <c r="CN9" s="66">
        <f>1-SUM(CN3:CN8)</f>
        <v>6.0000000000000053E-3</v>
      </c>
      <c r="CO9" s="62">
        <f>+SUM($CN$3:CN9)</f>
        <v>1</v>
      </c>
      <c r="CP9" s="83">
        <f t="shared" si="27"/>
        <v>5000</v>
      </c>
      <c r="CQ9" s="58">
        <f t="shared" si="31"/>
        <v>30.000000000000028</v>
      </c>
      <c r="CR9" s="63">
        <v>0</v>
      </c>
      <c r="CT9" s="60">
        <v>7</v>
      </c>
      <c r="CU9" s="66">
        <f>1-SUM(CU3:CU8)</f>
        <v>6.0000000000000053E-3</v>
      </c>
      <c r="CV9" s="62">
        <f>+SUM($CU$3:CU9)</f>
        <v>1</v>
      </c>
      <c r="CW9" s="84">
        <f t="shared" si="29"/>
        <v>10000</v>
      </c>
      <c r="CX9" s="58">
        <f t="shared" si="32"/>
        <v>60.000000000000057</v>
      </c>
      <c r="CY9" s="63">
        <v>0</v>
      </c>
      <c r="DA9" s="60">
        <v>7</v>
      </c>
      <c r="DB9" s="66">
        <f>1-SUM(DB3:DB8)</f>
        <v>4.9999999999999933E-2</v>
      </c>
      <c r="DC9" s="62">
        <f>+SUM($DB$3:DB9)</f>
        <v>1</v>
      </c>
      <c r="DD9" s="83">
        <f t="shared" si="30"/>
        <v>5000</v>
      </c>
      <c r="DE9" s="58">
        <f t="shared" si="33"/>
        <v>249.99999999999966</v>
      </c>
      <c r="DF9" s="63">
        <v>0</v>
      </c>
    </row>
    <row r="10" spans="1:110">
      <c r="A10" s="75" t="s">
        <v>134</v>
      </c>
      <c r="B10" s="75">
        <f t="shared" si="34"/>
        <v>1.5536723163841804E-2</v>
      </c>
      <c r="C10" s="3">
        <v>0</v>
      </c>
      <c r="D10" s="64">
        <f>+BH10</f>
        <v>708.00000000000023</v>
      </c>
      <c r="E10" s="3">
        <v>11</v>
      </c>
      <c r="G10" s="50" t="s">
        <v>70</v>
      </c>
      <c r="H10" s="50">
        <f>+SUM(H3:H9)</f>
        <v>1</v>
      </c>
      <c r="I10" s="50"/>
      <c r="J10" s="50"/>
      <c r="K10" s="51">
        <f>+SUM(K3:K9)</f>
        <v>253.00000000000003</v>
      </c>
      <c r="L10" s="51"/>
      <c r="N10" s="50" t="s">
        <v>70</v>
      </c>
      <c r="O10" s="50">
        <f>+SUM(O3:O9)</f>
        <v>1</v>
      </c>
      <c r="P10" s="50"/>
      <c r="Q10" s="50"/>
      <c r="R10" s="51">
        <f>+SUM(R3:R9)</f>
        <v>430.00000000000006</v>
      </c>
      <c r="S10" s="51"/>
      <c r="U10" s="50" t="s">
        <v>70</v>
      </c>
      <c r="V10" s="50">
        <f>+SUM(V3:V9)</f>
        <v>1</v>
      </c>
      <c r="W10" s="50"/>
      <c r="X10" s="50"/>
      <c r="Y10" s="51">
        <f>+SUM(Y3:Y9)</f>
        <v>520.25000000000011</v>
      </c>
      <c r="Z10" s="51"/>
      <c r="AB10" s="50" t="s">
        <v>70</v>
      </c>
      <c r="AC10" s="50">
        <f>+SUM(AC3:AC9)</f>
        <v>1</v>
      </c>
      <c r="AD10" s="50"/>
      <c r="AE10" s="50"/>
      <c r="AF10" s="51">
        <f>+SUM(AF3:AF9)</f>
        <v>546.25000000000011</v>
      </c>
      <c r="AG10" s="51"/>
      <c r="AI10" s="50" t="s">
        <v>70</v>
      </c>
      <c r="AJ10" s="50">
        <f>+SUM(AJ3:AJ9)</f>
        <v>1</v>
      </c>
      <c r="AK10" s="50"/>
      <c r="AL10" s="50"/>
      <c r="AM10" s="81">
        <f>+SUM(AM3:AM9)</f>
        <v>1349.9999999999995</v>
      </c>
      <c r="AN10" s="51"/>
      <c r="AP10" s="50" t="s">
        <v>70</v>
      </c>
      <c r="AQ10" s="50">
        <f>+SUM(AQ3:AQ9)</f>
        <v>1</v>
      </c>
      <c r="AR10" s="50"/>
      <c r="AS10" s="50"/>
      <c r="AT10" s="51">
        <f>+SUM(AT3:AT9)</f>
        <v>252.5</v>
      </c>
      <c r="AU10" s="51"/>
      <c r="AW10" s="50" t="s">
        <v>70</v>
      </c>
      <c r="AX10" s="50">
        <f>+SUM(AX3:AX9)</f>
        <v>1</v>
      </c>
      <c r="AY10" s="50"/>
      <c r="AZ10" s="50"/>
      <c r="BA10" s="51">
        <f>+SUM(BA3:BA9)</f>
        <v>533.74999999999955</v>
      </c>
      <c r="BB10" s="51"/>
      <c r="BD10" s="50" t="s">
        <v>70</v>
      </c>
      <c r="BE10" s="50">
        <f>+SUM(BE3:BE9)</f>
        <v>1</v>
      </c>
      <c r="BF10" s="50"/>
      <c r="BG10" s="50"/>
      <c r="BH10" s="51">
        <f>+SUM(BH3:BH9)</f>
        <v>708.00000000000023</v>
      </c>
      <c r="BI10" s="51"/>
      <c r="BK10" s="50" t="s">
        <v>70</v>
      </c>
      <c r="BL10" s="50">
        <f>+SUM(BL3:BL9)</f>
        <v>1</v>
      </c>
      <c r="BM10" s="50"/>
      <c r="BN10" s="50"/>
      <c r="BO10" s="51">
        <f>+SUM(BO3:BO9)</f>
        <v>612.24999999999966</v>
      </c>
      <c r="BP10" s="51"/>
      <c r="BR10" s="50" t="s">
        <v>70</v>
      </c>
      <c r="BS10" s="50">
        <f>+SUM(BS3:BS9)</f>
        <v>1</v>
      </c>
      <c r="BT10" s="50"/>
      <c r="BU10" s="50"/>
      <c r="BV10" s="51">
        <f>+SUM(BV3:BV9)</f>
        <v>612.50000000000023</v>
      </c>
      <c r="BW10" s="51"/>
      <c r="BY10" s="50" t="s">
        <v>70</v>
      </c>
      <c r="BZ10" s="50">
        <f>+SUM(BZ3:BZ9)</f>
        <v>1</v>
      </c>
      <c r="CA10" s="50"/>
      <c r="CB10" s="50"/>
      <c r="CC10" s="51">
        <f>+SUM(CC3:CC9)</f>
        <v>310.49999999999949</v>
      </c>
      <c r="CD10" s="51"/>
      <c r="CF10" s="50" t="s">
        <v>70</v>
      </c>
      <c r="CG10" s="50">
        <f>+SUM(CG3:CG9)</f>
        <v>1</v>
      </c>
      <c r="CH10" s="50"/>
      <c r="CI10" s="50"/>
      <c r="CJ10" s="51">
        <f>+SUM(CJ3:CJ9)</f>
        <v>570.00000000000011</v>
      </c>
      <c r="CK10" s="51"/>
      <c r="CM10" s="50" t="s">
        <v>70</v>
      </c>
      <c r="CN10" s="50">
        <f>+SUM(CN3:CN9)</f>
        <v>1</v>
      </c>
      <c r="CO10" s="50"/>
      <c r="CP10" s="50"/>
      <c r="CQ10" s="51">
        <f>+SUM(CQ3:CQ9)</f>
        <v>253.00000000000003</v>
      </c>
      <c r="CR10" s="51"/>
      <c r="CT10" s="50" t="s">
        <v>70</v>
      </c>
      <c r="CU10" s="50">
        <f>+SUM(CU3:CU9)</f>
        <v>1</v>
      </c>
      <c r="CV10" s="50"/>
      <c r="CW10" s="50"/>
      <c r="CX10" s="51">
        <f>+SUM(CX3:CX9)</f>
        <v>506.00000000000006</v>
      </c>
      <c r="CY10" s="51"/>
      <c r="DA10" s="50" t="s">
        <v>70</v>
      </c>
      <c r="DB10" s="50">
        <f>+SUM(DB3:DB9)</f>
        <v>1</v>
      </c>
      <c r="DC10" s="50"/>
      <c r="DD10" s="50"/>
      <c r="DE10" s="51">
        <f>+SUM(DE3:DE9)</f>
        <v>1479.9999999999995</v>
      </c>
      <c r="DF10" s="51"/>
    </row>
    <row r="11" spans="1:110">
      <c r="A11" s="75" t="s">
        <v>135</v>
      </c>
      <c r="B11" s="75">
        <f t="shared" si="34"/>
        <v>1.7966516945692131E-2</v>
      </c>
      <c r="C11" s="3">
        <v>0</v>
      </c>
      <c r="D11" s="64">
        <f>+BO10</f>
        <v>612.24999999999966</v>
      </c>
      <c r="E11" s="3">
        <v>11</v>
      </c>
    </row>
    <row r="12" spans="1:110">
      <c r="A12" s="75" t="s">
        <v>136</v>
      </c>
      <c r="B12" s="75">
        <f t="shared" si="34"/>
        <v>1.6326530612244892E-2</v>
      </c>
      <c r="C12" s="3">
        <v>0</v>
      </c>
      <c r="D12" s="64">
        <f>+BV10</f>
        <v>612.50000000000023</v>
      </c>
      <c r="E12" s="3">
        <v>10</v>
      </c>
    </row>
    <row r="13" spans="1:110">
      <c r="A13" s="85" t="s">
        <v>164</v>
      </c>
      <c r="B13" s="58">
        <f>+E13/D13</f>
        <v>5.1778656126482206E-3</v>
      </c>
      <c r="C13" s="3">
        <f>1/B13/Summary!$C$7</f>
        <v>0.19312977099236645</v>
      </c>
      <c r="D13" s="86">
        <f>+CQ10</f>
        <v>253.00000000000003</v>
      </c>
      <c r="E13" s="3">
        <f>+E3*2</f>
        <v>1.31</v>
      </c>
    </row>
    <row r="14" spans="1:110">
      <c r="A14" s="85" t="s">
        <v>165</v>
      </c>
      <c r="B14" s="58">
        <f>+E14/D14</f>
        <v>2.5889328063241103E-3</v>
      </c>
      <c r="C14" s="3">
        <f>1/B14/Summary!$C$7</f>
        <v>0.38625954198473289</v>
      </c>
      <c r="D14" s="86">
        <f>+CX10</f>
        <v>506.00000000000006</v>
      </c>
      <c r="E14" s="3">
        <f>+E13</f>
        <v>1.31</v>
      </c>
    </row>
    <row r="15" spans="1:110">
      <c r="A15" s="75" t="s">
        <v>163</v>
      </c>
      <c r="B15" s="58">
        <f>+E15/D15</f>
        <v>1.3513513513513518E-2</v>
      </c>
      <c r="C15" s="3">
        <v>0</v>
      </c>
      <c r="D15" s="86">
        <f>+DE10</f>
        <v>1479.9999999999995</v>
      </c>
      <c r="E15" s="3">
        <v>20</v>
      </c>
    </row>
    <row r="16" spans="1:110">
      <c r="A16" s="80" t="s">
        <v>116</v>
      </c>
      <c r="B16" s="75">
        <f>+E16/D16</f>
        <v>8.7719298245614016E-2</v>
      </c>
      <c r="C16" s="3">
        <v>0</v>
      </c>
      <c r="D16" s="64">
        <f>+CJ10</f>
        <v>570.00000000000011</v>
      </c>
      <c r="E16" s="3">
        <v>50</v>
      </c>
    </row>
    <row r="17" spans="1:2">
      <c r="A17" s="3" t="s">
        <v>117</v>
      </c>
      <c r="B17" s="65" t="str">
        <f>+CONCATENATE("x",J3," - x",J9)</f>
        <v>x75 - x5000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V3:V9 O3:O9 AC3:AC9 CG3:CG9 CN3:CN9 CU3:CU9 DB3:DB9">
    <cfRule type="cellIs" priority="138" operator="lessThan">
      <formula>0</formula>
    </cfRule>
    <cfRule type="cellIs" priority="139" operator="greaterThan">
      <formula>1</formula>
    </cfRule>
  </conditionalFormatting>
  <conditionalFormatting sqref="AJ3:AJ9 AQ3:AQ9 AX3:AX9 BZ3:BZ9 BE3:BE9 BL3:BL9 BS3:BS9 H3:H9 V3:V9 O3:O9 AC3:AC9 CG3:CG9 CN3:CN9 CU3:CU9 DB3:DB9">
    <cfRule type="cellIs" priority="137" operator="equal">
      <formula>0</formula>
    </cfRule>
  </conditionalFormatting>
  <conditionalFormatting sqref="B3:B16">
    <cfRule type="cellIs" priority="135" operator="greaterThan">
      <formula>1</formula>
    </cfRule>
    <cfRule type="cellIs" priority="136" operator="lessThan">
      <formula>0</formula>
    </cfRule>
  </conditionalFormatting>
  <conditionalFormatting sqref="B13:B15">
    <cfRule type="cellIs" priority="19" operator="greaterThan">
      <formula>1</formula>
    </cfRule>
    <cfRule type="cellIs" priority="20"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DocSecurity>0</DocSecurity>
  <ScaleCrop>false</ScaleCrop>
  <HeadingPairs>
    <vt:vector size="2" baseType="variant">
      <vt:variant>
        <vt:lpstr>Hojas de cálculo</vt:lpstr>
      </vt:variant>
      <vt:variant>
        <vt:i4>18</vt:i4>
      </vt:variant>
    </vt:vector>
  </HeadingPairs>
  <TitlesOfParts>
    <vt:vector size="18" baseType="lpstr">
      <vt:lpstr>Summary</vt:lpstr>
      <vt:lpstr>HV Runner</vt:lpstr>
      <vt:lpstr>HV Troll</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 (Old)</vt:lpstr>
      <vt:lpstr>HV enemy (Old)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cp:revision>4</cp:revision>
  <dcterms:created xsi:type="dcterms:W3CDTF">2018-09-08T09:54:06Z</dcterms:created>
  <dcterms:modified xsi:type="dcterms:W3CDTF">2019-03-20T17:42:17Z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