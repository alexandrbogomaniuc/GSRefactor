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70"/>
  </bookViews>
  <sheets>
    <sheet name="Index" sheetId="1" r:id="rId1"/>
    <sheet name="Probabilities" sheetId="2" r:id="rId2"/>
    <sheet name="TreasureList" sheetId="3" r:id="rId3"/>
    <sheet name="CreatingAchievements" sheetId="4" r:id="rId4"/>
    <sheet name="Players Score" sheetId="5" r:id="rId5"/>
  </sheets>
  <calcPr calcId="125725"/>
</workbook>
</file>

<file path=xl/calcChain.xml><?xml version="1.0" encoding="utf-8"?>
<calcChain xmlns="http://schemas.openxmlformats.org/spreadsheetml/2006/main">
  <c r="H70" i="3"/>
  <c r="H69"/>
  <c r="H74"/>
  <c r="H73"/>
  <c r="H72"/>
  <c r="H71"/>
  <c r="H79"/>
  <c r="H77"/>
  <c r="H78"/>
  <c r="H76"/>
  <c r="H75"/>
  <c r="R36" i="2"/>
  <c r="S36"/>
  <c r="R37"/>
  <c r="S37"/>
  <c r="R38"/>
  <c r="S38"/>
  <c r="R39"/>
  <c r="S39"/>
  <c r="R40"/>
  <c r="S40"/>
  <c r="R41"/>
  <c r="S41"/>
  <c r="R42"/>
  <c r="S42"/>
  <c r="R43"/>
  <c r="S43"/>
  <c r="R44"/>
  <c r="S44"/>
  <c r="R45"/>
  <c r="S45"/>
  <c r="R46"/>
  <c r="S46"/>
  <c r="R47"/>
  <c r="S47"/>
  <c r="R48"/>
  <c r="S48"/>
  <c r="R49"/>
  <c r="S49"/>
  <c r="R50"/>
  <c r="S50"/>
  <c r="R51"/>
  <c r="S51"/>
  <c r="R52"/>
  <c r="S52"/>
  <c r="S35"/>
  <c r="R35"/>
  <c r="A19" i="4"/>
  <c r="A16"/>
  <c r="T24" i="2"/>
  <c r="T25"/>
  <c r="S7"/>
  <c r="S8"/>
  <c r="S9"/>
  <c r="S10"/>
  <c r="S11"/>
  <c r="S12"/>
  <c r="S13"/>
  <c r="S14"/>
  <c r="S15"/>
  <c r="S16"/>
  <c r="S17"/>
  <c r="S18"/>
  <c r="S19"/>
  <c r="S20"/>
  <c r="S21"/>
  <c r="S22"/>
  <c r="S23"/>
  <c r="S5"/>
  <c r="S6"/>
  <c r="S24"/>
  <c r="S25"/>
  <c r="M7"/>
  <c r="N7"/>
  <c r="O7"/>
  <c r="P7"/>
  <c r="Q7"/>
  <c r="M8"/>
  <c r="N8"/>
  <c r="O8"/>
  <c r="P8"/>
  <c r="Q8"/>
  <c r="M9"/>
  <c r="N9"/>
  <c r="O9"/>
  <c r="P9"/>
  <c r="Q9"/>
  <c r="M10"/>
  <c r="N10"/>
  <c r="O10"/>
  <c r="P10"/>
  <c r="Q10"/>
  <c r="M11"/>
  <c r="N11"/>
  <c r="O11"/>
  <c r="P11"/>
  <c r="Q11"/>
  <c r="M12"/>
  <c r="N12"/>
  <c r="O12"/>
  <c r="P12"/>
  <c r="Q12"/>
  <c r="M13"/>
  <c r="R13" s="1"/>
  <c r="N13"/>
  <c r="O13"/>
  <c r="P13"/>
  <c r="Q13"/>
  <c r="M14"/>
  <c r="N14"/>
  <c r="O14"/>
  <c r="P14"/>
  <c r="Q14"/>
  <c r="M15"/>
  <c r="N15"/>
  <c r="O15"/>
  <c r="P15"/>
  <c r="Q15"/>
  <c r="M16"/>
  <c r="N16"/>
  <c r="O16"/>
  <c r="P16"/>
  <c r="Q16"/>
  <c r="M17"/>
  <c r="N17"/>
  <c r="O17"/>
  <c r="P17"/>
  <c r="Q17"/>
  <c r="M18"/>
  <c r="N18"/>
  <c r="O18"/>
  <c r="P18"/>
  <c r="Q18"/>
  <c r="M19"/>
  <c r="N19"/>
  <c r="O19"/>
  <c r="R19" s="1"/>
  <c r="T19" s="1"/>
  <c r="P19"/>
  <c r="Q19"/>
  <c r="M20"/>
  <c r="N20"/>
  <c r="R20" s="1"/>
  <c r="O20"/>
  <c r="P20"/>
  <c r="Q20"/>
  <c r="M21"/>
  <c r="N21"/>
  <c r="O21"/>
  <c r="P21"/>
  <c r="Q21"/>
  <c r="M22"/>
  <c r="N22"/>
  <c r="O22"/>
  <c r="P22"/>
  <c r="Q22"/>
  <c r="M23"/>
  <c r="N23"/>
  <c r="O23"/>
  <c r="R23" s="1"/>
  <c r="P23"/>
  <c r="Q23"/>
  <c r="Q6"/>
  <c r="P6"/>
  <c r="O6"/>
  <c r="N6"/>
  <c r="M6"/>
  <c r="P5"/>
  <c r="Q5"/>
  <c r="M5"/>
  <c r="N5"/>
  <c r="O5"/>
  <c r="L9"/>
  <c r="L10"/>
  <c r="L11"/>
  <c r="L12"/>
  <c r="L13"/>
  <c r="L14"/>
  <c r="L15"/>
  <c r="L16"/>
  <c r="L17"/>
  <c r="L18"/>
  <c r="L19"/>
  <c r="L20"/>
  <c r="L21"/>
  <c r="L22"/>
  <c r="L23"/>
  <c r="L24"/>
  <c r="L25"/>
  <c r="L6"/>
  <c r="L7"/>
  <c r="L8"/>
  <c r="L5"/>
  <c r="I6"/>
  <c r="J6" s="1"/>
  <c r="I7"/>
  <c r="J7" s="1"/>
  <c r="I8"/>
  <c r="I9"/>
  <c r="I10"/>
  <c r="J10" s="1"/>
  <c r="I11"/>
  <c r="J11" s="1"/>
  <c r="I12"/>
  <c r="I13"/>
  <c r="I14"/>
  <c r="I15"/>
  <c r="I16"/>
  <c r="I17"/>
  <c r="I18"/>
  <c r="J18" s="1"/>
  <c r="I19"/>
  <c r="J19" s="1"/>
  <c r="I20"/>
  <c r="I21"/>
  <c r="I22"/>
  <c r="I23"/>
  <c r="B9" i="4"/>
  <c r="B10"/>
  <c r="B11"/>
  <c r="B12"/>
  <c r="B13"/>
  <c r="B14"/>
  <c r="B15"/>
  <c r="B16"/>
  <c r="B17"/>
  <c r="B18"/>
  <c r="B19"/>
  <c r="B20"/>
  <c r="B21"/>
  <c r="B22"/>
  <c r="B23"/>
  <c r="B25"/>
  <c r="B26"/>
  <c r="B27"/>
  <c r="B28"/>
  <c r="B29"/>
  <c r="B30"/>
  <c r="B31"/>
  <c r="B32"/>
  <c r="A10"/>
  <c r="A11"/>
  <c r="A12"/>
  <c r="A13"/>
  <c r="A14"/>
  <c r="A15"/>
  <c r="A17"/>
  <c r="A18"/>
  <c r="A20"/>
  <c r="A21"/>
  <c r="A22"/>
  <c r="A23"/>
  <c r="A25"/>
  <c r="A26"/>
  <c r="A27"/>
  <c r="A28"/>
  <c r="A29"/>
  <c r="A30"/>
  <c r="A31"/>
  <c r="A32"/>
  <c r="A9"/>
  <c r="H64" i="3"/>
  <c r="H63"/>
  <c r="H62"/>
  <c r="H66" s="1"/>
  <c r="E25" i="2"/>
  <c r="G25"/>
  <c r="H18"/>
  <c r="D24"/>
  <c r="D25" s="1"/>
  <c r="E24"/>
  <c r="F24"/>
  <c r="F25" s="1"/>
  <c r="G24"/>
  <c r="C24"/>
  <c r="C25" s="1"/>
  <c r="J8"/>
  <c r="J9"/>
  <c r="J13"/>
  <c r="J20"/>
  <c r="J21"/>
  <c r="H7"/>
  <c r="H8"/>
  <c r="H9"/>
  <c r="H10"/>
  <c r="H11"/>
  <c r="H12"/>
  <c r="J12" s="1"/>
  <c r="H13"/>
  <c r="H14"/>
  <c r="H15"/>
  <c r="H16"/>
  <c r="H17"/>
  <c r="J17" s="1"/>
  <c r="H19"/>
  <c r="H20"/>
  <c r="H21"/>
  <c r="H22"/>
  <c r="H23"/>
  <c r="H6"/>
  <c r="R21" l="1"/>
  <c r="T21" s="1"/>
  <c r="R17"/>
  <c r="T17" s="1"/>
  <c r="R9"/>
  <c r="J22"/>
  <c r="J14"/>
  <c r="T20"/>
  <c r="T13"/>
  <c r="T9"/>
  <c r="T23"/>
  <c r="J15"/>
  <c r="J16"/>
  <c r="R6"/>
  <c r="T6" s="1"/>
  <c r="R18"/>
  <c r="T18" s="1"/>
  <c r="R10"/>
  <c r="T10" s="1"/>
  <c r="R11"/>
  <c r="T11" s="1"/>
  <c r="R7"/>
  <c r="T7" s="1"/>
  <c r="R22"/>
  <c r="T22" s="1"/>
  <c r="R14"/>
  <c r="T14" s="1"/>
  <c r="R12"/>
  <c r="T12" s="1"/>
  <c r="R8"/>
  <c r="T8" s="1"/>
  <c r="R15"/>
  <c r="T15" s="1"/>
  <c r="R16"/>
  <c r="T16" s="1"/>
  <c r="R5"/>
  <c r="Q24"/>
  <c r="N24"/>
  <c r="N25" s="1"/>
  <c r="M24"/>
  <c r="M25" s="1"/>
  <c r="P24"/>
  <c r="P25" s="1"/>
  <c r="O24"/>
  <c r="O25" s="1"/>
  <c r="J23"/>
  <c r="H65" i="3"/>
  <c r="Q25" i="2" l="1"/>
  <c r="R25" s="1"/>
  <c r="R24"/>
</calcChain>
</file>

<file path=xl/sharedStrings.xml><?xml version="1.0" encoding="utf-8"?>
<sst xmlns="http://schemas.openxmlformats.org/spreadsheetml/2006/main" count="485" uniqueCount="195">
  <si>
    <t>Enemy</t>
  </si>
  <si>
    <t>Common</t>
  </si>
  <si>
    <t>Uncommon</t>
  </si>
  <si>
    <t>Rare</t>
  </si>
  <si>
    <t>Very Rare</t>
  </si>
  <si>
    <t>Super Rare</t>
  </si>
  <si>
    <t>Total</t>
  </si>
  <si>
    <t>Scarab black</t>
  </si>
  <si>
    <t>Scarab gold</t>
  </si>
  <si>
    <t>Scarab gem covered</t>
  </si>
  <si>
    <t>Standard Mummy</t>
  </si>
  <si>
    <t>Medium Mummy A</t>
  </si>
  <si>
    <t>Medium Mummy B</t>
  </si>
  <si>
    <t>Medium Mummy C</t>
  </si>
  <si>
    <t>Powerful Pharaoh Mummy A</t>
  </si>
  <si>
    <t>Powerful Pharaoh Mummy B</t>
  </si>
  <si>
    <t>Standard Mummy (Hoard)</t>
  </si>
  <si>
    <t>Medium Mummy A (Hoard)</t>
  </si>
  <si>
    <t>Medium Mummy B (Hoard)</t>
  </si>
  <si>
    <t>Medium Mummy C (Hoard)</t>
  </si>
  <si>
    <t>Scarab black (Hoard)</t>
  </si>
  <si>
    <t>Scarab gold (Hoard)</t>
  </si>
  <si>
    <t>Scarab gem covered (Hoard)</t>
  </si>
  <si>
    <t>Boss</t>
  </si>
  <si>
    <t>Boss (Hoard)</t>
  </si>
  <si>
    <t>Hoard Values</t>
  </si>
  <si>
    <t>Prize</t>
  </si>
  <si>
    <t>Number of Enemies</t>
  </si>
  <si>
    <t>Boss Values</t>
  </si>
  <si>
    <t>Share of Prize</t>
  </si>
  <si>
    <t>Treasure Achievements</t>
  </si>
  <si>
    <t>Treasure achievements are available in levels</t>
  </si>
  <si>
    <t>Rank</t>
  </si>
  <si>
    <t>Value</t>
  </si>
  <si>
    <t>Frequency x Value</t>
  </si>
  <si>
    <t xml:space="preserve">Award </t>
  </si>
  <si>
    <t>Treasure - Common</t>
  </si>
  <si>
    <t>Treasure - Uncommon</t>
  </si>
  <si>
    <t>Treasure - Rare</t>
  </si>
  <si>
    <t>Treasure - Very Rare</t>
  </si>
  <si>
    <t>Treasure - Super Rare</t>
  </si>
  <si>
    <t>ID</t>
  </si>
  <si>
    <t>Probability</t>
  </si>
  <si>
    <t xml:space="preserve"> </t>
  </si>
  <si>
    <t>The Golden Bust of Nefertiti</t>
  </si>
  <si>
    <t>Sacred Golden Scarab</t>
  </si>
  <si>
    <t>The Golden Cartouche</t>
  </si>
  <si>
    <t xml:space="preserve">The Jade Brooch </t>
  </si>
  <si>
    <t>Offering Bowl of Gems</t>
  </si>
  <si>
    <t>Golden Statue of Tutankhamun</t>
  </si>
  <si>
    <t>The Blade of Osiris</t>
  </si>
  <si>
    <t>Golden Bust of Horus</t>
  </si>
  <si>
    <t>Lapis Scarab</t>
  </si>
  <si>
    <t>The Golden Scribe</t>
  </si>
  <si>
    <t>Lapis Cuff of the Queen</t>
  </si>
  <si>
    <t>Golden Bust of Anubis</t>
  </si>
  <si>
    <t>Sacred Golden Pyramid</t>
  </si>
  <si>
    <t>Goblet of the Griffin</t>
  </si>
  <si>
    <t>Garnet Scarab Amulet</t>
  </si>
  <si>
    <t>Cartouche of Gold Amulet</t>
  </si>
  <si>
    <t>Golden Ankh</t>
  </si>
  <si>
    <t>Eagle of Ruby and Emerald</t>
  </si>
  <si>
    <t>Golden Canopic Jar</t>
  </si>
  <si>
    <t>Alligator Offering Bowl</t>
  </si>
  <si>
    <t>Silver Ring of the Snake</t>
  </si>
  <si>
    <t>Golden Torque Clasp</t>
  </si>
  <si>
    <t>Collar of the Egyptian Queen</t>
  </si>
  <si>
    <t>Collar of Horus</t>
  </si>
  <si>
    <t>Golden statue of the Sphynx</t>
  </si>
  <si>
    <t>Golden Cartouche Ring</t>
  </si>
  <si>
    <t>Onyx Statue of the Pharaoh</t>
  </si>
  <si>
    <t>Onyx Servant of Anubis</t>
  </si>
  <si>
    <t>Ceremonial Golden Dagger</t>
  </si>
  <si>
    <t>Brass Scarab Sigil</t>
  </si>
  <si>
    <t>Silver statue of Horus</t>
  </si>
  <si>
    <t>Alabaster Sphynx of Horus</t>
  </si>
  <si>
    <t>Bejeweled Scarab Ring</t>
  </si>
  <si>
    <t>Onyx Servant of Bastet</t>
  </si>
  <si>
    <t>Silver and Ruby Brooch</t>
  </si>
  <si>
    <t>Eye of Horus Amulet</t>
  </si>
  <si>
    <t xml:space="preserve">Alabaster Sphynx of Khnum </t>
  </si>
  <si>
    <t>Silver Statue of Anubis</t>
  </si>
  <si>
    <t>Golden Packaderm Bracelet</t>
  </si>
  <si>
    <t>Silver Servant of Horus</t>
  </si>
  <si>
    <t>Brass Ankh Bracer</t>
  </si>
  <si>
    <t>Brass Lion of the Gods</t>
  </si>
  <si>
    <t>Brass Lion of the Goddess</t>
  </si>
  <si>
    <t>Brass Monkey</t>
  </si>
  <si>
    <t>Vase of Amenhotep</t>
  </si>
  <si>
    <t>Onyx Priest Ahmose Statue</t>
  </si>
  <si>
    <t>Onyx Scarab</t>
  </si>
  <si>
    <t>Ancient Pot of Osiris</t>
  </si>
  <si>
    <t>Knight of Anubis Bust</t>
  </si>
  <si>
    <t>Eye of Horus Sigil</t>
  </si>
  <si>
    <t>Soaring Scarab Golden Coin</t>
  </si>
  <si>
    <t>Amphora of the Serpent</t>
  </si>
  <si>
    <t>Canopic Jar of Clay</t>
  </si>
  <si>
    <t>Object image</t>
  </si>
  <si>
    <t xml:space="preserve">Name </t>
  </si>
  <si>
    <t>Totals</t>
  </si>
  <si>
    <t>Achievements</t>
  </si>
  <si>
    <t>Award</t>
  </si>
  <si>
    <t>Scarab</t>
  </si>
  <si>
    <t>Trigger</t>
  </si>
  <si>
    <t>Completion of achievement</t>
  </si>
  <si>
    <t>RarityValue</t>
  </si>
  <si>
    <t>Having fired the shot that destroyed the enemy</t>
  </si>
  <si>
    <t>Enemy Strength</t>
  </si>
  <si>
    <t>Moderated Award</t>
  </si>
  <si>
    <t>Prize Values</t>
  </si>
  <si>
    <t>Award Values Table</t>
  </si>
  <si>
    <t>Achievements Calculation Table</t>
  </si>
  <si>
    <t>Note: The table below shows the formulas for calculating the number of items in each achievement (they will always be of the same treasure item or same enemy, never a mix). The number of enemies required is the total max treasure value, divided by the 'value' of the items (shown in the Awards Value Table, in the RarityValue column).</t>
  </si>
  <si>
    <t>Index</t>
  </si>
  <si>
    <t>Summary</t>
  </si>
  <si>
    <t>Treasure Probabilities Table</t>
  </si>
  <si>
    <t>Lists the probability of treasure types for each enemy (the probability of a given enemy dropping a treasure type)</t>
  </si>
  <si>
    <t>Note: These probabilites should be added together and one draw made from the total (so only a single item can be dropped) - the exception to this is the Boss, where a separate draw should be made for each item time (so multiple items can be dropped)</t>
  </si>
  <si>
    <t>Treasure List</t>
  </si>
  <si>
    <t>Lists all the available treasure that can be dropped, and their rarity value</t>
  </si>
  <si>
    <t>List of values for items used for achievements</t>
  </si>
  <si>
    <t>Shows the items used for achievements by level, and the formulas used to calculate the number to be used for each achievement and the associated rewards</t>
  </si>
  <si>
    <t>Number of levels</t>
  </si>
  <si>
    <t>Level up award</t>
  </si>
  <si>
    <t>Rank Up award</t>
  </si>
  <si>
    <t>Apprentice</t>
  </si>
  <si>
    <t>Journeyman</t>
  </si>
  <si>
    <t>Traveler</t>
  </si>
  <si>
    <t>Explorer</t>
  </si>
  <si>
    <t>Adventurer</t>
  </si>
  <si>
    <t>Ace</t>
  </si>
  <si>
    <t>Leader</t>
  </si>
  <si>
    <t>Hero</t>
  </si>
  <si>
    <t>Legend</t>
  </si>
  <si>
    <t>Infinite</t>
  </si>
  <si>
    <t>Level Up Rewards</t>
  </si>
  <si>
    <t>Enemy Destroyed Rewards</t>
  </si>
  <si>
    <t>Bonus Weapon collected</t>
  </si>
  <si>
    <t>Collecting any item</t>
  </si>
  <si>
    <t>Hitting any enemy</t>
  </si>
  <si>
    <t>All Contributions to players score</t>
  </si>
  <si>
    <t>Event</t>
  </si>
  <si>
    <t>Contribution to score</t>
  </si>
  <si>
    <t>Level Up</t>
  </si>
  <si>
    <t>Level Up Rewards Table</t>
  </si>
  <si>
    <t>Enemy Destroyed</t>
  </si>
  <si>
    <t>Enemy Destroyed Rewards Table</t>
  </si>
  <si>
    <t>Rewards for leveling up and promotion</t>
  </si>
  <si>
    <t>Rewards for firing the final shot that destroys an enemy</t>
  </si>
  <si>
    <t>Table of all contributing factors to the players score</t>
  </si>
  <si>
    <t>Probability of Points Reward Chest</t>
  </si>
  <si>
    <t>Chance of Reward Chest</t>
  </si>
  <si>
    <t>20 EXP</t>
  </si>
  <si>
    <t>50 EXP</t>
  </si>
  <si>
    <t>80 EXP</t>
  </si>
  <si>
    <t>120 EXP</t>
  </si>
  <si>
    <t>180 EXP</t>
  </si>
  <si>
    <t>250 EXP</t>
  </si>
  <si>
    <t>500 EXP</t>
  </si>
  <si>
    <t>Total chance</t>
  </si>
  <si>
    <t>Total Value</t>
  </si>
  <si>
    <t>If prize awarded, the these are the probability for the prize sizes</t>
  </si>
  <si>
    <t>Reward Chest</t>
  </si>
  <si>
    <t>Probability of receiving Reward Chest and probability of different awards</t>
  </si>
  <si>
    <t>Group</t>
  </si>
  <si>
    <t>Statues</t>
  </si>
  <si>
    <t>Jewely</t>
  </si>
  <si>
    <t>Rare Jewelry</t>
  </si>
  <si>
    <t>Ritual Objects</t>
  </si>
  <si>
    <t>Scarabs</t>
  </si>
  <si>
    <t>Sphynxes</t>
  </si>
  <si>
    <t>Anubis</t>
  </si>
  <si>
    <t>Horus</t>
  </si>
  <si>
    <t>Osiris</t>
  </si>
  <si>
    <t>Pharaohs</t>
  </si>
  <si>
    <t>Vase of Osiris</t>
  </si>
  <si>
    <t>Bowls and Jars</t>
  </si>
  <si>
    <t>Jewelry</t>
  </si>
  <si>
    <t>Collection award formula</t>
  </si>
  <si>
    <t>Prize points (number required for award)</t>
  </si>
  <si>
    <t>LastPrizePoint+NumberofPrizePoints(variable)</t>
  </si>
  <si>
    <t>Collection</t>
  </si>
  <si>
    <t>item award</t>
  </si>
  <si>
    <t>itemRarityValue * numberCollectedSinceLastAward</t>
  </si>
  <si>
    <t>SUM(All item award) * 1.5</t>
  </si>
  <si>
    <t>Group Name</t>
  </si>
  <si>
    <t>number of items</t>
  </si>
  <si>
    <t>Treasure Groups</t>
  </si>
  <si>
    <t>Enemy Groups</t>
  </si>
  <si>
    <t>Mummy</t>
  </si>
  <si>
    <t>Collection Group</t>
  </si>
  <si>
    <t>same as standard version</t>
  </si>
  <si>
    <t>Gods</t>
  </si>
  <si>
    <t xml:space="preserve"> Horus</t>
  </si>
  <si>
    <t>God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</si>
</sst>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9" fontId="1" fillId="0" borderId="4" xfId="0" applyNumberFormat="1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9" fontId="1" fillId="0" borderId="4" xfId="1" applyFont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2" fontId="0" fillId="0" borderId="0" xfId="0" applyNumberFormat="1"/>
    <xf numFmtId="2" fontId="0" fillId="0" borderId="5" xfId="0" applyNumberForma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3" xfId="0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0" fillId="2" borderId="0" xfId="0" applyFill="1"/>
    <xf numFmtId="9" fontId="0" fillId="3" borderId="6" xfId="0" applyNumberFormat="1" applyFont="1" applyFill="1" applyBorder="1"/>
    <xf numFmtId="9" fontId="0" fillId="3" borderId="7" xfId="0" applyNumberFormat="1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0" fillId="0" borderId="0" xfId="0" applyNumberFormat="1"/>
    <xf numFmtId="0" fontId="4" fillId="0" borderId="0" xfId="0" applyFont="1"/>
    <xf numFmtId="0" fontId="5" fillId="0" borderId="0" xfId="2" applyAlignment="1" applyProtection="1"/>
    <xf numFmtId="0" fontId="1" fillId="0" borderId="10" xfId="0" applyFont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0" fillId="4" borderId="4" xfId="0" applyFont="1" applyFill="1" applyBorder="1" applyAlignment="1">
      <alignment vertical="top" wrapText="1"/>
    </xf>
    <xf numFmtId="0" fontId="0" fillId="3" borderId="4" xfId="0" applyFont="1" applyFill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2" fontId="4" fillId="0" borderId="0" xfId="0" applyNumberFormat="1" applyFont="1"/>
    <xf numFmtId="0" fontId="5" fillId="0" borderId="0" xfId="2" applyBorder="1" applyAlignment="1" applyProtection="1"/>
    <xf numFmtId="0" fontId="5" fillId="3" borderId="12" xfId="2" applyFont="1" applyFill="1" applyBorder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3">
    <cellStyle name="Hyperlink" xfId="2" builtinId="8"/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none">
          <fgColor indexed="64"/>
          <bgColor indexed="65"/>
        </patternFill>
      </fill>
      <alignment horizontal="general" vertical="top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609226</xdr:colOff>
      <xdr:row>46</xdr:row>
      <xdr:rowOff>28201</xdr:rowOff>
    </xdr:from>
    <xdr:to>
      <xdr:col>41</xdr:col>
      <xdr:colOff>603076</xdr:colOff>
      <xdr:row>52</xdr:row>
      <xdr:rowOff>98251</xdr:rowOff>
    </xdr:to>
    <xdr:pic>
      <xdr:nvPicPr>
        <xdr:cNvPr id="76" name="Picture 75" descr="faraoh.00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3626" y="879120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44851</xdr:colOff>
      <xdr:row>91</xdr:row>
      <xdr:rowOff>121051</xdr:rowOff>
    </xdr:from>
    <xdr:to>
      <xdr:col>42</xdr:col>
      <xdr:colOff>38701</xdr:colOff>
      <xdr:row>98</xdr:row>
      <xdr:rowOff>601</xdr:rowOff>
    </xdr:to>
    <xdr:pic>
      <xdr:nvPicPr>
        <xdr:cNvPr id="77" name="Picture 76" descr="GodOfSun.000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428851" y="1745655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30526</xdr:colOff>
      <xdr:row>61</xdr:row>
      <xdr:rowOff>30526</xdr:rowOff>
    </xdr:from>
    <xdr:to>
      <xdr:col>42</xdr:col>
      <xdr:colOff>24376</xdr:colOff>
      <xdr:row>67</xdr:row>
      <xdr:rowOff>100576</xdr:rowOff>
    </xdr:to>
    <xdr:pic>
      <xdr:nvPicPr>
        <xdr:cNvPr id="79" name="Picture 78" descr="Heiroglyphics.000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414526" y="116510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28126</xdr:colOff>
      <xdr:row>84</xdr:row>
      <xdr:rowOff>75751</xdr:rowOff>
    </xdr:from>
    <xdr:to>
      <xdr:col>42</xdr:col>
      <xdr:colOff>21976</xdr:colOff>
      <xdr:row>90</xdr:row>
      <xdr:rowOff>145801</xdr:rowOff>
    </xdr:to>
    <xdr:pic>
      <xdr:nvPicPr>
        <xdr:cNvPr id="80" name="Picture 79" descr="horus.0000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412126" y="1607775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25726</xdr:colOff>
      <xdr:row>76</xdr:row>
      <xdr:rowOff>35251</xdr:rowOff>
    </xdr:from>
    <xdr:to>
      <xdr:col>42</xdr:col>
      <xdr:colOff>19576</xdr:colOff>
      <xdr:row>82</xdr:row>
      <xdr:rowOff>105301</xdr:rowOff>
    </xdr:to>
    <xdr:pic>
      <xdr:nvPicPr>
        <xdr:cNvPr id="81" name="Picture 80" descr="horus_eye.000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409726" y="1451325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30451</xdr:colOff>
      <xdr:row>69</xdr:row>
      <xdr:rowOff>20926</xdr:rowOff>
    </xdr:from>
    <xdr:to>
      <xdr:col>42</xdr:col>
      <xdr:colOff>24301</xdr:colOff>
      <xdr:row>75</xdr:row>
      <xdr:rowOff>90976</xdr:rowOff>
    </xdr:to>
    <xdr:pic>
      <xdr:nvPicPr>
        <xdr:cNvPr id="83" name="Picture 82" descr="jewelry2.0000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414451" y="131654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9001</xdr:colOff>
      <xdr:row>53</xdr:row>
      <xdr:rowOff>18526</xdr:rowOff>
    </xdr:from>
    <xdr:to>
      <xdr:col>42</xdr:col>
      <xdr:colOff>2851</xdr:colOff>
      <xdr:row>59</xdr:row>
      <xdr:rowOff>88576</xdr:rowOff>
    </xdr:to>
    <xdr:pic>
      <xdr:nvPicPr>
        <xdr:cNvPr id="84" name="Picture 83" descr="jewelry3.0000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4393001" y="101150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25651</xdr:colOff>
      <xdr:row>39</xdr:row>
      <xdr:rowOff>16126</xdr:rowOff>
    </xdr:from>
    <xdr:to>
      <xdr:col>42</xdr:col>
      <xdr:colOff>19501</xdr:colOff>
      <xdr:row>45</xdr:row>
      <xdr:rowOff>86176</xdr:rowOff>
    </xdr:to>
    <xdr:pic>
      <xdr:nvPicPr>
        <xdr:cNvPr id="85" name="Picture 84" descr="jewelry4.0000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4409651" y="74456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37501</xdr:colOff>
      <xdr:row>32</xdr:row>
      <xdr:rowOff>8926</xdr:rowOff>
    </xdr:from>
    <xdr:to>
      <xdr:col>42</xdr:col>
      <xdr:colOff>31351</xdr:colOff>
      <xdr:row>38</xdr:row>
      <xdr:rowOff>78976</xdr:rowOff>
    </xdr:to>
    <xdr:pic>
      <xdr:nvPicPr>
        <xdr:cNvPr id="88" name="Picture 87" descr="lion1.0000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4421501" y="61049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25576</xdr:colOff>
      <xdr:row>150</xdr:row>
      <xdr:rowOff>44626</xdr:rowOff>
    </xdr:from>
    <xdr:to>
      <xdr:col>42</xdr:col>
      <xdr:colOff>19426</xdr:colOff>
      <xdr:row>156</xdr:row>
      <xdr:rowOff>114676</xdr:rowOff>
    </xdr:to>
    <xdr:pic>
      <xdr:nvPicPr>
        <xdr:cNvPr id="89" name="Picture 88" descr="monkey.000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409576" y="286196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39</xdr:col>
      <xdr:colOff>601801</xdr:colOff>
      <xdr:row>135</xdr:row>
      <xdr:rowOff>49351</xdr:rowOff>
    </xdr:from>
    <xdr:to>
      <xdr:col>41</xdr:col>
      <xdr:colOff>595651</xdr:colOff>
      <xdr:row>141</xdr:row>
      <xdr:rowOff>119401</xdr:rowOff>
    </xdr:to>
    <xdr:pic>
      <xdr:nvPicPr>
        <xdr:cNvPr id="91" name="Picture 90" descr="neckless2.0000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4376201" y="2576685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6451</xdr:colOff>
      <xdr:row>142</xdr:row>
      <xdr:rowOff>177901</xdr:rowOff>
    </xdr:from>
    <xdr:to>
      <xdr:col>42</xdr:col>
      <xdr:colOff>301</xdr:colOff>
      <xdr:row>149</xdr:row>
      <xdr:rowOff>57451</xdr:rowOff>
    </xdr:to>
    <xdr:pic>
      <xdr:nvPicPr>
        <xdr:cNvPr id="93" name="Picture 92" descr="ornament2.0000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390451" y="2722890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13576</xdr:colOff>
      <xdr:row>157</xdr:row>
      <xdr:rowOff>42151</xdr:rowOff>
    </xdr:from>
    <xdr:to>
      <xdr:col>42</xdr:col>
      <xdr:colOff>7426</xdr:colOff>
      <xdr:row>163</xdr:row>
      <xdr:rowOff>112201</xdr:rowOff>
    </xdr:to>
    <xdr:pic>
      <xdr:nvPicPr>
        <xdr:cNvPr id="94" name="Picture 93" descr="Pharaoh_bracelet.0000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4397576" y="2995065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20701</xdr:colOff>
      <xdr:row>121</xdr:row>
      <xdr:rowOff>58801</xdr:rowOff>
    </xdr:from>
    <xdr:to>
      <xdr:col>42</xdr:col>
      <xdr:colOff>14551</xdr:colOff>
      <xdr:row>127</xdr:row>
      <xdr:rowOff>128851</xdr:rowOff>
    </xdr:to>
    <xdr:pic>
      <xdr:nvPicPr>
        <xdr:cNvPr id="95" name="Picture 94" descr="piramid.0000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4404701" y="2310930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25426</xdr:colOff>
      <xdr:row>128</xdr:row>
      <xdr:rowOff>73051</xdr:rowOff>
    </xdr:from>
    <xdr:to>
      <xdr:col>42</xdr:col>
      <xdr:colOff>19276</xdr:colOff>
      <xdr:row>134</xdr:row>
      <xdr:rowOff>143101</xdr:rowOff>
    </xdr:to>
    <xdr:pic>
      <xdr:nvPicPr>
        <xdr:cNvPr id="97" name="Picture 96" descr="pottery2.0000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4409426" y="2445705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39</xdr:col>
      <xdr:colOff>568276</xdr:colOff>
      <xdr:row>114</xdr:row>
      <xdr:rowOff>53926</xdr:rowOff>
    </xdr:from>
    <xdr:to>
      <xdr:col>41</xdr:col>
      <xdr:colOff>562126</xdr:colOff>
      <xdr:row>120</xdr:row>
      <xdr:rowOff>123976</xdr:rowOff>
    </xdr:to>
    <xdr:pic>
      <xdr:nvPicPr>
        <xdr:cNvPr id="101" name="Picture 100" descr="scarab2.0000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4342676" y="21770926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39</xdr:col>
      <xdr:colOff>594451</xdr:colOff>
      <xdr:row>106</xdr:row>
      <xdr:rowOff>118201</xdr:rowOff>
    </xdr:from>
    <xdr:to>
      <xdr:col>41</xdr:col>
      <xdr:colOff>588301</xdr:colOff>
      <xdr:row>112</xdr:row>
      <xdr:rowOff>188251</xdr:rowOff>
    </xdr:to>
    <xdr:pic>
      <xdr:nvPicPr>
        <xdr:cNvPr id="102" name="Picture 101" descr="snake.0000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4368851" y="20311201"/>
          <a:ext cx="1213050" cy="1213050"/>
        </a:xfrm>
        <a:prstGeom prst="rect">
          <a:avLst/>
        </a:prstGeom>
      </xdr:spPr>
    </xdr:pic>
    <xdr:clientData/>
  </xdr:twoCellAnchor>
  <xdr:twoCellAnchor editAs="oneCell">
    <xdr:from>
      <xdr:col>40</xdr:col>
      <xdr:colOff>11026</xdr:colOff>
      <xdr:row>99</xdr:row>
      <xdr:rowOff>49126</xdr:rowOff>
    </xdr:from>
    <xdr:to>
      <xdr:col>42</xdr:col>
      <xdr:colOff>4876</xdr:colOff>
      <xdr:row>105</xdr:row>
      <xdr:rowOff>119176</xdr:rowOff>
    </xdr:to>
    <xdr:pic>
      <xdr:nvPicPr>
        <xdr:cNvPr id="103" name="Picture 102" descr="statue_bug.0000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4395026" y="18908626"/>
          <a:ext cx="1213050" cy="1213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B4:J25" totalsRowShown="0" headerRowDxfId="19" tableBorderDxfId="18">
  <autoFilter ref="B4:J25"/>
  <tableColumns count="9">
    <tableColumn id="1" name="Enemy" dataDxfId="17"/>
    <tableColumn id="2" name="Common" dataDxfId="16" dataCellStyle="Percent"/>
    <tableColumn id="3" name="Uncommon" dataDxfId="15" dataCellStyle="Percent"/>
    <tableColumn id="4" name="Rare" dataDxfId="14" dataCellStyle="Percent"/>
    <tableColumn id="5" name="Very Rare" dataDxfId="13" dataCellStyle="Percent"/>
    <tableColumn id="6" name="Super Rare" dataDxfId="12" dataCellStyle="Percent"/>
    <tableColumn id="7" name="Total" dataDxfId="11"/>
    <tableColumn id="8" name="Enemy Strength" dataDxfId="10"/>
    <tableColumn id="9" name="Moderated Awar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L4:T25" totalsRowShown="0">
  <autoFilter ref="L4:T25"/>
  <tableColumns count="9">
    <tableColumn id="1" name="Enemy">
      <calculatedColumnFormula>Table2[[#This Row],[Enemy]]</calculatedColumnFormula>
    </tableColumn>
    <tableColumn id="2" name="Common"/>
    <tableColumn id="3" name="Uncommon"/>
    <tableColumn id="4" name="Rare"/>
    <tableColumn id="5" name="Very Rare"/>
    <tableColumn id="6" name="Super Rare"/>
    <tableColumn id="7" name="Total" dataDxfId="9">
      <calculatedColumnFormula>SUM(Table3[[#This Row],[Common]:[Super Rare]])</calculatedColumnFormula>
    </tableColumn>
    <tableColumn id="8" name="Enemy Strength" dataDxfId="8">
      <calculatedColumnFormula>B37</calculatedColumnFormula>
    </tableColumn>
    <tableColumn id="9" name="Moderated Award" dataDxfId="7">
      <calculatedColumnFormula>H5/I5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I33:S52" totalsRowShown="0" tableBorderDxfId="6">
  <autoFilter ref="I33:S52"/>
  <tableColumns count="11">
    <tableColumn id="1" name="Enemy" dataDxfId="5"/>
    <tableColumn id="2" name="Chance of Reward Chest" dataDxfId="4"/>
    <tableColumn id="3" name="20 EXP"/>
    <tableColumn id="4" name="50 EXP"/>
    <tableColumn id="5" name="80 EXP"/>
    <tableColumn id="6" name="120 EXP"/>
    <tableColumn id="7" name="180 EXP"/>
    <tableColumn id="8" name="250 EXP"/>
    <tableColumn id="9" name="500 EXP"/>
    <tableColumn id="10" name="Total chance">
      <calculatedColumnFormula>SUM(K34:Q34)</calculatedColumnFormula>
    </tableColumn>
    <tableColumn id="11" name="Total Value">
      <calculatedColumnFormula>(K34*20)+(L34*50)+(M34*80)+(N34*120)+(O34+180)+(P34*250)+(Q34*500)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E4:I59" totalsRowShown="0">
  <autoFilter ref="E4:I59">
    <filterColumn colId="4"/>
  </autoFilter>
  <tableColumns count="5">
    <tableColumn id="1" name="ID"/>
    <tableColumn id="2" name="Object image"/>
    <tableColumn id="3" name="Name "/>
    <tableColumn id="4" name="Probability"/>
    <tableColumn id="5" name="Gro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8:C32" totalsRowShown="0">
  <autoFilter ref="A8:C32"/>
  <tableColumns count="3">
    <tableColumn id="1" name="Award">
      <calculatedColumnFormula>Probabilities!A32</calculatedColumnFormula>
    </tableColumn>
    <tableColumn id="2" name="RarityValue">
      <calculatedColumnFormula>Probabilities!B32</calculatedColumnFormula>
    </tableColumn>
    <tableColumn id="3" name="Trigg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H11:K37" totalsRowShown="0" headerRowDxfId="3">
  <autoFilter ref="H11:K37"/>
  <tableColumns count="4">
    <tableColumn id="1" name="Collection"/>
    <tableColumn id="2" name="Collection award formula"/>
    <tableColumn id="3" name="Prize points (number required for award)" dataDxfId="2">
      <calculatedColumnFormula>1+(H12+CEILING((H12/2),1))</calculatedColumnFormula>
    </tableColumn>
    <tableColumn id="4" name="item awar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H17:I25" totalsRowShown="0" tableBorderDxfId="1">
  <autoFilter ref="H17:I25"/>
  <tableColumns count="2">
    <tableColumn id="1" name="Event" dataDxfId="0"/>
    <tableColumn id="2" name="Contribution to 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O3:U14"/>
  <sheetViews>
    <sheetView tabSelected="1" topLeftCell="M1" workbookViewId="0">
      <selection activeCell="V25" sqref="V25"/>
    </sheetView>
  </sheetViews>
  <sheetFormatPr defaultRowHeight="15"/>
  <cols>
    <col min="15" max="15" width="31.140625" customWidth="1"/>
  </cols>
  <sheetData>
    <row r="3" spans="15:21">
      <c r="O3" s="15"/>
      <c r="R3" s="15"/>
      <c r="U3" s="15"/>
    </row>
    <row r="5" spans="15:21">
      <c r="O5" s="15" t="s">
        <v>113</v>
      </c>
      <c r="P5" s="15"/>
      <c r="Q5" s="15" t="s">
        <v>114</v>
      </c>
    </row>
    <row r="7" spans="15:21">
      <c r="O7" s="28" t="s">
        <v>115</v>
      </c>
      <c r="Q7" t="s">
        <v>116</v>
      </c>
    </row>
    <row r="8" spans="15:21">
      <c r="O8" s="28" t="s">
        <v>118</v>
      </c>
      <c r="Q8" t="s">
        <v>119</v>
      </c>
    </row>
    <row r="9" spans="15:21">
      <c r="O9" s="28" t="s">
        <v>110</v>
      </c>
      <c r="Q9" t="s">
        <v>120</v>
      </c>
    </row>
    <row r="10" spans="15:21">
      <c r="O10" s="28" t="s">
        <v>111</v>
      </c>
      <c r="Q10" t="s">
        <v>121</v>
      </c>
    </row>
    <row r="11" spans="15:21">
      <c r="O11" s="28" t="s">
        <v>135</v>
      </c>
      <c r="Q11" t="s">
        <v>147</v>
      </c>
    </row>
    <row r="12" spans="15:21">
      <c r="O12" s="28" t="s">
        <v>136</v>
      </c>
      <c r="Q12" t="s">
        <v>148</v>
      </c>
    </row>
    <row r="13" spans="15:21">
      <c r="O13" s="28" t="s">
        <v>140</v>
      </c>
      <c r="Q13" t="s">
        <v>149</v>
      </c>
    </row>
    <row r="14" spans="15:21" ht="15.75" thickBot="1">
      <c r="O14" s="38" t="s">
        <v>150</v>
      </c>
      <c r="Q14" t="s">
        <v>163</v>
      </c>
    </row>
  </sheetData>
  <hyperlinks>
    <hyperlink ref="O7" location="Probabilities!B3" display="Treasure Probabilities Table"/>
    <hyperlink ref="O8" location="TreasureList!E4" display="Treasure List"/>
    <hyperlink ref="O9" location="CreatingAchievements!A1" display="Award Values Table"/>
    <hyperlink ref="O10" location="CreatingAchievements!H7" display="Achievements Calculation Table"/>
    <hyperlink ref="O11" location="'Players Score'!A1" display="Level Up Rewards"/>
    <hyperlink ref="O12" location="'Players Score'!C16" display="Enemy Destroyed Rewards"/>
    <hyperlink ref="O13" location="'Players Score'!H15" display="All Contributions to players score"/>
    <hyperlink ref="O14" location="Probabilities!I31" display="Probability of Points Reward Chest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5"/>
  <sheetViews>
    <sheetView topLeftCell="A40" workbookViewId="0">
      <selection activeCell="A37" sqref="A37:C50"/>
    </sheetView>
  </sheetViews>
  <sheetFormatPr defaultRowHeight="15"/>
  <cols>
    <col min="1" max="1" width="27.7109375" customWidth="1"/>
    <col min="2" max="2" width="15.28515625" customWidth="1"/>
    <col min="3" max="3" width="14.42578125" customWidth="1"/>
    <col min="4" max="4" width="13.28515625" customWidth="1"/>
    <col min="6" max="6" width="11.7109375" customWidth="1"/>
    <col min="7" max="7" width="12.7109375" customWidth="1"/>
    <col min="9" max="9" width="14.7109375" style="9" customWidth="1"/>
    <col min="10" max="10" width="24.42578125" customWidth="1"/>
    <col min="11" max="11" width="12.85546875" customWidth="1"/>
    <col min="12" max="12" width="26.140625" customWidth="1"/>
    <col min="13" max="13" width="11.140625" customWidth="1"/>
    <col min="14" max="14" width="16.140625" customWidth="1"/>
    <col min="15" max="15" width="9.85546875" customWidth="1"/>
    <col min="16" max="16" width="16.140625" customWidth="1"/>
    <col min="17" max="17" width="13" customWidth="1"/>
    <col min="18" max="18" width="14.140625" customWidth="1"/>
    <col min="19" max="20" width="19.28515625" customWidth="1"/>
  </cols>
  <sheetData>
    <row r="1" spans="2:20" ht="15.75" customHeight="1">
      <c r="L1" t="s">
        <v>25</v>
      </c>
      <c r="N1" t="s">
        <v>26</v>
      </c>
      <c r="O1">
        <v>80</v>
      </c>
      <c r="Q1" t="s">
        <v>28</v>
      </c>
      <c r="S1" t="s">
        <v>26</v>
      </c>
      <c r="T1">
        <v>50</v>
      </c>
    </row>
    <row r="2" spans="2:20" ht="60.75" customHeight="1">
      <c r="B2" s="41" t="s">
        <v>115</v>
      </c>
      <c r="C2" s="41"/>
      <c r="D2" s="41"/>
      <c r="F2" s="40" t="s">
        <v>117</v>
      </c>
      <c r="G2" s="40"/>
      <c r="H2" s="40"/>
      <c r="I2" s="40"/>
      <c r="J2" s="40"/>
      <c r="N2" s="11" t="s">
        <v>27</v>
      </c>
      <c r="O2">
        <v>10</v>
      </c>
      <c r="S2" s="11" t="s">
        <v>29</v>
      </c>
      <c r="T2">
        <v>3</v>
      </c>
    </row>
    <row r="3" spans="2:20" ht="15.75" thickBot="1">
      <c r="B3" s="21" t="s">
        <v>109</v>
      </c>
      <c r="C3" s="21">
        <v>1</v>
      </c>
      <c r="D3" s="21">
        <v>2</v>
      </c>
      <c r="E3" s="21">
        <v>3</v>
      </c>
      <c r="F3" s="21">
        <v>4</v>
      </c>
      <c r="G3" s="21">
        <v>5</v>
      </c>
      <c r="M3">
        <v>1</v>
      </c>
      <c r="N3">
        <v>2</v>
      </c>
      <c r="O3">
        <v>3</v>
      </c>
      <c r="P3">
        <v>4</v>
      </c>
      <c r="Q3">
        <v>5</v>
      </c>
    </row>
    <row r="4" spans="2:20" ht="30.75" thickBot="1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10" t="s">
        <v>107</v>
      </c>
      <c r="J4" s="20" t="s">
        <v>108</v>
      </c>
      <c r="L4" t="s">
        <v>0</v>
      </c>
      <c r="M4" t="s">
        <v>1</v>
      </c>
      <c r="N4" t="s">
        <v>2</v>
      </c>
      <c r="O4" t="s">
        <v>3</v>
      </c>
      <c r="P4" t="s">
        <v>4</v>
      </c>
      <c r="Q4" t="s">
        <v>5</v>
      </c>
      <c r="R4" t="s">
        <v>6</v>
      </c>
      <c r="S4" t="s">
        <v>107</v>
      </c>
      <c r="T4" t="s">
        <v>108</v>
      </c>
    </row>
    <row r="5" spans="2:20" ht="15.75" thickBot="1">
      <c r="B5" s="6"/>
      <c r="C5" s="7"/>
      <c r="D5" s="7"/>
      <c r="E5" s="6"/>
      <c r="F5" s="6"/>
      <c r="G5" s="6"/>
      <c r="H5" s="6"/>
      <c r="I5" s="17"/>
      <c r="J5" s="18"/>
      <c r="L5">
        <f>Table2[[#This Row],[Enemy]]</f>
        <v>0</v>
      </c>
      <c r="M5">
        <f>Table2[[#This Row],[Common]]</f>
        <v>0</v>
      </c>
      <c r="N5">
        <f>Table2[[#This Row],[Uncommon]]</f>
        <v>0</v>
      </c>
      <c r="O5">
        <f>Table2[[#This Row],[Rare]]</f>
        <v>0</v>
      </c>
      <c r="P5">
        <f>Table2[[#This Row],[Common]]</f>
        <v>0</v>
      </c>
      <c r="Q5">
        <f>Table2[[#This Row],[Uncommon]]</f>
        <v>0</v>
      </c>
      <c r="R5" s="26">
        <f>SUM(Table3[[#This Row],[Common]:[Super Rare]])</f>
        <v>0</v>
      </c>
      <c r="S5" s="26">
        <f t="shared" ref="S5:S25" si="0">B37</f>
        <v>1</v>
      </c>
      <c r="T5" s="26"/>
    </row>
    <row r="6" spans="2:20" ht="15.75" thickBot="1">
      <c r="B6" s="19" t="s">
        <v>7</v>
      </c>
      <c r="C6" s="7">
        <v>0.1</v>
      </c>
      <c r="D6" s="7">
        <v>0.02</v>
      </c>
      <c r="E6" s="7"/>
      <c r="F6" s="7"/>
      <c r="G6" s="7"/>
      <c r="H6" s="5">
        <f>SUM(C6:G6)</f>
        <v>0.12000000000000001</v>
      </c>
      <c r="I6" s="17">
        <f t="shared" ref="I6:I23" si="1">B38</f>
        <v>1</v>
      </c>
      <c r="J6">
        <f>H6/I6</f>
        <v>0.12000000000000001</v>
      </c>
      <c r="L6" t="str">
        <f>Table2[[#This Row],[Enemy]]</f>
        <v>Scarab black</v>
      </c>
      <c r="M6">
        <f>Table2[[#This Row],[Common]]*$C$3*100</f>
        <v>10</v>
      </c>
      <c r="N6">
        <f>Table2[[#This Row],[Uncommon]]*$D$3*100</f>
        <v>4</v>
      </c>
      <c r="O6">
        <f>Table2[[#This Row],[Rare]]*$E$3*100</f>
        <v>0</v>
      </c>
      <c r="P6">
        <f>Table2[[#This Row],[Very Rare]]*$F$3*100</f>
        <v>0</v>
      </c>
      <c r="Q6">
        <f>Table2[[#This Row],[Super Rare]]*$G$3*100</f>
        <v>0</v>
      </c>
      <c r="R6" s="26">
        <f>SUM(Table3[[#This Row],[Common]:[Super Rare]])</f>
        <v>14</v>
      </c>
      <c r="S6" s="26">
        <f t="shared" si="0"/>
        <v>1</v>
      </c>
      <c r="T6" s="26">
        <f>R6/S6</f>
        <v>14</v>
      </c>
    </row>
    <row r="7" spans="2:20" ht="15.75" thickBot="1">
      <c r="B7" s="6" t="s">
        <v>8</v>
      </c>
      <c r="C7" s="7">
        <v>0.1</v>
      </c>
      <c r="D7" s="7">
        <v>0.02</v>
      </c>
      <c r="E7" s="7">
        <v>0.01</v>
      </c>
      <c r="F7" s="7"/>
      <c r="G7" s="7"/>
      <c r="H7" s="5">
        <f t="shared" ref="H7:H23" si="2">SUM(C7:G7)</f>
        <v>0.13</v>
      </c>
      <c r="I7" s="17">
        <f t="shared" si="1"/>
        <v>2</v>
      </c>
      <c r="J7">
        <f t="shared" ref="J7:J23" si="3">H7/I7</f>
        <v>6.5000000000000002E-2</v>
      </c>
      <c r="L7" t="str">
        <f>Table2[[#This Row],[Enemy]]</f>
        <v>Scarab gold</v>
      </c>
      <c r="M7">
        <f>Table2[[#This Row],[Common]]*$C$3*100</f>
        <v>10</v>
      </c>
      <c r="N7">
        <f>Table2[[#This Row],[Uncommon]]*$D$3*100</f>
        <v>4</v>
      </c>
      <c r="O7">
        <f>Table2[[#This Row],[Rare]]*$E$3*100</f>
        <v>3</v>
      </c>
      <c r="P7">
        <f>Table2[[#This Row],[Very Rare]]*$F$3*100</f>
        <v>0</v>
      </c>
      <c r="Q7">
        <f>Table2[[#This Row],[Super Rare]]*$G$3*100</f>
        <v>0</v>
      </c>
      <c r="R7" s="26">
        <f>SUM(Table3[[#This Row],[Common]:[Super Rare]])</f>
        <v>17</v>
      </c>
      <c r="S7" s="26">
        <f t="shared" si="0"/>
        <v>2</v>
      </c>
      <c r="T7" s="26">
        <f t="shared" ref="T7:T23" si="4">R7/S7</f>
        <v>8.5</v>
      </c>
    </row>
    <row r="8" spans="2:20" ht="30.75" thickBot="1">
      <c r="B8" s="6" t="s">
        <v>9</v>
      </c>
      <c r="C8" s="7">
        <v>0.12</v>
      </c>
      <c r="D8" s="7">
        <v>0.03</v>
      </c>
      <c r="E8" s="7">
        <v>0.02</v>
      </c>
      <c r="F8" s="7">
        <v>0.01</v>
      </c>
      <c r="G8" s="7"/>
      <c r="H8" s="5">
        <f t="shared" si="2"/>
        <v>0.18</v>
      </c>
      <c r="I8" s="17">
        <f t="shared" si="1"/>
        <v>3</v>
      </c>
      <c r="J8">
        <f t="shared" si="3"/>
        <v>0.06</v>
      </c>
      <c r="L8" t="str">
        <f>Table2[[#This Row],[Enemy]]</f>
        <v>Scarab gem covered</v>
      </c>
      <c r="M8">
        <f>Table2[[#This Row],[Common]]*$C$3*100</f>
        <v>12</v>
      </c>
      <c r="N8">
        <f>Table2[[#This Row],[Uncommon]]*$D$3*100</f>
        <v>6</v>
      </c>
      <c r="O8">
        <f>Table2[[#This Row],[Rare]]*$E$3*100</f>
        <v>6</v>
      </c>
      <c r="P8">
        <f>Table2[[#This Row],[Very Rare]]*$F$3*100</f>
        <v>4</v>
      </c>
      <c r="Q8">
        <f>Table2[[#This Row],[Super Rare]]*$G$3*100</f>
        <v>0</v>
      </c>
      <c r="R8" s="26">
        <f>SUM(Table3[[#This Row],[Common]:[Super Rare]])</f>
        <v>28</v>
      </c>
      <c r="S8" s="26">
        <f t="shared" si="0"/>
        <v>3</v>
      </c>
      <c r="T8" s="26">
        <f t="shared" si="4"/>
        <v>9.3333333333333339</v>
      </c>
    </row>
    <row r="9" spans="2:20" ht="30.75" thickBot="1">
      <c r="B9" s="6" t="s">
        <v>10</v>
      </c>
      <c r="C9" s="7">
        <v>0.12</v>
      </c>
      <c r="D9" s="7">
        <v>0.01</v>
      </c>
      <c r="E9" s="7">
        <v>0.01</v>
      </c>
      <c r="F9" s="7">
        <v>0.01</v>
      </c>
      <c r="G9" s="7"/>
      <c r="H9" s="5">
        <f t="shared" si="2"/>
        <v>0.15000000000000002</v>
      </c>
      <c r="I9" s="17">
        <f t="shared" si="1"/>
        <v>2</v>
      </c>
      <c r="J9">
        <f t="shared" si="3"/>
        <v>7.5000000000000011E-2</v>
      </c>
      <c r="L9" t="str">
        <f>Table2[[#This Row],[Enemy]]</f>
        <v>Standard Mummy</v>
      </c>
      <c r="M9">
        <f>Table2[[#This Row],[Common]]*$C$3*100</f>
        <v>12</v>
      </c>
      <c r="N9">
        <f>Table2[[#This Row],[Uncommon]]*$D$3*100</f>
        <v>2</v>
      </c>
      <c r="O9">
        <f>Table2[[#This Row],[Rare]]*$E$3*100</f>
        <v>3</v>
      </c>
      <c r="P9">
        <f>Table2[[#This Row],[Very Rare]]*$F$3*100</f>
        <v>4</v>
      </c>
      <c r="Q9">
        <f>Table2[[#This Row],[Super Rare]]*$G$3*100</f>
        <v>0</v>
      </c>
      <c r="R9" s="26">
        <f>SUM(Table3[[#This Row],[Common]:[Super Rare]])</f>
        <v>21</v>
      </c>
      <c r="S9" s="26">
        <f t="shared" si="0"/>
        <v>2</v>
      </c>
      <c r="T9" s="26">
        <f t="shared" si="4"/>
        <v>10.5</v>
      </c>
    </row>
    <row r="10" spans="2:20" ht="30.75" thickBot="1">
      <c r="B10" s="6" t="s">
        <v>11</v>
      </c>
      <c r="C10" s="7">
        <v>0.15</v>
      </c>
      <c r="D10" s="7">
        <v>0.02</v>
      </c>
      <c r="E10" s="7">
        <v>0.01</v>
      </c>
      <c r="F10" s="7">
        <v>0.01</v>
      </c>
      <c r="G10" s="7"/>
      <c r="H10" s="5">
        <f t="shared" si="2"/>
        <v>0.19</v>
      </c>
      <c r="I10" s="17">
        <f t="shared" si="1"/>
        <v>3</v>
      </c>
      <c r="J10">
        <f t="shared" si="3"/>
        <v>6.3333333333333339E-2</v>
      </c>
      <c r="L10" t="str">
        <f>Table2[[#This Row],[Enemy]]</f>
        <v>Medium Mummy A</v>
      </c>
      <c r="M10">
        <f>Table2[[#This Row],[Common]]*$C$3*100</f>
        <v>15</v>
      </c>
      <c r="N10">
        <f>Table2[[#This Row],[Uncommon]]*$D$3*100</f>
        <v>4</v>
      </c>
      <c r="O10">
        <f>Table2[[#This Row],[Rare]]*$E$3*100</f>
        <v>3</v>
      </c>
      <c r="P10">
        <f>Table2[[#This Row],[Very Rare]]*$F$3*100</f>
        <v>4</v>
      </c>
      <c r="Q10">
        <f>Table2[[#This Row],[Super Rare]]*$G$3*100</f>
        <v>0</v>
      </c>
      <c r="R10" s="26">
        <f>SUM(Table3[[#This Row],[Common]:[Super Rare]])</f>
        <v>26</v>
      </c>
      <c r="S10" s="26">
        <f t="shared" si="0"/>
        <v>3</v>
      </c>
      <c r="T10" s="26">
        <f t="shared" si="4"/>
        <v>8.6666666666666661</v>
      </c>
    </row>
    <row r="11" spans="2:20" ht="30.75" thickBot="1">
      <c r="B11" s="6" t="s">
        <v>12</v>
      </c>
      <c r="C11" s="7">
        <v>0.12</v>
      </c>
      <c r="D11" s="7">
        <v>0.03</v>
      </c>
      <c r="E11" s="7">
        <v>0.03</v>
      </c>
      <c r="F11" s="7"/>
      <c r="G11" s="7"/>
      <c r="H11" s="5">
        <f t="shared" si="2"/>
        <v>0.18</v>
      </c>
      <c r="I11" s="17">
        <f t="shared" si="1"/>
        <v>4</v>
      </c>
      <c r="J11">
        <f t="shared" si="3"/>
        <v>4.4999999999999998E-2</v>
      </c>
      <c r="L11" t="str">
        <f>Table2[[#This Row],[Enemy]]</f>
        <v>Medium Mummy B</v>
      </c>
      <c r="M11">
        <f>Table2[[#This Row],[Common]]*$C$3*100</f>
        <v>12</v>
      </c>
      <c r="N11">
        <f>Table2[[#This Row],[Uncommon]]*$D$3*100</f>
        <v>6</v>
      </c>
      <c r="O11">
        <f>Table2[[#This Row],[Rare]]*$E$3*100</f>
        <v>9</v>
      </c>
      <c r="P11">
        <f>Table2[[#This Row],[Very Rare]]*$F$3*100</f>
        <v>0</v>
      </c>
      <c r="Q11">
        <f>Table2[[#This Row],[Super Rare]]*$G$3*100</f>
        <v>0</v>
      </c>
      <c r="R11" s="26">
        <f>SUM(Table3[[#This Row],[Common]:[Super Rare]])</f>
        <v>27</v>
      </c>
      <c r="S11" s="26">
        <f t="shared" si="0"/>
        <v>4</v>
      </c>
      <c r="T11" s="26">
        <f t="shared" si="4"/>
        <v>6.75</v>
      </c>
    </row>
    <row r="12" spans="2:20" ht="30.75" thickBot="1">
      <c r="B12" s="6" t="s">
        <v>13</v>
      </c>
      <c r="C12" s="7">
        <v>0.15</v>
      </c>
      <c r="D12" s="7">
        <v>0.02</v>
      </c>
      <c r="E12" s="7">
        <v>0.02</v>
      </c>
      <c r="F12" s="7">
        <v>0.03</v>
      </c>
      <c r="G12" s="7"/>
      <c r="H12" s="5">
        <f t="shared" si="2"/>
        <v>0.21999999999999997</v>
      </c>
      <c r="I12" s="17">
        <f t="shared" si="1"/>
        <v>5</v>
      </c>
      <c r="J12">
        <f t="shared" si="3"/>
        <v>4.3999999999999997E-2</v>
      </c>
      <c r="L12" t="str">
        <f>Table2[[#This Row],[Enemy]]</f>
        <v>Medium Mummy C</v>
      </c>
      <c r="M12">
        <f>Table2[[#This Row],[Common]]*$C$3*100</f>
        <v>15</v>
      </c>
      <c r="N12">
        <f>Table2[[#This Row],[Uncommon]]*$D$3*100</f>
        <v>4</v>
      </c>
      <c r="O12">
        <f>Table2[[#This Row],[Rare]]*$E$3*100</f>
        <v>6</v>
      </c>
      <c r="P12">
        <f>Table2[[#This Row],[Very Rare]]*$F$3*100</f>
        <v>12</v>
      </c>
      <c r="Q12">
        <f>Table2[[#This Row],[Super Rare]]*$G$3*100</f>
        <v>0</v>
      </c>
      <c r="R12" s="26">
        <f>SUM(Table3[[#This Row],[Common]:[Super Rare]])</f>
        <v>37</v>
      </c>
      <c r="S12" s="26">
        <f t="shared" si="0"/>
        <v>5</v>
      </c>
      <c r="T12" s="26">
        <f t="shared" si="4"/>
        <v>7.4</v>
      </c>
    </row>
    <row r="13" spans="2:20" ht="45.75" thickBot="1">
      <c r="B13" s="6" t="s">
        <v>14</v>
      </c>
      <c r="C13" s="7">
        <v>0.2</v>
      </c>
      <c r="D13" s="7">
        <v>0.26</v>
      </c>
      <c r="E13" s="7">
        <v>0.17</v>
      </c>
      <c r="F13" s="7">
        <v>0.05</v>
      </c>
      <c r="G13" s="7">
        <v>0.02</v>
      </c>
      <c r="H13" s="5">
        <f t="shared" si="2"/>
        <v>0.70000000000000007</v>
      </c>
      <c r="I13" s="17">
        <f t="shared" si="1"/>
        <v>8</v>
      </c>
      <c r="J13">
        <f t="shared" si="3"/>
        <v>8.7500000000000008E-2</v>
      </c>
      <c r="L13" t="str">
        <f>Table2[[#This Row],[Enemy]]</f>
        <v>Powerful Pharaoh Mummy A</v>
      </c>
      <c r="M13">
        <f>Table2[[#This Row],[Common]]*$C$3*100</f>
        <v>20</v>
      </c>
      <c r="N13">
        <f>Table2[[#This Row],[Uncommon]]*$D$3*100</f>
        <v>52</v>
      </c>
      <c r="O13">
        <f>Table2[[#This Row],[Rare]]*$E$3*100</f>
        <v>51</v>
      </c>
      <c r="P13">
        <f>Table2[[#This Row],[Very Rare]]*$F$3*100</f>
        <v>20</v>
      </c>
      <c r="Q13">
        <f>Table2[[#This Row],[Super Rare]]*$G$3*100</f>
        <v>10</v>
      </c>
      <c r="R13" s="26">
        <f>SUM(Table3[[#This Row],[Common]:[Super Rare]])</f>
        <v>153</v>
      </c>
      <c r="S13" s="26">
        <f t="shared" si="0"/>
        <v>8</v>
      </c>
      <c r="T13" s="26">
        <f t="shared" si="4"/>
        <v>19.125</v>
      </c>
    </row>
    <row r="14" spans="2:20" ht="45.75" thickBot="1">
      <c r="B14" s="6" t="s">
        <v>15</v>
      </c>
      <c r="C14" s="7">
        <v>0.25</v>
      </c>
      <c r="D14" s="7">
        <v>0.2</v>
      </c>
      <c r="E14" s="7">
        <v>0.15</v>
      </c>
      <c r="F14" s="7">
        <v>0.1</v>
      </c>
      <c r="G14" s="7">
        <v>0.05</v>
      </c>
      <c r="H14" s="5">
        <f t="shared" si="2"/>
        <v>0.75</v>
      </c>
      <c r="I14" s="17">
        <f t="shared" si="1"/>
        <v>8</v>
      </c>
      <c r="J14">
        <f t="shared" si="3"/>
        <v>9.375E-2</v>
      </c>
      <c r="L14" t="str">
        <f>Table2[[#This Row],[Enemy]]</f>
        <v>Powerful Pharaoh Mummy B</v>
      </c>
      <c r="M14">
        <f>Table2[[#This Row],[Common]]*$C$3*100</f>
        <v>25</v>
      </c>
      <c r="N14">
        <f>Table2[[#This Row],[Uncommon]]*$D$3*100</f>
        <v>40</v>
      </c>
      <c r="O14">
        <f>Table2[[#This Row],[Rare]]*$E$3*100</f>
        <v>44.999999999999993</v>
      </c>
      <c r="P14">
        <f>Table2[[#This Row],[Very Rare]]*$F$3*100</f>
        <v>40</v>
      </c>
      <c r="Q14">
        <f>Table2[[#This Row],[Super Rare]]*$G$3*100</f>
        <v>25</v>
      </c>
      <c r="R14" s="26">
        <f>SUM(Table3[[#This Row],[Common]:[Super Rare]])</f>
        <v>175</v>
      </c>
      <c r="S14" s="26">
        <f t="shared" si="0"/>
        <v>8</v>
      </c>
      <c r="T14" s="26">
        <f t="shared" si="4"/>
        <v>21.875</v>
      </c>
    </row>
    <row r="15" spans="2:20" ht="45.75" thickBot="1">
      <c r="B15" s="6" t="s">
        <v>16</v>
      </c>
      <c r="C15" s="7">
        <v>0.05</v>
      </c>
      <c r="D15" s="7">
        <v>0.1</v>
      </c>
      <c r="E15" s="7">
        <v>0.1</v>
      </c>
      <c r="F15" s="7">
        <v>0.05</v>
      </c>
      <c r="G15" s="7">
        <v>0.02</v>
      </c>
      <c r="H15" s="5">
        <f t="shared" si="2"/>
        <v>0.32</v>
      </c>
      <c r="I15" s="17" t="e">
        <f>#REF!</f>
        <v>#REF!</v>
      </c>
      <c r="J15" t="e">
        <f t="shared" si="3"/>
        <v>#REF!</v>
      </c>
      <c r="L15" t="str">
        <f>Table2[[#This Row],[Enemy]]</f>
        <v>Standard Mummy (Hoard)</v>
      </c>
      <c r="M15">
        <f>Table2[[#This Row],[Common]]*$C$3*100</f>
        <v>5</v>
      </c>
      <c r="N15">
        <f>Table2[[#This Row],[Uncommon]]*$D$3*100</f>
        <v>20</v>
      </c>
      <c r="O15">
        <f>Table2[[#This Row],[Rare]]*$E$3*100</f>
        <v>30.000000000000004</v>
      </c>
      <c r="P15">
        <f>Table2[[#This Row],[Very Rare]]*$F$3*100</f>
        <v>20</v>
      </c>
      <c r="Q15">
        <f>Table2[[#This Row],[Super Rare]]*$G$3*100</f>
        <v>10</v>
      </c>
      <c r="R15" s="26">
        <f>SUM(Table3[[#This Row],[Common]:[Super Rare]])</f>
        <v>85</v>
      </c>
      <c r="S15" s="26" t="e">
        <f>#REF!</f>
        <v>#REF!</v>
      </c>
      <c r="T15" s="26" t="e">
        <f t="shared" si="4"/>
        <v>#REF!</v>
      </c>
    </row>
    <row r="16" spans="2:20" ht="45.75" thickBot="1">
      <c r="B16" s="6" t="s">
        <v>17</v>
      </c>
      <c r="C16" s="7">
        <v>0.05</v>
      </c>
      <c r="D16" s="7">
        <v>0.15</v>
      </c>
      <c r="E16" s="7">
        <v>0.1</v>
      </c>
      <c r="F16" s="7">
        <v>0.15</v>
      </c>
      <c r="G16" s="7">
        <v>0.05</v>
      </c>
      <c r="H16" s="5">
        <f t="shared" si="2"/>
        <v>0.50000000000000011</v>
      </c>
      <c r="I16" s="17">
        <f t="shared" si="1"/>
        <v>15</v>
      </c>
      <c r="J16">
        <f t="shared" si="3"/>
        <v>3.333333333333334E-2</v>
      </c>
      <c r="L16" t="str">
        <f>Table2[[#This Row],[Enemy]]</f>
        <v>Medium Mummy A (Hoard)</v>
      </c>
      <c r="M16">
        <f>Table2[[#This Row],[Common]]*$C$3*100</f>
        <v>5</v>
      </c>
      <c r="N16">
        <f>Table2[[#This Row],[Uncommon]]*$D$3*100</f>
        <v>30</v>
      </c>
      <c r="O16">
        <f>Table2[[#This Row],[Rare]]*$E$3*100</f>
        <v>30.000000000000004</v>
      </c>
      <c r="P16">
        <f>Table2[[#This Row],[Very Rare]]*$F$3*100</f>
        <v>60</v>
      </c>
      <c r="Q16">
        <f>Table2[[#This Row],[Super Rare]]*$G$3*100</f>
        <v>25</v>
      </c>
      <c r="R16" s="26">
        <f>SUM(Table3[[#This Row],[Common]:[Super Rare]])</f>
        <v>150</v>
      </c>
      <c r="S16" s="26">
        <f t="shared" si="0"/>
        <v>15</v>
      </c>
      <c r="T16" s="26">
        <f t="shared" si="4"/>
        <v>10</v>
      </c>
    </row>
    <row r="17" spans="1:20" ht="45.75" thickBot="1">
      <c r="B17" s="6" t="s">
        <v>18</v>
      </c>
      <c r="C17" s="7">
        <v>0.05</v>
      </c>
      <c r="D17" s="7">
        <v>0.1</v>
      </c>
      <c r="E17" s="7">
        <v>0.1</v>
      </c>
      <c r="F17" s="7">
        <v>0.05</v>
      </c>
      <c r="G17" s="7">
        <v>0.1</v>
      </c>
      <c r="H17" s="5">
        <f t="shared" si="2"/>
        <v>0.4</v>
      </c>
      <c r="I17" s="17">
        <f t="shared" si="1"/>
        <v>15</v>
      </c>
      <c r="J17">
        <f t="shared" si="3"/>
        <v>2.6666666666666668E-2</v>
      </c>
      <c r="L17" t="str">
        <f>Table2[[#This Row],[Enemy]]</f>
        <v>Medium Mummy B (Hoard)</v>
      </c>
      <c r="M17">
        <f>Table2[[#This Row],[Common]]*$C$3*100</f>
        <v>5</v>
      </c>
      <c r="N17">
        <f>Table2[[#This Row],[Uncommon]]*$D$3*100</f>
        <v>20</v>
      </c>
      <c r="O17">
        <f>Table2[[#This Row],[Rare]]*$E$3*100</f>
        <v>30.000000000000004</v>
      </c>
      <c r="P17">
        <f>Table2[[#This Row],[Very Rare]]*$F$3*100</f>
        <v>20</v>
      </c>
      <c r="Q17">
        <f>Table2[[#This Row],[Super Rare]]*$G$3*100</f>
        <v>50</v>
      </c>
      <c r="R17" s="26">
        <f>SUM(Table3[[#This Row],[Common]:[Super Rare]])</f>
        <v>125</v>
      </c>
      <c r="S17" s="26">
        <f t="shared" si="0"/>
        <v>15</v>
      </c>
      <c r="T17" s="26">
        <f t="shared" si="4"/>
        <v>8.3333333333333339</v>
      </c>
    </row>
    <row r="18" spans="1:20" ht="45.75" thickBot="1">
      <c r="B18" s="6" t="s">
        <v>19</v>
      </c>
      <c r="C18" s="7">
        <v>0.2</v>
      </c>
      <c r="D18" s="7">
        <v>0.05</v>
      </c>
      <c r="E18" s="7">
        <v>0.05</v>
      </c>
      <c r="F18" s="7">
        <v>0.15</v>
      </c>
      <c r="G18" s="7">
        <v>0.05</v>
      </c>
      <c r="H18" s="5">
        <f>SUM(C18:G18)</f>
        <v>0.49999999999999994</v>
      </c>
      <c r="I18" s="17">
        <f t="shared" si="1"/>
        <v>15</v>
      </c>
      <c r="J18">
        <f t="shared" si="3"/>
        <v>3.3333333333333333E-2</v>
      </c>
      <c r="L18" t="str">
        <f>Table2[[#This Row],[Enemy]]</f>
        <v>Medium Mummy C (Hoard)</v>
      </c>
      <c r="M18">
        <f>Table2[[#This Row],[Common]]*$C$3*100</f>
        <v>20</v>
      </c>
      <c r="N18">
        <f>Table2[[#This Row],[Uncommon]]*$D$3*100</f>
        <v>10</v>
      </c>
      <c r="O18">
        <f>Table2[[#This Row],[Rare]]*$E$3*100</f>
        <v>15.000000000000002</v>
      </c>
      <c r="P18">
        <f>Table2[[#This Row],[Very Rare]]*$F$3*100</f>
        <v>60</v>
      </c>
      <c r="Q18">
        <f>Table2[[#This Row],[Super Rare]]*$G$3*100</f>
        <v>25</v>
      </c>
      <c r="R18" s="26">
        <f>SUM(Table3[[#This Row],[Common]:[Super Rare]])</f>
        <v>130</v>
      </c>
      <c r="S18" s="26">
        <f t="shared" si="0"/>
        <v>15</v>
      </c>
      <c r="T18" s="26">
        <f t="shared" si="4"/>
        <v>8.6666666666666661</v>
      </c>
    </row>
    <row r="19" spans="1:20" ht="30.75" thickBot="1">
      <c r="B19" s="6" t="s">
        <v>20</v>
      </c>
      <c r="C19" s="7">
        <v>0.15</v>
      </c>
      <c r="D19" s="7">
        <v>0.1</v>
      </c>
      <c r="E19" s="7"/>
      <c r="F19" s="7"/>
      <c r="G19" s="7"/>
      <c r="H19" s="5">
        <f t="shared" si="2"/>
        <v>0.25</v>
      </c>
      <c r="I19" s="17">
        <f t="shared" si="1"/>
        <v>0</v>
      </c>
      <c r="J19" t="e">
        <f t="shared" si="3"/>
        <v>#DIV/0!</v>
      </c>
      <c r="L19" t="str">
        <f>Table2[[#This Row],[Enemy]]</f>
        <v>Scarab black (Hoard)</v>
      </c>
      <c r="M19">
        <f>Table2[[#This Row],[Common]]*$C$3*100</f>
        <v>15</v>
      </c>
      <c r="N19">
        <f>Table2[[#This Row],[Uncommon]]*$D$3*100</f>
        <v>20</v>
      </c>
      <c r="O19">
        <f>Table2[[#This Row],[Rare]]*$E$3*100</f>
        <v>0</v>
      </c>
      <c r="P19">
        <f>Table2[[#This Row],[Very Rare]]*$F$3*100</f>
        <v>0</v>
      </c>
      <c r="Q19">
        <f>Table2[[#This Row],[Super Rare]]*$G$3*100</f>
        <v>0</v>
      </c>
      <c r="R19" s="26">
        <f>SUM(Table3[[#This Row],[Common]:[Super Rare]])</f>
        <v>35</v>
      </c>
      <c r="S19" s="26">
        <f t="shared" si="0"/>
        <v>0</v>
      </c>
      <c r="T19" s="26" t="e">
        <f t="shared" si="4"/>
        <v>#DIV/0!</v>
      </c>
    </row>
    <row r="20" spans="1:20" ht="30.75" thickBot="1">
      <c r="B20" s="6" t="s">
        <v>21</v>
      </c>
      <c r="C20" s="7">
        <v>0.2</v>
      </c>
      <c r="D20" s="7">
        <v>0.1</v>
      </c>
      <c r="E20" s="7">
        <v>0.05</v>
      </c>
      <c r="F20" s="7"/>
      <c r="G20" s="7"/>
      <c r="H20" s="5">
        <f t="shared" si="2"/>
        <v>0.35000000000000003</v>
      </c>
      <c r="I20" s="17">
        <f t="shared" si="1"/>
        <v>0</v>
      </c>
      <c r="J20" t="e">
        <f t="shared" si="3"/>
        <v>#DIV/0!</v>
      </c>
      <c r="L20" t="str">
        <f>Table2[[#This Row],[Enemy]]</f>
        <v>Scarab gold (Hoard)</v>
      </c>
      <c r="M20">
        <f>Table2[[#This Row],[Common]]*$C$3*100</f>
        <v>20</v>
      </c>
      <c r="N20">
        <f>Table2[[#This Row],[Uncommon]]*$D$3*100</f>
        <v>20</v>
      </c>
      <c r="O20">
        <f>Table2[[#This Row],[Rare]]*$E$3*100</f>
        <v>15.000000000000002</v>
      </c>
      <c r="P20">
        <f>Table2[[#This Row],[Very Rare]]*$F$3*100</f>
        <v>0</v>
      </c>
      <c r="Q20">
        <f>Table2[[#This Row],[Super Rare]]*$G$3*100</f>
        <v>0</v>
      </c>
      <c r="R20" s="26">
        <f>SUM(Table3[[#This Row],[Common]:[Super Rare]])</f>
        <v>55</v>
      </c>
      <c r="S20" s="26">
        <f t="shared" si="0"/>
        <v>0</v>
      </c>
      <c r="T20" s="26" t="e">
        <f t="shared" si="4"/>
        <v>#DIV/0!</v>
      </c>
    </row>
    <row r="21" spans="1:20" ht="45.75" thickBot="1">
      <c r="B21" s="6" t="s">
        <v>22</v>
      </c>
      <c r="C21" s="7">
        <v>0.25</v>
      </c>
      <c r="D21" s="7">
        <v>0.1</v>
      </c>
      <c r="E21" s="7">
        <v>0.05</v>
      </c>
      <c r="F21" s="7">
        <v>0.05</v>
      </c>
      <c r="G21" s="7">
        <v>0.02</v>
      </c>
      <c r="H21" s="5">
        <f t="shared" si="2"/>
        <v>0.47</v>
      </c>
      <c r="I21" s="17">
        <f t="shared" si="1"/>
        <v>0</v>
      </c>
      <c r="J21" t="e">
        <f t="shared" si="3"/>
        <v>#DIV/0!</v>
      </c>
      <c r="L21" t="str">
        <f>Table2[[#This Row],[Enemy]]</f>
        <v>Scarab gem covered (Hoard)</v>
      </c>
      <c r="M21">
        <f>Table2[[#This Row],[Common]]*$C$3*100</f>
        <v>25</v>
      </c>
      <c r="N21">
        <f>Table2[[#This Row],[Uncommon]]*$D$3*100</f>
        <v>20</v>
      </c>
      <c r="O21">
        <f>Table2[[#This Row],[Rare]]*$E$3*100</f>
        <v>15.000000000000002</v>
      </c>
      <c r="P21">
        <f>Table2[[#This Row],[Very Rare]]*$F$3*100</f>
        <v>20</v>
      </c>
      <c r="Q21">
        <f>Table2[[#This Row],[Super Rare]]*$G$3*100</f>
        <v>10</v>
      </c>
      <c r="R21" s="26">
        <f>SUM(Table3[[#This Row],[Common]:[Super Rare]])</f>
        <v>90</v>
      </c>
      <c r="S21" s="26">
        <f t="shared" si="0"/>
        <v>0</v>
      </c>
      <c r="T21" s="26" t="e">
        <f t="shared" si="4"/>
        <v>#DIV/0!</v>
      </c>
    </row>
    <row r="22" spans="1:20" ht="15.75" thickBot="1">
      <c r="B22" s="6" t="s">
        <v>23</v>
      </c>
      <c r="C22" s="7"/>
      <c r="D22" s="7">
        <v>0.3</v>
      </c>
      <c r="E22" s="7">
        <v>0.3</v>
      </c>
      <c r="F22" s="7">
        <v>0.2</v>
      </c>
      <c r="G22" s="7">
        <v>0.2</v>
      </c>
      <c r="H22" s="5">
        <f t="shared" si="2"/>
        <v>1</v>
      </c>
      <c r="I22" s="17">
        <f>B47</f>
        <v>0</v>
      </c>
      <c r="J22" t="e">
        <f t="shared" si="3"/>
        <v>#DIV/0!</v>
      </c>
      <c r="L22" t="str">
        <f>Table2[[#This Row],[Enemy]]</f>
        <v>Boss</v>
      </c>
      <c r="M22">
        <f>Table2[[#This Row],[Common]]*$C$3*100</f>
        <v>0</v>
      </c>
      <c r="N22">
        <f>Table2[[#This Row],[Uncommon]]*$D$3*100</f>
        <v>60</v>
      </c>
      <c r="O22">
        <f>Table2[[#This Row],[Rare]]*$E$3*100</f>
        <v>89.999999999999986</v>
      </c>
      <c r="P22">
        <f>Table2[[#This Row],[Very Rare]]*$F$3*100</f>
        <v>80</v>
      </c>
      <c r="Q22">
        <f>Table2[[#This Row],[Super Rare]]*$G$3*100</f>
        <v>100</v>
      </c>
      <c r="R22" s="26">
        <f>SUM(Table3[[#This Row],[Common]:[Super Rare]])</f>
        <v>330</v>
      </c>
      <c r="S22" s="26">
        <f>B47</f>
        <v>0</v>
      </c>
      <c r="T22" s="26" t="e">
        <f t="shared" si="4"/>
        <v>#DIV/0!</v>
      </c>
    </row>
    <row r="23" spans="1:20" ht="15.75" thickBot="1">
      <c r="B23" s="6" t="s">
        <v>24</v>
      </c>
      <c r="C23" s="7"/>
      <c r="D23" s="7">
        <v>0.25</v>
      </c>
      <c r="E23" s="7">
        <v>0.3</v>
      </c>
      <c r="F23" s="7">
        <v>0.2</v>
      </c>
      <c r="G23" s="7">
        <v>0.25</v>
      </c>
      <c r="H23" s="5">
        <f t="shared" si="2"/>
        <v>1</v>
      </c>
      <c r="I23" s="17">
        <f t="shared" si="1"/>
        <v>0</v>
      </c>
      <c r="J23" t="e">
        <f t="shared" si="3"/>
        <v>#DIV/0!</v>
      </c>
      <c r="L23" t="str">
        <f>Table2[[#This Row],[Enemy]]</f>
        <v>Boss (Hoard)</v>
      </c>
      <c r="M23">
        <f>Table2[[#This Row],[Common]]*$C$3*100</f>
        <v>0</v>
      </c>
      <c r="N23">
        <f>Table2[[#This Row],[Uncommon]]*$D$3*100</f>
        <v>50</v>
      </c>
      <c r="O23">
        <f>Table2[[#This Row],[Rare]]*$E$3*100</f>
        <v>89.999999999999986</v>
      </c>
      <c r="P23">
        <f>Table2[[#This Row],[Very Rare]]*$F$3*100</f>
        <v>80</v>
      </c>
      <c r="Q23">
        <f>Table2[[#This Row],[Super Rare]]*$G$3*100</f>
        <v>125</v>
      </c>
      <c r="R23" s="26">
        <f>SUM(Table3[[#This Row],[Common]:[Super Rare]])</f>
        <v>345</v>
      </c>
      <c r="S23" s="26">
        <f t="shared" si="0"/>
        <v>0</v>
      </c>
      <c r="T23" s="26" t="e">
        <f t="shared" si="4"/>
        <v>#DIV/0!</v>
      </c>
    </row>
    <row r="24" spans="1:20">
      <c r="B24" s="8" t="s">
        <v>6</v>
      </c>
      <c r="C24" s="13">
        <f>SUM(C6:C23)</f>
        <v>2.2600000000000002</v>
      </c>
      <c r="D24" s="13">
        <f t="shared" ref="D24:G24" si="5">SUM(D6:D23)</f>
        <v>1.8600000000000003</v>
      </c>
      <c r="E24" s="13">
        <f t="shared" si="5"/>
        <v>1.4700000000000002</v>
      </c>
      <c r="F24" s="13">
        <f t="shared" si="5"/>
        <v>1.06</v>
      </c>
      <c r="G24" s="13">
        <f t="shared" si="5"/>
        <v>0.76</v>
      </c>
      <c r="H24" s="13"/>
      <c r="L24" t="str">
        <f>Table2[[#This Row],[Enemy]]</f>
        <v>Total</v>
      </c>
      <c r="M24" s="22">
        <f>SUM(M6:M23)</f>
        <v>226</v>
      </c>
      <c r="N24" s="23">
        <f t="shared" ref="N24:Q24" si="6">SUM(N6:N23)</f>
        <v>372</v>
      </c>
      <c r="O24" s="23">
        <f t="shared" si="6"/>
        <v>441</v>
      </c>
      <c r="P24" s="23">
        <f t="shared" si="6"/>
        <v>424</v>
      </c>
      <c r="Q24" s="23">
        <f t="shared" si="6"/>
        <v>380</v>
      </c>
      <c r="R24" s="26">
        <f>SUM(Table3[[#This Row],[Common]:[Super Rare]])</f>
        <v>1843</v>
      </c>
      <c r="S24" s="26">
        <f t="shared" si="0"/>
        <v>0</v>
      </c>
      <c r="T24" s="26" t="e">
        <f t="shared" ref="T24:T25" si="7">H24/I24</f>
        <v>#DIV/0!</v>
      </c>
    </row>
    <row r="25" spans="1:20" ht="30">
      <c r="B25" s="20" t="s">
        <v>34</v>
      </c>
      <c r="C25">
        <f>C24*C3</f>
        <v>2.2600000000000002</v>
      </c>
      <c r="D25">
        <f t="shared" ref="D25:G25" si="8">D24*D3</f>
        <v>3.7200000000000006</v>
      </c>
      <c r="E25">
        <f t="shared" si="8"/>
        <v>4.41</v>
      </c>
      <c r="F25">
        <f t="shared" si="8"/>
        <v>4.24</v>
      </c>
      <c r="G25">
        <f t="shared" si="8"/>
        <v>3.8</v>
      </c>
      <c r="L25" t="str">
        <f>Table2[[#This Row],[Enemy]]</f>
        <v>Frequency x Value</v>
      </c>
      <c r="M25" s="24">
        <f>M24*M3</f>
        <v>226</v>
      </c>
      <c r="N25" s="25">
        <f>N24*N3</f>
        <v>744</v>
      </c>
      <c r="O25" s="24">
        <f t="shared" ref="O25:Q25" si="9">O24*O3</f>
        <v>1323</v>
      </c>
      <c r="P25" s="25">
        <f t="shared" si="9"/>
        <v>1696</v>
      </c>
      <c r="Q25" s="24">
        <f t="shared" si="9"/>
        <v>1900</v>
      </c>
      <c r="R25" s="26">
        <f>SUM(Table3[[#This Row],[Common]:[Super Rare]])</f>
        <v>5889</v>
      </c>
      <c r="S25" s="26">
        <f t="shared" si="0"/>
        <v>0</v>
      </c>
      <c r="T25" s="26" t="e">
        <f t="shared" si="7"/>
        <v>#DIV/0!</v>
      </c>
    </row>
    <row r="27" spans="1:20">
      <c r="B27" t="s">
        <v>30</v>
      </c>
    </row>
    <row r="28" spans="1:20">
      <c r="B28" t="s">
        <v>31</v>
      </c>
    </row>
    <row r="29" spans="1:20">
      <c r="A29" t="s">
        <v>32</v>
      </c>
    </row>
    <row r="30" spans="1:20">
      <c r="B30" s="12"/>
    </row>
    <row r="31" spans="1:20" ht="21">
      <c r="A31" t="s">
        <v>35</v>
      </c>
      <c r="B31" s="11" t="s">
        <v>33</v>
      </c>
      <c r="I31" s="36" t="s">
        <v>150</v>
      </c>
      <c r="L31" s="42" t="s">
        <v>161</v>
      </c>
      <c r="M31" s="42"/>
      <c r="N31" s="42"/>
      <c r="O31" s="42"/>
      <c r="P31" s="42"/>
      <c r="Q31" s="42"/>
    </row>
    <row r="32" spans="1:20" ht="15.75" thickBot="1">
      <c r="A32" t="s">
        <v>36</v>
      </c>
      <c r="B32" s="11">
        <v>1</v>
      </c>
    </row>
    <row r="33" spans="1:21" ht="15.75" thickBot="1">
      <c r="A33" t="s">
        <v>37</v>
      </c>
      <c r="B33">
        <v>2</v>
      </c>
      <c r="I33" s="32" t="s">
        <v>0</v>
      </c>
      <c r="J33" t="s">
        <v>151</v>
      </c>
      <c r="K33" t="s">
        <v>152</v>
      </c>
      <c r="L33" t="s">
        <v>153</v>
      </c>
      <c r="M33" t="s">
        <v>154</v>
      </c>
      <c r="N33" t="s">
        <v>155</v>
      </c>
      <c r="O33" t="s">
        <v>156</v>
      </c>
      <c r="P33" t="s">
        <v>157</v>
      </c>
      <c r="Q33" t="s">
        <v>158</v>
      </c>
      <c r="R33" t="s">
        <v>159</v>
      </c>
      <c r="S33" t="s">
        <v>160</v>
      </c>
    </row>
    <row r="34" spans="1:21" ht="15.75" thickBot="1">
      <c r="A34" t="s">
        <v>38</v>
      </c>
      <c r="B34">
        <v>3</v>
      </c>
      <c r="I34" s="33"/>
    </row>
    <row r="35" spans="1:21" ht="15.75" thickBot="1">
      <c r="A35" s="14" t="s">
        <v>39</v>
      </c>
      <c r="B35">
        <v>4</v>
      </c>
      <c r="I35" s="34" t="s">
        <v>7</v>
      </c>
      <c r="J35" s="13">
        <v>0.05</v>
      </c>
      <c r="K35">
        <v>60</v>
      </c>
      <c r="L35">
        <v>20</v>
      </c>
      <c r="M35">
        <v>10</v>
      </c>
      <c r="N35">
        <v>5</v>
      </c>
      <c r="O35">
        <v>5</v>
      </c>
      <c r="R35">
        <f>SUM(K35:Q35)</f>
        <v>100</v>
      </c>
      <c r="S35">
        <f>(K35*20)+(L35*50)+(M35*80)+(N35*120)+(O35+180)+(P35*250)+(Q35*500)</f>
        <v>3785</v>
      </c>
    </row>
    <row r="36" spans="1:21" ht="15.75" thickBot="1">
      <c r="A36" t="s">
        <v>40</v>
      </c>
      <c r="B36">
        <v>5</v>
      </c>
      <c r="C36" t="s">
        <v>164</v>
      </c>
      <c r="I36" s="33" t="s">
        <v>8</v>
      </c>
      <c r="J36" s="13">
        <v>0.08</v>
      </c>
      <c r="K36">
        <v>50</v>
      </c>
      <c r="L36">
        <v>20</v>
      </c>
      <c r="M36">
        <v>20</v>
      </c>
      <c r="N36">
        <v>5</v>
      </c>
      <c r="O36">
        <v>5</v>
      </c>
      <c r="R36">
        <f t="shared" ref="R36:R52" si="10">SUM(K36:Q36)</f>
        <v>100</v>
      </c>
      <c r="S36">
        <f t="shared" ref="S36:S52" si="11">(K36*20)+(L36*50)+(M36*80)+(N36*120)+(O36+180)+(P36*250)+(Q36*500)</f>
        <v>4385</v>
      </c>
    </row>
    <row r="37" spans="1:21" ht="30.75" thickBot="1">
      <c r="A37" t="s">
        <v>102</v>
      </c>
      <c r="B37">
        <v>1</v>
      </c>
      <c r="C37" t="s">
        <v>102</v>
      </c>
      <c r="I37" s="34" t="s">
        <v>9</v>
      </c>
      <c r="J37" s="13">
        <v>0.08</v>
      </c>
      <c r="K37">
        <v>45</v>
      </c>
      <c r="L37">
        <v>40</v>
      </c>
      <c r="M37">
        <v>10</v>
      </c>
      <c r="N37">
        <v>5</v>
      </c>
      <c r="R37">
        <f t="shared" si="10"/>
        <v>100</v>
      </c>
      <c r="S37">
        <f t="shared" si="11"/>
        <v>4480</v>
      </c>
    </row>
    <row r="38" spans="1:21" ht="30.75" thickBot="1">
      <c r="A38" s="2" t="s">
        <v>7</v>
      </c>
      <c r="B38" s="3">
        <v>1</v>
      </c>
      <c r="C38" t="s">
        <v>102</v>
      </c>
      <c r="I38" s="33" t="s">
        <v>10</v>
      </c>
      <c r="J38" s="13">
        <v>0.08</v>
      </c>
      <c r="K38">
        <v>70</v>
      </c>
      <c r="L38">
        <v>10</v>
      </c>
      <c r="M38">
        <v>5</v>
      </c>
      <c r="N38">
        <v>5</v>
      </c>
      <c r="O38">
        <v>5</v>
      </c>
      <c r="P38">
        <v>5</v>
      </c>
      <c r="R38">
        <f t="shared" si="10"/>
        <v>100</v>
      </c>
      <c r="S38">
        <f t="shared" si="11"/>
        <v>4335</v>
      </c>
    </row>
    <row r="39" spans="1:21" ht="30.75" thickBot="1">
      <c r="A39" s="4" t="s">
        <v>8</v>
      </c>
      <c r="B39" s="6">
        <v>2</v>
      </c>
      <c r="C39" t="s">
        <v>102</v>
      </c>
      <c r="I39" s="34" t="s">
        <v>11</v>
      </c>
      <c r="J39" s="13">
        <v>0.1</v>
      </c>
      <c r="K39">
        <v>40</v>
      </c>
      <c r="L39">
        <v>20</v>
      </c>
      <c r="M39">
        <v>15</v>
      </c>
      <c r="N39">
        <v>10</v>
      </c>
      <c r="O39">
        <v>10</v>
      </c>
      <c r="P39">
        <v>5</v>
      </c>
      <c r="R39">
        <f t="shared" si="10"/>
        <v>100</v>
      </c>
      <c r="S39">
        <f t="shared" si="11"/>
        <v>5640</v>
      </c>
    </row>
    <row r="40" spans="1:21" ht="30.75" thickBot="1">
      <c r="A40" s="4" t="s">
        <v>9</v>
      </c>
      <c r="B40" s="6">
        <v>3</v>
      </c>
      <c r="C40" t="s">
        <v>102</v>
      </c>
      <c r="I40" s="33" t="s">
        <v>12</v>
      </c>
      <c r="J40" s="13">
        <v>0.12</v>
      </c>
      <c r="K40">
        <v>30</v>
      </c>
      <c r="L40">
        <v>35</v>
      </c>
      <c r="M40">
        <v>20</v>
      </c>
      <c r="N40">
        <v>5</v>
      </c>
      <c r="O40">
        <v>5</v>
      </c>
      <c r="P40">
        <v>5</v>
      </c>
      <c r="R40">
        <f t="shared" si="10"/>
        <v>100</v>
      </c>
      <c r="S40">
        <f t="shared" si="11"/>
        <v>5985</v>
      </c>
    </row>
    <row r="41" spans="1:21" ht="30.75" thickBot="1">
      <c r="A41" s="4" t="s">
        <v>10</v>
      </c>
      <c r="B41" s="6">
        <v>2</v>
      </c>
      <c r="C41" t="s">
        <v>189</v>
      </c>
      <c r="I41" s="34" t="s">
        <v>13</v>
      </c>
      <c r="J41" s="13">
        <v>0.12</v>
      </c>
      <c r="K41">
        <v>20</v>
      </c>
      <c r="L41">
        <v>30</v>
      </c>
      <c r="M41">
        <v>25</v>
      </c>
      <c r="N41">
        <v>10</v>
      </c>
      <c r="O41">
        <v>5</v>
      </c>
      <c r="P41">
        <v>5</v>
      </c>
      <c r="R41">
        <f t="shared" si="10"/>
        <v>95</v>
      </c>
      <c r="S41">
        <f t="shared" si="11"/>
        <v>6535</v>
      </c>
      <c r="T41" s="1"/>
      <c r="U41" s="3"/>
    </row>
    <row r="42" spans="1:21" ht="45.75" thickBot="1">
      <c r="A42" s="4" t="s">
        <v>11</v>
      </c>
      <c r="B42" s="6">
        <v>3</v>
      </c>
      <c r="C42" t="s">
        <v>189</v>
      </c>
      <c r="I42" s="33" t="s">
        <v>14</v>
      </c>
      <c r="J42" s="13">
        <v>0.15</v>
      </c>
      <c r="L42">
        <v>40</v>
      </c>
      <c r="M42">
        <v>20</v>
      </c>
      <c r="N42">
        <v>10</v>
      </c>
      <c r="O42">
        <v>10</v>
      </c>
      <c r="P42">
        <v>5</v>
      </c>
      <c r="Q42">
        <v>5</v>
      </c>
      <c r="R42">
        <f t="shared" si="10"/>
        <v>90</v>
      </c>
      <c r="S42">
        <f t="shared" si="11"/>
        <v>8740</v>
      </c>
      <c r="T42" s="4"/>
      <c r="U42" s="6"/>
    </row>
    <row r="43" spans="1:21" ht="45.75" thickBot="1">
      <c r="A43" s="4" t="s">
        <v>12</v>
      </c>
      <c r="B43" s="6">
        <v>4</v>
      </c>
      <c r="C43" t="s">
        <v>189</v>
      </c>
      <c r="I43" s="34" t="s">
        <v>15</v>
      </c>
      <c r="J43" s="13">
        <v>0.15</v>
      </c>
      <c r="L43">
        <v>40</v>
      </c>
      <c r="M43">
        <v>20</v>
      </c>
      <c r="N43">
        <v>10</v>
      </c>
      <c r="O43">
        <v>10</v>
      </c>
      <c r="P43">
        <v>5</v>
      </c>
      <c r="Q43">
        <v>5</v>
      </c>
      <c r="R43">
        <f t="shared" si="10"/>
        <v>90</v>
      </c>
      <c r="S43">
        <f t="shared" si="11"/>
        <v>8740</v>
      </c>
      <c r="T43" s="4"/>
      <c r="U43" s="6"/>
    </row>
    <row r="44" spans="1:21" ht="45.75" thickBot="1">
      <c r="A44" s="4" t="s">
        <v>13</v>
      </c>
      <c r="B44" s="6">
        <v>5</v>
      </c>
      <c r="C44" t="s">
        <v>189</v>
      </c>
      <c r="I44" s="33" t="s">
        <v>16</v>
      </c>
      <c r="J44" s="13">
        <v>0.12</v>
      </c>
      <c r="K44">
        <v>50</v>
      </c>
      <c r="L44">
        <v>30</v>
      </c>
      <c r="M44">
        <v>5</v>
      </c>
      <c r="N44">
        <v>5</v>
      </c>
      <c r="O44">
        <v>5</v>
      </c>
      <c r="P44">
        <v>5</v>
      </c>
      <c r="R44">
        <f t="shared" si="10"/>
        <v>100</v>
      </c>
      <c r="S44">
        <f t="shared" si="11"/>
        <v>4935</v>
      </c>
      <c r="T44" s="4"/>
      <c r="U44" s="6"/>
    </row>
    <row r="45" spans="1:21" ht="45.75" thickBot="1">
      <c r="A45" s="4" t="s">
        <v>14</v>
      </c>
      <c r="B45" s="6">
        <v>8</v>
      </c>
      <c r="C45" t="s">
        <v>189</v>
      </c>
      <c r="I45" s="34" t="s">
        <v>17</v>
      </c>
      <c r="J45" s="13">
        <v>0.15</v>
      </c>
      <c r="K45">
        <v>20</v>
      </c>
      <c r="L45">
        <v>40</v>
      </c>
      <c r="M45">
        <v>15</v>
      </c>
      <c r="N45">
        <v>10</v>
      </c>
      <c r="O45">
        <v>10</v>
      </c>
      <c r="P45">
        <v>5</v>
      </c>
      <c r="R45">
        <f t="shared" si="10"/>
        <v>100</v>
      </c>
      <c r="S45">
        <f t="shared" si="11"/>
        <v>6240</v>
      </c>
      <c r="T45" s="4"/>
      <c r="U45" s="6"/>
    </row>
    <row r="46" spans="1:21" ht="45.75" thickBot="1">
      <c r="A46" s="4" t="s">
        <v>15</v>
      </c>
      <c r="B46" s="6">
        <v>8</v>
      </c>
      <c r="C46" t="s">
        <v>189</v>
      </c>
      <c r="I46" s="33" t="s">
        <v>18</v>
      </c>
      <c r="J46" s="13">
        <v>0.15</v>
      </c>
      <c r="K46">
        <v>20</v>
      </c>
      <c r="L46">
        <v>35</v>
      </c>
      <c r="M46">
        <v>20</v>
      </c>
      <c r="N46">
        <v>10</v>
      </c>
      <c r="O46">
        <v>10</v>
      </c>
      <c r="P46">
        <v>5</v>
      </c>
      <c r="R46">
        <f t="shared" si="10"/>
        <v>100</v>
      </c>
      <c r="S46">
        <f t="shared" si="11"/>
        <v>6390</v>
      </c>
      <c r="T46" s="4"/>
      <c r="U46" s="6"/>
    </row>
    <row r="47" spans="1:21" ht="45.75" thickBot="1">
      <c r="A47" s="4" t="s">
        <v>23</v>
      </c>
      <c r="B47" s="6"/>
      <c r="I47" s="34" t="s">
        <v>19</v>
      </c>
      <c r="J47" s="13">
        <v>0.18</v>
      </c>
      <c r="K47">
        <v>20</v>
      </c>
      <c r="L47">
        <v>30</v>
      </c>
      <c r="M47">
        <v>15</v>
      </c>
      <c r="N47">
        <v>15</v>
      </c>
      <c r="O47">
        <v>10</v>
      </c>
      <c r="P47">
        <v>10</v>
      </c>
      <c r="R47">
        <f t="shared" si="10"/>
        <v>100</v>
      </c>
      <c r="S47">
        <f t="shared" si="11"/>
        <v>7590</v>
      </c>
      <c r="T47" s="4"/>
      <c r="U47" s="6"/>
    </row>
    <row r="48" spans="1:21" ht="30.75" thickBot="1">
      <c r="A48" s="14" t="s">
        <v>173</v>
      </c>
      <c r="B48" s="6">
        <v>15</v>
      </c>
      <c r="C48" t="s">
        <v>194</v>
      </c>
      <c r="I48" s="33" t="s">
        <v>20</v>
      </c>
      <c r="J48" s="13">
        <v>0.1</v>
      </c>
      <c r="K48">
        <v>50</v>
      </c>
      <c r="L48">
        <v>30</v>
      </c>
      <c r="M48">
        <v>10</v>
      </c>
      <c r="N48">
        <v>5</v>
      </c>
      <c r="O48">
        <v>5</v>
      </c>
      <c r="R48">
        <f t="shared" si="10"/>
        <v>100</v>
      </c>
      <c r="S48">
        <f t="shared" si="11"/>
        <v>4085</v>
      </c>
      <c r="T48" s="4"/>
      <c r="U48" s="6"/>
    </row>
    <row r="49" spans="1:21" ht="30.75" thickBot="1">
      <c r="A49" s="14" t="s">
        <v>171</v>
      </c>
      <c r="B49" s="6">
        <v>15</v>
      </c>
      <c r="C49" t="s">
        <v>194</v>
      </c>
      <c r="I49" s="34" t="s">
        <v>21</v>
      </c>
      <c r="J49" s="13">
        <v>0.12</v>
      </c>
      <c r="K49">
        <v>40</v>
      </c>
      <c r="L49">
        <v>30</v>
      </c>
      <c r="M49">
        <v>20</v>
      </c>
      <c r="N49">
        <v>5</v>
      </c>
      <c r="O49">
        <v>5</v>
      </c>
      <c r="R49">
        <f t="shared" si="10"/>
        <v>100</v>
      </c>
      <c r="S49">
        <f t="shared" si="11"/>
        <v>4685</v>
      </c>
      <c r="T49" s="4"/>
      <c r="U49" s="6"/>
    </row>
    <row r="50" spans="1:21" ht="45.75" thickBot="1">
      <c r="A50" s="14" t="s">
        <v>193</v>
      </c>
      <c r="B50" s="6">
        <v>15</v>
      </c>
      <c r="C50" t="s">
        <v>194</v>
      </c>
      <c r="I50" s="33" t="s">
        <v>22</v>
      </c>
      <c r="J50" s="13">
        <v>0.12</v>
      </c>
      <c r="K50">
        <v>35</v>
      </c>
      <c r="L50">
        <v>40</v>
      </c>
      <c r="M50">
        <v>15</v>
      </c>
      <c r="N50">
        <v>5</v>
      </c>
      <c r="O50">
        <v>5</v>
      </c>
      <c r="R50">
        <f t="shared" si="10"/>
        <v>100</v>
      </c>
      <c r="S50">
        <f t="shared" si="11"/>
        <v>4685</v>
      </c>
    </row>
    <row r="51" spans="1:21" ht="15.75" thickBot="1">
      <c r="A51" s="4"/>
      <c r="B51" s="6"/>
      <c r="I51" s="34" t="s">
        <v>23</v>
      </c>
      <c r="J51" s="13">
        <v>0.25</v>
      </c>
      <c r="L51">
        <v>40</v>
      </c>
      <c r="M51">
        <v>30</v>
      </c>
      <c r="N51">
        <v>15</v>
      </c>
      <c r="O51">
        <v>5</v>
      </c>
      <c r="P51">
        <v>5</v>
      </c>
      <c r="Q51">
        <v>5</v>
      </c>
      <c r="R51">
        <f t="shared" si="10"/>
        <v>100</v>
      </c>
      <c r="S51">
        <f t="shared" si="11"/>
        <v>10135</v>
      </c>
    </row>
    <row r="52" spans="1:21" ht="15.75" thickBot="1">
      <c r="A52" s="4"/>
      <c r="B52" s="6"/>
      <c r="I52" s="33" t="s">
        <v>24</v>
      </c>
      <c r="J52" s="13">
        <v>0.3</v>
      </c>
      <c r="L52">
        <v>25</v>
      </c>
      <c r="M52">
        <v>25</v>
      </c>
      <c r="N52">
        <v>25</v>
      </c>
      <c r="O52">
        <v>10</v>
      </c>
      <c r="P52">
        <v>10</v>
      </c>
      <c r="Q52">
        <v>5</v>
      </c>
      <c r="R52">
        <f t="shared" si="10"/>
        <v>100</v>
      </c>
      <c r="S52">
        <f t="shared" si="11"/>
        <v>11440</v>
      </c>
    </row>
    <row r="53" spans="1:21" ht="15.75" thickBot="1">
      <c r="A53" s="4"/>
      <c r="B53" s="6"/>
    </row>
    <row r="55" spans="1:21" ht="15.75" thickBot="1">
      <c r="A55" s="4"/>
      <c r="B55" s="6"/>
    </row>
  </sheetData>
  <mergeCells count="3">
    <mergeCell ref="F2:J2"/>
    <mergeCell ref="B2:D2"/>
    <mergeCell ref="L31:Q3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E2:I83"/>
  <sheetViews>
    <sheetView topLeftCell="B46" workbookViewId="0">
      <selection activeCell="F68" sqref="F68:H83"/>
    </sheetView>
  </sheetViews>
  <sheetFormatPr defaultRowHeight="15"/>
  <cols>
    <col min="6" max="6" width="41.85546875" customWidth="1"/>
    <col min="7" max="7" width="59.28515625" customWidth="1"/>
    <col min="8" max="8" width="40.140625" customWidth="1"/>
    <col min="9" max="9" width="15.28515625" customWidth="1"/>
  </cols>
  <sheetData>
    <row r="2" spans="5:9" ht="21">
      <c r="E2" s="27" t="s">
        <v>118</v>
      </c>
    </row>
    <row r="4" spans="5:9">
      <c r="E4" t="s">
        <v>41</v>
      </c>
      <c r="F4" t="s">
        <v>97</v>
      </c>
      <c r="G4" t="s">
        <v>98</v>
      </c>
      <c r="H4" t="s">
        <v>42</v>
      </c>
      <c r="I4" t="s">
        <v>164</v>
      </c>
    </row>
    <row r="6" spans="5:9">
      <c r="E6">
        <v>1</v>
      </c>
      <c r="F6" t="s">
        <v>43</v>
      </c>
      <c r="G6" t="s">
        <v>44</v>
      </c>
      <c r="H6" t="s">
        <v>5</v>
      </c>
      <c r="I6" t="s">
        <v>174</v>
      </c>
    </row>
    <row r="7" spans="5:9">
      <c r="E7">
        <v>2</v>
      </c>
      <c r="F7" t="s">
        <v>43</v>
      </c>
      <c r="G7" t="s">
        <v>45</v>
      </c>
      <c r="H7" t="s">
        <v>5</v>
      </c>
      <c r="I7" t="s">
        <v>169</v>
      </c>
    </row>
    <row r="8" spans="5:9">
      <c r="E8">
        <v>3</v>
      </c>
      <c r="F8" t="s">
        <v>43</v>
      </c>
      <c r="G8" t="s">
        <v>46</v>
      </c>
      <c r="H8" t="s">
        <v>5</v>
      </c>
      <c r="I8" t="s">
        <v>168</v>
      </c>
    </row>
    <row r="9" spans="5:9">
      <c r="E9">
        <v>4</v>
      </c>
      <c r="F9" t="s">
        <v>43</v>
      </c>
      <c r="G9" t="s">
        <v>47</v>
      </c>
      <c r="H9" t="s">
        <v>5</v>
      </c>
      <c r="I9" t="s">
        <v>167</v>
      </c>
    </row>
    <row r="10" spans="5:9">
      <c r="E10">
        <v>5</v>
      </c>
      <c r="F10" t="s">
        <v>43</v>
      </c>
      <c r="G10" t="s">
        <v>53</v>
      </c>
      <c r="H10" t="s">
        <v>5</v>
      </c>
      <c r="I10" t="s">
        <v>168</v>
      </c>
    </row>
    <row r="11" spans="5:9">
      <c r="E11">
        <v>6</v>
      </c>
      <c r="F11" t="s">
        <v>43</v>
      </c>
      <c r="G11" t="s">
        <v>55</v>
      </c>
      <c r="H11" t="s">
        <v>5</v>
      </c>
      <c r="I11" t="s">
        <v>171</v>
      </c>
    </row>
    <row r="12" spans="5:9">
      <c r="E12">
        <v>7</v>
      </c>
      <c r="F12" t="s">
        <v>43</v>
      </c>
      <c r="G12" t="s">
        <v>56</v>
      </c>
      <c r="H12" t="s">
        <v>5</v>
      </c>
      <c r="I12" t="s">
        <v>168</v>
      </c>
    </row>
    <row r="13" spans="5:9">
      <c r="E13">
        <v>8</v>
      </c>
      <c r="F13" t="s">
        <v>43</v>
      </c>
      <c r="G13" t="s">
        <v>58</v>
      </c>
      <c r="H13" t="s">
        <v>5</v>
      </c>
      <c r="I13" t="s">
        <v>169</v>
      </c>
    </row>
    <row r="14" spans="5:9">
      <c r="E14">
        <v>9</v>
      </c>
      <c r="F14" t="s">
        <v>43</v>
      </c>
      <c r="G14" t="s">
        <v>70</v>
      </c>
      <c r="H14" t="s">
        <v>5</v>
      </c>
      <c r="I14" t="s">
        <v>174</v>
      </c>
    </row>
    <row r="15" spans="5:9">
      <c r="E15">
        <v>10</v>
      </c>
      <c r="F15" t="s">
        <v>43</v>
      </c>
      <c r="G15" t="s">
        <v>57</v>
      </c>
      <c r="H15" t="s">
        <v>5</v>
      </c>
      <c r="I15" t="s">
        <v>168</v>
      </c>
    </row>
    <row r="16" spans="5:9">
      <c r="E16">
        <v>11</v>
      </c>
      <c r="F16" t="s">
        <v>43</v>
      </c>
      <c r="G16" t="s">
        <v>48</v>
      </c>
      <c r="H16" t="s">
        <v>5</v>
      </c>
      <c r="I16" t="s">
        <v>168</v>
      </c>
    </row>
    <row r="17" spans="5:9">
      <c r="E17">
        <v>12</v>
      </c>
      <c r="F17" t="s">
        <v>43</v>
      </c>
      <c r="G17" t="s">
        <v>49</v>
      </c>
      <c r="H17" t="s">
        <v>5</v>
      </c>
      <c r="I17" t="s">
        <v>174</v>
      </c>
    </row>
    <row r="18" spans="5:9">
      <c r="E18">
        <v>13</v>
      </c>
      <c r="F18" t="s">
        <v>43</v>
      </c>
      <c r="G18" t="s">
        <v>50</v>
      </c>
      <c r="H18" t="s">
        <v>4</v>
      </c>
      <c r="I18" t="s">
        <v>173</v>
      </c>
    </row>
    <row r="19" spans="5:9">
      <c r="E19">
        <v>14</v>
      </c>
      <c r="F19" t="s">
        <v>43</v>
      </c>
      <c r="G19" t="s">
        <v>51</v>
      </c>
      <c r="H19" t="s">
        <v>4</v>
      </c>
      <c r="I19" t="s">
        <v>172</v>
      </c>
    </row>
    <row r="20" spans="5:9">
      <c r="E20">
        <v>15</v>
      </c>
      <c r="F20" t="s">
        <v>43</v>
      </c>
      <c r="G20" t="s">
        <v>52</v>
      </c>
      <c r="H20" t="s">
        <v>4</v>
      </c>
      <c r="I20" t="s">
        <v>169</v>
      </c>
    </row>
    <row r="21" spans="5:9">
      <c r="E21">
        <v>16</v>
      </c>
      <c r="F21" t="s">
        <v>43</v>
      </c>
      <c r="G21" t="s">
        <v>71</v>
      </c>
      <c r="H21" t="s">
        <v>4</v>
      </c>
      <c r="I21" t="s">
        <v>171</v>
      </c>
    </row>
    <row r="22" spans="5:9">
      <c r="E22">
        <v>17</v>
      </c>
      <c r="F22" t="s">
        <v>43</v>
      </c>
      <c r="G22" t="s">
        <v>61</v>
      </c>
      <c r="H22" t="s">
        <v>4</v>
      </c>
      <c r="I22" t="s">
        <v>167</v>
      </c>
    </row>
    <row r="23" spans="5:9">
      <c r="E23">
        <v>18</v>
      </c>
      <c r="F23" t="s">
        <v>43</v>
      </c>
      <c r="G23" t="s">
        <v>54</v>
      </c>
      <c r="H23" t="s">
        <v>4</v>
      </c>
      <c r="I23" t="s">
        <v>167</v>
      </c>
    </row>
    <row r="24" spans="5:9">
      <c r="E24">
        <v>19</v>
      </c>
      <c r="F24" t="s">
        <v>43</v>
      </c>
      <c r="G24" t="s">
        <v>67</v>
      </c>
      <c r="H24" t="s">
        <v>4</v>
      </c>
      <c r="I24" t="s">
        <v>172</v>
      </c>
    </row>
    <row r="25" spans="5:9">
      <c r="E25">
        <v>20</v>
      </c>
      <c r="F25" t="s">
        <v>43</v>
      </c>
      <c r="G25" t="s">
        <v>59</v>
      </c>
      <c r="H25" t="s">
        <v>4</v>
      </c>
      <c r="I25" t="s">
        <v>167</v>
      </c>
    </row>
    <row r="26" spans="5:9">
      <c r="E26">
        <v>21</v>
      </c>
      <c r="F26" t="s">
        <v>43</v>
      </c>
      <c r="G26" t="s">
        <v>60</v>
      </c>
      <c r="H26" t="s">
        <v>4</v>
      </c>
      <c r="I26" t="s">
        <v>167</v>
      </c>
    </row>
    <row r="27" spans="5:9">
      <c r="E27">
        <v>22</v>
      </c>
      <c r="F27" t="s">
        <v>43</v>
      </c>
      <c r="G27" t="s">
        <v>62</v>
      </c>
      <c r="H27" t="s">
        <v>4</v>
      </c>
      <c r="I27" t="s">
        <v>176</v>
      </c>
    </row>
    <row r="28" spans="5:9">
      <c r="E28">
        <v>23</v>
      </c>
      <c r="F28" t="s">
        <v>43</v>
      </c>
      <c r="G28" t="s">
        <v>63</v>
      </c>
      <c r="H28" t="s">
        <v>4</v>
      </c>
      <c r="I28" t="s">
        <v>168</v>
      </c>
    </row>
    <row r="29" spans="5:9">
      <c r="E29">
        <v>24</v>
      </c>
      <c r="F29" t="s">
        <v>43</v>
      </c>
      <c r="G29" t="s">
        <v>77</v>
      </c>
      <c r="H29" t="s">
        <v>3</v>
      </c>
      <c r="I29" t="s">
        <v>165</v>
      </c>
    </row>
    <row r="30" spans="5:9">
      <c r="E30">
        <v>25</v>
      </c>
      <c r="F30" t="s">
        <v>43</v>
      </c>
      <c r="G30" t="s">
        <v>79</v>
      </c>
      <c r="H30" t="s">
        <v>3</v>
      </c>
      <c r="I30" t="s">
        <v>172</v>
      </c>
    </row>
    <row r="31" spans="5:9">
      <c r="E31">
        <v>26</v>
      </c>
      <c r="F31" t="s">
        <v>43</v>
      </c>
      <c r="G31" t="s">
        <v>81</v>
      </c>
      <c r="H31" t="s">
        <v>3</v>
      </c>
      <c r="I31" t="s">
        <v>171</v>
      </c>
    </row>
    <row r="32" spans="5:9">
      <c r="E32">
        <v>27</v>
      </c>
      <c r="F32" t="s">
        <v>43</v>
      </c>
      <c r="G32" t="s">
        <v>74</v>
      </c>
      <c r="H32" t="s">
        <v>3</v>
      </c>
      <c r="I32" t="s">
        <v>172</v>
      </c>
    </row>
    <row r="33" spans="5:9">
      <c r="E33">
        <v>28</v>
      </c>
      <c r="F33" t="s">
        <v>43</v>
      </c>
      <c r="G33" t="s">
        <v>78</v>
      </c>
      <c r="H33" t="s">
        <v>3</v>
      </c>
      <c r="I33" t="s">
        <v>167</v>
      </c>
    </row>
    <row r="34" spans="5:9">
      <c r="E34">
        <v>29</v>
      </c>
      <c r="F34" t="s">
        <v>43</v>
      </c>
      <c r="G34" t="s">
        <v>68</v>
      </c>
      <c r="H34" t="s">
        <v>3</v>
      </c>
      <c r="I34" t="s">
        <v>170</v>
      </c>
    </row>
    <row r="35" spans="5:9">
      <c r="E35">
        <v>30</v>
      </c>
      <c r="F35" t="s">
        <v>43</v>
      </c>
      <c r="G35" t="s">
        <v>65</v>
      </c>
      <c r="H35" t="s">
        <v>3</v>
      </c>
      <c r="I35" t="s">
        <v>177</v>
      </c>
    </row>
    <row r="36" spans="5:9">
      <c r="E36">
        <v>31</v>
      </c>
      <c r="F36" t="s">
        <v>43</v>
      </c>
      <c r="G36" t="s">
        <v>66</v>
      </c>
      <c r="H36" t="s">
        <v>3</v>
      </c>
      <c r="I36" t="s">
        <v>166</v>
      </c>
    </row>
    <row r="37" spans="5:9">
      <c r="E37">
        <v>32</v>
      </c>
      <c r="F37" t="s">
        <v>43</v>
      </c>
      <c r="G37" t="s">
        <v>69</v>
      </c>
      <c r="H37" t="s">
        <v>3</v>
      </c>
      <c r="I37" t="s">
        <v>166</v>
      </c>
    </row>
    <row r="38" spans="5:9">
      <c r="E38">
        <v>33</v>
      </c>
      <c r="F38" t="s">
        <v>43</v>
      </c>
      <c r="G38" t="s">
        <v>72</v>
      </c>
      <c r="H38" t="s">
        <v>3</v>
      </c>
      <c r="I38" t="s">
        <v>168</v>
      </c>
    </row>
    <row r="39" spans="5:9">
      <c r="E39">
        <v>34</v>
      </c>
      <c r="F39" t="s">
        <v>43</v>
      </c>
      <c r="G39" t="s">
        <v>64</v>
      </c>
      <c r="H39" t="s">
        <v>2</v>
      </c>
      <c r="I39" t="s">
        <v>166</v>
      </c>
    </row>
    <row r="40" spans="5:9">
      <c r="E40">
        <v>35</v>
      </c>
      <c r="F40" t="s">
        <v>43</v>
      </c>
      <c r="G40" t="s">
        <v>73</v>
      </c>
      <c r="H40" t="s">
        <v>2</v>
      </c>
      <c r="I40" t="s">
        <v>169</v>
      </c>
    </row>
    <row r="41" spans="5:9">
      <c r="E41">
        <v>36</v>
      </c>
      <c r="F41" t="s">
        <v>43</v>
      </c>
      <c r="G41" t="s">
        <v>75</v>
      </c>
      <c r="H41" t="s">
        <v>2</v>
      </c>
      <c r="I41" t="s">
        <v>170</v>
      </c>
    </row>
    <row r="42" spans="5:9">
      <c r="E42">
        <v>37</v>
      </c>
      <c r="F42" t="s">
        <v>43</v>
      </c>
      <c r="G42" t="s">
        <v>76</v>
      </c>
      <c r="H42" t="s">
        <v>2</v>
      </c>
      <c r="I42" t="s">
        <v>169</v>
      </c>
    </row>
    <row r="43" spans="5:9">
      <c r="E43">
        <v>38</v>
      </c>
      <c r="F43" t="s">
        <v>43</v>
      </c>
      <c r="G43" t="s">
        <v>89</v>
      </c>
      <c r="H43" t="s">
        <v>2</v>
      </c>
      <c r="I43" t="s">
        <v>165</v>
      </c>
    </row>
    <row r="44" spans="5:9">
      <c r="E44">
        <v>39</v>
      </c>
      <c r="F44" t="s">
        <v>43</v>
      </c>
      <c r="G44" t="s">
        <v>90</v>
      </c>
      <c r="H44" t="s">
        <v>2</v>
      </c>
      <c r="I44" t="s">
        <v>169</v>
      </c>
    </row>
    <row r="45" spans="5:9">
      <c r="E45">
        <v>40</v>
      </c>
      <c r="F45" t="s">
        <v>43</v>
      </c>
      <c r="G45" t="s">
        <v>80</v>
      </c>
      <c r="H45" t="s">
        <v>2</v>
      </c>
      <c r="I45" t="s">
        <v>170</v>
      </c>
    </row>
    <row r="46" spans="5:9">
      <c r="E46">
        <v>41</v>
      </c>
      <c r="F46" t="s">
        <v>43</v>
      </c>
      <c r="G46" t="s">
        <v>82</v>
      </c>
      <c r="H46" t="s">
        <v>2</v>
      </c>
      <c r="I46" t="s">
        <v>166</v>
      </c>
    </row>
    <row r="47" spans="5:9">
      <c r="E47">
        <v>42</v>
      </c>
      <c r="F47" t="s">
        <v>43</v>
      </c>
      <c r="G47" t="s">
        <v>83</v>
      </c>
      <c r="H47" t="s">
        <v>2</v>
      </c>
      <c r="I47" t="s">
        <v>172</v>
      </c>
    </row>
    <row r="48" spans="5:9">
      <c r="E48">
        <v>43</v>
      </c>
      <c r="F48" t="s">
        <v>43</v>
      </c>
      <c r="G48" t="s">
        <v>84</v>
      </c>
      <c r="H48" t="s">
        <v>2</v>
      </c>
      <c r="I48" t="s">
        <v>166</v>
      </c>
    </row>
    <row r="49" spans="5:9">
      <c r="E49">
        <v>44</v>
      </c>
      <c r="F49" t="s">
        <v>43</v>
      </c>
      <c r="G49" t="s">
        <v>85</v>
      </c>
      <c r="H49" t="s">
        <v>2</v>
      </c>
      <c r="I49" t="s">
        <v>170</v>
      </c>
    </row>
    <row r="50" spans="5:9">
      <c r="E50">
        <v>45</v>
      </c>
      <c r="F50" t="s">
        <v>43</v>
      </c>
      <c r="G50" t="s">
        <v>86</v>
      </c>
      <c r="H50" t="s">
        <v>1</v>
      </c>
      <c r="I50" t="s">
        <v>165</v>
      </c>
    </row>
    <row r="51" spans="5:9">
      <c r="E51">
        <v>46</v>
      </c>
      <c r="F51" t="s">
        <v>43</v>
      </c>
      <c r="G51" t="s">
        <v>87</v>
      </c>
      <c r="H51" t="s">
        <v>1</v>
      </c>
      <c r="I51" t="s">
        <v>165</v>
      </c>
    </row>
    <row r="52" spans="5:9">
      <c r="E52">
        <v>47</v>
      </c>
      <c r="F52" t="s">
        <v>43</v>
      </c>
      <c r="G52" t="s">
        <v>175</v>
      </c>
      <c r="H52" t="s">
        <v>1</v>
      </c>
      <c r="I52" t="s">
        <v>173</v>
      </c>
    </row>
    <row r="53" spans="5:9">
      <c r="E53">
        <v>48</v>
      </c>
      <c r="F53" t="s">
        <v>43</v>
      </c>
      <c r="G53" t="s">
        <v>88</v>
      </c>
      <c r="H53" t="s">
        <v>1</v>
      </c>
      <c r="I53" t="s">
        <v>176</v>
      </c>
    </row>
    <row r="54" spans="5:9">
      <c r="E54">
        <v>49</v>
      </c>
      <c r="F54" t="s">
        <v>43</v>
      </c>
      <c r="G54" t="s">
        <v>91</v>
      </c>
      <c r="H54" t="s">
        <v>1</v>
      </c>
      <c r="I54" t="s">
        <v>173</v>
      </c>
    </row>
    <row r="55" spans="5:9">
      <c r="E55">
        <v>50</v>
      </c>
      <c r="F55" t="s">
        <v>43</v>
      </c>
      <c r="G55" t="s">
        <v>92</v>
      </c>
      <c r="H55" t="s">
        <v>1</v>
      </c>
      <c r="I55" t="s">
        <v>171</v>
      </c>
    </row>
    <row r="56" spans="5:9">
      <c r="E56">
        <v>51</v>
      </c>
      <c r="F56" t="s">
        <v>43</v>
      </c>
      <c r="G56" t="s">
        <v>93</v>
      </c>
      <c r="H56" t="s">
        <v>1</v>
      </c>
      <c r="I56" t="s">
        <v>172</v>
      </c>
    </row>
    <row r="57" spans="5:9">
      <c r="E57">
        <v>52</v>
      </c>
      <c r="F57" t="s">
        <v>43</v>
      </c>
      <c r="G57" t="s">
        <v>94</v>
      </c>
      <c r="H57" t="s">
        <v>1</v>
      </c>
      <c r="I57" t="s">
        <v>169</v>
      </c>
    </row>
    <row r="58" spans="5:9">
      <c r="E58">
        <v>53</v>
      </c>
      <c r="F58" t="s">
        <v>43</v>
      </c>
      <c r="G58" t="s">
        <v>95</v>
      </c>
      <c r="H58" t="s">
        <v>1</v>
      </c>
      <c r="I58" t="s">
        <v>176</v>
      </c>
    </row>
    <row r="59" spans="5:9">
      <c r="E59">
        <v>54</v>
      </c>
      <c r="F59" t="s">
        <v>43</v>
      </c>
      <c r="G59" t="s">
        <v>96</v>
      </c>
      <c r="H59" t="s">
        <v>1</v>
      </c>
      <c r="I59" t="s">
        <v>176</v>
      </c>
    </row>
    <row r="62" spans="5:9">
      <c r="F62" t="s">
        <v>99</v>
      </c>
      <c r="G62" t="s">
        <v>5</v>
      </c>
      <c r="H62">
        <f>COUNTIF(H6:H59,"Super Rare")</f>
        <v>12</v>
      </c>
    </row>
    <row r="63" spans="5:9">
      <c r="G63" t="s">
        <v>4</v>
      </c>
      <c r="H63">
        <f>COUNTIF(H7:H60,"Very Rare")</f>
        <v>11</v>
      </c>
    </row>
    <row r="64" spans="5:9">
      <c r="G64" t="s">
        <v>3</v>
      </c>
      <c r="H64">
        <f>COUNTIF(H8:H61,"Rare")</f>
        <v>10</v>
      </c>
    </row>
    <row r="65" spans="6:8">
      <c r="G65" t="s">
        <v>2</v>
      </c>
      <c r="H65">
        <f t="shared" ref="H65" si="0">COUNTIF(H9:H62,"Uncommon")</f>
        <v>11</v>
      </c>
    </row>
    <row r="66" spans="6:8">
      <c r="G66" t="s">
        <v>1</v>
      </c>
      <c r="H66">
        <f>COUNTIF(H10:H63,"Common")</f>
        <v>10</v>
      </c>
    </row>
    <row r="68" spans="6:8">
      <c r="F68" t="s">
        <v>187</v>
      </c>
      <c r="G68" t="s">
        <v>185</v>
      </c>
      <c r="H68" t="s">
        <v>186</v>
      </c>
    </row>
    <row r="69" spans="6:8">
      <c r="G69" t="s">
        <v>165</v>
      </c>
      <c r="H69">
        <f>COUNTIF(I$6:I$59,"Statues")</f>
        <v>4</v>
      </c>
    </row>
    <row r="70" spans="6:8">
      <c r="G70" t="s">
        <v>176</v>
      </c>
      <c r="H70">
        <f>COUNTIF(I$6:I$59,"Bowls and Jars")</f>
        <v>4</v>
      </c>
    </row>
    <row r="71" spans="6:8">
      <c r="G71" t="s">
        <v>166</v>
      </c>
      <c r="H71">
        <f>COUNTIF(I$6:I$59,"Jewely")</f>
        <v>5</v>
      </c>
    </row>
    <row r="72" spans="6:8">
      <c r="G72" t="s">
        <v>167</v>
      </c>
      <c r="H72">
        <f>COUNTIF(I$6:I$59,"Rare Jewelry")</f>
        <v>6</v>
      </c>
    </row>
    <row r="73" spans="6:8">
      <c r="G73" t="s">
        <v>168</v>
      </c>
      <c r="H73">
        <f>COUNTIF(I$6:I$59,"Ritual Objects")</f>
        <v>7</v>
      </c>
    </row>
    <row r="74" spans="6:8">
      <c r="G74" t="s">
        <v>169</v>
      </c>
      <c r="H74">
        <f>COUNTIF(I$6:I$59,"Scarabs")</f>
        <v>7</v>
      </c>
    </row>
    <row r="75" spans="6:8">
      <c r="G75" t="s">
        <v>170</v>
      </c>
      <c r="H75">
        <f>COUNTIF(I$6:I$59,"Sphynxes")</f>
        <v>4</v>
      </c>
    </row>
    <row r="76" spans="6:8">
      <c r="G76" t="s">
        <v>171</v>
      </c>
      <c r="H76">
        <f>COUNTIF(I$6:I$59,"Anubis")</f>
        <v>4</v>
      </c>
    </row>
    <row r="77" spans="6:8">
      <c r="G77" t="s">
        <v>172</v>
      </c>
      <c r="H77">
        <f>COUNTIF(I$6:I$59,"Horus")</f>
        <v>6</v>
      </c>
    </row>
    <row r="78" spans="6:8">
      <c r="G78" t="s">
        <v>173</v>
      </c>
      <c r="H78">
        <f>COUNTIF(I$6:I$59,"Osiris")</f>
        <v>3</v>
      </c>
    </row>
    <row r="79" spans="6:8">
      <c r="G79" t="s">
        <v>174</v>
      </c>
      <c r="H79">
        <f>COUNTIF(I$6:I$59,"Pharaohs")</f>
        <v>3</v>
      </c>
    </row>
    <row r="81" spans="6:8">
      <c r="F81" t="s">
        <v>188</v>
      </c>
      <c r="G81" t="s">
        <v>102</v>
      </c>
      <c r="H81">
        <v>4</v>
      </c>
    </row>
    <row r="82" spans="6:8">
      <c r="G82" t="s">
        <v>189</v>
      </c>
      <c r="H82">
        <v>6</v>
      </c>
    </row>
    <row r="83" spans="6:8">
      <c r="G83" t="s">
        <v>192</v>
      </c>
      <c r="H83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6:K37"/>
  <sheetViews>
    <sheetView workbookViewId="0">
      <selection activeCell="A24" sqref="A24:D24"/>
    </sheetView>
  </sheetViews>
  <sheetFormatPr defaultRowHeight="15"/>
  <cols>
    <col min="1" max="1" width="27.85546875" customWidth="1"/>
    <col min="2" max="2" width="14.140625" customWidth="1"/>
    <col min="3" max="3" width="16" customWidth="1"/>
    <col min="8" max="8" width="12.42578125" customWidth="1"/>
    <col min="9" max="9" width="32.140625" customWidth="1"/>
    <col min="10" max="10" width="46" customWidth="1"/>
    <col min="11" max="11" width="53.140625" customWidth="1"/>
  </cols>
  <sheetData>
    <row r="6" spans="1:11" ht="21">
      <c r="A6" s="27" t="s">
        <v>110</v>
      </c>
    </row>
    <row r="7" spans="1:11" ht="21">
      <c r="H7" s="27" t="s">
        <v>111</v>
      </c>
    </row>
    <row r="8" spans="1:11">
      <c r="A8" t="s">
        <v>101</v>
      </c>
      <c r="B8" t="s">
        <v>105</v>
      </c>
      <c r="C8" t="s">
        <v>103</v>
      </c>
      <c r="J8" s="43" t="s">
        <v>112</v>
      </c>
      <c r="K8" s="43"/>
    </row>
    <row r="9" spans="1:11" ht="93.75" customHeight="1">
      <c r="A9" t="str">
        <f>Probabilities!A32</f>
        <v>Treasure - Common</v>
      </c>
      <c r="B9">
        <f>Probabilities!B32</f>
        <v>1</v>
      </c>
      <c r="C9" t="s">
        <v>104</v>
      </c>
      <c r="J9" s="43"/>
      <c r="K9" s="43"/>
    </row>
    <row r="10" spans="1:11">
      <c r="A10" t="str">
        <f>Probabilities!A33</f>
        <v>Treasure - Uncommon</v>
      </c>
      <c r="B10">
        <f>Probabilities!B33</f>
        <v>2</v>
      </c>
      <c r="C10" t="s">
        <v>104</v>
      </c>
    </row>
    <row r="11" spans="1:11">
      <c r="A11" t="str">
        <f>Probabilities!A34</f>
        <v>Treasure - Rare</v>
      </c>
      <c r="B11">
        <f>Probabilities!B34</f>
        <v>3</v>
      </c>
      <c r="C11" t="s">
        <v>104</v>
      </c>
      <c r="H11" s="16" t="s">
        <v>181</v>
      </c>
      <c r="I11" s="16" t="s">
        <v>178</v>
      </c>
      <c r="J11" s="16" t="s">
        <v>179</v>
      </c>
      <c r="K11" s="16" t="s">
        <v>182</v>
      </c>
    </row>
    <row r="12" spans="1:11">
      <c r="A12" t="str">
        <f>Probabilities!A35</f>
        <v>Treasure - Very Rare</v>
      </c>
      <c r="B12">
        <f>Probabilities!B35</f>
        <v>4</v>
      </c>
      <c r="C12" t="s">
        <v>104</v>
      </c>
      <c r="H12">
        <v>1</v>
      </c>
      <c r="I12" t="s">
        <v>184</v>
      </c>
      <c r="J12" s="12">
        <v>5</v>
      </c>
      <c r="K12" t="s">
        <v>183</v>
      </c>
    </row>
    <row r="13" spans="1:11">
      <c r="A13" t="str">
        <f>Probabilities!A36</f>
        <v>Treasure - Super Rare</v>
      </c>
      <c r="B13">
        <f>Probabilities!B36</f>
        <v>5</v>
      </c>
      <c r="C13" t="s">
        <v>104</v>
      </c>
      <c r="H13">
        <v>2</v>
      </c>
      <c r="J13" s="12">
        <v>10</v>
      </c>
    </row>
    <row r="14" spans="1:11">
      <c r="A14" t="str">
        <f>Probabilities!A37</f>
        <v>Scarab</v>
      </c>
      <c r="B14">
        <f>Probabilities!B37</f>
        <v>1</v>
      </c>
      <c r="C14" t="s">
        <v>106</v>
      </c>
      <c r="H14">
        <v>3</v>
      </c>
      <c r="J14" s="12">
        <v>15</v>
      </c>
    </row>
    <row r="15" spans="1:11">
      <c r="A15" t="str">
        <f>Probabilities!A38</f>
        <v>Scarab black</v>
      </c>
      <c r="B15">
        <f>Probabilities!B38</f>
        <v>1</v>
      </c>
      <c r="C15" t="s">
        <v>106</v>
      </c>
      <c r="H15">
        <v>4</v>
      </c>
      <c r="J15" s="12">
        <v>25</v>
      </c>
    </row>
    <row r="16" spans="1:11">
      <c r="A16" t="str">
        <f>Probabilities!A39</f>
        <v>Scarab gold</v>
      </c>
      <c r="B16">
        <f>Probabilities!B39</f>
        <v>2</v>
      </c>
      <c r="C16" t="s">
        <v>106</v>
      </c>
      <c r="H16">
        <v>5</v>
      </c>
      <c r="J16" s="12">
        <v>50</v>
      </c>
    </row>
    <row r="17" spans="1:10">
      <c r="A17" t="str">
        <f>Probabilities!A40</f>
        <v>Scarab gem covered</v>
      </c>
      <c r="B17">
        <f>Probabilities!B40</f>
        <v>3</v>
      </c>
      <c r="C17" t="s">
        <v>106</v>
      </c>
      <c r="H17">
        <v>6</v>
      </c>
      <c r="J17" s="12">
        <v>75</v>
      </c>
    </row>
    <row r="18" spans="1:10">
      <c r="A18" t="str">
        <f>Probabilities!A41</f>
        <v>Standard Mummy</v>
      </c>
      <c r="B18">
        <f>Probabilities!B41</f>
        <v>2</v>
      </c>
      <c r="C18" t="s">
        <v>106</v>
      </c>
      <c r="H18">
        <v>7</v>
      </c>
      <c r="J18" s="12">
        <v>100</v>
      </c>
    </row>
    <row r="19" spans="1:10">
      <c r="A19" t="str">
        <f>Probabilities!A42</f>
        <v>Medium Mummy A</v>
      </c>
      <c r="B19">
        <f>Probabilities!B42</f>
        <v>3</v>
      </c>
      <c r="C19" t="s">
        <v>106</v>
      </c>
      <c r="H19">
        <v>8</v>
      </c>
      <c r="J19" s="39" t="s">
        <v>180</v>
      </c>
    </row>
    <row r="20" spans="1:10">
      <c r="A20" t="str">
        <f>Probabilities!A43</f>
        <v>Medium Mummy B</v>
      </c>
      <c r="B20">
        <f>Probabilities!B43</f>
        <v>4</v>
      </c>
      <c r="C20" t="s">
        <v>106</v>
      </c>
      <c r="H20">
        <v>9</v>
      </c>
      <c r="J20" s="12"/>
    </row>
    <row r="21" spans="1:10">
      <c r="A21" t="str">
        <f>Probabilities!A44</f>
        <v>Medium Mummy C</v>
      </c>
      <c r="B21">
        <f>Probabilities!B44</f>
        <v>5</v>
      </c>
      <c r="C21" t="s">
        <v>106</v>
      </c>
      <c r="H21">
        <v>10</v>
      </c>
      <c r="J21" s="12"/>
    </row>
    <row r="22" spans="1:10">
      <c r="A22" t="str">
        <f>Probabilities!A45</f>
        <v>Powerful Pharaoh Mummy A</v>
      </c>
      <c r="B22">
        <f>Probabilities!B45</f>
        <v>8</v>
      </c>
      <c r="C22" t="s">
        <v>106</v>
      </c>
      <c r="H22">
        <v>11</v>
      </c>
      <c r="J22" s="12"/>
    </row>
    <row r="23" spans="1:10">
      <c r="A23" t="str">
        <f>Probabilities!A46</f>
        <v>Powerful Pharaoh Mummy B</v>
      </c>
      <c r="B23">
        <f>Probabilities!B46</f>
        <v>8</v>
      </c>
      <c r="C23" t="s">
        <v>106</v>
      </c>
      <c r="H23">
        <v>12</v>
      </c>
      <c r="J23" s="12"/>
    </row>
    <row r="24" spans="1:10">
      <c r="H24">
        <v>13</v>
      </c>
      <c r="J24" s="12"/>
    </row>
    <row r="25" spans="1:10">
      <c r="A25" t="str">
        <f>Probabilities!A48</f>
        <v>Osiris</v>
      </c>
      <c r="B25">
        <f>Probabilities!B48</f>
        <v>15</v>
      </c>
      <c r="C25" t="s">
        <v>106</v>
      </c>
      <c r="H25">
        <v>14</v>
      </c>
      <c r="J25" s="12"/>
    </row>
    <row r="26" spans="1:10">
      <c r="A26" t="str">
        <f>Probabilities!A49</f>
        <v>Anubis</v>
      </c>
      <c r="B26">
        <f>Probabilities!B49</f>
        <v>15</v>
      </c>
      <c r="C26" t="s">
        <v>106</v>
      </c>
      <c r="H26">
        <v>15</v>
      </c>
      <c r="J26" s="12"/>
    </row>
    <row r="27" spans="1:10">
      <c r="A27" t="str">
        <f>Probabilities!A50</f>
        <v xml:space="preserve"> Horus</v>
      </c>
      <c r="B27">
        <f>Probabilities!B50</f>
        <v>15</v>
      </c>
      <c r="C27" t="s">
        <v>106</v>
      </c>
      <c r="H27">
        <v>16</v>
      </c>
      <c r="J27" s="12"/>
    </row>
    <row r="28" spans="1:10">
      <c r="A28">
        <f>Probabilities!A51</f>
        <v>0</v>
      </c>
      <c r="B28">
        <f>Probabilities!B51</f>
        <v>0</v>
      </c>
      <c r="C28" t="s">
        <v>106</v>
      </c>
      <c r="H28">
        <v>17</v>
      </c>
      <c r="J28" s="12"/>
    </row>
    <row r="29" spans="1:10">
      <c r="A29">
        <f>Probabilities!A52</f>
        <v>0</v>
      </c>
      <c r="B29">
        <f>Probabilities!B52</f>
        <v>0</v>
      </c>
      <c r="C29" t="s">
        <v>106</v>
      </c>
      <c r="H29">
        <v>18</v>
      </c>
      <c r="J29" s="12"/>
    </row>
    <row r="30" spans="1:10">
      <c r="A30">
        <f>Probabilities!A53</f>
        <v>0</v>
      </c>
      <c r="B30">
        <f>Probabilities!B53</f>
        <v>0</v>
      </c>
      <c r="C30" t="s">
        <v>106</v>
      </c>
      <c r="H30">
        <v>19</v>
      </c>
      <c r="J30" s="12"/>
    </row>
    <row r="31" spans="1:10">
      <c r="A31" t="str">
        <f>Probabilities!A47</f>
        <v>Boss</v>
      </c>
      <c r="B31">
        <f>Probabilities!B47</f>
        <v>0</v>
      </c>
      <c r="C31" t="s">
        <v>106</v>
      </c>
      <c r="H31">
        <v>20</v>
      </c>
      <c r="J31" s="12"/>
    </row>
    <row r="32" spans="1:10">
      <c r="A32">
        <f>Probabilities!A55</f>
        <v>0</v>
      </c>
      <c r="B32">
        <f>Probabilities!B55</f>
        <v>0</v>
      </c>
      <c r="C32" t="s">
        <v>106</v>
      </c>
      <c r="J32" s="12"/>
    </row>
    <row r="33" spans="10:10">
      <c r="J33" s="12"/>
    </row>
    <row r="34" spans="10:10">
      <c r="J34" s="12"/>
    </row>
    <row r="35" spans="10:10">
      <c r="J35" s="12"/>
    </row>
    <row r="36" spans="10:10">
      <c r="J36" s="12"/>
    </row>
    <row r="37" spans="10:10">
      <c r="J37" s="12"/>
    </row>
  </sheetData>
  <mergeCells count="1">
    <mergeCell ref="J8:K9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C2:I41"/>
  <sheetViews>
    <sheetView topLeftCell="A7" workbookViewId="0">
      <selection activeCell="E39" sqref="E39"/>
    </sheetView>
  </sheetViews>
  <sheetFormatPr defaultRowHeight="15"/>
  <cols>
    <col min="3" max="3" width="25.5703125" customWidth="1"/>
    <col min="4" max="4" width="22.85546875" customWidth="1"/>
    <col min="5" max="5" width="19.85546875" customWidth="1"/>
    <col min="6" max="6" width="28.42578125" customWidth="1"/>
    <col min="8" max="8" width="19" customWidth="1"/>
    <col min="9" max="9" width="26.7109375" customWidth="1"/>
  </cols>
  <sheetData>
    <row r="2" spans="3:8" ht="21">
      <c r="C2" s="27" t="s">
        <v>135</v>
      </c>
    </row>
    <row r="3" spans="3:8" ht="15.75" thickBot="1"/>
    <row r="4" spans="3:8" ht="15.75" thickBot="1">
      <c r="C4" s="2" t="s">
        <v>32</v>
      </c>
      <c r="D4" s="3" t="s">
        <v>122</v>
      </c>
      <c r="E4" s="3" t="s">
        <v>123</v>
      </c>
      <c r="F4" s="3" t="s">
        <v>124</v>
      </c>
    </row>
    <row r="5" spans="3:8" ht="15.75" thickBot="1">
      <c r="C5" s="4" t="s">
        <v>125</v>
      </c>
      <c r="D5" s="6">
        <v>5</v>
      </c>
      <c r="E5" s="6">
        <v>3</v>
      </c>
      <c r="F5" s="6"/>
    </row>
    <row r="6" spans="3:8" ht="15.75" thickBot="1">
      <c r="C6" s="4" t="s">
        <v>126</v>
      </c>
      <c r="D6" s="6">
        <v>10</v>
      </c>
      <c r="E6" s="6">
        <v>4</v>
      </c>
      <c r="F6" s="6">
        <v>20</v>
      </c>
    </row>
    <row r="7" spans="3:8" ht="15.75" thickBot="1">
      <c r="C7" s="4" t="s">
        <v>127</v>
      </c>
      <c r="D7" s="6">
        <v>20</v>
      </c>
      <c r="E7" s="6">
        <v>5</v>
      </c>
      <c r="F7" s="6">
        <v>50</v>
      </c>
    </row>
    <row r="8" spans="3:8" ht="15.75" thickBot="1">
      <c r="C8" s="4" t="s">
        <v>128</v>
      </c>
      <c r="D8" s="6">
        <v>40</v>
      </c>
      <c r="E8" s="6">
        <v>7</v>
      </c>
      <c r="F8" s="6">
        <v>100</v>
      </c>
    </row>
    <row r="9" spans="3:8" ht="15.75" thickBot="1">
      <c r="C9" s="4" t="s">
        <v>129</v>
      </c>
      <c r="D9" s="6">
        <v>70</v>
      </c>
      <c r="E9" s="6">
        <v>9</v>
      </c>
      <c r="F9" s="6">
        <v>200</v>
      </c>
    </row>
    <row r="10" spans="3:8" ht="15.75" thickBot="1">
      <c r="C10" s="4" t="s">
        <v>130</v>
      </c>
      <c r="D10" s="6">
        <v>100</v>
      </c>
      <c r="E10" s="6">
        <v>12</v>
      </c>
      <c r="F10" s="6">
        <v>300</v>
      </c>
    </row>
    <row r="11" spans="3:8" ht="15.75" thickBot="1">
      <c r="C11" s="4" t="s">
        <v>131</v>
      </c>
      <c r="D11" s="6">
        <v>150</v>
      </c>
      <c r="E11" s="6">
        <v>15</v>
      </c>
      <c r="F11" s="6">
        <v>400</v>
      </c>
    </row>
    <row r="12" spans="3:8" ht="15.75" thickBot="1">
      <c r="C12" s="4" t="s">
        <v>132</v>
      </c>
      <c r="D12" s="6">
        <v>200</v>
      </c>
      <c r="E12" s="6">
        <v>20</v>
      </c>
      <c r="F12" s="6">
        <v>500</v>
      </c>
    </row>
    <row r="13" spans="3:8" ht="15.75" thickBot="1">
      <c r="C13" s="4" t="s">
        <v>133</v>
      </c>
      <c r="D13" s="6" t="s">
        <v>134</v>
      </c>
      <c r="E13" s="6">
        <v>25</v>
      </c>
      <c r="F13" s="6">
        <v>1000</v>
      </c>
    </row>
    <row r="15" spans="3:8" ht="21">
      <c r="H15" s="27" t="s">
        <v>140</v>
      </c>
    </row>
    <row r="16" spans="3:8" ht="42.75" thickBot="1">
      <c r="C16" s="30" t="s">
        <v>136</v>
      </c>
      <c r="E16" s="30" t="s">
        <v>190</v>
      </c>
    </row>
    <row r="17" spans="3:9" ht="15.75" thickBot="1">
      <c r="C17" s="2" t="s">
        <v>7</v>
      </c>
      <c r="D17" s="3">
        <v>1</v>
      </c>
      <c r="E17" t="s">
        <v>102</v>
      </c>
      <c r="H17" t="s">
        <v>141</v>
      </c>
      <c r="I17" t="s">
        <v>142</v>
      </c>
    </row>
    <row r="18" spans="3:9" ht="15.75" thickBot="1">
      <c r="C18" s="4" t="s">
        <v>8</v>
      </c>
      <c r="D18" s="6">
        <v>2</v>
      </c>
      <c r="E18" t="s">
        <v>102</v>
      </c>
      <c r="H18" t="s">
        <v>143</v>
      </c>
      <c r="I18" s="28" t="s">
        <v>144</v>
      </c>
    </row>
    <row r="19" spans="3:9" ht="15.75" thickBot="1">
      <c r="C19" s="4" t="s">
        <v>9</v>
      </c>
      <c r="D19" s="6">
        <v>3</v>
      </c>
      <c r="E19" t="s">
        <v>102</v>
      </c>
      <c r="H19" t="s">
        <v>145</v>
      </c>
      <c r="I19" s="28" t="s">
        <v>146</v>
      </c>
    </row>
    <row r="20" spans="3:9" ht="15.75" thickBot="1">
      <c r="C20" s="14" t="s">
        <v>10</v>
      </c>
      <c r="D20" s="6">
        <v>2</v>
      </c>
      <c r="E20" t="s">
        <v>189</v>
      </c>
      <c r="H20" t="s">
        <v>100</v>
      </c>
      <c r="I20" s="28" t="s">
        <v>111</v>
      </c>
    </row>
    <row r="21" spans="3:9" ht="30.75" thickBot="1">
      <c r="C21" s="4" t="s">
        <v>11</v>
      </c>
      <c r="D21" s="6">
        <v>3</v>
      </c>
      <c r="E21" t="s">
        <v>189</v>
      </c>
      <c r="H21" s="2" t="s">
        <v>137</v>
      </c>
      <c r="I21" s="3">
        <v>5</v>
      </c>
    </row>
    <row r="22" spans="3:9" ht="15.75" thickBot="1">
      <c r="C22" s="4" t="s">
        <v>12</v>
      </c>
      <c r="D22" s="6">
        <v>4</v>
      </c>
      <c r="E22" t="s">
        <v>189</v>
      </c>
      <c r="H22" s="4" t="s">
        <v>138</v>
      </c>
      <c r="I22" s="6">
        <v>1</v>
      </c>
    </row>
    <row r="23" spans="3:9" ht="15.75" thickBot="1">
      <c r="C23" s="4" t="s">
        <v>13</v>
      </c>
      <c r="D23" s="6">
        <v>5</v>
      </c>
      <c r="E23" t="s">
        <v>189</v>
      </c>
      <c r="H23" s="29"/>
      <c r="I23" s="31">
        <v>1</v>
      </c>
    </row>
    <row r="24" spans="3:9" ht="30.75" thickBot="1">
      <c r="C24" s="4" t="s">
        <v>14</v>
      </c>
      <c r="D24" s="6">
        <v>8</v>
      </c>
      <c r="E24" t="s">
        <v>189</v>
      </c>
      <c r="H24" s="29" t="s">
        <v>139</v>
      </c>
      <c r="I24" s="29"/>
    </row>
    <row r="25" spans="3:9" ht="30.75" thickBot="1">
      <c r="C25" s="4" t="s">
        <v>15</v>
      </c>
      <c r="D25" s="6">
        <v>8</v>
      </c>
      <c r="E25" t="s">
        <v>189</v>
      </c>
      <c r="H25" s="35" t="s">
        <v>162</v>
      </c>
      <c r="I25" s="37" t="s">
        <v>150</v>
      </c>
    </row>
    <row r="26" spans="3:9" ht="15.75" thickBot="1">
      <c r="C26" s="4" t="s">
        <v>16</v>
      </c>
      <c r="D26" s="6">
        <v>4</v>
      </c>
      <c r="E26" t="s">
        <v>191</v>
      </c>
    </row>
    <row r="27" spans="3:9" ht="15.75" thickBot="1">
      <c r="C27" s="4" t="s">
        <v>17</v>
      </c>
      <c r="D27" s="6">
        <v>6</v>
      </c>
      <c r="E27" t="s">
        <v>191</v>
      </c>
    </row>
    <row r="28" spans="3:9" ht="15.75" thickBot="1">
      <c r="C28" s="4" t="s">
        <v>18</v>
      </c>
      <c r="D28" s="6">
        <v>8</v>
      </c>
      <c r="E28" t="s">
        <v>191</v>
      </c>
    </row>
    <row r="29" spans="3:9" ht="15.75" thickBot="1">
      <c r="C29" s="4" t="s">
        <v>19</v>
      </c>
      <c r="D29" s="6">
        <v>8</v>
      </c>
      <c r="E29" t="s">
        <v>191</v>
      </c>
    </row>
    <row r="30" spans="3:9" ht="15.75" thickBot="1">
      <c r="C30" s="4" t="s">
        <v>20</v>
      </c>
      <c r="D30" s="6">
        <v>2</v>
      </c>
      <c r="E30" t="s">
        <v>191</v>
      </c>
    </row>
    <row r="31" spans="3:9" ht="15.75" thickBot="1">
      <c r="C31" s="4" t="s">
        <v>21</v>
      </c>
      <c r="D31" s="6">
        <v>4</v>
      </c>
      <c r="E31" t="s">
        <v>191</v>
      </c>
    </row>
    <row r="32" spans="3:9" ht="30.75" thickBot="1">
      <c r="C32" s="4" t="s">
        <v>22</v>
      </c>
      <c r="D32" s="6">
        <v>6</v>
      </c>
      <c r="E32" t="s">
        <v>191</v>
      </c>
    </row>
    <row r="33" spans="3:5" ht="16.5" customHeight="1" thickBot="1">
      <c r="C33" s="14" t="s">
        <v>23</v>
      </c>
      <c r="D33" s="6"/>
    </row>
    <row r="34" spans="3:5" ht="16.5" customHeight="1" thickBot="1">
      <c r="C34" s="14" t="s">
        <v>171</v>
      </c>
      <c r="D34" s="6">
        <v>15</v>
      </c>
    </row>
    <row r="35" spans="3:5" ht="16.5" customHeight="1" thickBot="1">
      <c r="C35" s="14" t="s">
        <v>173</v>
      </c>
      <c r="D35" s="6">
        <v>15</v>
      </c>
    </row>
    <row r="36" spans="3:5" ht="16.5" customHeight="1" thickBot="1">
      <c r="C36" s="14" t="s">
        <v>172</v>
      </c>
      <c r="D36" s="6">
        <v>15</v>
      </c>
    </row>
    <row r="37" spans="3:5" ht="15.75" thickBot="1">
      <c r="C37" s="4" t="s">
        <v>24</v>
      </c>
      <c r="D37" s="6">
        <v>20</v>
      </c>
      <c r="E37" t="s">
        <v>191</v>
      </c>
    </row>
    <row r="38" spans="3:5" ht="15.75" thickBot="1">
      <c r="C38" s="4"/>
      <c r="D38" s="6"/>
    </row>
    <row r="39" spans="3:5" ht="15.75" thickBot="1">
      <c r="C39" s="4"/>
      <c r="D39" s="6"/>
    </row>
    <row r="40" spans="3:5">
      <c r="C40" s="29"/>
      <c r="D40" s="44"/>
    </row>
    <row r="41" spans="3:5" ht="15.75" thickBot="1">
      <c r="C41" s="4"/>
      <c r="D41" s="45"/>
    </row>
  </sheetData>
  <mergeCells count="1">
    <mergeCell ref="D40:D41"/>
  </mergeCells>
  <hyperlinks>
    <hyperlink ref="I18" location="'Players Score'!C2" display="Level Up Rewards Table"/>
    <hyperlink ref="I19" location="'Players Score'!C16" display="Enemy Destroyed Rewards Table"/>
    <hyperlink ref="I20" location="CreatingAchievements!H7" display="Achievements Calculation Table"/>
    <hyperlink ref="I25" location="Probabilities!I31" display="Probability of Points Reward Chest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Probabilities</vt:lpstr>
      <vt:lpstr>TreasureList</vt:lpstr>
      <vt:lpstr>CreatingAchievements</vt:lpstr>
      <vt:lpstr>Players Score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Goodwin Cooper</dc:creator>
  <cp:lastModifiedBy>Daniel Goodwin Cooper</cp:lastModifiedBy>
  <dcterms:created xsi:type="dcterms:W3CDTF">2018-03-03T16:05:18Z</dcterms:created>
  <dcterms:modified xsi:type="dcterms:W3CDTF">2018-04-06T00:47:19Z</dcterms:modified>
</cp:coreProperties>
</file>